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ont Page" sheetId="1" state="visible" r:id="rId3"/>
    <sheet name="Multiples Valuation" sheetId="2" state="visible" r:id="rId4"/>
    <sheet name="DCF" sheetId="3" state="visible" r:id="rId5"/>
    <sheet name="Model" sheetId="4" state="visible" r:id="rId6"/>
    <sheet name="Guidance" sheetId="5" state="visible" r:id="rId7"/>
    <sheet name="Summary Page" sheetId="6" state="visible" r:id="rId8"/>
    <sheet name="Update Log" sheetId="7" state="visible" r:id="rId9"/>
  </sheets>
  <definedNames>
    <definedName function="false" hidden="true" localSheetId="4" name="_xlnm._FilterDatabase" vbProcedure="false">Guidance!$A$5:$U$5</definedName>
    <definedName function="false" hidden="false" localSheetId="3" name="_xlnm.Print_Area" vbProcedure="false">Model!$A$1:$CB$683</definedName>
    <definedName function="false" hidden="false" localSheetId="3" name="_xlnm.Print_Titles" vbProcedure="false">Model!$5:$5</definedName>
    <definedName function="false" hidden="false" localSheetId="5" name="_xlnm.Print_Area" vbProcedure="false">'Summary Page'!$A$1:$CB$123</definedName>
    <definedName function="false" hidden="false" name="AA.AlternatePriceSourceStartPeriod" vbProcedure="false">"Q1-2018"</definedName>
    <definedName function="false" hidden="false" name="AA.CIK" vbProcedure="false">937966</definedName>
    <definedName function="false" hidden="false" name="AA.ColorizerVersion" vbProcedure="false">"2.0.4.0"</definedName>
    <definedName function="false" hidden="false" name="AA.CompareQuarters.LatestMRQ" vbProcedure="false">"Q3-2019"</definedName>
    <definedName function="false" hidden="false" name="AA.CSIN" vbProcedure="false">"I9KH3H0125"</definedName>
    <definedName function="false" hidden="false" name="AA.CurationVersion" vbProcedure="false">"2023.11.1.0"</definedName>
    <definedName function="false" hidden="false" name="AA.DBMacroVersion" vbProcedure="false">"1.0.13.0"</definedName>
    <definedName function="false" hidden="false" name="AA.FreeCashFlow" vbProcedure="false">"TRUE"</definedName>
    <definedName function="false" hidden="false" name="AA.HardcodeChecker.LatestMRQ" vbProcedure="false">"Q3-2019"</definedName>
    <definedName function="false" hidden="false" name="AA.ModelChecks.LatestMRQ" vbProcedure="false">"Q3-2021"</definedName>
    <definedName function="false" hidden="false" name="AA.ModelChecks.LatestVersionNumber" vbProcedure="false">"2.38.1.0"</definedName>
    <definedName function="false" hidden="false" name="AA.ModelColorScheme" vbProcedure="false">"Classic"</definedName>
    <definedName function="false" hidden="false" name="AA.ModelVersion" vbProcedure="false">"FY2025.20"</definedName>
    <definedName function="false" hidden="false" name="AA.NonLibraryWideCurationVersion" vbProcedure="false">"4"</definedName>
    <definedName function="false" hidden="false" name="AA.PartialUpdate.BsAvailable" vbProcedure="false">"TRUE"</definedName>
    <definedName function="false" hidden="false" name="AA.PartialUpdate.CfsAvailable" vbProcedure="false">"TRUE"</definedName>
    <definedName function="false" hidden="false" name="AA.PartialUpdate.IsAvailable" vbProcedure="false">"TRUE"</definedName>
    <definedName function="false" hidden="false" name="AA.PeriodLayout" vbProcedure="false">"QFY"</definedName>
    <definedName function="false" hidden="false" name="AA.PersonalMacro.VersionNumber" vbProcedure="false">""</definedName>
    <definedName function="false" hidden="false" name="AA.RowNameEnforcerVersion" vbProcedure="false">"2023.11.1.0"</definedName>
    <definedName function="false" hidden="false" name="AA.SessionToUploadId" vbProcedure="false">""</definedName>
    <definedName function="false" hidden="false" name="AA.StartWorkModelVersion" vbProcedure="false">"Q3-2025.20"</definedName>
    <definedName function="false" hidden="false" name="AA.StartWorkType" vbProcedure="false">""</definedName>
    <definedName function="false" hidden="false" name="AA.SubyearType" vbProcedure="false">"Q"</definedName>
    <definedName function="false" hidden="false" name="AA.TemplateUpgradeAttempted" vbProcedure="false">"TRUE"</definedName>
    <definedName function="false" hidden="false" name="AA.TemplateVersion" vbProcedure="false">"7.5.4.0"</definedName>
    <definedName function="false" hidden="false" name="AA.UpdateType" vbProcedure="false">"Partial"</definedName>
    <definedName function="false" hidden="false" name="AA.VerifyUnitsAtModelVersion" vbProcedure="false">"Q2-2018.20"</definedName>
    <definedName function="false" hidden="false" name="FP.DataSource" vbProcedure="false">'Front Page'!$H$16</definedName>
    <definedName function="false" hidden="false" name="FP.DataSourceName" vbProcedure="false">'Front Page'!$H$15</definedName>
    <definedName function="false" hidden="false" name="FP.Disclaimer" vbProcedure="false">'Front Page'!$C$22</definedName>
    <definedName function="false" hidden="false" name="FP.LastPrice" vbProcedure="false">'Front Page'!$H$20</definedName>
    <definedName function="false" hidden="false" name="FP.LastPriceDate" vbProcedure="false">'Front Page'!$F$20</definedName>
    <definedName function="false" hidden="false" name="FP.RealTimeToggle" vbProcedure="false">'Front Page'!$H$18</definedName>
    <definedName function="false" hidden="false" name="FP.UpdateDate" vbProcedure="false">'Front Page'!$H$11</definedName>
    <definedName function="false" hidden="false" name="FP.UpdateEvent" vbProcedure="false">'Front Page'!$H$13</definedName>
    <definedName function="false" hidden="false" name="FP_Comment" vbProcedure="false">'Front Page'!$M$13:$P$20</definedName>
    <definedName function="false" hidden="false" name="FP_StockPriceOverride" vbProcedure="false">'Front Page'!$C$20:$H$20</definedName>
    <definedName function="false" hidden="false" name="GD.CompanyName" vbProcedure="false">Guidance!$B$1</definedName>
    <definedName function="false" hidden="false" name="GD.MRQ" vbProcedure="false">Guidance!$F$2</definedName>
    <definedName function="false" hidden="false" name="GD_Difference_Mid_Absolute" vbProcedure="false">Guidance!$P:$P</definedName>
    <definedName function="false" hidden="false" name="GD_Difference_Mid_Relative" vbProcedure="false">Guidance!$Q:$Q</definedName>
    <definedName function="false" hidden="false" name="GD_Guidance_High" vbProcedure="false">Guidance!$J:$J</definedName>
    <definedName function="false" hidden="false" name="GD_Guidance_Low" vbProcedure="false">Guidance!$I:$I</definedName>
    <definedName function="false" hidden="false" name="GD_Guidance_Mid" vbProcedure="false">Guidance!$K:$K</definedName>
    <definedName function="false" hidden="false" name="GD_Header_Column" vbProcedure="false">Guidance!$5:$5</definedName>
    <definedName function="false" hidden="false" name="GD_Header_Section" vbProcedure="false">Guidance!$4:$4</definedName>
    <definedName function="false" hidden="false" name="GD_Index" vbProcedure="false">Guidance!$A:$A</definedName>
    <definedName function="false" hidden="false" name="GD_Item" vbProcedure="false">Guidance!$D:$D</definedName>
    <definedName function="false" hidden="false" name="GD_Item_BasePeriod" vbProcedure="false">Guidance!$G:$G</definedName>
    <definedName function="false" hidden="false" name="GD_Item_FiscalPeriod" vbProcedure="false">Guidance!$F:$F</definedName>
    <definedName function="false" hidden="false" name="GD_Item_Name" vbProcedure="false">Guidance!$E:$E</definedName>
    <definedName function="false" hidden="false" name="GD_Model_Output" vbProcedure="false">Guidance!$N:$N</definedName>
    <definedName function="false" hidden="false" name="GD_Model_Type" vbProcedure="false">Guidance!$M:$M</definedName>
    <definedName function="false" hidden="false" name="GD_Type" vbProcedure="false">Guidance!$B:$B</definedName>
    <definedName function="false" hidden="false" name="GD_Update_Date" vbProcedure="false">Guidance!$S:$S</definedName>
    <definedName function="false" hidden="false" name="GD_Update_Link" vbProcedure="false">Guidance!$T:$T</definedName>
    <definedName function="false" hidden="false" name="HP.MRFX" vbProcedure="false">Model!$B$827</definedName>
    <definedName function="false" hidden="false" name="HP.ReportCurrency" vbProcedure="false">Model!$B$826</definedName>
    <definedName function="false" hidden="false" name="HP.Ticker" vbProcedure="false">Model!$A$2</definedName>
    <definedName function="false" hidden="false" name="HP.TradeCurrency" vbProcedure="false">Model!$B$824</definedName>
    <definedName function="false" hidden="false" name="HP.TradeCurrency.HardCoded" vbProcedure="false">Model!$B$825</definedName>
    <definedName function="false" hidden="false" name="MO.ApplyTradeCurrencyScaling" vbProcedure="false">Model!$B$823</definedName>
    <definedName function="false" hidden="false" name="MO.CFY" vbProcedure="false">Model!$B$831</definedName>
    <definedName function="false" hidden="false" name="MO.CompanyName" vbProcedure="false">Model!$A$1</definedName>
    <definedName function="false" hidden="false" name="MO.DataSourceIndex" vbProcedure="false">Model!$B$834</definedName>
    <definedName function="false" hidden="false" name="MO.DataSourceName" vbProcedure="false">Model!$A$4</definedName>
    <definedName function="false" hidden="false" name="MO.FirstForecastedFiscalYear" vbProcedure="false">Model!$B$832</definedName>
    <definedName function="false" hidden="false" name="MO.KPI.1" vbProcedure="false">Model!$A$735</definedName>
    <definedName function="false" hidden="false" name="MO.KPI.10" vbProcedure="false">Model!$A$744</definedName>
    <definedName function="false" hidden="false" name="MO.KPI.11" vbProcedure="false">Model!$A$745</definedName>
    <definedName function="false" hidden="false" name="MO.KPI.12" vbProcedure="false">Model!$A$746</definedName>
    <definedName function="false" hidden="false" name="MO.KPI.13" vbProcedure="false">Model!$A$747</definedName>
    <definedName function="false" hidden="false" name="MO.KPI.14" vbProcedure="false">Model!$A$748</definedName>
    <definedName function="false" hidden="false" name="MO.KPI.15" vbProcedure="false">Model!$A$749</definedName>
    <definedName function="false" hidden="false" name="MO.KPI.16" vbProcedure="false">Model!$A$750</definedName>
    <definedName function="false" hidden="false" name="MO.KPI.17" vbProcedure="false">Model!$A$751</definedName>
    <definedName function="false" hidden="false" name="MO.KPI.18" vbProcedure="false">Model!$A$752</definedName>
    <definedName function="false" hidden="false" name="MO.KPI.19" vbProcedure="false">Model!$A$753</definedName>
    <definedName function="false" hidden="false" name="MO.KPI.2" vbProcedure="false">Model!$A$736</definedName>
    <definedName function="false" hidden="false" name="MO.KPI.20" vbProcedure="false">Model!$A$754</definedName>
    <definedName function="false" hidden="false" name="MO.KPI.21" vbProcedure="false">Model!$A$755</definedName>
    <definedName function="false" hidden="false" name="MO.KPI.22" vbProcedure="false">Model!$A$756</definedName>
    <definedName function="false" hidden="false" name="MO.KPI.3" vbProcedure="false">Model!$A$737</definedName>
    <definedName function="false" hidden="false" name="MO.KPI.4" vbProcedure="false">Model!$A$738</definedName>
    <definedName function="false" hidden="false" name="MO.KPI.5" vbProcedure="false">Model!$A$739</definedName>
    <definedName function="false" hidden="false" name="MO.KPI.6" vbProcedure="false">Model!$A$740</definedName>
    <definedName function="false" hidden="false" name="MO.KPI.7" vbProcedure="false">Model!$A$741</definedName>
    <definedName function="false" hidden="false" name="MO.KPI.8" vbProcedure="false">Model!$A$742</definedName>
    <definedName function="false" hidden="false" name="MO.KPI.9" vbProcedure="false">Model!$A$743</definedName>
    <definedName function="false" hidden="false" name="MO.KPI.Count" vbProcedure="false">Model!$B$833</definedName>
    <definedName function="false" hidden="false" name="MO.LastPrice" vbProcedure="false">Model!$B$3</definedName>
    <definedName function="false" hidden="false" name="MO.LastPriceDate" vbProcedure="false">Model!$B$820</definedName>
    <definedName function="false" hidden="false" name="MO.LastPriceFormula" vbProcedure="false">Model!$B$822</definedName>
    <definedName function="false" hidden="false" name="MO.LastPriceHardcoded" vbProcedure="false">Model!$B$819</definedName>
    <definedName function="false" hidden="false" name="MO.MRFP" vbProcedure="false">Model!$B$830</definedName>
    <definedName function="false" hidden="false" name="MO.MRFPColumnNumber" vbProcedure="false">Model!$B$829</definedName>
    <definedName function="false" hidden="false" name="MO.MRFX.Hardcoded" vbProcedure="false">Model!$B$828</definedName>
    <definedName function="false" hidden="false" name="MO.RealTime" vbProcedure="false">Model!$B$4</definedName>
    <definedName function="false" hidden="false" name="MO.RealTimeStockPriceToggle" vbProcedure="false">Model!$B$821</definedName>
    <definedName function="false" hidden="false" name="MO.ReportCurrency" vbProcedure="false">Model!$B$826</definedName>
    <definedName function="false" hidden="false" name="MO.ReportFX" vbProcedure="false">Model!$A$5</definedName>
    <definedName function="false" hidden="false" name="MO.Ticker" vbProcedure="false">Model!$A$2</definedName>
    <definedName function="false" hidden="false" name="MO.Ticker.Bloomberg" vbProcedure="false">Model!$A$714</definedName>
    <definedName function="false" hidden="false" name="MO.Ticker.Canalyst" vbProcedure="false">Model!$A$713</definedName>
    <definedName function="false" hidden="false" name="MO.Ticker.CapIQ" vbProcedure="false">Model!$A$715</definedName>
    <definedName function="false" hidden="false" name="MO.Ticker.FactSet" vbProcedure="false">Model!$A$716</definedName>
    <definedName function="false" hidden="false" name="MO.Ticker.Thomson" vbProcedure="false">Model!$A$717</definedName>
    <definedName function="false" hidden="false" name="MO.TradingCurrency" vbProcedure="false">Model!$A$3</definedName>
    <definedName function="false" hidden="false" name="MO.ValuationToggle" vbProcedure="false">Model!$B$445</definedName>
    <definedName function="false" hidden="false" name="MO_AN_DA" vbProcedure="false">Model!$113:$113</definedName>
    <definedName function="false" hidden="false" name="MO_BSS_Cash" vbProcedure="false">Model!$427:$427</definedName>
    <definedName function="false" hidden="false" name="MO_BSS_Debt" vbProcedure="false">Model!$430:$430</definedName>
    <definedName function="false" hidden="false" name="MO_BSS_Debt_LT" vbProcedure="false">Model!$429:$429</definedName>
    <definedName function="false" hidden="false" name="MO_BSS_Debt_Net" vbProcedure="false">Model!$431:$431</definedName>
    <definedName function="false" hidden="false" name="MO_BSS_Debt_ST" vbProcedure="false">Model!$428:$428</definedName>
    <definedName function="false" hidden="false" name="MO_BSS_Debt_ToCF" vbProcedure="false">Model!$442:$442</definedName>
    <definedName function="false" hidden="false" name="MO_BSS_Debt_ToEBITDA" vbProcedure="false">Model!$441:$441</definedName>
    <definedName function="false" hidden="false" name="MO_BSS_IE" vbProcedure="false">Model!$433:$433</definedName>
    <definedName function="false" hidden="false" name="MO_BSS_IE_Net" vbProcedure="false">Model!$437:$437</definedName>
    <definedName function="false" hidden="false" name="MO_BSS_II" vbProcedure="false">Model!$435:$435</definedName>
    <definedName function="false" hidden="false" name="MO_BSS_InterestRate_Cash" vbProcedure="false">Model!$436:$436</definedName>
    <definedName function="false" hidden="false" name="MO_BSS_InterestRate_Debt" vbProcedure="false">Model!$434:$434</definedName>
    <definedName function="false" hidden="false" name="MO_BSS_NetInterestCoverage" vbProcedure="false">Model!$440:$440</definedName>
    <definedName function="false" hidden="false" name="MO_BSS_NetInterestRate_Debt" vbProcedure="false">Model!$438:$438</definedName>
    <definedName function="false" hidden="false" name="MO_BS_AEandOther" vbProcedure="false">Model!$657:$657</definedName>
    <definedName function="false" hidden="false" name="MO_BS_AP" vbProcedure="false">Model!$656:$656</definedName>
    <definedName function="false" hidden="false" name="MO_BS_AR" vbProcedure="false">Model!$629:$629</definedName>
    <definedName function="false" hidden="false" name="MO_BS_AR_TR" vbProcedure="false">Model!$627:$627</definedName>
    <definedName function="false" hidden="false" name="MO_BS_CA" vbProcedure="false">Model!$637:$637</definedName>
    <definedName function="false" hidden="false" name="MO_BS_Cash" vbProcedure="false">Model!$625:$625</definedName>
    <definedName function="false" hidden="false" name="MO_BS_CL" vbProcedure="false">Model!$664:$664</definedName>
    <definedName function="false" hidden="false" name="MO_BS_CommonStock" vbProcedure="false">Model!$676:$676</definedName>
    <definedName function="false" hidden="false" name="MO_BS_ContractAssets" vbProcedure="false">Model!$633:$633</definedName>
    <definedName function="false" hidden="false" name="MO_BS_ContractAssets_Current" vbProcedure="false">Model!$633:$633</definedName>
    <definedName function="false" hidden="false" name="MO_BS_ContractLiabilities_Current" vbProcedure="false">Model!$660:$660</definedName>
    <definedName function="false" hidden="false" name="MO_BS_ContractLiabilities_NonCurrent" vbProcedure="false">Model!$670:$670</definedName>
    <definedName function="false" hidden="false" name="MO_BS_ContributedSurplus" vbProcedure="false">Model!$677:$677</definedName>
    <definedName function="false" hidden="false" name="MO_BS_Goodwill" vbProcedure="false">Model!$646:$646</definedName>
    <definedName function="false" hidden="false" name="MO_BS_Intangibles" vbProcedure="false">Model!$647:$647</definedName>
    <definedName function="false" hidden="false" name="MO_BS_INV" vbProcedure="false">Model!$631:$631</definedName>
    <definedName function="false" hidden="false" name="MO_BS_NCA" vbProcedure="false">Model!$652:$652</definedName>
    <definedName function="false" hidden="false" name="MO_BS_NCI" vbProcedure="false">Model!$682:$682</definedName>
    <definedName function="false" hidden="false" name="MO_BS_NCL" vbProcedure="false">Model!$672:$672</definedName>
    <definedName function="false" hidden="false" name="MO_BS_OCI" vbProcedure="false">Model!$680:$680</definedName>
    <definedName function="false" hidden="false" name="MO_BS_PPE" vbProcedure="false">Model!$648:$648</definedName>
    <definedName function="false" hidden="false" name="MO_BS_RetainedEarnings" vbProcedure="false">Model!$679:$679</definedName>
    <definedName function="false" hidden="false" name="MO_BS_ROU" vbProcedure="false">Model!$649:$649</definedName>
    <definedName function="false" hidden="false" name="MO_BS_ROU_Finance" vbProcedure="false">Model!$650:$650</definedName>
    <definedName function="false" hidden="false" name="MO_BS_SE" vbProcedure="false">Model!$681:$681</definedName>
    <definedName function="false" hidden="false" name="MO_BS_STInvestments" vbProcedure="false">Model!$626:$626</definedName>
    <definedName function="false" hidden="false" name="MO_BS_TA" vbProcedure="false">Model!$653:$653</definedName>
    <definedName function="false" hidden="false" name="MO_BS_TaxAssets_Deferred_Current" vbProcedure="false">Model!$632:$632</definedName>
    <definedName function="false" hidden="false" name="MO_BS_TaxAssets_Deferred_NonCurrent" vbProcedure="false">Model!$641:$641</definedName>
    <definedName function="false" hidden="false" name="MO_BS_TaxLiabilities_Deferred_Current" vbProcedure="false">Model!$662:$662</definedName>
    <definedName function="false" hidden="false" name="MO_BS_TaxLiabilities_Deferred_NonCurrent" vbProcedure="false">Model!$668:$668</definedName>
    <definedName function="false" hidden="false" name="MO_BS_TL" vbProcedure="false">Model!$673:$673</definedName>
    <definedName function="false" hidden="false" name="MO_BS_TLSE" vbProcedure="false">Model!$683:$683</definedName>
    <definedName function="false" hidden="false" name="MO_BS_TreasuryStock" vbProcedure="false">Model!$678:$678</definedName>
    <definedName function="false" hidden="false" name="MO_CCFS_Balance_Begin" vbProcedure="false">Model!$521:$521</definedName>
    <definedName function="false" hidden="false" name="MO_CCFS_Balance_End" vbProcedure="false">Model!$522:$522</definedName>
    <definedName function="false" hidden="false" name="MO_CCFS_CFF" vbProcedure="false">Model!$516:$516</definedName>
    <definedName function="false" hidden="false" name="MO_CCFS_CFI" vbProcedure="false">Model!$504:$504</definedName>
    <definedName function="false" hidden="false" name="MO_CCFS_CFO" vbProcedure="false">Model!$490:$490</definedName>
    <definedName function="false" hidden="false" name="MO_CCFS_CFO_BeforeWC" vbProcedure="false">Model!$480:$480</definedName>
    <definedName function="false" hidden="false" name="MO_CCFS_FX" vbProcedure="false">Model!$518:$518</definedName>
    <definedName function="false" hidden="false" name="MO_CCFS_NetChange" vbProcedure="false">Model!$519:$519</definedName>
    <definedName function="false" hidden="false" name="MO_CFSum_Acquisition" vbProcedure="false">Model!$405:$405</definedName>
    <definedName function="false" hidden="false" name="MO_CFSum_Capex" vbProcedure="false">Model!$403:$403</definedName>
    <definedName function="false" hidden="false" name="MO_CFSum_CFO" vbProcedure="false">Model!$399:$399</definedName>
    <definedName function="false" hidden="false" name="MO_CFSum_CFOPS" vbProcedure="false">Model!$401:$401</definedName>
    <definedName function="false" hidden="false" name="MO_CFSum_CFOPS_BeforeWC" vbProcedure="false">Model!$400:$400</definedName>
    <definedName function="false" hidden="false" name="MO_CFSum_CFO_BeforeWC" vbProcedure="false">Model!$397:$397</definedName>
    <definedName function="false" hidden="false" name="MO_CFSum_CFPS" vbProcedure="false">Model!$401:$401</definedName>
    <definedName function="false" hidden="false" name="MO_CFSum_ChangeInWC" vbProcedure="false">Model!$398:$398</definedName>
    <definedName function="false" hidden="false" name="MO_CFSum_Divestiture" vbProcedure="false">Model!$406:$406</definedName>
    <definedName function="false" hidden="false" name="MO_CFSum_Dividend" vbProcedure="false">Model!$407:$407</definedName>
    <definedName function="false" hidden="false" name="MO_CFSum_DPS" vbProcedure="false">Model!$408:$408</definedName>
    <definedName function="false" hidden="false" name="MO_CFSum_FCF_PostDivPostAD" vbProcedure="false">Model!$419:$419</definedName>
    <definedName function="false" hidden="false" name="MO_CFSum_FCF_PostDivPostADPostDebtPostBuyback" vbProcedure="false">Model!$420:$420</definedName>
    <definedName function="false" hidden="false" name="MO_CFSum_FCF_PostDivPreAD" vbProcedure="false">Model!$418:$418</definedName>
    <definedName function="false" hidden="false" name="MO_CFSum_FCF_PostWCPostDivPostAD" vbProcedure="false">Model!$423:$423</definedName>
    <definedName function="false" hidden="false" name="MO_CFSum_FCF_PostWCPostDivPostADPostDebtPostBuyback" vbProcedure="false">Model!$424:$424</definedName>
    <definedName function="false" hidden="false" name="MO_CFSum_FCF_PostWCPostDivPreAD" vbProcedure="false">Model!$422:$422</definedName>
    <definedName function="false" hidden="false" name="MO_CFSum_FCF_PostWCPreDiv" vbProcedure="false">Model!$421:$421</definedName>
    <definedName function="false" hidden="false" name="MO_CFSum_FCF_PreDiv" vbProcedure="false">Model!$417:$417</definedName>
    <definedName function="false" hidden="false" name="MO_CFSum_NetDebtIssuance" vbProcedure="false">Model!$410:$410</definedName>
    <definedName function="false" hidden="false" name="MO_CFSum_NetShares" vbProcedure="false">Model!$411:$411</definedName>
    <definedName function="false" hidden="false" name="MO_CFSum_NetShares_Price" vbProcedure="false">Model!$412:$412</definedName>
    <definedName function="false" hidden="false" name="MO_CFSum_SBC" vbProcedure="false">Model!$414:$414</definedName>
    <definedName function="false" hidden="false" name="MO_CFSum_SBC_Margin" vbProcedure="false">Model!$415:$415</definedName>
    <definedName function="false" hidden="false" name="MO_CFS_Balance_Begin" vbProcedure="false">Model!$577:$577</definedName>
    <definedName function="false" hidden="false" name="MO_CFS_Balance_End" vbProcedure="false">Model!$578:$578</definedName>
    <definedName function="false" hidden="false" name="MO_CFS_Buyback" vbProcedure="false">Model!$564:$564</definedName>
    <definedName function="false" hidden="false" name="MO_CFS_CFF" vbProcedure="false">Model!$572:$572</definedName>
    <definedName function="false" hidden="false" name="MO_CFS_CFI" vbProcedure="false">Model!$560:$560</definedName>
    <definedName function="false" hidden="false" name="MO_CFS_CFO" vbProcedure="false">Model!$546:$546</definedName>
    <definedName function="false" hidden="false" name="MO_CFS_CFO_BeforeWC" vbProcedure="false">Model!$536:$536</definedName>
    <definedName function="false" hidden="false" name="MO_CFS_DA" vbProcedure="false">Model!$527:$527</definedName>
    <definedName function="false" hidden="false" name="MO_CFS_DeferredTax" vbProcedure="false">Model!$534:$534</definedName>
    <definedName function="false" hidden="false" name="MO_CFS_Dividend" vbProcedure="false">Model!$563:$563</definedName>
    <definedName function="false" hidden="false" name="MO_CFS_FX" vbProcedure="false">Model!$574:$574</definedName>
    <definedName function="false" hidden="false" name="MO_CFS_Impairment" vbProcedure="false">Model!$528:$528</definedName>
    <definedName function="false" hidden="false" name="MO_CFS_NetChange" vbProcedure="false">Model!$575:$575</definedName>
    <definedName function="false" hidden="false" name="MO_CFS_NewEquityIssued" vbProcedure="false">Model!$565:$565</definedName>
    <definedName function="false" hidden="false" name="MO_CFS_NI" vbProcedure="false">Model!$526:$526</definedName>
    <definedName function="false" hidden="false" name="MO_CFS_SBC" vbProcedure="false">Model!$530:$530</definedName>
    <definedName function="false" hidden="false" name="MO_CFS_WC" vbProcedure="false">Model!$545:$545</definedName>
    <definedName function="false" hidden="false" name="MO_CFS_WC_AEandOther" vbProcedure="false">Model!$541:$541</definedName>
    <definedName function="false" hidden="false" name="MO_CFS_WC_AP" vbProcedure="false">Model!$542:$542</definedName>
    <definedName function="false" hidden="false" name="MO_CFS_WC_AR" vbProcedure="false">Model!$537:$537</definedName>
    <definedName function="false" hidden="false" name="MO_CFS_WC_INV" vbProcedure="false">Model!$539:$539</definedName>
    <definedName function="false" hidden="false" name="MO_CFS_WC_TaxPayable" vbProcedure="false">Model!$544:$544</definedName>
    <definedName function="false" hidden="false" name="MO_Checks_Bottom" vbProcedure="false">Model!$C$688:$XFD$708</definedName>
    <definedName function="false" hidden="false" name="MO_Checks_BS" vbProcedure="false">Model!$685:$685</definedName>
    <definedName function="false" hidden="false" name="MO_Checks_CF" vbProcedure="false">Model!$580:$580</definedName>
    <definedName function="false" hidden="false" name="MO_Checks_IS" vbProcedure="false">Model!$320:$320</definedName>
    <definedName function="false" hidden="false" name="MO_Common_ColumnHeader" vbProcedure="false">Model!$5:$5</definedName>
    <definedName function="false" hidden="false" name="MO_Common_Column_A" vbProcedure="false">Model!$A:$A</definedName>
    <definedName function="false" hidden="false" name="MO_Common_Column_B" vbProcedure="false">Model!$B:$B</definedName>
    <definedName function="false" hidden="false" name="MO_Common_CompanySubtitle" vbProcedure="false">Model!$2:$2</definedName>
    <definedName function="false" hidden="false" name="MO_Common_CompanyTitle" vbProcedure="false">Model!$1:$1</definedName>
    <definedName function="false" hidden="false" name="MO_Common_FPDays" vbProcedure="false">Model!$3:$3</definedName>
    <definedName function="false" hidden="false" name="MO_Common_QEndDate" vbProcedure="false">Model!$4:$4</definedName>
    <definedName function="false" hidden="false" name="MO_Common_QEndDate_LWD" vbProcedure="false">Model!$813:$813</definedName>
    <definedName function="false" hidden="false" name="MO_DAF_A" vbProcedure="false">Model!$590:$590</definedName>
    <definedName function="false" hidden="false" name="MO_DAF_A_Percentage" vbProcedure="false">Model!$596:$596</definedName>
    <definedName function="false" hidden="false" name="MO_DAF_Capex" vbProcedure="false">Model!$601:$601</definedName>
    <definedName function="false" hidden="false" name="MO_DAF_D" vbProcedure="false">Model!$584:$584</definedName>
    <definedName function="false" hidden="false" name="MO_DAF_DA" vbProcedure="false">Model!$600:$600</definedName>
    <definedName function="false" hidden="false" name="MO_DAF_D_Percentage" vbProcedure="false">Model!$595:$595</definedName>
    <definedName function="false" hidden="false" name="MO_DAF_Intangibles_BoP" vbProcedure="false">Model!$589:$589</definedName>
    <definedName function="false" hidden="false" name="MO_DAF_Intangibles_Capex" vbProcedure="false">Model!$591:$591</definedName>
    <definedName function="false" hidden="false" name="MO_DAF_Intangibles_Capex_Percent" vbProcedure="false">Model!$602:$602</definedName>
    <definedName function="false" hidden="false" name="MO_DAF_Intangibles_EoP" vbProcedure="false">Model!$593:$593</definedName>
    <definedName function="false" hidden="false" name="MO_DAF_Intangibles_Life" vbProcedure="false">Model!$598:$598</definedName>
    <definedName function="false" hidden="false" name="MO_DAF_Intangibles_Other" vbProcedure="false">Model!$592:$592</definedName>
    <definedName function="false" hidden="false" name="MO_DAF_PPE_BoP" vbProcedure="false">Model!$583:$583</definedName>
    <definedName function="false" hidden="false" name="MO_DAF_PPE_Capex" vbProcedure="false">Model!$585:$585</definedName>
    <definedName function="false" hidden="false" name="MO_DAF_PPE_EoP" vbProcedure="false">Model!$587:$587</definedName>
    <definedName function="false" hidden="false" name="MO_DAF_PPE_Life" vbProcedure="false">Model!$597:$597</definedName>
    <definedName function="false" hidden="false" name="MO_DAF_PPE_Other" vbProcedure="false">Model!$586:$586</definedName>
    <definedName function="false" hidden="false" name="MO_GA_TotalRevenue" vbProcedure="false">Model!$51:$51</definedName>
    <definedName function="false" hidden="false" name="MO_IS_COGS" vbProcedure="false">Model!$303:$303</definedName>
    <definedName function="false" hidden="false" name="MO_IS_EBIT" vbProcedure="false">Model!$308:$308</definedName>
    <definedName function="false" hidden="false" name="MO_IS_EBT" vbProcedure="false">Model!$312:$312</definedName>
    <definedName function="false" hidden="false" name="MO_IS_EI" vbProcedure="false">Model!$317:$317</definedName>
    <definedName function="false" hidden="false" name="MO_IS_FirstRow" vbProcedure="false">Model!$298:$298</definedName>
    <definedName function="false" hidden="false" name="MO_IS_GP" vbProcedure="false">Model!$304:$304</definedName>
    <definedName function="false" hidden="false" name="MO_IS_NI_ContinOp" vbProcedure="false">Model!$316:$316</definedName>
    <definedName function="false" hidden="false" name="MO_IS_RD" vbProcedure="false">Model!$306:$306</definedName>
    <definedName function="false" hidden="false" name="MO_IS_REV" vbProcedure="false">Model!$300:$300</definedName>
    <definedName function="false" hidden="false" name="MO_IS_SGA" vbProcedure="false">Model!$307:$307</definedName>
    <definedName function="false" hidden="false" name="MO_IS_Tax" vbProcedure="false">Model!$315:$315</definedName>
    <definedName function="false" hidden="false" name="MO_KPI_Backlog_EOP" vbProcedure="false">Model!$208:$208</definedName>
    <definedName function="false" hidden="false" name="MO_KPI_EmployeeCount" vbProcedure="false">Model!$256:$256</definedName>
    <definedName function="false" hidden="false" name="MO_KPI_Orders_Value" vbProcedure="false">Model!$200:$200</definedName>
    <definedName function="false" hidden="false" name="MO_KPI_RevenueContribution_LargestClient" vbProcedure="false">Model!$272:$272</definedName>
    <definedName function="false" hidden="false" name="MO_KPI_RevenueContribution_SecondLargestClient" vbProcedure="false">Model!$273:$273</definedName>
    <definedName function="false" hidden="false" name="MO_KPI_REV_Geo_China" vbProcedure="false">Model!$216:$216</definedName>
    <definedName function="false" hidden="false" name="MO_KPI_REV_Geo_Europe" vbProcedure="false">Model!$223:$223</definedName>
    <definedName function="false" hidden="false" name="MO_KPI_REV_Geo_Japan" vbProcedure="false">Model!$212:$212</definedName>
    <definedName function="false" hidden="false" name="MO_KPI_REV_Geo_Malaysia" vbProcedure="false">Model!$217:$217</definedName>
    <definedName function="false" hidden="false" name="MO_KPI_REV_Geo_Singapore" vbProcedure="false">Model!$214:$214</definedName>
    <definedName function="false" hidden="false" name="MO_KPI_REV_Geo_SouthKorea" vbProcedure="false">Model!$213:$213</definedName>
    <definedName function="false" hidden="false" name="MO_KPI_REV_Geo_Taiwan" vbProcedure="false">Model!$215:$215</definedName>
    <definedName function="false" hidden="false" name="MO_KPI_REV_Geo_US" vbProcedure="false">Model!$220:$220</definedName>
    <definedName function="false" hidden="false" name="MO_KPI_REV_SEMI" vbProcedure="false">Model!$159:$159</definedName>
    <definedName function="false" hidden="false" name="MO_KPI_REV_Semi_Equipment" vbProcedure="false">Model!$41:$41</definedName>
    <definedName function="false" hidden="false" name="MO_KPI_REV_SEMI_Logic" vbProcedure="false">Model!$157:$157</definedName>
    <definedName function="false" hidden="false" name="MO_KPI_REV_SEMI_Memory" vbProcedure="false">Model!$158:$158</definedName>
    <definedName function="false" hidden="false" name="MO_KPI_REV_SEMI_Other" vbProcedure="false">Model!$154:$154</definedName>
    <definedName function="false" hidden="false" name="MO_KPI_REV_SVCandSpares" vbProcedure="false">Model!$40:$40</definedName>
    <definedName function="false" hidden="false" name="MO_KPI_REV_Systems" vbProcedure="false">Model!$39:$39</definedName>
    <definedName function="false" hidden="false" name="MO_KPI_REV_Systems_Logic" vbProcedure="false">Model!$117:$117</definedName>
    <definedName function="false" hidden="false" name="MO_KPI_REV_Systems_Memory" vbProcedure="false">Model!$118:$118</definedName>
    <definedName function="false" hidden="false" name="MO_KPI_RPO" vbProcedure="false">Model!$209:$209</definedName>
    <definedName function="false" hidden="false" name="MO_MA_COGS" vbProcedure="false">Model!$280:$280</definedName>
    <definedName function="false" hidden="false" name="MO_MA_COGS_DA_Excluding" vbProcedure="false">Model!$277:$277</definedName>
    <definedName function="false" hidden="false" name="MO_MA_DA" vbProcedure="false">Model!$291:$291</definedName>
    <definedName function="false" hidden="false" name="MO_MA_EBIT" vbProcedure="false">Model!$287:$287</definedName>
    <definedName function="false" hidden="false" name="MO_MA_EBITDA" vbProcedure="false">Model!$293:$293</definedName>
    <definedName function="false" hidden="false" name="MO_MA_EBITDA_Adj" vbProcedure="false">Model!$294:$294</definedName>
    <definedName function="false" hidden="false" name="MO_MA_EBIT_Adj" vbProcedure="false">Model!$288:$288</definedName>
    <definedName function="false" hidden="false" name="MO_MA_GM" vbProcedure="false">Model!$281:$281</definedName>
    <definedName function="false" hidden="false" name="MO_MA_GM_DA_Excluding" vbProcedure="false">Model!$278:$278</definedName>
    <definedName function="false" hidden="false" name="MO_MA_OI_Operating" vbProcedure="false">Model!$286:$286</definedName>
    <definedName function="false" hidden="false" name="MO_MA_RD" vbProcedure="false">Model!$285:$285</definedName>
    <definedName function="false" hidden="false" name="MO_MA_SBC" vbProcedure="false">Model!$292:$292</definedName>
    <definedName function="false" hidden="false" name="MO_MA_SGA" vbProcedure="false">Model!$284:$284</definedName>
    <definedName function="false" hidden="false" name="MO_OS_Backlog_EOP" vbProcedure="false">Model!$208:$208</definedName>
    <definedName function="false" hidden="false" name="MO_OS_EmployeeCount" vbProcedure="false">Model!$256:$256</definedName>
    <definedName function="false" hidden="false" name="MO_OS_Orders_Value" vbProcedure="false">Model!$200:$200</definedName>
    <definedName function="false" hidden="false" name="MO_OS_RevenueContribution_LargestClient" vbProcedure="false">Model!$272:$272</definedName>
    <definedName function="false" hidden="false" name="MO_OS_RevenueContribution_SecondLargestClient" vbProcedure="false">Model!$273:$273</definedName>
    <definedName function="false" hidden="false" name="MO_OS_REV_SEMI" vbProcedure="false">Model!$159:$159</definedName>
    <definedName function="false" hidden="false" name="MO_OS_REV_Semi_Equipment" vbProcedure="false">Model!$41:$41</definedName>
    <definedName function="false" hidden="false" name="MO_OS_REV_SVCandSpares" vbProcedure="false">Model!$40:$40</definedName>
    <definedName function="false" hidden="false" name="MO_OS_REV_Systems" vbProcedure="false">Model!$39:$39</definedName>
    <definedName function="false" hidden="false" name="MO_OS_REV_Systems_Logic" vbProcedure="false">Model!$117:$117</definedName>
    <definedName function="false" hidden="false" name="MO_OS_REV_Systems_Memory" vbProcedure="false">Model!$118:$118</definedName>
    <definedName function="false" hidden="false" name="MO_OS_RPO" vbProcedure="false">Model!$209:$209</definedName>
    <definedName function="false" hidden="false" name="MO_RIS_Adjustments_Dilution_GAAP" vbProcedure="false">Model!$361:$361</definedName>
    <definedName function="false" hidden="false" name="MO_RIS_Adjustments_Dilution_NONGAAP" vbProcedure="false">Model!$364:$364</definedName>
    <definedName function="false" hidden="false" name="MO_RIS_Adjustments_NONGAAP" vbProcedure="false">Model!$363:$363</definedName>
    <definedName function="false" hidden="false" name="MO_RIS_COGS" vbProcedure="false">Model!$332:$332</definedName>
    <definedName function="false" hidden="false" name="MO_RIS_DA" vbProcedure="false">Model!$342:$342</definedName>
    <definedName function="false" hidden="false" name="MO_RIS_DisCont" vbProcedure="false">Model!$357:$357</definedName>
    <definedName function="false" hidden="false" name="MO_RIS_Dividend_Prefs" vbProcedure="false">Model!$359:$359</definedName>
    <definedName function="false" hidden="false" name="MO_RIS_EBIT" vbProcedure="false">Model!$338:$338</definedName>
    <definedName function="false" hidden="false" name="MO_RIS_EBITDA" vbProcedure="false">Model!$344:$344</definedName>
    <definedName function="false" hidden="false" name="MO_RIS_EBITDA_Adj" vbProcedure="false">Model!$345:$345</definedName>
    <definedName function="false" hidden="false" name="MO_RIS_EBIT_Adj" vbProcedure="false">Model!$339:$339</definedName>
    <definedName function="false" hidden="false" name="MO_RIS_EBT" vbProcedure="false">Model!$352:$352</definedName>
    <definedName function="false" hidden="false" name="MO_RIS_EI" vbProcedure="false">Model!$349:$349</definedName>
    <definedName function="false" hidden="false" name="MO_RIS_EPS_WAB" vbProcedure="false">Model!$370:$370</definedName>
    <definedName function="false" hidden="false" name="MO_RIS_EPS_WAD" vbProcedure="false">Model!$371:$371</definedName>
    <definedName function="false" hidden="false" name="MO_RIS_EPS_WAD_Adj" vbProcedure="false">Model!$372:$372</definedName>
    <definedName function="false" hidden="false" name="MO_RIS_GP" vbProcedure="false">Model!$333:$333</definedName>
    <definedName function="false" hidden="false" name="MO_RIS_IE_Net" vbProcedure="false">Model!$348:$348</definedName>
    <definedName function="false" hidden="false" name="MO_RIS_NCI" vbProcedure="false">Model!$358:$358</definedName>
    <definedName function="false" hidden="false" name="MO_RIS_NI_ContinOp" vbProcedure="false">Model!$356:$356</definedName>
    <definedName function="false" hidden="false" name="MO_RIS_NI_GAAP_Basic" vbProcedure="false">Model!$360:$360</definedName>
    <definedName function="false" hidden="false" name="MO_RIS_NI_GAAP_Diluted" vbProcedure="false">Model!$362:$362</definedName>
    <definedName function="false" hidden="false" name="MO_RIS_NI_NONGAAP_Diluted" vbProcedure="false">Model!$365:$365</definedName>
    <definedName function="false" hidden="false" name="MO_RIS_OI" vbProcedure="false">Model!$350:$350</definedName>
    <definedName function="false" hidden="false" name="MO_RIS_OI_Operating" vbProcedure="false">Model!$337:$337</definedName>
    <definedName function="false" hidden="false" name="MO_RIS_OTI" vbProcedure="false">Model!$351:$351</definedName>
    <definedName function="false" hidden="false" name="MO_RIS_RD" vbProcedure="false">Model!$335:$335</definedName>
    <definedName function="false" hidden="false" name="MO_RIS_REV" vbProcedure="false">Model!$329:$329</definedName>
    <definedName function="false" hidden="false" name="MO_RIS_SBC" vbProcedure="false">Model!$343:$343</definedName>
    <definedName function="false" hidden="false" name="MO_RIS_SGA" vbProcedure="false">Model!$336:$336</definedName>
    <definedName function="false" hidden="false" name="MO_RIS_ShareCount_WAB" vbProcedure="false">Model!$375:$375</definedName>
    <definedName function="false" hidden="false" name="MO_RIS_ShareCount_WAD" vbProcedure="false">Model!$376:$376</definedName>
    <definedName function="false" hidden="false" name="MO_RIS_ShareCount_WAD_Adj" vbProcedure="false">Model!$377:$377</definedName>
    <definedName function="false" hidden="false" name="MO_RIS_TaxRate_Current" vbProcedure="false">Model!$367:$367</definedName>
    <definedName function="false" hidden="false" name="MO_RIS_TaxRate_Deferred" vbProcedure="false">Model!$368:$368</definedName>
    <definedName function="false" hidden="false" name="MO_RIS_Tax_Current" vbProcedure="false">Model!$354:$354</definedName>
    <definedName function="false" hidden="false" name="MO_RIS_Tax_Deferred" vbProcedure="false">Model!$355:$355</definedName>
    <definedName function="false" hidden="false" name="MO_SCA_Date_CoverPage" vbProcedure="false">Model!$389:$389</definedName>
    <definedName function="false" hidden="false" name="MO_SCA_Ratio_DilutedOverBasic" vbProcedure="false">Model!$392:$392</definedName>
    <definedName function="false" hidden="false" name="MO_SCA_ShareCount_CoverPage" vbProcedure="false">Model!$388:$388</definedName>
    <definedName function="false" hidden="false" name="MO_SCA_ShareCount_DilutiveShares" vbProcedure="false">Model!$391:$391</definedName>
    <definedName function="false" hidden="false" name="MO_SCA_ShareCount_EoP" vbProcedure="false">Model!$380:$380</definedName>
    <definedName function="false" hidden="false" name="MO_SCA_ShareCount_EoP_Diluted" vbProcedure="false">Model!$394:$394</definedName>
    <definedName function="false" hidden="false" name="MO_SCA_ShareCount_EoP_Growth_Dilutive_QoQ" vbProcedure="false">Model!$381:$381</definedName>
    <definedName function="false" hidden="false" name="MO_SCA_ShareCount_EoP_Growth_Dilutive_YoY" vbProcedure="false">Model!$382:$382</definedName>
    <definedName function="false" hidden="false" name="MO_SCA_ShareCount_EoP_Growth_NetIssuance_QoQ" vbProcedure="false">Model!$383:$383</definedName>
    <definedName function="false" hidden="false" name="MO_SCA_ShareCount_EoP_Growth_NetIssuance_YoY" vbProcedure="false">Model!$384:$384</definedName>
    <definedName function="false" hidden="false" name="MO_SCA_ShareCount_EoP_Growth_QoQ" vbProcedure="false">Model!$385:$385</definedName>
    <definedName function="false" hidden="false" name="MO_SCA_ShareCount_EoP_Growth_YoY" vbProcedure="false">Model!$386:$386</definedName>
    <definedName function="false" hidden="false" name="MO_Section_AdjustedNumbers" vbProcedure="false">Model!$322:$322</definedName>
    <definedName function="false" hidden="false" name="MO_Section_BalanceSheet" vbProcedure="false">Model!$623:$623</definedName>
    <definedName function="false" hidden="false" name="MO_Section_BalanceSheetSummary" vbProcedure="false">Model!$426:$426</definedName>
    <definedName function="false" hidden="false" name="MO_Section_CashFlowStatement" vbProcedure="false">Model!$524:$524</definedName>
    <definedName function="false" hidden="false" name="MO_Section_CashFlowSummary" vbProcedure="false">Model!$396:$396</definedName>
    <definedName function="false" hidden="false" name="MO_Section_CumulativeCashFlowStatement" vbProcedure="false">Model!$468:$468</definedName>
    <definedName function="false" hidden="false" name="MO_Section_DAForecasting" vbProcedure="false">Model!$582:$582</definedName>
    <definedName function="false" hidden="false" name="MO_Section_GrowthAnalysis" vbProcedure="false">Model!$6:$6</definedName>
    <definedName function="false" hidden="false" name="MO_Section_IncomeStatement" vbProcedure="false">Model!$297:$297</definedName>
    <definedName function="false" hidden="false" name="MO_Section_KeyMetricsBookingsPRIP" vbProcedure="false">Model!$179:$179</definedName>
    <definedName function="false" hidden="false" name="MO_Section_KeyMetricsCustomerConcentrationFS" vbProcedure="false">Model!$271:$271</definedName>
    <definedName function="false" hidden="false" name="MO_Section_KeyMetricsNetSystemSalesBreakdownIP" vbProcedure="false">Model!$116:$116</definedName>
    <definedName function="false" hidden="false" name="MO_Section_KeyMetricsPersonnelexpensesFS" vbProcedure="false">Model!$247:$247</definedName>
    <definedName function="false" hidden="false" name="MO_Section_KeyMetricsUnitsSoldPRIP" vbProcedure="false">Model!$170:$170</definedName>
    <definedName function="false" hidden="false" name="MO_Section_LastRow" vbProcedure="false">Model!$836:$836</definedName>
    <definedName function="false" hidden="false" name="MO_Section_MarginAnalysis" vbProcedure="false">Model!$276:$276</definedName>
    <definedName function="false" hidden="false" name="MO_Section_ModelChecks" vbProcedure="false">Model!$687:$687</definedName>
    <definedName function="false" hidden="false" name="MO_Section_OperatingExpenseForecasting" vbProcedure="false">Model!$69:$69</definedName>
    <definedName function="false" hidden="false" name="MO_Section_RevisedIncomeStatement" vbProcedure="false">Model!$328:$328</definedName>
    <definedName function="false" hidden="false" name="MO_Section_SBCandDABreakdownFS" vbProcedure="false">Model!$103:$103</definedName>
    <definedName function="false" hidden="false" name="MO_Section_SegmentedResultsGeographicBreakdownFS" vbProcedure="false">Model!$211:$211</definedName>
    <definedName function="false" hidden="false" name="MO_Section_ShareCountAnalysis" vbProcedure="false">Model!$379:$379</definedName>
    <definedName function="false" hidden="false" name="MO_Section_SupplementalInformation" vbProcedure="false">Model!$115:$115</definedName>
    <definedName function="false" hidden="false" name="MO_Section_Tables" vbProcedure="false">Model!$710:$710</definedName>
    <definedName function="false" hidden="false" name="MO_Section_Valuation" vbProcedure="false">Model!$444:$444</definedName>
    <definedName function="false" hidden="false" name="MO_Section_WorkingCapitalForecasting" vbProcedure="false">Model!$604:$604</definedName>
    <definedName function="false" hidden="false" name="MO_SNA_ConsensusEstimatePeriodNumber" vbProcedure="false">Model!$772:$772</definedName>
    <definedName function="false" hidden="false" name="MO_SNA_ConsensusEstimatePeriodType" vbProcedure="false">Model!$771:$771</definedName>
    <definedName function="false" hidden="false" name="MO_SNA_FPStartDate" vbProcedure="false">Model!$783:$783</definedName>
    <definedName function="false" hidden="false" name="MO_SNA_Guidance_ApplicablePeriod_FY" vbProcedure="false">Model!$767:$767</definedName>
    <definedName function="false" hidden="false" name="MO_SNA_Guidance_ApplicablePeriod_Q" vbProcedure="false">Model!$761:$761</definedName>
    <definedName function="false" hidden="false" name="MO_SNA_Guidance_IsLatest_FY" vbProcedure="false">Model!$766:$766</definedName>
    <definedName function="false" hidden="false" name="MO_SNA_Guidance_ReportDate_FY" vbProcedure="false">Model!$765:$765</definedName>
    <definedName function="false" hidden="false" name="MO_SNA_Guidance_ReportDate_Q" vbProcedure="false">Model!$760:$760</definedName>
    <definedName function="false" hidden="false" name="MO_SNA_IsHistoricalPeriod" vbProcedure="false">Model!$784:$784</definedName>
    <definedName function="false" hidden="false" name="MO_SNA_LastDataRow" vbProcedure="false">Model!$683:$683</definedName>
    <definedName function="false" hidden="false" name="MO_SPT_FXAverage" vbProcedure="false">Model!$806:$806</definedName>
    <definedName function="false" hidden="false" name="MO_SPT_FXAverage_Sources" vbProcedure="false">Model!$807:$811</definedName>
    <definedName function="false" hidden="false" name="MO_SPT_FXAverage_Sources_Bloomberg" vbProcedure="false">Model!$808:$808</definedName>
    <definedName function="false" hidden="false" name="MO_SPT_FXAverage_Sources_CapIQ" vbProcedure="false">Model!$809:$809</definedName>
    <definedName function="false" hidden="false" name="MO_SPT_FXAverage_Sources_FactSet" vbProcedure="false">Model!$810:$810</definedName>
    <definedName function="false" hidden="false" name="MO_SPT_FXAverage_Sources_RealTimeOff" vbProcedure="false">Model!$807:$807</definedName>
    <definedName function="false" hidden="false" name="MO_SPT_FXAverage_Sources_Thomson" vbProcedure="false">Model!$811:$811</definedName>
    <definedName function="false" hidden="false" name="MO_SPT_FXEoP" vbProcedure="false">Model!$815:$815</definedName>
    <definedName function="false" hidden="false" name="MO_SPT_StockAverage" vbProcedure="false">Model!$799:$799</definedName>
    <definedName function="false" hidden="false" name="MO_SPT_StockAverage_Sources" vbProcedure="false">Model!$800:$804</definedName>
    <definedName function="false" hidden="false" name="MO_SPT_StockAverage_Sources_Bloomberg" vbProcedure="false">Model!$801:$801</definedName>
    <definedName function="false" hidden="false" name="MO_SPT_StockAverage_Sources_CapIQ" vbProcedure="false">Model!$802:$802</definedName>
    <definedName function="false" hidden="false" name="MO_SPT_StockAverage_Sources_FactSet" vbProcedure="false">Model!$803:$803</definedName>
    <definedName function="false" hidden="false" name="MO_SPT_StockAverage_Sources_RealTimeOff" vbProcedure="false">Model!$800:$800</definedName>
    <definedName function="false" hidden="false" name="MO_SPT_StockAverage_Sources_Thomson" vbProcedure="false">Model!$804:$804</definedName>
    <definedName function="false" hidden="false" name="MO_SPT_StockEoP" vbProcedure="false">Model!$814:$814</definedName>
    <definedName function="false" hidden="false" name="MO_SPT_StockHigh" vbProcedure="false">Model!$785:$785</definedName>
    <definedName function="false" hidden="false" name="MO_SPT_StockHigh_Sources" vbProcedure="false">Model!$786:$790</definedName>
    <definedName function="false" hidden="false" name="MO_SPT_StockHigh_Sources_Bloomberg" vbProcedure="false">Model!$787:$787</definedName>
    <definedName function="false" hidden="false" name="MO_SPT_StockHigh_Sources_CapIQ" vbProcedure="false">Model!$788:$788</definedName>
    <definedName function="false" hidden="false" name="MO_SPT_StockHigh_Sources_FactSet" vbProcedure="false">Model!$789:$789</definedName>
    <definedName function="false" hidden="false" name="MO_SPT_StockHigh_Sources_RealTimeOff" vbProcedure="false">Model!$786:$786</definedName>
    <definedName function="false" hidden="false" name="MO_SPT_StockHigh_Sources_Thomson" vbProcedure="false">Model!$790:$790</definedName>
    <definedName function="false" hidden="false" name="MO_SPT_StockLow" vbProcedure="false">Model!$792:$792</definedName>
    <definedName function="false" hidden="false" name="MO_SPT_StockLow_Sources" vbProcedure="false">Model!$793:$797</definedName>
    <definedName function="false" hidden="false" name="MO_SPT_StockLow_Sources_Bloomberg" vbProcedure="false">Model!$794:$794</definedName>
    <definedName function="false" hidden="false" name="MO_SPT_StockLow_Sources_CapIQ" vbProcedure="false">Model!$795:$795</definedName>
    <definedName function="false" hidden="false" name="MO_SPT_StockLow_Sources_FactSet" vbProcedure="false">Model!$796:$796</definedName>
    <definedName function="false" hidden="false" name="MO_SPT_StockLow_Sources_RealTimeOff" vbProcedure="false">Model!$793:$793</definedName>
    <definedName function="false" hidden="false" name="MO_SPT_StockLow_Sources_Thomson" vbProcedure="false">Model!$797:$797</definedName>
    <definedName function="false" hidden="false" name="MO_SR_Geo_China" vbProcedure="false">Model!$216:$216</definedName>
    <definedName function="false" hidden="false" name="MO_SR_Geo_Europe" vbProcedure="false">Model!$223:$223</definedName>
    <definedName function="false" hidden="false" name="MO_SR_Geo_Japan" vbProcedure="false">Model!$212:$212</definedName>
    <definedName function="false" hidden="false" name="MO_SR_Geo_Malaysia" vbProcedure="false">Model!$217:$217</definedName>
    <definedName function="false" hidden="false" name="MO_SR_Geo_Singapore" vbProcedure="false">Model!$214:$214</definedName>
    <definedName function="false" hidden="false" name="MO_SR_Geo_SouthKorea" vbProcedure="false">Model!$213:$213</definedName>
    <definedName function="false" hidden="false" name="MO_SR_Geo_Taiwan" vbProcedure="false">Model!$215:$215</definedName>
    <definedName function="false" hidden="false" name="MO_SR_Geo_US" vbProcedure="false">Model!$220:$220</definedName>
    <definedName function="false" hidden="false" name="MO_SR_SEMI_Logic" vbProcedure="false">Model!$157:$157</definedName>
    <definedName function="false" hidden="false" name="MO_SR_SEMI_Memory" vbProcedure="false">Model!$158:$158</definedName>
    <definedName function="false" hidden="false" name="MO_SR_SEMI_Other" vbProcedure="false">Model!$154:$154</definedName>
    <definedName function="false" hidden="false" name="MO_SubSection_BS_CA" vbProcedure="false">Model!$624:$624</definedName>
    <definedName function="false" hidden="false" name="MO_SubSection_BS_CL" vbProcedure="false">Model!$655:$655</definedName>
    <definedName function="false" hidden="false" name="MO_SubSection_BS_NCA" vbProcedure="false">Model!$639:$639</definedName>
    <definedName function="false" hidden="false" name="MO_SubSection_BS_NCL" vbProcedure="false">Model!$666:$666</definedName>
    <definedName function="false" hidden="false" name="MO_SubSection_BS_SE" vbProcedure="false">Model!$675:$675</definedName>
    <definedName function="false" hidden="false" name="MO_SubSection_CCFS_CFF" vbProcedure="false">Model!$506:$506</definedName>
    <definedName function="false" hidden="false" name="MO_SubSection_CCFS_CFI" vbProcedure="false">Model!$492:$492</definedName>
    <definedName function="false" hidden="false" name="MO_SubSection_CCFS_CFO" vbProcedure="false">Model!$469:$469</definedName>
    <definedName function="false" hidden="false" name="MO_SubSection_CFS_CFF" vbProcedure="false">Model!$562:$562</definedName>
    <definedName function="false" hidden="false" name="MO_SubSection_CFS_CFI" vbProcedure="false">Model!$548:$548</definedName>
    <definedName function="false" hidden="false" name="MO_SubSection_CFS_CFO" vbProcedure="false">Model!$525:$525</definedName>
    <definedName function="false" hidden="false" name="MO_VA_EV" vbProcedure="false">Model!$447:$447</definedName>
    <definedName function="false" hidden="false" name="MO_VA_EVCalc_NCI" vbProcedure="false">Model!$464:$464</definedName>
    <definedName function="false" hidden="false" name="MO_VA_EVCalc_Other" vbProcedure="false">Model!$466:$466</definedName>
    <definedName function="false" hidden="false" name="MO_VA_EVCalc_Prefs" vbProcedure="false">Model!$465:$465</definedName>
    <definedName function="false" hidden="false" name="MO_VA_EV_ToEBITDA" vbProcedure="false">Model!$450:$450</definedName>
    <definedName function="false" hidden="false" name="MO_VA_FCFYield_ToEV" vbProcedure="false">Model!$453:$453</definedName>
    <definedName function="false" hidden="false" name="MO_VA_FCFYield_ToMktCap" vbProcedure="false">Model!$452:$452</definedName>
    <definedName function="false" hidden="false" name="MO_VA_FX_Average" vbProcedure="false">Model!$459:$459</definedName>
    <definedName function="false" hidden="false" name="MO_VA_FX_EoP" vbProcedure="false">Model!$460:$460</definedName>
    <definedName function="false" hidden="false" name="MO_VA_MarketCap" vbProcedure="false">Model!$446:$446</definedName>
    <definedName function="false" hidden="false" name="MO_VA_P_ToCF" vbProcedure="false">Model!$451:$451</definedName>
    <definedName function="false" hidden="false" name="MO_VA_P_ToE" vbProcedure="false">Model!$449:$449</definedName>
    <definedName function="false" hidden="false" name="MO_VA_StockPrice" vbProcedure="false">Model!$445:$445</definedName>
    <definedName function="false" hidden="false" name="MO_VA_StockPrice_Avg" vbProcedure="false">Model!$457:$457</definedName>
    <definedName function="false" hidden="false" name="MO_VA_StockPrice_EoP" vbProcedure="false">Model!$458:$458</definedName>
    <definedName function="false" hidden="false" name="MO_VA_StockPrice_High" vbProcedure="false">Model!$455:$455</definedName>
    <definedName function="false" hidden="false" name="MO_VA_StockPrice_Low" vbProcedure="false">Model!$456:$456</definedName>
    <definedName function="false" hidden="false" name="MO_VA_StockPrice_TradingCurrency" vbProcedure="false">Model!$461:$461</definedName>
    <definedName function="false" hidden="false" name="MO_WCF_AEandOther_Margin" vbProcedure="false">Model!$609:$609</definedName>
    <definedName function="false" hidden="false" name="MO_WCF_AEandOther_Margin_Change" vbProcedure="false">Model!$618:$618</definedName>
    <definedName function="false" hidden="false" name="MO_WCF_AP_Margin" vbProcedure="false">Model!$610:$610</definedName>
    <definedName function="false" hidden="false" name="MO_WCF_AP_Margin_Change" vbProcedure="false">Model!$619:$619</definedName>
    <definedName function="false" hidden="false" name="MO_WCF_AR_Margin" vbProcedure="false">Model!$605:$605</definedName>
    <definedName function="false" hidden="false" name="MO_WCF_AR_Margin_Change" vbProcedure="false">Model!$614:$614</definedName>
    <definedName function="false" hidden="false" name="MO_WCF_INV_Margin" vbProcedure="false">Model!$607:$607</definedName>
    <definedName function="false" hidden="false" name="MO_WCF_INV_Margin_Change" vbProcedure="false">Model!$616:$616</definedName>
    <definedName function="false" hidden="false" name="SP.CompanyName" vbProcedure="false">'Summary Page'!$A$1</definedName>
    <definedName function="false" hidden="false" name="SP.ReportFX" vbProcedure="false">'Summary Page'!$B$2</definedName>
    <definedName function="false" hidden="false" name="SP.ValuationToggle" vbProcedure="false">'Summary Page'!$B$4</definedName>
    <definedName function="false" hidden="false" name="SP_BSR_Capital" vbProcedure="false">'Summary Page'!$84:$84</definedName>
    <definedName function="false" hidden="false" name="SP_BSR_CashFlow" vbProcedure="false">'Summary Page'!$83:$83</definedName>
    <definedName function="false" hidden="false" name="SP_BSR_CashFlow_LTM" vbProcedure="false">'Summary Page'!$86:$86</definedName>
    <definedName function="false" hidden="false" name="SP_BSR_CL" vbProcedure="false">'Summary Page'!$105:$105</definedName>
    <definedName function="false" hidden="false" name="SP_BSR_CL_Avg" vbProcedure="false">'Summary Page'!$106:$106</definedName>
    <definedName function="false" hidden="false" name="SP_BSR_Debt" vbProcedure="false">'Summary Page'!$99:$99</definedName>
    <definedName function="false" hidden="false" name="SP_BSR_Debt_Avg" vbProcedure="false">'Summary Page'!$100:$100</definedName>
    <definedName function="false" hidden="false" name="SP_BSR_EBITDA" vbProcedure="false">'Summary Page'!$82:$82</definedName>
    <definedName function="false" hidden="false" name="SP_BSR_EBITDA_LTM" vbProcedure="false">'Summary Page'!$85:$85</definedName>
    <definedName function="false" hidden="false" name="SP_BSR_SE" vbProcedure="false">'Summary Page'!$91:$91</definedName>
    <definedName function="false" hidden="false" name="SP_BSR_SE_Avg" vbProcedure="false">'Summary Page'!$92:$92</definedName>
    <definedName function="false" hidden="false" name="SP_BSR_TA" vbProcedure="false">'Summary Page'!$96:$96</definedName>
    <definedName function="false" hidden="false" name="SP_BSR_TA_Avg" vbProcedure="false">'Summary Page'!$97:$97</definedName>
    <definedName function="false" hidden="false" name="SP_CFA_Acquisition" vbProcedure="false">'Summary Page'!$68:$68</definedName>
    <definedName function="false" hidden="false" name="SP_CFA_Capex" vbProcedure="false">'Summary Page'!$64:$64</definedName>
    <definedName function="false" hidden="false" name="SP_CFA_CFO" vbProcedure="false">'Summary Page'!$63:$63</definedName>
    <definedName function="false" hidden="false" name="SP_CFA_CFO_BeforeWC" vbProcedure="false">'Summary Page'!$61:$61</definedName>
    <definedName function="false" hidden="false" name="SP_CFA_CFO_PerShare" vbProcedure="false">'Summary Page'!$75:$75</definedName>
    <definedName function="false" hidden="false" name="SP_CFA_Debt" vbProcedure="false">'Summary Page'!$71:$71</definedName>
    <definedName function="false" hidden="false" name="SP_CFA_Div" vbProcedure="false">'Summary Page'!$66:$66</definedName>
    <definedName function="false" hidden="false" name="SP_CFA_Divestiture" vbProcedure="false">'Summary Page'!$69:$69</definedName>
    <definedName function="false" hidden="false" name="SP_CFA_Div_PerShare" vbProcedure="false">'Summary Page'!$77:$77</definedName>
    <definedName function="false" hidden="false" name="SP_CFA_Equity" vbProcedure="false">'Summary Page'!$70:$70</definedName>
    <definedName function="false" hidden="false" name="SP_CFA_FCF_PerShare" vbProcedure="false">'Summary Page'!$76:$76</definedName>
    <definedName function="false" hidden="false" name="SP_CFA_FCF_PostDiv" vbProcedure="false">'Summary Page'!$67:$67</definedName>
    <definedName function="false" hidden="false" name="SP_CFA_FCF_PreDiv" vbProcedure="false">'Summary Page'!$65:$65</definedName>
    <definedName function="false" hidden="false" name="SP_CFA_NetChange" vbProcedure="false">'Summary Page'!$73:$73</definedName>
    <definedName function="false" hidden="false" name="SP_CFA_Other" vbProcedure="false">'Summary Page'!$72:$72</definedName>
    <definedName function="false" hidden="false" name="SP_CFA_Payout_vsEPS" vbProcedure="false">'Summary Page'!$79:$79</definedName>
    <definedName function="false" hidden="false" name="SP_CFA_Payout_vsFCF" vbProcedure="false">'Summary Page'!$78:$78</definedName>
    <definedName function="false" hidden="false" name="SP_CFA_WC" vbProcedure="false">'Summary Page'!$62:$62</definedName>
    <definedName function="false" hidden="false" name="SP_Checks_SummaryPage" vbProcedure="false">'Summary Page'!$C$126:$XFD$131</definedName>
    <definedName function="false" hidden="false" name="SP_Common_ColumnHeader" vbProcedure="false">'Summary Page'!$2:$2</definedName>
    <definedName function="false" hidden="false" name="SP_Common_Column_A" vbProcedure="false">'Summary Page'!$A:$A</definedName>
    <definedName function="false" hidden="false" name="SP_Common_Column_B" vbProcedure="false">'Summary Page'!$B:$B</definedName>
    <definedName function="false" hidden="false" name="SP_Common_QEndDate" vbProcedure="false">'Summary Page'!$1:$1</definedName>
    <definedName function="false" hidden="false" name="SP_CS_Cash" vbProcedure="false">'Summary Page'!$7:$7</definedName>
    <definedName function="false" hidden="false" name="SP_CS_Debt" vbProcedure="false">'Summary Page'!$8:$8</definedName>
    <definedName function="false" hidden="false" name="SP_CS_EV" vbProcedure="false">'Summary Page'!$10:$10</definedName>
    <definedName function="false" hidden="false" name="SP_CS_EVCalc_Other" vbProcedure="false">'Summary Page'!$9:$9</definedName>
    <definedName function="false" hidden="false" name="SP_CS_MarketCap" vbProcedure="false">'Summary Page'!$6:$6</definedName>
    <definedName function="false" hidden="false" name="SP_CS_ShareCount_EoP_Diluted" vbProcedure="false">'Summary Page'!$5:$5</definedName>
    <definedName function="false" hidden="false" name="SP_CS_StockPrice" vbProcedure="false">'Summary Page'!$4:$4</definedName>
    <definedName function="false" hidden="false" name="SP_GF_Adjustments_Dilution" vbProcedure="false">'Summary Page'!$40:$40</definedName>
    <definedName function="false" hidden="false" name="SP_GF_COGS" vbProcedure="false">'Summary Page'!$25:$25</definedName>
    <definedName function="false" hidden="false" name="SP_GF_DisCont" vbProcedure="false">'Summary Page'!$36:$36</definedName>
    <definedName function="false" hidden="false" name="SP_GF_Div_Prefs" vbProcedure="false">'Summary Page'!$38:$38</definedName>
    <definedName function="false" hidden="false" name="SP_GF_EBIT" vbProcedure="false">'Summary Page'!$29:$29</definedName>
    <definedName function="false" hidden="false" name="SP_GF_EBT" vbProcedure="false">'Summary Page'!$34:$34</definedName>
    <definedName function="false" hidden="false" name="SP_GF_EI" vbProcedure="false">'Summary Page'!$31:$31</definedName>
    <definedName function="false" hidden="false" name="SP_GF_EPS_WAD" vbProcedure="false">'Summary Page'!$42:$42</definedName>
    <definedName function="false" hidden="false" name="SP_GF_IE" vbProcedure="false">'Summary Page'!$30:$30</definedName>
    <definedName function="false" hidden="false" name="SP_GF_IE_Net" vbProcedure="false">'Summary Page'!$30:$30</definedName>
    <definedName function="false" hidden="false" name="SP_GF_NCI" vbProcedure="false">'Summary Page'!$37:$37</definedName>
    <definedName function="false" hidden="false" name="SP_GF_NI" vbProcedure="false">'Summary Page'!$39:$39</definedName>
    <definedName function="false" hidden="false" name="SP_GF_NI_Diluted" vbProcedure="false">'Summary Page'!$41:$41</definedName>
    <definedName function="false" hidden="false" name="SP_GF_OI" vbProcedure="false">'Summary Page'!$33:$33</definedName>
    <definedName function="false" hidden="false" name="SP_GF_OI_Operating" vbProcedure="false">'Summary Page'!$28:$28</definedName>
    <definedName function="false" hidden="false" name="SP_GF_OTI" vbProcedure="false">'Summary Page'!$32:$32</definedName>
    <definedName function="false" hidden="false" name="SP_GF_RD" vbProcedure="false">'Summary Page'!$27:$27</definedName>
    <definedName function="false" hidden="false" name="SP_GF_Rev" vbProcedure="false">'Summary Page'!$24:$24</definedName>
    <definedName function="false" hidden="false" name="SP_GF_SGA" vbProcedure="false">'Summary Page'!$26:$26</definedName>
    <definedName function="false" hidden="false" name="SP_GF_ShareCount" vbProcedure="false">'Summary Page'!$43:$43</definedName>
    <definedName function="false" hidden="false" name="SP_GF_Tax" vbProcedure="false">'Summary Page'!$35:$35</definedName>
    <definedName function="false" hidden="false" name="SP_MA_COGS" vbProcedure="false">'Summary Page'!$52:$52</definedName>
    <definedName function="false" hidden="false" name="SP_MA_EBIT" vbProcedure="false">'Summary Page'!$55:$55</definedName>
    <definedName function="false" hidden="false" name="SP_MA_EBITDA" vbProcedure="false">'Summary Page'!$57:$57</definedName>
    <definedName function="false" hidden="false" name="SP_MA_EBITDA_Adj" vbProcedure="false">'Summary Page'!$58:$58</definedName>
    <definedName function="false" hidden="false" name="SP_MA_EBIT_Adj" vbProcedure="false">'Summary Page'!$56:$56</definedName>
    <definedName function="false" hidden="false" name="SP_MA_RD" vbProcedure="false">'Summary Page'!$54:$54</definedName>
    <definedName function="false" hidden="false" name="SP_MA_SBC" vbProcedure="false">'Summary Page'!$54:$54</definedName>
    <definedName function="false" hidden="false" name="SP_MA_SGA" vbProcedure="false">'Summary Page'!$53:$53</definedName>
    <definedName function="false" hidden="false" name="SP_NGF_EBIT" vbProcedure="false">'Summary Page'!$47:$47</definedName>
    <definedName function="false" hidden="false" name="SP_NGF_EBITDA" vbProcedure="false">'Summary Page'!$46:$46</definedName>
    <definedName function="false" hidden="false" name="SP_NGF_EPS" vbProcedure="false">'Summary Page'!$49:$49</definedName>
    <definedName function="false" hidden="false" name="SP_NGF_NI" vbProcedure="false">'Summary Page'!$48:$48</definedName>
    <definedName function="false" hidden="false" name="SP_PR_ROA" vbProcedure="false">'Summary Page'!$98:$98</definedName>
    <definedName function="false" hidden="false" name="SP_PR_ROCE" vbProcedure="false">'Summary Page'!$108:$108</definedName>
    <definedName function="false" hidden="false" name="SP_PR_ROE" vbProcedure="false">'Summary Page'!$93:$93</definedName>
    <definedName function="false" hidden="false" name="SP_PR_ROIC" vbProcedure="false">'Summary Page'!$102:$102</definedName>
    <definedName function="false" hidden="false" name="SP_PSGM_CFO" vbProcedure="false">'Summary Page'!$114:$114</definedName>
    <definedName function="false" hidden="false" name="SP_PSGM_EBITDA_Adj" vbProcedure="false">'Summary Page'!$112:$112</definedName>
    <definedName function="false" hidden="false" name="SP_PSGM_FCF" vbProcedure="false">'Summary Page'!$115:$115</definedName>
    <definedName function="false" hidden="false" name="SP_PSGM_NI_Adj" vbProcedure="false">'Summary Page'!$113:$113</definedName>
    <definedName function="false" hidden="false" name="SP_PSGM_Revenue" vbProcedure="false">'Summary Page'!$111:$111</definedName>
    <definedName function="false" hidden="false" name="SP_Section_BalanceSheetRatios" vbProcedure="false">'Summary Page'!$81:$81</definedName>
    <definedName function="false" hidden="false" name="SP_Section_CapitalizationSummary" vbProcedure="false">'Summary Page'!$3:$3</definedName>
    <definedName function="false" hidden="false" name="SP_Section_CashFlowAnalysis" vbProcedure="false">'Summary Page'!$60:$60</definedName>
    <definedName function="false" hidden="false" name="SP_Section_Checks" vbProcedure="false">'Summary Page'!$125:$125</definedName>
    <definedName function="false" hidden="false" name="SP_Section_CompanySpecificOperationalData" vbProcedure="false">'Summary Page'!$12:$12</definedName>
    <definedName function="false" hidden="false" name="SP_Section_GAAPFinancials" vbProcedure="false">'Summary Page'!$23:$23</definedName>
    <definedName function="false" hidden="false" name="SP_Section_LastRow" vbProcedure="false">'Summary Page'!$133:$133</definedName>
    <definedName function="false" hidden="false" name="SP_Section_MarginAnalysis" vbProcedure="false">'Summary Page'!$51:$51</definedName>
    <definedName function="false" hidden="false" name="SP_Section_NonGAAPFinancials" vbProcedure="false">'Summary Page'!$45:$45</definedName>
    <definedName function="false" hidden="false" name="SP_Section_PerShareGrowthMetrics" vbProcedure="false">'Summary Page'!$110:$110</definedName>
    <definedName function="false" hidden="false" name="SP_Section_ProfitabilityRatios" vbProcedure="false">'Summary Page'!$88:$88</definedName>
    <definedName function="false" hidden="false" name="SP_Section_ValuationMetrics" vbProcedure="false">'Summary Page'!$117:$117</definedName>
    <definedName function="false" hidden="false" name="SP_VM_EV_ToEBITDA" vbProcedure="false">'Summary Page'!$120:$120</definedName>
    <definedName function="false" hidden="false" name="SP_VM_EV_toSales" vbProcedure="false">'Summary Page'!$119:$119</definedName>
    <definedName function="false" hidden="false" name="SP_VM_FCFYield_ToEV" vbProcedure="false">'Summary Page'!$123:$123</definedName>
    <definedName function="false" hidden="false" name="SP_VM_FCFYield_ToMktCap" vbProcedure="false">'Summary Page'!$122:$122</definedName>
    <definedName function="false" hidden="false" name="SP_VM_P_ToCF" vbProcedure="false">'Summary Page'!$121:$121</definedName>
    <definedName function="false" hidden="false" name="SP_VM_P_ToE" vbProcedure="false">'Summary Page'!$118:$118</definedName>
    <definedName function="false" hidden="false" name="tb_ConsensusEstimate" vbProcedure="false">Model!$A$770:$CB$780</definedName>
    <definedName function="false" hidden="false" name="tb_EntireModel" vbProcedure="false">Model!$A$1:$CB$685</definedName>
    <definedName function="false" hidden="false" name="tb_Guidance_FY" vbProcedure="false">Model!$A$764:$CB$768</definedName>
    <definedName function="false" hidden="false" name="tb_Guidance_Q" vbProcedure="false">Model!$A$759:$CB$762</definedName>
    <definedName function="false" hidden="false" name="tb_KeyOutputs" vbProcedure="false">Model!$A$725:$A$732</definedName>
    <definedName function="false" hidden="false" name="tb_KPIs" vbProcedure="false">Model!$A$734:$A$757</definedName>
    <definedName function="false" hidden="false" name="tb_StockPrice" vbProcedure="false">Model!$A$782:$CB$812</definedName>
    <definedName function="false" hidden="false" name="tb_Tickers" vbProcedure="false">Model!$A$712:$A$717</definedName>
    <definedName function="false" hidden="false" name="tb_UpdateLog" vbProcedure="false">'Update Log'!$C$10:$H$48</definedName>
    <definedName function="false" hidden="false" name="tb_ValuationToggle" vbProcedure="false">Model!$A$719:$B$723</definedName>
    <definedName function="false" hidden="false" name="UL.CSIN" vbProcedure="false">'Update Log'!$H$7</definedName>
    <definedName function="false" hidden="false" name="UL.ModelVersion" vbProcedure="false">'Update Log'!$H$8</definedName>
    <definedName function="false" hidden="false" name="UL.MRQ" vbProcedure="false">'Update Log'!$F$7</definedName>
    <definedName function="false" hidden="false" name="UL.MRQColNum" vbProcedure="false">'Update Log'!$E$7</definedName>
    <definedName function="false" hidden="false" name="z_I9KH3H0125_MO_AN_CFO" vbProcedure="false">Model!$323:$323</definedName>
    <definedName function="false" hidden="false" name="z_I9KH3H0125_MO_AN_FCF" vbProcedure="false">Model!$326:$326</definedName>
    <definedName function="false" hidden="false" name="z_I9KH3H0125_MO_AN_Purchaseofintangibleassets" vbProcedure="false">Model!$325:$325</definedName>
    <definedName function="false" hidden="false" name="z_I9KH3H0125_MO_AN_Purchaseofproperty" vbProcedure="false">Model!$324:$324</definedName>
    <definedName function="false" hidden="false" name="z_I9KH3H0125_MO_BlankRow_AN" vbProcedure="false">"Deleted"</definedName>
    <definedName function="false" hidden="false" name="z_I9KH3H0125_MO_BlankRow_AN_1" vbProcedure="false">Model!$327:$327</definedName>
    <definedName function="false" hidden="false" name="z_I9KH3H0125_MO_BlankRow_BSS" vbProcedure="false">Model!$443:$443</definedName>
    <definedName function="false" hidden="false" name="z_I9KH3H0125_MO_BlankRow_BSS_1" vbProcedure="false">Model!$432:$432</definedName>
    <definedName function="false" hidden="false" name="z_I9KH3H0125_MO_BlankRow_BSS_2" vbProcedure="false">Model!$439:$439</definedName>
    <definedName function="false" hidden="false" name="z_I9KH3H0125_MO_BlankRow_BS_1" vbProcedure="false">Model!$638:$638</definedName>
    <definedName function="false" hidden="false" name="z_I9KH3H0125_MO_BlankRow_BS_2" vbProcedure="false">Model!$654:$654</definedName>
    <definedName function="false" hidden="false" name="z_I9KH3H0125_MO_BlankRow_BS_3" vbProcedure="false">Model!$665:$665</definedName>
    <definedName function="false" hidden="false" name="z_I9KH3H0125_MO_BlankRow_BS_4" vbProcedure="false">Model!$674:$674</definedName>
    <definedName function="false" hidden="false" name="z_I9KH3H0125_MO_BlankRow_BS_5" vbProcedure="false">Model!$684:$684</definedName>
    <definedName function="false" hidden="false" name="z_I9KH3H0125_MO_BlankRow_BS_6" vbProcedure="false">Model!$686:$686</definedName>
    <definedName function="false" hidden="false" name="z_I9KH3H0125_MO_BlankRow_CCFS" vbProcedure="false">Model!$491:$491</definedName>
    <definedName function="false" hidden="false" name="z_I9KH3H0125_MO_BlankRow_CCFS_1" vbProcedure="false">Model!$505:$505</definedName>
    <definedName function="false" hidden="false" name="z_I9KH3H0125_MO_BlankRow_CCFS_2" vbProcedure="false">Model!$517:$517</definedName>
    <definedName function="false" hidden="false" name="z_I9KH3H0125_MO_BlankRow_CCFS_3" vbProcedure="false">Model!$520:$520</definedName>
    <definedName function="false" hidden="false" name="z_I9KH3H0125_MO_BlankRow_CCFS_4" vbProcedure="false">Model!$523:$523</definedName>
    <definedName function="false" hidden="false" name="z_I9KH3H0125_MO_BlankRow_CFSum" vbProcedure="false">Model!$413:$413</definedName>
    <definedName function="false" hidden="false" name="z_I9KH3H0125_MO_BlankRow_CFSum_1" vbProcedure="false">Model!$425:$425</definedName>
    <definedName function="false" hidden="false" name="z_I9KH3H0125_MO_BlankRow_CFSum_2" vbProcedure="false">Model!$409:$409</definedName>
    <definedName function="false" hidden="false" name="z_I9KH3H0125_MO_BlankRow_CFSum_3" vbProcedure="false">Model!$416:$416</definedName>
    <definedName function="false" hidden="false" name="z_I9KH3H0125_MO_BlankRow_CFS_2" vbProcedure="false">Model!$547:$547</definedName>
    <definedName function="false" hidden="false" name="z_I9KH3H0125_MO_BlankRow_CFS_3" vbProcedure="false">Model!$561:$561</definedName>
    <definedName function="false" hidden="false" name="z_I9KH3H0125_MO_BlankRow_CFS_4" vbProcedure="false">Model!$573:$573</definedName>
    <definedName function="false" hidden="false" name="z_I9KH3H0125_MO_BlankRow_CFS_5" vbProcedure="false">Model!$576:$576</definedName>
    <definedName function="false" hidden="false" name="z_I9KH3H0125_MO_BlankRow_CFS_6" vbProcedure="false">Model!$579:$579</definedName>
    <definedName function="false" hidden="false" name="z_I9KH3H0125_MO_BlankRow_CFS_7" vbProcedure="false">Model!$581:$581</definedName>
    <definedName function="false" hidden="false" name="z_I9KH3H0125_MO_BlankRow_DAF" vbProcedure="false">Model!$588:$588</definedName>
    <definedName function="false" hidden="false" name="z_I9KH3H0125_MO_BlankRow_DAF_1" vbProcedure="false">Model!$594:$594</definedName>
    <definedName function="false" hidden="false" name="z_I9KH3H0125_MO_BlankRow_DAF_2" vbProcedure="false">Model!$599:$599</definedName>
    <definedName function="false" hidden="false" name="z_I9KH3H0125_MO_BlankRow_DAF_3" vbProcedure="false">Model!$603:$603</definedName>
    <definedName function="false" hidden="false" name="z_I9KH3H0125_MO_BlankRow_GA" vbProcedure="false">Model!$42:$42</definedName>
    <definedName function="false" hidden="false" name="z_I9KH3H0125_MO_BlankRow_GA_1" vbProcedure="false">Model!$68:$68</definedName>
    <definedName function="false" hidden="false" name="z_I9KH3H0125_MO_BlankRow_GA_3" vbProcedure="false">Model!$52:$52</definedName>
    <definedName function="false" hidden="false" name="z_I9KH3H0125_MO_BlankRow_GA_4" vbProcedure="false">Model!$65:$65</definedName>
    <definedName function="false" hidden="false" name="z_I9KH3H0125_MO_BlankRow_IS" vbProcedure="false">Model!$319:$319</definedName>
    <definedName function="false" hidden="false" name="z_I9KH3H0125_MO_BlankRow_IS_1" vbProcedure="false">"Deleted"</definedName>
    <definedName function="false" hidden="false" name="z_I9KH3H0125_MO_BlankRow_IS_2" vbProcedure="false">Model!$321:$321</definedName>
    <definedName function="false" hidden="false" name="z_I9KH3H0125_MO_BlankRow_MA" vbProcedure="false">Model!$283:$283</definedName>
    <definedName function="false" hidden="false" name="z_I9KH3H0125_MO_BlankRow_MA_1" vbProcedure="false">Model!$296:$296</definedName>
    <definedName function="false" hidden="false" name="z_I9KH3H0125_MO_BlankRow_MA_2" vbProcedure="false">Model!$448:$448</definedName>
    <definedName function="false" hidden="false" name="z_I9KH3H0125_MO_BlankRow_MA_4" vbProcedure="false">Model!$462:$462</definedName>
    <definedName function="false" hidden="false" name="z_I9KH3H0125_MO_BlankRow_MA_5" vbProcedure="false">Model!$467:$467</definedName>
    <definedName function="false" hidden="false" name="z_I9KH3H0125_MO_BlankRow_MA_6" vbProcedure="false">Model!$454:$454</definedName>
    <definedName function="false" hidden="false" name="z_I9KH3H0125_MO_BlankRow_MA_7" vbProcedure="false">Model!$290:$290</definedName>
    <definedName function="false" hidden="false" name="z_I9KH3H0125_MO_BlankRow_MA_8" vbProcedure="false">"Deleted"</definedName>
    <definedName function="false" hidden="false" name="z_I9KH3H0125_MO_BlankRow_MA_9" vbProcedure="false">Model!$279:$279</definedName>
    <definedName function="false" hidden="false" name="z_I9KH3H0125_MO_BlankRow_OS" vbProcedure="false">Model!$60:$60</definedName>
    <definedName function="false" hidden="false" name="z_I9KH3H0125_MO_BlankRow_OS_10" vbProcedure="false">Model!$174:$174</definedName>
    <definedName function="false" hidden="false" name="z_I9KH3H0125_MO_BlankRow_OS_11" vbProcedure="false">Model!$186:$186</definedName>
    <definedName function="false" hidden="false" name="z_I9KH3H0125_MO_BlankRow_OS_12" vbProcedure="false">Model!$153:$153</definedName>
    <definedName function="false" hidden="false" name="z_I9KH3H0125_MO_BlankRow_OS_13" vbProcedure="false">Model!$160:$160</definedName>
    <definedName function="false" hidden="false" name="z_I9KH3H0125_MO_BlankRow_OS_14" vbProcedure="false">Model!$207:$207</definedName>
    <definedName function="false" hidden="false" name="z_I9KH3H0125_MO_BlankRow_OS_15" vbProcedure="false">Model!$201:$201</definedName>
    <definedName function="false" hidden="false" name="z_I9KH3H0125_MO_BlankRow_OS_16" vbProcedure="false">Model!$178:$178</definedName>
    <definedName function="false" hidden="false" name="z_I9KH3H0125_MO_BlankRow_OS_17" vbProcedure="false">"Deleted"</definedName>
    <definedName function="false" hidden="false" name="z_I9KH3H0125_MO_BlankRow_OS_18" vbProcedure="false">Model!$622:$622</definedName>
    <definedName function="false" hidden="false" name="z_I9KH3H0125_MO_BlankRow_OS_19" vbProcedure="false">Model!$270:$270</definedName>
    <definedName function="false" hidden="false" name="z_I9KH3H0125_MO_BlankRow_OS_2" vbProcedure="false">Model!$19:$19</definedName>
    <definedName function="false" hidden="false" name="z_I9KH3H0125_MO_BlankRow_OS_20" vbProcedure="false">Model!$246:$246</definedName>
    <definedName function="false" hidden="false" name="z_I9KH3H0125_MO_BlankRow_OS_21" vbProcedure="false">Model!$114:$114</definedName>
    <definedName function="false" hidden="false" name="z_I9KH3H0125_MO_BlankRow_OS_22" vbProcedure="false">Model!$387:$387</definedName>
    <definedName function="false" hidden="false" name="z_I9KH3H0125_MO_BlankRow_OS_23" vbProcedure="false">Model!$395:$395</definedName>
    <definedName function="false" hidden="false" name="z_I9KH3H0125_MO_BlankRow_OS_24" vbProcedure="false">Model!$613:$613</definedName>
    <definedName function="false" hidden="false" name="z_I9KH3H0125_MO_BlankRow_OS_25" vbProcedure="false">Model!$77:$77</definedName>
    <definedName function="false" hidden="false" name="z_I9KH3H0125_MO_BlankRow_OS_26" vbProcedure="false">Model!$82:$82</definedName>
    <definedName function="false" hidden="false" name="z_I9KH3H0125_MO_BlankRow_OS_27" vbProcedure="false">Model!$87:$87</definedName>
    <definedName function="false" hidden="false" name="z_I9KH3H0125_MO_BlankRow_OS_28" vbProcedure="false">Model!$95:$95</definedName>
    <definedName function="false" hidden="false" name="z_I9KH3H0125_MO_BlankRow_OS_29" vbProcedure="false">"Deleted"</definedName>
    <definedName function="false" hidden="false" name="z_I9KH3H0125_MO_BlankRow_OS_3" vbProcedure="false">Model!$32:$32</definedName>
    <definedName function="false" hidden="false" name="z_I9KH3H0125_MO_BlankRow_OS_30" vbProcedure="false">Model!$222:$222</definedName>
    <definedName function="false" hidden="false" name="z_I9KH3H0125_MO_BlankRow_OS_31" vbProcedure="false">Model!$235:$235</definedName>
    <definedName function="false" hidden="false" name="z_I9KH3H0125_MO_BlankRow_OS_32" vbProcedure="false">Model!$253:$253</definedName>
    <definedName function="false" hidden="false" name="z_I9KH3H0125_MO_BlankRow_OS_33" vbProcedure="false">Model!$165:$165</definedName>
    <definedName function="false" hidden="false" name="z_I9KH3H0125_MO_BlankRow_OS_34" vbProcedure="false">"Deleted"</definedName>
    <definedName function="false" hidden="false" name="z_I9KH3H0125_MO_BlankRow_OS_35" vbProcedure="false">Model!$120:$120</definedName>
    <definedName function="false" hidden="false" name="z_I9KH3H0125_MO_BlankRow_OS_36" vbProcedure="false">Model!$257:$257</definedName>
    <definedName function="false" hidden="false" name="z_I9KH3H0125_MO_BlankRow_OS_37" vbProcedure="false">Model!$267:$267</definedName>
    <definedName function="false" hidden="false" name="z_I9KH3H0125_MO_BlankRow_OS_38" vbProcedure="false">Model!$102:$102</definedName>
    <definedName function="false" hidden="false" name="z_I9KH3H0125_MO_BlankRow_OS_39" vbProcedure="false">Model!$124:$124</definedName>
    <definedName function="false" hidden="false" name="z_I9KH3H0125_MO_BlankRow_OS_4" vbProcedure="false">Model!$146:$146</definedName>
    <definedName function="false" hidden="false" name="z_I9KH3H0125_MO_BlankRow_OS_40" vbProcedure="false">"Deleted"</definedName>
    <definedName function="false" hidden="false" name="z_I9KH3H0125_MO_BlankRow_OS_41" vbProcedure="false">"Deleted"</definedName>
    <definedName function="false" hidden="false" name="z_I9KH3H0125_MO_BlankRow_OS_42" vbProcedure="false">"Deleted"</definedName>
    <definedName function="false" hidden="false" name="z_I9KH3H0125_MO_BlankRow_OS_43" vbProcedure="false">Model!$195:$195</definedName>
    <definedName function="false" hidden="false" name="z_I9KH3H0125_MO_BlankRow_OS_44" vbProcedure="false">Model!$224:$224</definedName>
    <definedName function="false" hidden="false" name="z_I9KH3H0125_MO_BlankRow_OS_45" vbProcedure="false">Model!$275:$275</definedName>
    <definedName function="false" hidden="false" name="z_I9KH3H0125_MO_BlankRow_OS_46" vbProcedure="false">Model!$390:$390</definedName>
    <definedName function="false" hidden="false" name="z_I9KH3H0125_MO_BlankRow_OS_47" vbProcedure="false">Model!$393:$393</definedName>
    <definedName function="false" hidden="false" name="z_I9KH3H0125_MO_BlankRow_OS_5" vbProcedure="false">Model!$135:$135</definedName>
    <definedName function="false" hidden="false" name="z_I9KH3H0125_MO_BlankRow_OS_7" vbProcedure="false">Model!$192:$192</definedName>
    <definedName function="false" hidden="false" name="z_I9KH3H0125_MO_BlankRow_OS_8" vbProcedure="false">Model!$210:$210</definedName>
    <definedName function="false" hidden="false" name="z_I9KH3H0125_MO_BlankRow_OS_9" vbProcedure="false">Model!$169:$169</definedName>
    <definedName function="false" hidden="false" name="z_I9KH3H0125_MO_BlankRow_RIS" vbProcedure="false">Model!$331:$331</definedName>
    <definedName function="false" hidden="false" name="z_I9KH3H0125_MO_BlankRow_RIS_1" vbProcedure="false">Model!$334:$334</definedName>
    <definedName function="false" hidden="false" name="z_I9KH3H0125_MO_BlankRow_RIS_2" vbProcedure="false">Model!$347:$347</definedName>
    <definedName function="false" hidden="false" name="z_I9KH3H0125_MO_BlankRow_RIS_3" vbProcedure="false">Model!$341:$341</definedName>
    <definedName function="false" hidden="false" name="z_I9KH3H0125_MO_BlankRow_RIS_4" vbProcedure="false">Model!$353:$353</definedName>
    <definedName function="false" hidden="false" name="z_I9KH3H0125_MO_BlankRow_RIS_5" vbProcedure="false">Model!$366:$366</definedName>
    <definedName function="false" hidden="false" name="z_I9KH3H0125_MO_BlankRow_RIS_6" vbProcedure="false">Model!$369:$369</definedName>
    <definedName function="false" hidden="false" name="z_I9KH3H0125_MO_BlankRow_RIS_7" vbProcedure="false">Model!$374:$374</definedName>
    <definedName function="false" hidden="false" name="z_I9KH3H0125_MO_BlankRow_RIS_8" vbProcedure="false">Model!$378:$378</definedName>
    <definedName function="false" hidden="false" name="z_I9KH3H0125_MO_BlankRow_SNA" vbProcedure="false">Model!$709:$709</definedName>
    <definedName function="false" hidden="false" name="z_I9KH3H0125_MO_BlankRow_SNA_1" vbProcedure="false">Model!$711:$711</definedName>
    <definedName function="false" hidden="false" name="z_I9KH3H0125_MO_BlankRow_SNA_10" vbProcedure="false">Model!$805:$805</definedName>
    <definedName function="false" hidden="false" name="z_I9KH3H0125_MO_BlankRow_SNA_11" vbProcedure="false">Model!$812:$812</definedName>
    <definedName function="false" hidden="false" name="z_I9KH3H0125_MO_BlankRow_SNA_12" vbProcedure="false">Model!$817:$817</definedName>
    <definedName function="false" hidden="false" name="z_I9KH3H0125_MO_BlankRow_SNA_13" vbProcedure="false">Model!$835:$835</definedName>
    <definedName function="false" hidden="false" name="z_I9KH3H0125_MO_BlankRow_SNA_14" vbProcedure="false">Model!$816:$816</definedName>
    <definedName function="false" hidden="false" name="z_I9KH3H0125_MO_BlankRow_SNA_15" vbProcedure="false">Model!$757:$757</definedName>
    <definedName function="false" hidden="false" name="z_I9KH3H0125_MO_BlankRow_SNA_16" vbProcedure="false">Model!$758:$758</definedName>
    <definedName function="false" hidden="false" name="z_I9KH3H0125_MO_BlankRow_SNA_17" vbProcedure="false">Model!$762:$762</definedName>
    <definedName function="false" hidden="false" name="z_I9KH3H0125_MO_BlankRow_SNA_18" vbProcedure="false">Model!$763:$763</definedName>
    <definedName function="false" hidden="false" name="z_I9KH3H0125_MO_BlankRow_SNA_19" vbProcedure="false">Model!$768:$768</definedName>
    <definedName function="false" hidden="false" name="z_I9KH3H0125_MO_BlankRow_SNA_2" vbProcedure="false">Model!$718:$718</definedName>
    <definedName function="false" hidden="false" name="z_I9KH3H0125_MO_BlankRow_SNA_20" vbProcedure="false">Model!$769:$769</definedName>
    <definedName function="false" hidden="false" name="z_I9KH3H0125_MO_BlankRow_SNA_3" vbProcedure="false">Model!$724:$724</definedName>
    <definedName function="false" hidden="false" name="z_I9KH3H0125_MO_BlankRow_SNA_4" vbProcedure="false">Model!$732:$732</definedName>
    <definedName function="false" hidden="false" name="z_I9KH3H0125_MO_BlankRow_SNA_5" vbProcedure="false">Model!$733:$733</definedName>
    <definedName function="false" hidden="false" name="z_I9KH3H0125_MO_BlankRow_SNA_6" vbProcedure="false">Model!$780:$780</definedName>
    <definedName function="false" hidden="false" name="z_I9KH3H0125_MO_BlankRow_SNA_7" vbProcedure="false">Model!$781:$781</definedName>
    <definedName function="false" hidden="false" name="z_I9KH3H0125_MO_BlankRow_SNA_8" vbProcedure="false">Model!$791:$791</definedName>
    <definedName function="false" hidden="false" name="z_I9KH3H0125_MO_BlankRow_SNA_9" vbProcedure="false">Model!$798:$798</definedName>
    <definedName function="false" hidden="false" name="z_I9KH3H0125_MO_BSS_Cash" vbProcedure="false">Model!$427:$427</definedName>
    <definedName function="false" hidden="false" name="z_I9KH3H0125_MO_BSS_Debt" vbProcedure="false">Model!$430:$430</definedName>
    <definedName function="false" hidden="false" name="z_I9KH3H0125_MO_BSS_DebtCashFlow" vbProcedure="false">Model!$442:$442</definedName>
    <definedName function="false" hidden="false" name="z_I9KH3H0125_MO_BSS_DebtEBITDA" vbProcedure="false">Model!$441:$441</definedName>
    <definedName function="false" hidden="false" name="z_I9KH3H0125_MO_BSS_EBITDANetInterestExpense" vbProcedure="false">Model!$440:$440</definedName>
    <definedName function="false" hidden="false" name="z_I9KH3H0125_MO_BSS_EffectiveInterestRateonCash" vbProcedure="false">Model!$436:$436</definedName>
    <definedName function="false" hidden="false" name="z_I9KH3H0125_MO_BSS_EffectiveInterestRateonDebt" vbProcedure="false">Model!$434:$434</definedName>
    <definedName function="false" hidden="false" name="z_I9KH3H0125_MO_BSS_EffectiveNetInterestRateonDebt" vbProcedure="false">Model!$438:$438</definedName>
    <definedName function="false" hidden="false" name="z_I9KH3H0125_MO_BSS_InterestExpense" vbProcedure="false">Model!$433:$433</definedName>
    <definedName function="false" hidden="false" name="z_I9KH3H0125_MO_BSS_InterestIncome" vbProcedure="false">Model!$435:$435</definedName>
    <definedName function="false" hidden="false" name="z_I9KH3H0125_MO_BSS_LTDebt" vbProcedure="false">Model!$429:$429</definedName>
    <definedName function="false" hidden="false" name="z_I9KH3H0125_MO_BSS_NetDebt" vbProcedure="false">Model!$431:$431</definedName>
    <definedName function="false" hidden="false" name="z_I9KH3H0125_MO_BSS_NetInterestExpenseIncome" vbProcedure="false">Model!$437:$437</definedName>
    <definedName function="false" hidden="false" name="z_I9KH3H0125_MO_BSS_STDebt" vbProcedure="false">Model!$428:$428</definedName>
    <definedName function="false" hidden="false" name="z_I9KH3H0125_MO_BS_Accountspayable" vbProcedure="false">Model!$656:$656</definedName>
    <definedName function="false" hidden="false" name="z_I9KH3H0125_MO_BS_Accountsreceivable" vbProcedure="false">Model!$627:$627</definedName>
    <definedName function="false" hidden="false" name="z_I9KH3H0125_MO_BS_Accruedandotherliabilities" vbProcedure="false">Model!$657:$657</definedName>
    <definedName function="false" hidden="false" name="z_I9KH3H0125_MO_BS_Accruedandotherliabilities_1" vbProcedure="false">Model!$671:$671</definedName>
    <definedName function="false" hidden="false" name="z_I9KH3H0125_MO_BS_Accumulatedothercomprehensiveincome" vbProcedure="false">Model!$680:$680</definedName>
    <definedName function="false" hidden="false" name="z_I9KH3H0125_MO_BS_BSCheck" vbProcedure="false">Model!$685:$685</definedName>
    <definedName function="false" hidden="false" name="z_I9KH3H0125_MO_BS_Cashandcashequivalents" vbProcedure="false">Model!$625:$625</definedName>
    <definedName function="false" hidden="false" name="z_I9KH3H0125_MO_BS_Contractassets" vbProcedure="false">Model!$633:$633</definedName>
    <definedName function="false" hidden="false" name="z_I9KH3H0125_MO_BS_Contractliabilities" vbProcedure="false">Model!$670:$670</definedName>
    <definedName function="false" hidden="false" name="z_I9KH3H0125_MO_BS_Contractliabilities_1" vbProcedure="false">Model!$660:$660</definedName>
    <definedName function="false" hidden="false" name="z_I9KH3H0125_MO_BS_CurrentAssets" vbProcedure="false">Model!$624:$624</definedName>
    <definedName function="false" hidden="false" name="z_I9KH3H0125_MO_BS_CurrentLiabilities" vbProcedure="false">Model!$655:$655</definedName>
    <definedName function="false" hidden="false" name="z_I9KH3H0125_MO_BS_Currentportionoflongtermdebt" vbProcedure="false">Model!$659:$659</definedName>
    <definedName function="false" hidden="false" name="z_I9KH3H0125_MO_BS_Currenttaxassets" vbProcedure="false">Model!$630:$630</definedName>
    <definedName function="false" hidden="false" name="z_I9KH3H0125_MO_BS_Currenttaxliabilities" vbProcedure="false">Model!$658:$658</definedName>
    <definedName function="false" hidden="false" name="z_I9KH3H0125_MO_BS_Deferredandothertaxliabilities" vbProcedure="false">Model!$668:$668</definedName>
    <definedName function="false" hidden="false" name="z_I9KH3H0125_MO_BS_Deferredtaxassets" vbProcedure="false">Model!$632:$632</definedName>
    <definedName function="false" hidden="false" name="z_I9KH3H0125_MO_BS_Deferredtaxassets_1" vbProcedure="false">Model!$641:$641</definedName>
    <definedName function="false" hidden="false" name="z_I9KH3H0125_MO_BS_Deferredtaxliabilities" vbProcedure="false">Model!$662:$662</definedName>
    <definedName function="false" hidden="false" name="z_I9KH3H0125_MO_BS_Equityinvestments" vbProcedure="false">Model!$645:$645</definedName>
    <definedName function="false" hidden="false" name="z_I9KH3H0125_MO_BS_Equitymethodinvestments" vbProcedure="false">Model!$644:$644</definedName>
    <definedName function="false" hidden="false" name="z_I9KH3H0125_MO_BS_Financereceivables" vbProcedure="false">Model!$628:$628</definedName>
    <definedName function="false" hidden="false" name="z_I9KH3H0125_MO_BS_Financereceivables_1" vbProcedure="false">Model!$640:$640</definedName>
    <definedName function="false" hidden="false" name="z_I9KH3H0125_MO_BS_Goodwill" vbProcedure="false">Model!$646:$646</definedName>
    <definedName function="false" hidden="false" name="z_I9KH3H0125_MO_BS_Heldforsaleassets" vbProcedure="false">Model!$636:$636</definedName>
    <definedName function="false" hidden="false" name="z_I9KH3H0125_MO_BS_Heldforsaleliabilities" vbProcedure="false">Model!$663:$663</definedName>
    <definedName function="false" hidden="false" name="z_I9KH3H0125_MO_BS_Inventories" vbProcedure="false">Model!$631:$631</definedName>
    <definedName function="false" hidden="false" name="z_I9KH3H0125_MO_BS_Issuedandoutstandingshares" vbProcedure="false">Model!$676:$676</definedName>
    <definedName function="false" hidden="false" name="z_I9KH3H0125_MO_BS_Loanreceivable" vbProcedure="false">Model!$642:$642</definedName>
    <definedName function="false" hidden="false" name="z_I9KH3H0125_MO_BS_Loansreceivable" vbProcedure="false">Model!$635:$635</definedName>
    <definedName function="false" hidden="false" name="z_I9KH3H0125_MO_BS_Longtermdebt" vbProcedure="false">Model!$667:$667</definedName>
    <definedName function="false" hidden="false" name="z_I9KH3H0125_MO_BS_NCI" vbProcedure="false">Model!$682:$682</definedName>
    <definedName function="false" hidden="false" name="z_I9KH3H0125_MO_BS_NonCurrentAssets" vbProcedure="false">Model!$639:$639</definedName>
    <definedName function="false" hidden="false" name="z_I9KH3H0125_MO_BS_NonCurrentLiabilities" vbProcedure="false">Model!$666:$666</definedName>
    <definedName function="false" hidden="false" name="z_I9KH3H0125_MO_BS_Otherassets" vbProcedure="false">Model!$634:$634</definedName>
    <definedName function="false" hidden="false" name="z_I9KH3H0125_MO_BS_Otherassets_1" vbProcedure="false">Model!$643:$643</definedName>
    <definedName function="false" hidden="false" name="z_I9KH3H0125_MO_BS_Otherintangibleassets" vbProcedure="false">Model!$647:$647</definedName>
    <definedName function="false" hidden="false" name="z_I9KH3H0125_MO_BS_Propertyplantandequipment" vbProcedure="false">Model!$648:$648</definedName>
    <definedName function="false" hidden="false" name="z_I9KH3H0125_MO_BS_Provisions" vbProcedure="false">Model!$661:$661</definedName>
    <definedName function="false" hidden="false" name="z_I9KH3H0125_MO_BS_Provisions_1" vbProcedure="false">Model!$669:$669</definedName>
    <definedName function="false" hidden="false" name="z_I9KH3H0125_MO_BS_Retainedearnings" vbProcedure="false">Model!$679:$679</definedName>
    <definedName function="false" hidden="false" name="z_I9KH3H0125_MO_BS_Rightofuseassets" vbProcedure="false">Model!$649:$649</definedName>
    <definedName function="false" hidden="false" name="z_I9KH3H0125_MO_BS_RightofuseassetsFinance" vbProcedure="false">Model!$650:$650</definedName>
    <definedName function="false" hidden="false" name="z_I9KH3H0125_MO_BS_ShareholdersEquity" vbProcedure="false">Model!$675:$675</definedName>
    <definedName function="false" hidden="false" name="z_I9KH3H0125_MO_BS_Sharepremium" vbProcedure="false">Model!$677:$677</definedName>
    <definedName function="false" hidden="false" name="z_I9KH3H0125_MO_BS_Shortterminvestments" vbProcedure="false">Model!$626:$626</definedName>
    <definedName function="false" hidden="false" name="z_I9KH3H0125_MO_BS_TotalAccountsReceivable" vbProcedure="false">Model!$629:$629</definedName>
    <definedName function="false" hidden="false" name="z_I9KH3H0125_MO_BS_TotalAssets" vbProcedure="false">Model!$653:$653</definedName>
    <definedName function="false" hidden="false" name="z_I9KH3H0125_MO_BS_TotalCurrentAssets" vbProcedure="false">Model!$637:$637</definedName>
    <definedName function="false" hidden="false" name="z_I9KH3H0125_MO_BS_TotalCurrentLiabilities" vbProcedure="false">Model!$664:$664</definedName>
    <definedName function="false" hidden="false" name="z_I9KH3H0125_MO_BS_TotalLiabilities" vbProcedure="false">Model!$673:$673</definedName>
    <definedName function="false" hidden="false" name="z_I9KH3H0125_MO_BS_TotalLiabilitiesSE" vbProcedure="false">Model!$683:$683</definedName>
    <definedName function="false" hidden="false" name="z_I9KH3H0125_MO_BS_TotalNonCurrentAssets" vbProcedure="false">Model!$652:$652</definedName>
    <definedName function="false" hidden="false" name="z_I9KH3H0125_MO_BS_TotalNonCurrentliabilities" vbProcedure="false">Model!$672:$672</definedName>
    <definedName function="false" hidden="false" name="z_I9KH3H0125_MO_BS_TotalRightofuseassets" vbProcedure="false">Model!$651:$651</definedName>
    <definedName function="false" hidden="false" name="z_I9KH3H0125_MO_BS_TotalSE" vbProcedure="false">Model!$681:$681</definedName>
    <definedName function="false" hidden="false" name="z_I9KH3H0125_MO_BS_Treasurysharesatcost" vbProcedure="false">Model!$678:$678</definedName>
    <definedName function="false" hidden="false" name="z_I9KH3H0125_MO_CCFS_Accountspayable" vbProcedure="false">Model!$486:$486</definedName>
    <definedName function="false" hidden="false" name="z_I9KH3H0125_MO_CCFS_Accountsreceivable" vbProcedure="false">Model!$481:$481</definedName>
    <definedName function="false" hidden="false" name="z_I9KH3H0125_MO_CCFS_Accruedandotherliabilities" vbProcedure="false">Model!$485:$485</definedName>
    <definedName function="false" hidden="false" name="z_I9KH3H0125_MO_CCFS_Acquisitionofequitymethodinvestments" vbProcedure="false">Model!$500:$500</definedName>
    <definedName function="false" hidden="false" name="z_I9KH3H0125_MO_CCFS_Acquisitionofsubsidiariesnetofcashacquired" vbProcedure="false">Model!$503:$503</definedName>
    <definedName function="false" hidden="false" name="z_I9KH3H0125_MO_CCFS_Allowancefordoubtfulreceivables" vbProcedure="false">Model!$476:$476</definedName>
    <definedName function="false" hidden="false" name="z_I9KH3H0125_MO_CCFS_Allowanceforobsoleteinventory" vbProcedure="false">Model!$477:$477</definedName>
    <definedName function="false" hidden="false" name="z_I9KH3H0125_MO_CCFS_BeginningCashBalance" vbProcedure="false">Model!$521:$521</definedName>
    <definedName function="false" hidden="false" name="z_I9KH3H0125_MO_CCFS_Capitalrepayment" vbProcedure="false">Model!$511:$511</definedName>
    <definedName function="false" hidden="false" name="z_I9KH3H0125_MO_CCFS_Cashfromusedforderivativefinancialinstruments" vbProcedure="false">Model!$497:$497</definedName>
    <definedName function="false" hidden="false" name="z_I9KH3H0125_MO_CCFS_CFF" vbProcedure="false">Model!$506:$506</definedName>
    <definedName function="false" hidden="false" name="z_I9KH3H0125_MO_CCFS_CFI" vbProcedure="false">Model!$492:$492</definedName>
    <definedName function="false" hidden="false" name="z_I9KH3H0125_MO_CCFS_CFO" vbProcedure="false">Model!$469:$469</definedName>
    <definedName function="false" hidden="false" name="z_I9KH3H0125_MO_CCFS_CFObeforeWC" vbProcedure="false">Model!$480:$480</definedName>
    <definedName function="false" hidden="false" name="z_I9KH3H0125_MO_CCFS_Changesinassetsandliabilities" vbProcedure="false">Model!$489:$489</definedName>
    <definedName function="false" hidden="false" name="z_I9KH3H0125_MO_CCFS_Contractassetsandliabilities" vbProcedure="false">Model!$487:$487</definedName>
    <definedName function="false" hidden="false" name="z_I9KH3H0125_MO_CCFS_Currenttaxassetsandliabilities" vbProcedure="false">Model!$488:$488</definedName>
    <definedName function="false" hidden="false" name="z_I9KH3H0125_MO_CCFS_Deferredincometaxes" vbProcedure="false">Model!$478:$478</definedName>
    <definedName function="false" hidden="false" name="z_I9KH3H0125_MO_CCFS_Depositsfromcustomers" vbProcedure="false">Model!$513:$513</definedName>
    <definedName function="false" hidden="false" name="z_I9KH3H0125_MO_CCFS_Depreciationandamortization" vbProcedure="false">Model!$471:$471</definedName>
    <definedName function="false" hidden="false" name="z_I9KH3H0125_MO_CCFS_Dividendincomefromequitymethodinvestments" vbProcedure="false">Model!$501:$501</definedName>
    <definedName function="false" hidden="false" name="z_I9KH3H0125_MO_CCFS_Dividendpaid" vbProcedure="false">Model!$507:$507</definedName>
    <definedName function="false" hidden="false" name="z_I9KH3H0125_MO_CCFS_EndingCashBalance" vbProcedure="false">Model!$522:$522</definedName>
    <definedName function="false" hidden="false" name="z_I9KH3H0125_MO_CCFS_Equitymethodinvestments" vbProcedure="false">Model!$479:$479</definedName>
    <definedName function="false" hidden="false" name="z_I9KH3H0125_MO_CCFS_Financereceivables" vbProcedure="false">Model!$482:$482</definedName>
    <definedName function="false" hidden="false" name="z_I9KH3H0125_MO_CCFS_FX" vbProcedure="false">Model!$518:$518</definedName>
    <definedName function="false" hidden="false" name="z_I9KH3H0125_MO_CCFS_Gainonsaleofsubsidiaries" vbProcedure="false">Model!$475:$475</definedName>
    <definedName function="false" hidden="false" name="z_I9KH3H0125_MO_CCFS_Impairment" vbProcedure="false">Model!$472:$472</definedName>
    <definedName function="false" hidden="false" name="z_I9KH3H0125_MO_CCFS_Inventories" vbProcedure="false">Model!$483:$483</definedName>
    <definedName function="false" hidden="false" name="z_I9KH3H0125_MO_CCFS_Loansissuedandotherinvestments" vbProcedure="false">Model!$498:$498</definedName>
    <definedName function="false" hidden="false" name="z_I9KH3H0125_MO_CCFS_Lossondisposalofproperty" vbProcedure="false">Model!$473:$473</definedName>
    <definedName function="false" hidden="false" name="z_I9KH3H0125_MO_CCFS_Maturityofshortterminvestments" vbProcedure="false">Model!$496:$496</definedName>
    <definedName function="false" hidden="false" name="z_I9KH3H0125_MO_CCFS_NetCFF" vbProcedure="false">Model!$516:$516</definedName>
    <definedName function="false" hidden="false" name="z_I9KH3H0125_MO_CCFS_NetCFI" vbProcedure="false">Model!$504:$504</definedName>
    <definedName function="false" hidden="false" name="z_I9KH3H0125_MO_CCFS_NetCFO" vbProcedure="false">Model!$490:$490</definedName>
    <definedName function="false" hidden="false" name="z_I9KH3H0125_MO_CCFS_NetChangeinCashBalance" vbProcedure="false">Model!$519:$519</definedName>
    <definedName function="false" hidden="false" name="z_I9KH3H0125_MO_CCFS_Netincome" vbProcedure="false">Model!$470:$470</definedName>
    <definedName function="false" hidden="false" name="z_I9KH3H0125_MO_CCFS_Netproceedsfromissuanceofnotes" vbProcedure="false">Model!$510:$510</definedName>
    <definedName function="false" hidden="false" name="z_I9KH3H0125_MO_CCFS_Netproceedsfromissuanceofshares" vbProcedure="false">Model!$509:$509</definedName>
    <definedName function="false" hidden="false" name="z_I9KH3H0125_MO_CCFS_Otherassets" vbProcedure="false">Model!$484:$484</definedName>
    <definedName function="false" hidden="false" name="z_I9KH3H0125_MO_CCFS_Proceedsfromsaleofproperty" vbProcedure="false">Model!$502:$502</definedName>
    <definedName function="false" hidden="false" name="z_I9KH3H0125_MO_CCFS_Purchaseofintangibleassets" vbProcedure="false">Model!$494:$494</definedName>
    <definedName function="false" hidden="false" name="z_I9KH3H0125_MO_CCFS_Purchaseofproperty" vbProcedure="false">Model!$493:$493</definedName>
    <definedName function="false" hidden="false" name="z_I9KH3H0125_MO_CCFS_Purchaseofshortterminvestments" vbProcedure="false">Model!$495:$495</definedName>
    <definedName function="false" hidden="false" name="z_I9KH3H0125_MO_CCFS_Purchaseoftreasuryshares" vbProcedure="false">Model!$508:$508</definedName>
    <definedName function="false" hidden="false" name="z_I9KH3H0125_MO_CCFS_Repaymentofdebt" vbProcedure="false">Model!$514:$514</definedName>
    <definedName function="false" hidden="false" name="z_I9KH3H0125_MO_CCFS_Repaymentonloans" vbProcedure="false">Model!$499:$499</definedName>
    <definedName function="false" hidden="false" name="z_I9KH3H0125_MO_CCFS_Repurchaseofnotes" vbProcedure="false">Model!$512:$512</definedName>
    <definedName function="false" hidden="false" name="z_I9KH3H0125_MO_CCFS_Sharebasedpayments" vbProcedure="false">Model!$474:$474</definedName>
    <definedName function="false" hidden="false" name="z_I9KH3H0125_MO_CCFS_Taxbenefitdeficitfromsharebasedpayments" vbProcedure="false">Model!$515:$515</definedName>
    <definedName function="false" hidden="false" name="z_I9KH3H0125_MO_CFSum_Acquisitions" vbProcedure="false">Model!$405:$405</definedName>
    <definedName function="false" hidden="false" name="z_I9KH3H0125_MO_CFSum_Capex" vbProcedure="false">Model!$403:$403</definedName>
    <definedName function="false" hidden="false" name="z_I9KH3H0125_MO_CFSum_CashFlowPerDilutedShare" vbProcedure="false">Model!$400:$400</definedName>
    <definedName function="false" hidden="false" name="z_I9KH3H0125_MO_CFSum_CashFlowPerDilutedShare_1" vbProcedure="false">Model!$401:$401</definedName>
    <definedName function="false" hidden="false" name="z_I9KH3H0125_MO_CFSum_ChangeinWorkingCapital" vbProcedure="false">Model!$398:$398</definedName>
    <definedName function="false" hidden="false" name="z_I9KH3H0125_MO_CFSum_ConsensusEstimatesCapex" vbProcedure="false">Model!$404:$404</definedName>
    <definedName function="false" hidden="false" name="z_I9KH3H0125_MO_CFSum_ConsensusEstimatesCashFlowPerDilutedShare" vbProcedure="false">Model!$402:$402</definedName>
    <definedName function="false" hidden="false" name="z_I9KH3H0125_MO_CFSum_Divestiture" vbProcedure="false">Model!$406:$406</definedName>
    <definedName function="false" hidden="false" name="z_I9KH3H0125_MO_CFSum_DividendPaid" vbProcedure="false">Model!$407:$407</definedName>
    <definedName function="false" hidden="false" name="z_I9KH3H0125_MO_CFSum_DividendPerShare" vbProcedure="false">Model!$408:$408</definedName>
    <definedName function="false" hidden="false" name="z_I9KH3H0125_MO_CFSum_EstimatedSharePriceforIssuanceBuybacks" vbProcedure="false">Model!$412:$412</definedName>
    <definedName function="false" hidden="false" name="z_I9KH3H0125_MO_CFSum_FCF" vbProcedure="false">Model!$417:$417</definedName>
    <definedName function="false" hidden="false" name="z_I9KH3H0125_MO_CFSum_FCFincludingWC" vbProcedure="false">Model!$421:$421</definedName>
    <definedName function="false" hidden="false" name="z_I9KH3H0125_MO_CFSum_FCFincludingWCPostDiv" vbProcedure="false">Model!$422:$422</definedName>
    <definedName function="false" hidden="false" name="z_I9KH3H0125_MO_CFSum_FCFincludingWCPostDivDebtBuyback" vbProcedure="false">Model!$424:$424</definedName>
    <definedName function="false" hidden="false" name="z_I9KH3H0125_MO_CFSum_FCFincludingWCPostDiv_1" vbProcedure="false">Model!$423:$423</definedName>
    <definedName function="false" hidden="false" name="z_I9KH3H0125_MO_CFSum_FCFPostDivDebtBuyback" vbProcedure="false">Model!$420:$420</definedName>
    <definedName function="false" hidden="false" name="z_I9KH3H0125_MO_CFSum_FCF_1" vbProcedure="false">Model!$418:$418</definedName>
    <definedName function="false" hidden="false" name="z_I9KH3H0125_MO_CFSum_FCF_2" vbProcedure="false">Model!$419:$419</definedName>
    <definedName function="false" hidden="false" name="z_I9KH3H0125_MO_CFSum_NetDebtIssuanceRepayment" vbProcedure="false">Model!$410:$410</definedName>
    <definedName function="false" hidden="false" name="z_I9KH3H0125_MO_CFSum_NetShareIssuanceBuybacks" vbProcedure="false">Model!$411:$411</definedName>
    <definedName function="false" hidden="false" name="z_I9KH3H0125_MO_CFSum_OperatingCashFlowafterWC" vbProcedure="false">Model!$399:$399</definedName>
    <definedName function="false" hidden="false" name="z_I9KH3H0125_MO_CFSum_OperatingCashFlowbeforeWC" vbProcedure="false">Model!$397:$397</definedName>
    <definedName function="false" hidden="false" name="z_I9KH3H0125_MO_CFSum_SBCexpense" vbProcedure="false">Model!$414:$414</definedName>
    <definedName function="false" hidden="false" name="z_I9KH3H0125_MO_CFSum_SBCexpenseasofrevenue" vbProcedure="false">Model!$415:$415</definedName>
    <definedName function="false" hidden="false" name="z_I9KH3H0125_MO_CFS_Accountspayable" vbProcedure="false">Model!$542:$542</definedName>
    <definedName function="false" hidden="false" name="z_I9KH3H0125_MO_CFS_Accountsreceivable" vbProcedure="false">Model!$537:$537</definedName>
    <definedName function="false" hidden="false" name="z_I9KH3H0125_MO_CFS_Accruedandotherliabilities" vbProcedure="false">Model!$541:$541</definedName>
    <definedName function="false" hidden="false" name="z_I9KH3H0125_MO_CFS_Acquisitionofequitymethodinvestments" vbProcedure="false">Model!$556:$556</definedName>
    <definedName function="false" hidden="false" name="z_I9KH3H0125_MO_CFS_Acquisitionofsubsidiariesnetofcashacquired" vbProcedure="false">Model!$559:$559</definedName>
    <definedName function="false" hidden="false" name="z_I9KH3H0125_MO_CFS_Allowancefordoubtfulreceivables" vbProcedure="false">Model!$532:$532</definedName>
    <definedName function="false" hidden="false" name="z_I9KH3H0125_MO_CFS_Allowanceforobsoleteinventory" vbProcedure="false">Model!$533:$533</definedName>
    <definedName function="false" hidden="false" name="z_I9KH3H0125_MO_CFS_BeginningCashBalance" vbProcedure="false">Model!$577:$577</definedName>
    <definedName function="false" hidden="false" name="z_I9KH3H0125_MO_CFS_Capitalrepayment" vbProcedure="false">Model!$567:$567</definedName>
    <definedName function="false" hidden="false" name="z_I9KH3H0125_MO_CFS_Cashfromusedforderivativefinancialinstruments" vbProcedure="false">Model!$553:$553</definedName>
    <definedName function="false" hidden="false" name="z_I9KH3H0125_MO_CFS_CFCheck" vbProcedure="false">Model!$580:$580</definedName>
    <definedName function="false" hidden="false" name="z_I9KH3H0125_MO_CFS_CFF" vbProcedure="false">Model!$562:$562</definedName>
    <definedName function="false" hidden="false" name="z_I9KH3H0125_MO_CFS_CFI" vbProcedure="false">Model!$548:$548</definedName>
    <definedName function="false" hidden="false" name="z_I9KH3H0125_MO_CFS_CFO" vbProcedure="false">Model!$525:$525</definedName>
    <definedName function="false" hidden="false" name="z_I9KH3H0125_MO_CFS_CFObeforeWC" vbProcedure="false">Model!$536:$536</definedName>
    <definedName function="false" hidden="false" name="z_I9KH3H0125_MO_CFS_Changesinassetsandliabilities" vbProcedure="false">Model!$545:$545</definedName>
    <definedName function="false" hidden="false" name="z_I9KH3H0125_MO_CFS_Contractassetsandliabilities" vbProcedure="false">Model!$543:$543</definedName>
    <definedName function="false" hidden="false" name="z_I9KH3H0125_MO_CFS_Currenttaxassetsandliabilities" vbProcedure="false">Model!$544:$544</definedName>
    <definedName function="false" hidden="false" name="z_I9KH3H0125_MO_CFS_Deferredincometaxes" vbProcedure="false">Model!$534:$534</definedName>
    <definedName function="false" hidden="false" name="z_I9KH3H0125_MO_CFS_Depositsfromcustomers" vbProcedure="false">Model!$569:$569</definedName>
    <definedName function="false" hidden="false" name="z_I9KH3H0125_MO_CFS_Depreciationandamortization" vbProcedure="false">Model!$527:$527</definedName>
    <definedName function="false" hidden="false" name="z_I9KH3H0125_MO_CFS_Dividendincomefromequitymethodinvestments" vbProcedure="false">Model!$557:$557</definedName>
    <definedName function="false" hidden="false" name="z_I9KH3H0125_MO_CFS_Dividendpaid" vbProcedure="false">Model!$563:$563</definedName>
    <definedName function="false" hidden="false" name="z_I9KH3H0125_MO_CFS_EndingCashBalance" vbProcedure="false">Model!$578:$578</definedName>
    <definedName function="false" hidden="false" name="z_I9KH3H0125_MO_CFS_Equitymethodinvestments" vbProcedure="false">Model!$535:$535</definedName>
    <definedName function="false" hidden="false" name="z_I9KH3H0125_MO_CFS_Financereceivables" vbProcedure="false">Model!$538:$538</definedName>
    <definedName function="false" hidden="false" name="z_I9KH3H0125_MO_CFS_FX" vbProcedure="false">Model!$574:$574</definedName>
    <definedName function="false" hidden="false" name="z_I9KH3H0125_MO_CFS_Gainonsaleofsubsidiaries" vbProcedure="false">Model!$531:$531</definedName>
    <definedName function="false" hidden="false" name="z_I9KH3H0125_MO_CFS_Impairment" vbProcedure="false">Model!$528:$528</definedName>
    <definedName function="false" hidden="false" name="z_I9KH3H0125_MO_CFS_Inventories" vbProcedure="false">Model!$539:$539</definedName>
    <definedName function="false" hidden="false" name="z_I9KH3H0125_MO_CFS_Loansissuedandotherinvestments" vbProcedure="false">Model!$554:$554</definedName>
    <definedName function="false" hidden="false" name="z_I9KH3H0125_MO_CFS_Lossondisposalofproperty" vbProcedure="false">Model!$529:$529</definedName>
    <definedName function="false" hidden="false" name="z_I9KH3H0125_MO_CFS_Maturityofshortterminvestments" vbProcedure="false">Model!$552:$552</definedName>
    <definedName function="false" hidden="false" name="z_I9KH3H0125_MO_CFS_NetCFF" vbProcedure="false">Model!$572:$572</definedName>
    <definedName function="false" hidden="false" name="z_I9KH3H0125_MO_CFS_NetCFI" vbProcedure="false">Model!$560:$560</definedName>
    <definedName function="false" hidden="false" name="z_I9KH3H0125_MO_CFS_NetCFO" vbProcedure="false">Model!$546:$546</definedName>
    <definedName function="false" hidden="false" name="z_I9KH3H0125_MO_CFS_NetChangeinCashBalance" vbProcedure="false">Model!$575:$575</definedName>
    <definedName function="false" hidden="false" name="z_I9KH3H0125_MO_CFS_Netincome" vbProcedure="false">Model!$526:$526</definedName>
    <definedName function="false" hidden="false" name="z_I9KH3H0125_MO_CFS_Netproceedsfromissuanceofnotes" vbProcedure="false">Model!$566:$566</definedName>
    <definedName function="false" hidden="false" name="z_I9KH3H0125_MO_CFS_Netproceedsfromissuanceofshares" vbProcedure="false">Model!$565:$565</definedName>
    <definedName function="false" hidden="false" name="z_I9KH3H0125_MO_CFS_Otherassets" vbProcedure="false">Model!$540:$540</definedName>
    <definedName function="false" hidden="false" name="z_I9KH3H0125_MO_CFS_Proceedsfromsaleofproperty" vbProcedure="false">Model!$558:$558</definedName>
    <definedName function="false" hidden="false" name="z_I9KH3H0125_MO_CFS_Purchaseofintangibleassets" vbProcedure="false">Model!$550:$550</definedName>
    <definedName function="false" hidden="false" name="z_I9KH3H0125_MO_CFS_Purchaseofproperty" vbProcedure="false">Model!$549:$549</definedName>
    <definedName function="false" hidden="false" name="z_I9KH3H0125_MO_CFS_Purchaseofshortterminvestments" vbProcedure="false">Model!$551:$551</definedName>
    <definedName function="false" hidden="false" name="z_I9KH3H0125_MO_CFS_Purchaseoftreasuryshares" vbProcedure="false">Model!$564:$564</definedName>
    <definedName function="false" hidden="false" name="z_I9KH3H0125_MO_CFS_Repaymentofdebt" vbProcedure="false">Model!$570:$570</definedName>
    <definedName function="false" hidden="false" name="z_I9KH3H0125_MO_CFS_Repaymentonloans" vbProcedure="false">Model!$555:$555</definedName>
    <definedName function="false" hidden="false" name="z_I9KH3H0125_MO_CFS_Repurchaseofnotes" vbProcedure="false">Model!$568:$568</definedName>
    <definedName function="false" hidden="false" name="z_I9KH3H0125_MO_CFS_Sharebasedpayments" vbProcedure="false">Model!$530:$530</definedName>
    <definedName function="false" hidden="false" name="z_I9KH3H0125_MO_CFS_Taxbenefitdeficitfromsharebasedpayments" vbProcedure="false">Model!$571:$571</definedName>
    <definedName function="false" hidden="false" name="z_I9KH3H0125_MO_Checks_SNA_AdjustedNumbersFYSumofQs" vbProcedure="false">Model!$700:$700</definedName>
    <definedName function="false" hidden="false" name="z_I9KH3H0125_MO_Checks_SNA_BalanceSheetisnotRepeated" vbProcedure="false">Model!$696:$696</definedName>
    <definedName function="false" hidden="false" name="z_I9KH3H0125_MO_Checks_SNA_CapexisUpdated" vbProcedure="false">Model!$698:$698</definedName>
    <definedName function="false" hidden="false" name="z_I9KH3H0125_MO_Checks_SNA_CashFlowisnotRepeated" vbProcedure="false">Model!$694:$694</definedName>
    <definedName function="false" hidden="false" name="z_I9KH3H0125_MO_Checks_SNA_CashFlowSummarySignsareCorrect" vbProcedure="false">Model!$701:$701</definedName>
    <definedName function="false" hidden="false" name="z_I9KH3H0125_MO_Checks_SNA_CashisPositive" vbProcedure="false">Model!$690:$690</definedName>
    <definedName function="false" hidden="false" name="z_I9KH3H0125_MO_Checks_SNA_CFFsubtotalFYSumofQs" vbProcedure="false">Model!$707:$707</definedName>
    <definedName function="false" hidden="false" name="z_I9KH3H0125_MO_Checks_SNA_CFIsubtotalFYSumofQs" vbProcedure="false">Model!$706:$706</definedName>
    <definedName function="false" hidden="false" name="z_I9KH3H0125_MO_Checks_SNA_CFOBeforeWCsubtotalFYSumofQs" vbProcedure="false">Model!$704:$704</definedName>
    <definedName function="false" hidden="false" name="z_I9KH3H0125_MO_Checks_SNA_CFOsubtotalFYSumofQs" vbProcedure="false">Model!$705:$705</definedName>
    <definedName function="false" hidden="false" name="z_I9KH3H0125_MO_Checks_SNA_CFSummaryFYSumofQs" vbProcedure="false">Model!$708:$708</definedName>
    <definedName function="false" hidden="false" name="z_I9KH3H0125_MO_Checks_SNA_DebtisPositive" vbProcedure="false">Model!$691:$691</definedName>
    <definedName function="false" hidden="false" name="z_I9KH3H0125_MO_Checks_SNA_EndingCFEndingCumulativeCF" vbProcedure="false">Model!$697:$697</definedName>
    <definedName function="false" hidden="false" name="z_I9KH3H0125_MO_Checks_SNA_IncomeStatementisnotRepeated" vbProcedure="false">Model!$695:$695</definedName>
    <definedName function="false" hidden="false" name="z_I9KH3H0125_MO_Checks_SNA_Marginaddsupto100" vbProcedure="false">"Deleted"</definedName>
    <definedName function="false" hidden="false" name="z_I9KH3H0125_MO_Checks_SNA_MarginisUpdated" vbProcedure="false">Model!$699:$699</definedName>
    <definedName function="false" hidden="false" name="z_I9KH3H0125_MO_Checks_SNA_NetIncomeonReportedISNIonRevised" vbProcedure="false">Model!$689:$689</definedName>
    <definedName function="false" hidden="false" name="z_I9KH3H0125_MO_Checks_SNA_NetIncomeonRevisedISNIonCFstatement" vbProcedure="false">Model!$688:$688</definedName>
    <definedName function="false" hidden="false" name="z_I9KH3H0125_MO_Checks_SNA_RISAdjustedNIFYSumofQs" vbProcedure="false">Model!$703:$703</definedName>
    <definedName function="false" hidden="false" name="z_I9KH3H0125_MO_Checks_SNA_RISNIFYSumofQs" vbProcedure="false">Model!$702:$702</definedName>
    <definedName function="false" hidden="false" name="z_I9KH3H0125_MO_Checks_SNA_SegmentedRevenueRevenue" vbProcedure="false">Model!$692:$692</definedName>
    <definedName function="false" hidden="false" name="z_I9KH3H0125_MO_DAF_AmortizationaspercentageofIntangiblesBoP" vbProcedure="false">Model!$596:$596</definedName>
    <definedName function="false" hidden="false" name="z_I9KH3H0125_MO_DAF_Amortizationofintangibles" vbProcedure="false">Model!$590:$590</definedName>
    <definedName function="false" hidden="false" name="z_I9KH3H0125_MO_DAF_Capexofintangibles" vbProcedure="false">Model!$591:$591</definedName>
    <definedName function="false" hidden="false" name="z_I9KH3H0125_MO_DAF_CapexofPPE" vbProcedure="false">Model!$585:$585</definedName>
    <definedName function="false" hidden="false" name="z_I9KH3H0125_MO_DAF_DepreciationaspercentageofPPEBoP" vbProcedure="false">Model!$595:$595</definedName>
    <definedName function="false" hidden="false" name="z_I9KH3H0125_MO_DAF_Depreciationoffixedassets" vbProcedure="false">Model!$584:$584</definedName>
    <definedName function="false" hidden="false" name="z_I9KH3H0125_MO_DAF_Impliedlifeoffixedassets" vbProcedure="false">Model!$597:$597</definedName>
    <definedName function="false" hidden="false" name="z_I9KH3H0125_MO_DAF_Impliedlifeofintangibles" vbProcedure="false">Model!$598:$598</definedName>
    <definedName function="false" hidden="false" name="z_I9KH3H0125_MO_DAF_IntangiblesBoP" vbProcedure="false">Model!$589:$589</definedName>
    <definedName function="false" hidden="false" name="z_I9KH3H0125_MO_DAF_IntangiblesEoP" vbProcedure="false">Model!$593:$593</definedName>
    <definedName function="false" hidden="false" name="z_I9KH3H0125_MO_DAF_Othernetadditionstointangibles" vbProcedure="false">Model!$592:$592</definedName>
    <definedName function="false" hidden="false" name="z_I9KH3H0125_MO_DAF_OthernetadditionstoPPE" vbProcedure="false">Model!$586:$586</definedName>
    <definedName function="false" hidden="false" name="z_I9KH3H0125_MO_DAF_Percentageofcapexallocatedtointangibleassets" vbProcedure="false">Model!$602:$602</definedName>
    <definedName function="false" hidden="false" name="z_I9KH3H0125_MO_DAF_PPEBoP" vbProcedure="false">Model!$583:$583</definedName>
    <definedName function="false" hidden="false" name="z_I9KH3H0125_MO_DAF_PPEEoP" vbProcedure="false">Model!$587:$587</definedName>
    <definedName function="false" hidden="false" name="z_I9KH3H0125_MO_DAF_TotalCapex" vbProcedure="false">Model!$601:$601</definedName>
    <definedName function="false" hidden="false" name="z_I9KH3H0125_MO_DAF_TotalDA" vbProcedure="false">Model!$600:$600</definedName>
    <definedName function="false" hidden="false" name="z_I9KH3H0125_MO_GA_DUVsales" vbProcedure="false">Model!$63:$63</definedName>
    <definedName function="false" hidden="false" name="z_I9KH3H0125_MO_GA_EUVsales" vbProcedure="false">Model!$61:$61</definedName>
    <definedName function="false" hidden="false" name="z_I9KH3H0125_MO_GA_HighNAEUV" vbProcedure="false">Model!$9:$9</definedName>
    <definedName function="false" hidden="false" name="z_I9KH3H0125_MO_GA_LowNAEUV" vbProcedure="false">Model!$10:$10</definedName>
    <definedName function="false" hidden="false" name="z_I9KH3H0125_MO_GA_Netdeferredrevenuefromfastshipment" vbProcedure="false">Model!$66:$66</definedName>
    <definedName function="false" hidden="false" name="z_I9KH3H0125_MO_GA_Normalizedrevenue" vbProcedure="false">Model!$67:$67</definedName>
    <definedName function="false" hidden="false" name="z_I9KH3H0125_MO_GA_Totalnetlithographysystemssold" vbProcedure="false">Model!$16:$16</definedName>
    <definedName function="false" hidden="false" name="z_I9KH3H0125_MO_GA_YYDUVsalesgrowth" vbProcedure="false">Model!$64:$64</definedName>
    <definedName function="false" hidden="false" name="z_I9KH3H0125_MO_GA_YYEUVsalesgrowth" vbProcedure="false">Model!$62:$62</definedName>
    <definedName function="false" hidden="false" name="z_I9KH3H0125_MO_Header_ColumnHeader" vbProcedure="false">Model!$5:$5</definedName>
    <definedName function="false" hidden="false" name="z_I9KH3H0125_MO_Header_CompanySubTitle" vbProcedure="false">Model!$2:$2</definedName>
    <definedName function="false" hidden="false" name="z_I9KH3H0125_MO_Header_CompanyTitle" vbProcedure="false">Model!$1:$1</definedName>
    <definedName function="false" hidden="false" name="z_I9KH3H0125_MO_Header_FPDays" vbProcedure="false">Model!$3:$3</definedName>
    <definedName function="false" hidden="false" name="z_I9KH3H0125_MO_Header_QEndDate" vbProcedure="false">Model!$4:$4</definedName>
    <definedName function="false" hidden="false" name="z_I9KH3H0125_MO_IS_Costofserviceandfieldoptionsales" vbProcedure="false">Model!$302:$302</definedName>
    <definedName function="false" hidden="false" name="z_I9KH3H0125_MO_IS_Costofsystemsales" vbProcedure="false">Model!$301:$301</definedName>
    <definedName function="false" hidden="false" name="z_I9KH3H0125_MO_IS_Currentincometaxes" vbProcedure="false">Model!$313:$313</definedName>
    <definedName function="false" hidden="false" name="z_I9KH3H0125_MO_IS_Deferredincometaxes" vbProcedure="false">Model!$314:$314</definedName>
    <definedName function="false" hidden="false" name="z_I9KH3H0125_MO_IS_Grossprofit" vbProcedure="false">Model!$304:$304</definedName>
    <definedName function="false" hidden="false" name="z_I9KH3H0125_MO_IS_Incomeafterincometaxes" vbProcedure="false">Model!$316:$316</definedName>
    <definedName function="false" hidden="false" name="z_I9KH3H0125_MO_IS_Incomebeforeincometaxes" vbProcedure="false">Model!$312:$312</definedName>
    <definedName function="false" hidden="false" name="z_I9KH3H0125_MO_IS_Incomefromoperations" vbProcedure="false">Model!$308:$308</definedName>
    <definedName function="false" hidden="false" name="z_I9KH3H0125_MO_IS_Interestandother" vbProcedure="false">Model!$311:$311</definedName>
    <definedName function="false" hidden="false" name="z_I9KH3H0125_MO_IS_Interestexpense" vbProcedure="false">Model!$309:$309</definedName>
    <definedName function="false" hidden="false" name="z_I9KH3H0125_MO_IS_Interestincomeandother" vbProcedure="false">Model!$310:$310</definedName>
    <definedName function="false" hidden="false" name="z_I9KH3H0125_MO_IS_ISCheck" vbProcedure="false">Model!$320:$320</definedName>
    <definedName function="false" hidden="false" name="z_I9KH3H0125_MO_IS_Netincome" vbProcedure="false">Model!$318:$318</definedName>
    <definedName function="false" hidden="false" name="z_I9KH3H0125_MO_IS_Netserviceandfieldoptionsales" vbProcedure="false">Model!$299:$299</definedName>
    <definedName function="false" hidden="false" name="z_I9KH3H0125_MO_IS_Netsystemsales" vbProcedure="false">Model!$298:$298</definedName>
    <definedName function="false" hidden="false" name="z_I9KH3H0125_MO_IS_Otherincome" vbProcedure="false">Model!$305:$305</definedName>
    <definedName function="false" hidden="false" name="z_I9KH3H0125_MO_IS_Profitlossrelatedtoequitymethodinvestments" vbProcedure="false">Model!$317:$317</definedName>
    <definedName function="false" hidden="false" name="z_I9KH3H0125_MO_IS_Provisionforincometaxes" vbProcedure="false">Model!$315:$315</definedName>
    <definedName function="false" hidden="false" name="z_I9KH3H0125_MO_IS_Researchanddevelopmentcosts" vbProcedure="false">Model!$306:$306</definedName>
    <definedName function="false" hidden="false" name="z_I9KH3H0125_MO_IS_Selling" vbProcedure="false">Model!$307:$307</definedName>
    <definedName function="false" hidden="false" name="z_I9KH3H0125_MO_IS_Totalcostofsales" vbProcedure="false">Model!$303:$303</definedName>
    <definedName function="false" hidden="false" name="z_I9KH3H0125_MO_IS_Totalnetsales" vbProcedure="false">Model!$300:$300</definedName>
    <definedName function="false" hidden="false" name="z_I9KH3H0125_MO_MA_AddbackDAMargin" vbProcedure="false">Model!$291:$291</definedName>
    <definedName function="false" hidden="false" name="z_I9KH3H0125_MO_MA_AddbackSBCMargin" vbProcedure="false">Model!$292:$292</definedName>
    <definedName function="false" hidden="false" name="z_I9KH3H0125_MO_MA_AdjustedEBITDAMargin" vbProcedure="false">Model!$294:$294</definedName>
    <definedName function="false" hidden="false" name="z_I9KH3H0125_MO_MA_AdjustedEBITMargin" vbProcedure="false">Model!$288:$288</definedName>
    <definedName function="false" hidden="false" name="z_I9KH3H0125_MO_MA_AverageFXRate" vbProcedure="false">Model!$459:$459</definedName>
    <definedName function="false" hidden="false" name="z_I9KH3H0125_MO_MA_COGSMargin" vbProcedure="false">Model!$277:$277</definedName>
    <definedName function="false" hidden="false" name="z_I9KH3H0125_MO_MA_COGSMarginExcludingDA" vbProcedure="false">"Deleted"</definedName>
    <definedName function="false" hidden="false" name="z_I9KH3H0125_MO_MA_COGSMargin_1" vbProcedure="false">Model!$280:$280</definedName>
    <definedName function="false" hidden="false" name="z_I9KH3H0125_MO_MA_COGSMargin_3" vbProcedure="false">"Deleted"</definedName>
    <definedName function="false" hidden="false" name="z_I9KH3H0125_MO_MA_ConsensusEstimatesAdjustedEBITDAMargin" vbProcedure="false">Model!$295:$295</definedName>
    <definedName function="false" hidden="false" name="z_I9KH3H0125_MO_MA_ConsensusEstimatesAdjustedEBITMargin" vbProcedure="false">Model!$289:$289</definedName>
    <definedName function="false" hidden="false" name="z_I9KH3H0125_MO_MA_ConsensusEstimatesGrossMargin" vbProcedure="false">Model!$282:$282</definedName>
    <definedName function="false" hidden="false" name="z_I9KH3H0125_MO_MA_EBITDAMargin" vbProcedure="false">Model!$293:$293</definedName>
    <definedName function="false" hidden="false" name="z_I9KH3H0125_MO_MA_EBITMargin" vbProcedure="false">Model!$287:$287</definedName>
    <definedName function="false" hidden="false" name="z_I9KH3H0125_MO_MA_EoPFXRate" vbProcedure="false">Model!$460:$460</definedName>
    <definedName function="false" hidden="false" name="z_I9KH3H0125_MO_MA_GrossMarginExcludingDA" vbProcedure="false">Model!$278:$278</definedName>
    <definedName function="false" hidden="false" name="z_I9KH3H0125_MO_MA_GrossMarginExcludingDA_1" vbProcedure="false">"Deleted"</definedName>
    <definedName function="false" hidden="false" name="z_I9KH3H0125_MO_MA_GrossMarginIncludingDA" vbProcedure="false">Model!$281:$281</definedName>
    <definedName function="false" hidden="false" name="z_I9KH3H0125_MO_MA_GrossMargin_3" vbProcedure="false">"Deleted"</definedName>
    <definedName function="false" hidden="false" name="z_I9KH3H0125_MO_MA_OtherMargin" vbProcedure="false">Model!$286:$286</definedName>
    <definedName function="false" hidden="false" name="z_I9KH3H0125_MO_MA_RDMargin_1" vbProcedure="false">Model!$285:$285</definedName>
    <definedName function="false" hidden="false" name="z_I9KH3H0125_MO_MA_SGAMargin" vbProcedure="false">Model!$284:$284</definedName>
    <definedName function="false" hidden="false" name="z_I9KH3H0125_MO_MA_StockEoP" vbProcedure="false">Model!$458:$458</definedName>
    <definedName function="false" hidden="false" name="z_I9KH3H0125_MO_MA_StockPriceTradingCurAvg" vbProcedure="false">Model!$461:$461</definedName>
    <definedName function="false" hidden="false" name="z_I9KH3H0125_MO_OS_Accountspayable" vbProcedure="false">Model!$610:$610</definedName>
    <definedName function="false" hidden="false" name="z_I9KH3H0125_MO_OS_AccountspayableYYChange" vbProcedure="false">Model!$619:$619</definedName>
    <definedName function="false" hidden="false" name="z_I9KH3H0125_MO_OS_Accountsreceivablenet" vbProcedure="false">Model!$605:$605</definedName>
    <definedName function="false" hidden="false" name="z_I9KH3H0125_MO_OS_AccountsreceivablenetYYChange" vbProcedure="false">Model!$614:$614</definedName>
    <definedName function="false" hidden="false" name="z_I9KH3H0125_MO_OS_AccruedandotherliabilitiesYYChange" vbProcedure="false">Model!$618:$618</definedName>
    <definedName function="false" hidden="false" name="z_I9KH3H0125_MO_OS_Accruedandotherliabilities_1" vbProcedure="false">Model!$609:$609</definedName>
    <definedName function="false" hidden="false" name="z_I9KH3H0125_MO_OS_AddbackDA" vbProcedure="false">Model!$96:$96</definedName>
    <definedName function="false" hidden="false" name="z_I9KH3H0125_MO_OS_AddbackSBC" vbProcedure="false">Model!$97:$97</definedName>
    <definedName function="false" hidden="false" name="z_I9KH3H0125_MO_OS_Amortizationofintangibles" vbProcedure="false">Model!$111:$111</definedName>
    <definedName function="false" hidden="false" name="z_I9KH3H0125_MO_OS_Amortizationrelatedtocostofsales" vbProcedure="false">Model!$108:$108</definedName>
    <definedName function="false" hidden="false" name="z_I9KH3H0125_MO_OS_AmortizationrelatedtoRDcosts" vbProcedure="false">Model!$109:$109</definedName>
    <definedName function="false" hidden="false" name="z_I9KH3H0125_MO_OS_AmortizationrelatedtoSGA" vbProcedure="false">Model!$110:$110</definedName>
    <definedName function="false" hidden="false" name="z_I9KH3H0125_MO_OS_ArFipriceunit" vbProcedure="false">"Deleted"</definedName>
    <definedName function="false" hidden="false" name="z_I9KH3H0125_MO_OS_ArFisales" vbProcedure="false">Model!$34:$34</definedName>
    <definedName function="false" hidden="false" name="z_I9KH3H0125_MO_OS_ArFisalesgrowth" vbProcedure="false">Model!$44:$44</definedName>
    <definedName function="false" hidden="false" name="z_I9KH3H0125_MO_OS_ArFisales_1" vbProcedure="false">Model!$12:$12</definedName>
    <definedName function="false" hidden="false" name="z_I9KH3H0125_MO_OS_ArFisales_2" vbProcedure="false">Model!$54:$54</definedName>
    <definedName function="false" hidden="false" name="z_I9KH3H0125_MO_OS_ArFiunitprice" vbProcedure="false">Model!$22:$22</definedName>
    <definedName function="false" hidden="false" name="z_I9KH3H0125_MO_OS_ArFpriceunit" vbProcedure="false">Model!$24:$24</definedName>
    <definedName function="false" hidden="false" name="z_I9KH3H0125_MO_OS_ArFsales" vbProcedure="false">Model!$35:$35</definedName>
    <definedName function="false" hidden="false" name="z_I9KH3H0125_MO_OS_ArFsalesgrowth" vbProcedure="false">Model!$45:$45</definedName>
    <definedName function="false" hidden="false" name="z_I9KH3H0125_MO_OS_ArFsales_1" vbProcedure="false">Model!$13:$13</definedName>
    <definedName function="false" hidden="false" name="z_I9KH3H0125_MO_OS_ArFsales_2" vbProcedure="false">Model!$55:$55</definedName>
    <definedName function="false" hidden="false" name="z_I9KH3H0125_MO_OS_AverageNetherlandsemployees" vbProcedure="false">Model!$268:$268</definedName>
    <definedName function="false" hidden="false" name="z_I9KH3H0125_MO_OS_AverageworldwideincludingNetherlandsemployees" vbProcedure="false">Model!$269:$269</definedName>
    <definedName function="false" hidden="false" name="z_I9KH3H0125_MO_OS_ChinaLonglivedassets" vbProcedure="false">Model!$240:$240</definedName>
    <definedName function="false" hidden="false" name="z_I9KH3H0125_MO_OS_Chinarevenues" vbProcedure="false">Model!$131:$131</definedName>
    <definedName function="false" hidden="false" name="z_I9KH3H0125_MO_OS_Chinarevenuesmix" vbProcedure="false">Model!$229:$229</definedName>
    <definedName function="false" hidden="false" name="z_I9KH3H0125_MO_OS_Chinarevenues_1" vbProcedure="false">Model!$142:$142</definedName>
    <definedName function="false" hidden="false" name="z_I9KH3H0125_MO_OS_Chinarevenues_2" vbProcedure="false">Model!$216:$216</definedName>
    <definedName function="false" hidden="false" name="z_I9KH3H0125_MO_OS_COGS" vbProcedure="false">Model!$71:$71</definedName>
    <definedName function="false" hidden="false" name="z_I9KH3H0125_MO_OS_ConsensusEstimatesAdjustedEBIT" vbProcedure="false">Model!$90:$90</definedName>
    <definedName function="false" hidden="false" name="z_I9KH3H0125_MO_OS_ConsensusEstimatesAdjustedEBITMargin" vbProcedure="false">Model!$93:$93</definedName>
    <definedName function="false" hidden="false" name="z_I9KH3H0125_MO_OS_ConsensusEstimatesGrossMargin" vbProcedure="false">Model!$75:$75</definedName>
    <definedName function="false" hidden="false" name="z_I9KH3H0125_MO_OS_Contractliabilitiescurrent" vbProcedure="false">Model!$611:$611</definedName>
    <definedName function="false" hidden="false" name="z_I9KH3H0125_MO_OS_ContractliabilitiescurrentYYChange" vbProcedure="false">Model!$620:$620</definedName>
    <definedName function="false" hidden="false" name="z_I9KH3H0125_MO_OS_CoverPageOrdinarySharesOutstandingEoP" vbProcedure="false">Model!$388:$388</definedName>
    <definedName function="false" hidden="false" name="z_I9KH3H0125_MO_OS_Currenttaxliabilities" vbProcedure="false">Model!$612:$612</definedName>
    <definedName function="false" hidden="false" name="z_I9KH3H0125_MO_OS_CurrenttaxliabilitiesYYChange" vbProcedure="false">Model!$621:$621</definedName>
    <definedName function="false" hidden="false" name="z_I9KH3H0125_MO_OS_Customersupportemployees" vbProcedure="false">Model!$258:$258</definedName>
    <definedName function="false" hidden="false" name="z_I9KH3H0125_MO_OS_DateofCoverPageShareCount" vbProcedure="false">Model!$389:$389</definedName>
    <definedName function="false" hidden="false" name="z_I9KH3H0125_MO_OS_DepreciationofPPE" vbProcedure="false">Model!$107:$107</definedName>
    <definedName function="false" hidden="false" name="z_I9KH3H0125_MO_OS_Depreciationrelatedtocostofsales" vbProcedure="false">Model!$104:$104</definedName>
    <definedName function="false" hidden="false" name="z_I9KH3H0125_MO_OS_DepreciationrelatedtoRDcosts" vbProcedure="false">Model!$105:$105</definedName>
    <definedName function="false" hidden="false" name="z_I9KH3H0125_MO_OS_DepreciationrelatedtoSGA" vbProcedure="false">Model!$106:$106</definedName>
    <definedName function="false" hidden="false" name="z_I9KH3H0125_MO_OS_Dilutedsharecounttobasicsharecountratio" vbProcedure="false">Model!$392:$392</definedName>
    <definedName function="false" hidden="false" name="z_I9KH3H0125_MO_OS_DilutiveShares" vbProcedure="false">Model!$391:$391</definedName>
    <definedName function="false" hidden="false" name="z_I9KH3H0125_MO_OS_EBIT" vbProcedure="false">Model!$89:$89</definedName>
    <definedName function="false" hidden="false" name="z_I9KH3H0125_MO_OS_EBITDA" vbProcedure="false">Model!$98:$98</definedName>
    <definedName function="false" hidden="false" name="z_I9KH3H0125_MO_OS_EBITDAmargin" vbProcedure="false">Model!$100:$100</definedName>
    <definedName function="false" hidden="false" name="z_I9KH3H0125_MO_OS_EBITmargin" vbProcedure="false">Model!$92:$92</definedName>
    <definedName function="false" hidden="false" name="z_I9KH3H0125_MO_OS_EMEALonglivedassets" vbProcedure="false">Model!$243:$243</definedName>
    <definedName function="false" hidden="false" name="z_I9KH3H0125_MO_OS_EMEArevenues" vbProcedure="false">Model!$128:$128</definedName>
    <definedName function="false" hidden="false" name="z_I9KH3H0125_MO_OS_EMEArevenuesinclNL" vbProcedure="false">Model!$223:$223</definedName>
    <definedName function="false" hidden="false" name="z_I9KH3H0125_MO_OS_EMEArevenuesmix" vbProcedure="false">Model!$232:$232</definedName>
    <definedName function="false" hidden="false" name="z_I9KH3H0125_MO_OS_EMEArevenues_1" vbProcedure="false">Model!$139:$139</definedName>
    <definedName function="false" hidden="false" name="z_I9KH3H0125_MO_OS_EMEArevenues_2" vbProcedure="false">Model!$219:$219</definedName>
    <definedName function="false" hidden="false" name="z_I9KH3H0125_MO_OS_EoPTotalDilutedOrdinarySharesOutstanding" vbProcedure="false">Model!$394:$394</definedName>
    <definedName function="false" hidden="false" name="z_I9KH3H0125_MO_OS_EUV3400Bunits" vbProcedure="false">Model!$8:$8</definedName>
    <definedName function="false" hidden="false" name="z_I9KH3H0125_MO_OS_EUV3400Cunits" vbProcedure="false">Model!$7:$7</definedName>
    <definedName function="false" hidden="false" name="z_I9KH3H0125_MO_OS_EUVBookings" vbProcedure="false">Model!$193:$193</definedName>
    <definedName function="false" hidden="false" name="z_I9KH3H0125_MO_OS_EUVBookingsasofNetBookings" vbProcedure="false">Model!$194:$194</definedName>
    <definedName function="false" hidden="false" name="z_I9KH3H0125_MO_OS_EUVpriceunit" vbProcedure="false">Model!$20:$20</definedName>
    <definedName function="false" hidden="false" name="z_I9KH3H0125_MO_OS_EUVsales" vbProcedure="false">Model!$33:$33</definedName>
    <definedName function="false" hidden="false" name="z_I9KH3H0125_MO_OS_EUVsalesgrowth" vbProcedure="false">Model!$43:$43</definedName>
    <definedName function="false" hidden="false" name="z_I9KH3H0125_MO_OS_EUVsales_1" vbProcedure="false">Model!$11:$11</definedName>
    <definedName function="false" hidden="false" name="z_I9KH3H0125_MO_OS_EUVsales_2" vbProcedure="false">Model!$53:$53</definedName>
    <definedName function="false" hidden="false" name="z_I9KH3H0125_MO_OS_Financereceivablesnet" vbProcedure="false">Model!$606:$606</definedName>
    <definedName function="false" hidden="false" name="z_I9KH3H0125_MO_OS_FinancereceivablesnetYYChange" vbProcedure="false">Model!$615:$615</definedName>
    <definedName function="false" hidden="false" name="z_I9KH3H0125_MO_OS_Foundrybookings" vbProcedure="false">Model!$196:$196</definedName>
    <definedName function="false" hidden="false" name="z_I9KH3H0125_MO_OS_Foundrybookings_1" vbProcedure="false">Model!$202:$202</definedName>
    <definedName function="false" hidden="false" name="z_I9KH3H0125_MO_OS_Foundryrevenueasaofbookings" vbProcedure="false">Model!$161:$161</definedName>
    <definedName function="false" hidden="false" name="z_I9KH3H0125_MO_OS_Foundrysales" vbProcedure="false">Model!$148:$148</definedName>
    <definedName function="false" hidden="false" name="z_I9KH3H0125_MO_OS_Foundrysales_1" vbProcedure="false">Model!$155:$155</definedName>
    <definedName function="false" hidden="false" name="z_I9KH3H0125_MO_OS_Foundrysales_2" vbProcedure="false">"Deleted"</definedName>
    <definedName function="false" hidden="false" name="z_I9KH3H0125_MO_OS_Generaladministrativeemployees" vbProcedure="false">Model!$261:$261</definedName>
    <definedName function="false" hidden="false" name="z_I9KH3H0125_MO_OS_GrossMargin" vbProcedure="false">Model!$74:$74</definedName>
    <definedName function="false" hidden="false" name="z_I9KH3H0125_MO_OS_Grossprofit" vbProcedure="false">Model!$72:$72</definedName>
    <definedName function="false" hidden="false" name="z_I9KH3H0125_MO_OS_IDMbookings" vbProcedure="false">Model!$197:$197</definedName>
    <definedName function="false" hidden="false" name="z_I9KH3H0125_MO_OS_IDMbookings_1" vbProcedure="false">Model!$203:$203</definedName>
    <definedName function="false" hidden="false" name="z_I9KH3H0125_MO_OS_IDMrevenueasaofbookings" vbProcedure="false">Model!$162:$162</definedName>
    <definedName function="false" hidden="false" name="z_I9KH3H0125_MO_OS_IDMsales" vbProcedure="false">Model!$149:$149</definedName>
    <definedName function="false" hidden="false" name="z_I9KH3H0125_MO_OS_IDMsales_1" vbProcedure="false">Model!$156:$156</definedName>
    <definedName function="false" hidden="false" name="z_I9KH3H0125_MO_OS_IDMsales_2" vbProcedure="false">"Deleted"</definedName>
    <definedName function="false" hidden="false" name="z_I9KH3H0125_MO_OS_ilinepriceunit" vbProcedure="false">"Deleted"</definedName>
    <definedName function="false" hidden="false" name="z_I9KH3H0125_MO_OS_ilinesales" vbProcedure="false">Model!$37:$37</definedName>
    <definedName function="false" hidden="false" name="z_I9KH3H0125_MO_OS_ilinesalesgrowth" vbProcedure="false">Model!$47:$47</definedName>
    <definedName function="false" hidden="false" name="z_I9KH3H0125_MO_OS_ilinesales_1" vbProcedure="false">Model!$15:$15</definedName>
    <definedName function="false" hidden="false" name="z_I9KH3H0125_MO_OS_ilinesales_2" vbProcedure="false">Model!$57:$57</definedName>
    <definedName function="false" hidden="false" name="z_I9KH3H0125_MO_OS_ilineunitprice" vbProcedure="false">Model!$28:$28</definedName>
    <definedName function="false" hidden="false" name="z_I9KH3H0125_MO_OS_Installedbasemanagementsales" vbProcedure="false">Model!$147:$147</definedName>
    <definedName function="false" hidden="false" name="z_I9KH3H0125_MO_OS_Installedbasemanagementsales_1" vbProcedure="false">Model!$154:$154</definedName>
    <definedName function="false" hidden="false" name="z_I9KH3H0125_MO_OS_Inventoriesnet" vbProcedure="false">Model!$607:$607</definedName>
    <definedName function="false" hidden="false" name="z_I9KH3H0125_MO_OS_InventoriesnetYYChange" vbProcedure="false">Model!$616:$616</definedName>
    <definedName function="false" hidden="false" name="z_I9KH3H0125_MO_OS_JapanLonglivedassets" vbProcedure="false">Model!$236:$236</definedName>
    <definedName function="false" hidden="false" name="z_I9KH3H0125_MO_OS_Japanrevenues" vbProcedure="false">Model!$130:$130</definedName>
    <definedName function="false" hidden="false" name="z_I9KH3H0125_MO_OS_Japanrevenuesmix" vbProcedure="false">Model!$225:$225</definedName>
    <definedName function="false" hidden="false" name="z_I9KH3H0125_MO_OS_Japanrevenues_1" vbProcedure="false">Model!$141:$141</definedName>
    <definedName function="false" hidden="false" name="z_I9KH3H0125_MO_OS_Japanrevenues_2" vbProcedure="false">Model!$212:$212</definedName>
    <definedName function="false" hidden="false" name="z_I9KH3H0125_MO_OS_KoreaLonglivedassets" vbProcedure="false">Model!$237:$237</definedName>
    <definedName function="false" hidden="false" name="z_I9KH3H0125_MO_OS_Korearevenues" vbProcedure="false">Model!$126:$126</definedName>
    <definedName function="false" hidden="false" name="z_I9KH3H0125_MO_OS_Korearevenuesmix" vbProcedure="false">Model!$226:$226</definedName>
    <definedName function="false" hidden="false" name="z_I9KH3H0125_MO_OS_Korearevenues_1" vbProcedure="false">Model!$137:$137</definedName>
    <definedName function="false" hidden="false" name="z_I9KH3H0125_MO_OS_Korearevenues_2" vbProcedure="false">Model!$213:$213</definedName>
    <definedName function="false" hidden="false" name="z_I9KH3H0125_MO_OS_KrFpriceunit" vbProcedure="false">"Deleted"</definedName>
    <definedName function="false" hidden="false" name="z_I9KH3H0125_MO_OS_KrFsales" vbProcedure="false">Model!$36:$36</definedName>
    <definedName function="false" hidden="false" name="z_I9KH3H0125_MO_OS_KrFsalesgrowth" vbProcedure="false">Model!$46:$46</definedName>
    <definedName function="false" hidden="false" name="z_I9KH3H0125_MO_OS_KrFsales_1" vbProcedure="false">Model!$14:$14</definedName>
    <definedName function="false" hidden="false" name="z_I9KH3H0125_MO_OS_KrFsales_2" vbProcedure="false">Model!$56:$56</definedName>
    <definedName function="false" hidden="false" name="z_I9KH3H0125_MO_OS_KrFunitprice" vbProcedure="false">Model!$26:$26</definedName>
    <definedName function="false" hidden="false" name="z_I9KH3H0125_MO_OS_LogicNetsystemsales" vbProcedure="false">Model!$117:$117</definedName>
    <definedName function="false" hidden="false" name="z_I9KH3H0125_MO_OS_Logicnetsystemsalesasoftotalnetsystemsales" vbProcedure="false">Model!$121:$121</definedName>
    <definedName function="false" hidden="false" name="z_I9KH3H0125_MO_OS_LogicNetsystemsalesinunits" vbProcedure="false">Model!$175:$175</definedName>
    <definedName function="false" hidden="false" name="z_I9KH3H0125_MO_OS_LTMNetsystemsbookings" vbProcedure="false">Model!$185:$185</definedName>
    <definedName function="false" hidden="false" name="z_I9KH3H0125_MO_OS_Manufacturingandsupplychainmanagementemployees" vbProcedure="false">Model!$259:$259</definedName>
    <definedName function="false" hidden="false" name="z_I9KH3H0125_MO_OS_Memorybookings" vbProcedure="false">Model!$199:$199</definedName>
    <definedName function="false" hidden="false" name="z_I9KH3H0125_MO_OS_Memorybookings_1" vbProcedure="false">Model!$205:$205</definedName>
    <definedName function="false" hidden="false" name="z_I9KH3H0125_MO_OS_MemoryNetsystemsales" vbProcedure="false">Model!$118:$118</definedName>
    <definedName function="false" hidden="false" name="z_I9KH3H0125_MO_OS_Memorynetsystemsalesasoftotalnetsystemsales" vbProcedure="false">Model!$122:$122</definedName>
    <definedName function="false" hidden="false" name="z_I9KH3H0125_MO_OS_MemoryNetsystemsalesinunits" vbProcedure="false">Model!$176:$176</definedName>
    <definedName function="false" hidden="false" name="z_I9KH3H0125_MO_OS_Memorysales" vbProcedure="false">Model!$151:$151</definedName>
    <definedName function="false" hidden="false" name="z_I9KH3H0125_MO_OS_Memorysales_1" vbProcedure="false">Model!$158:$158</definedName>
    <definedName function="false" hidden="false" name="z_I9KH3H0125_MO_OS_Memorysales_2" vbProcedure="false">"Deleted"</definedName>
    <definedName function="false" hidden="false" name="z_I9KH3H0125_MO_OS_MetrologyInspectionpriceunit" vbProcedure="false">Model!$30:$30</definedName>
    <definedName function="false" hidden="false" name="z_I9KH3H0125_MO_OS_MetrologyInspectionsales" vbProcedure="false">Model!$38:$38</definedName>
    <definedName function="false" hidden="false" name="z_I9KH3H0125_MO_OS_MetrologyInspectionsalesgrowth" vbProcedure="false">Model!$48:$48</definedName>
    <definedName function="false" hidden="false" name="z_I9KH3H0125_MO_OS_MetrologyInspectionsales_1" vbProcedure="false">Model!$17:$17</definedName>
    <definedName function="false" hidden="false" name="z_I9KH3H0125_MO_OS_MetrologyInspectionsales_2" vbProcedure="false">Model!$58:$58</definedName>
    <definedName function="false" hidden="false" name="z_I9KH3H0125_MO_OS_MetrologyInspectionunitpricegrowth" vbProcedure="false">Model!$31:$31</definedName>
    <definedName function="false" hidden="false" name="z_I9KH3H0125_MO_OS_Netbookings" vbProcedure="false">Model!$189:$189</definedName>
    <definedName function="false" hidden="false" name="z_I9KH3H0125_MO_OS_NetherlandsLonglivedassets" vbProcedure="false">Model!$242:$242</definedName>
    <definedName function="false" hidden="false" name="z_I9KH3H0125_MO_OS_Netherlandsrevenues" vbProcedure="false">Model!$133:$133</definedName>
    <definedName function="false" hidden="false" name="z_I9KH3H0125_MO_OS_Netherlandsrevenuesmix" vbProcedure="false">Model!$231:$231</definedName>
    <definedName function="false" hidden="false" name="z_I9KH3H0125_MO_OS_Netherlandsrevenues_1" vbProcedure="false">Model!$144:$144</definedName>
    <definedName function="false" hidden="false" name="z_I9KH3H0125_MO_OS_Netherlandsrevenues_2" vbProcedure="false">Model!$218:$218</definedName>
    <definedName function="false" hidden="false" name="z_I9KH3H0125_MO_OS_Netlithographysystemsbookings" vbProcedure="false">Model!$182:$182</definedName>
    <definedName function="false" hidden="false" name="z_I9KH3H0125_MO_OS_Netlithographysystemssold" vbProcedure="false">Model!$173:$173</definedName>
    <definedName function="false" hidden="false" name="z_I9KH3H0125_MO_OS_Netserviceandfieldoptionsales" vbProcedure="false">Model!$40:$40</definedName>
    <definedName function="false" hidden="false" name="z_I9KH3H0125_MO_OS_Netserviceandfieldoptionsalesgrowth" vbProcedure="false">Model!$50:$50</definedName>
    <definedName function="false" hidden="false" name="z_I9KH3H0125_MO_OS_Netsystemsales_1" vbProcedure="false">Model!$168:$168</definedName>
    <definedName function="false" hidden="false" name="z_I9KH3H0125_MO_OS_Newlithographysystemsbookings" vbProcedure="false">Model!$180:$180</definedName>
    <definedName function="false" hidden="false" name="z_I9KH3H0125_MO_OS_Newlithographysystemssold" vbProcedure="false">Model!$171:$171</definedName>
    <definedName function="false" hidden="false" name="z_I9KH3H0125_MO_OS_Newsystems" vbProcedure="false">Model!$166:$166</definedName>
    <definedName function="false" hidden="false" name="z_I9KH3H0125_MO_OS_Newsystemsbookings" vbProcedure="false">Model!$187:$187</definedName>
    <definedName function="false" hidden="false" name="z_I9KH3H0125_MO_OS_Numberofpayrollemployees" vbProcedure="false">Model!$254:$254</definedName>
    <definedName function="false" hidden="false" name="z_I9KH3H0125_MO_OS_Numberoftemporaryemployees" vbProcedure="false">Model!$255:$255</definedName>
    <definedName function="false" hidden="false" name="z_I9KH3H0125_MO_OS_OrdinarySharesOutstandingEoP" vbProcedure="false">Model!$380:$380</definedName>
    <definedName function="false" hidden="false" name="z_I9KH3H0125_MO_OS_Otherassets" vbProcedure="false">Model!$608:$608</definedName>
    <definedName function="false" hidden="false" name="z_I9KH3H0125_MO_OS_OtherassetsYYChange" vbProcedure="false">Model!$617:$617</definedName>
    <definedName function="false" hidden="false" name="z_I9KH3H0125_MO_OS_OtherDA" vbProcedure="false">Model!$112:$112</definedName>
    <definedName function="false" hidden="false" name="z_I9KH3H0125_MO_OS_Other_3" vbProcedure="false">Model!$88:$88</definedName>
    <definedName function="false" hidden="false" name="z_I9KH3H0125_MO_OS_Pensionandretirementexpenses" vbProcedure="false">Model!$250:$250</definedName>
    <definedName function="false" hidden="false" name="z_I9KH3H0125_MO_OS_QQbasicshareexpansionEoP" vbProcedure="false">Model!$385:$385</definedName>
    <definedName function="false" hidden="false" name="z_I9KH3H0125_MO_OS_QQbasicshareexpansionfromdilutivesecurities" vbProcedure="false">Model!$381:$381</definedName>
    <definedName function="false" hidden="false" name="z_I9KH3H0125_MO_OS_QQbasicshareexpansionfromshareissuancebuyback" vbProcedure="false">Model!$383:$383</definedName>
    <definedName function="false" hidden="false" name="z_I9KH3H0125_MO_OS_QQNetsystemsbookingsgrowth" vbProcedure="false">Model!$183:$183</definedName>
    <definedName function="false" hidden="false" name="z_I9KH3H0125_MO_OS_RD" vbProcedure="false">Model!$78:$78</definedName>
    <definedName function="false" hidden="false" name="z_I9KH3H0125_MO_OS_RDmargin" vbProcedure="false">Model!$80:$80</definedName>
    <definedName function="false" hidden="false" name="z_I9KH3H0125_MO_OS_Recognizedrevenueasofbookings" vbProcedure="false">Model!$191:$191</definedName>
    <definedName function="false" hidden="false" name="z_I9KH3H0125_MO_OS_RemainingperformanceobligationsRPOs" vbProcedure="false">Model!$209:$209</definedName>
    <definedName function="false" hidden="false" name="z_I9KH3H0125_MO_OS_Researchanddevelopmentemployees" vbProcedure="false">Model!$263:$263</definedName>
    <definedName function="false" hidden="false" name="z_I9KH3H0125_MO_OS_RestofAsiaLonglivedassets" vbProcedure="false">Model!$241:$241</definedName>
    <definedName function="false" hidden="false" name="z_I9KH3H0125_MO_OS_RestofAsiarevenues" vbProcedure="false">Model!$129:$129</definedName>
    <definedName function="false" hidden="false" name="z_I9KH3H0125_MO_OS_RestofAsiarevenuesmix" vbProcedure="false">Model!$230:$230</definedName>
    <definedName function="false" hidden="false" name="z_I9KH3H0125_MO_OS_RestofAsiarevenues_1" vbProcedure="false">Model!$140:$140</definedName>
    <definedName function="false" hidden="false" name="z_I9KH3H0125_MO_OS_RestofAsiarevenues_2" vbProcedure="false">Model!$217:$217</definedName>
    <definedName function="false" hidden="false" name="z_I9KH3H0125_MO_OS_Revenue" vbProcedure="false">Model!$70:$70</definedName>
    <definedName function="false" hidden="false" name="z_I9KH3H0125_MO_OS_Salesandmatureproductsandservicesemployees" vbProcedure="false">Model!$262:$262</definedName>
    <definedName function="false" hidden="false" name="z_I9KH3H0125_MO_OS_Salestolargestcustomerasaoftotalnetsales" vbProcedure="false">Model!$272:$272</definedName>
    <definedName function="false" hidden="false" name="z_I9KH3H0125_MO_OS_Salestosecondlargestcustomerasaoftotalnetsales" vbProcedure="false">Model!$273:$273</definedName>
    <definedName function="false" hidden="false" name="z_I9KH3H0125_MO_OS_Salestotwolargestcustomersasaoftotalnetsales" vbProcedure="false">Model!$274:$274</definedName>
    <definedName function="false" hidden="false" name="z_I9KH3H0125_MO_OS_SGA" vbProcedure="false">Model!$83:$83</definedName>
    <definedName function="false" hidden="false" name="z_I9KH3H0125_MO_OS_SGAmargin" vbProcedure="false">Model!$85:$85</definedName>
    <definedName function="false" hidden="false" name="z_I9KH3H0125_MO_OS_Sharebasedpayments" vbProcedure="false">Model!$251:$251</definedName>
    <definedName function="false" hidden="false" name="z_I9KH3H0125_MO_OS_SingaporeLonglivedassets" vbProcedure="false">Model!$238:$238</definedName>
    <definedName function="false" hidden="false" name="z_I9KH3H0125_MO_OS_Singaporerevenues" vbProcedure="false">Model!$132:$132</definedName>
    <definedName function="false" hidden="false" name="z_I9KH3H0125_MO_OS_Singaporerevenuesmix" vbProcedure="false">Model!$227:$227</definedName>
    <definedName function="false" hidden="false" name="z_I9KH3H0125_MO_OS_Singaporerevenues_1" vbProcedure="false">Model!$143:$143</definedName>
    <definedName function="false" hidden="false" name="z_I9KH3H0125_MO_OS_Singaporerevenues_2" vbProcedure="false">Model!$214:$214</definedName>
    <definedName function="false" hidden="false" name="z_I9KH3H0125_MO_OS_Socialsecurityexpenses" vbProcedure="false">Model!$249:$249</definedName>
    <definedName function="false" hidden="false" name="z_I9KH3H0125_MO_OS_Strategicsupplymanagementemployees" vbProcedure="false">Model!$260:$260</definedName>
    <definedName function="false" hidden="false" name="z_I9KH3H0125_MO_OS_Systemsbacklog" vbProcedure="false">Model!$208:$208</definedName>
    <definedName function="false" hidden="false" name="z_I9KH3H0125_MO_OS_TaiwanLonglivedassets" vbProcedure="false">Model!$239:$239</definedName>
    <definedName function="false" hidden="false" name="z_I9KH3H0125_MO_OS_Taiwanrevenues" vbProcedure="false">Model!$125:$125</definedName>
    <definedName function="false" hidden="false" name="z_I9KH3H0125_MO_OS_Taiwanrevenuesmix" vbProcedure="false">Model!$228:$228</definedName>
    <definedName function="false" hidden="false" name="z_I9KH3H0125_MO_OS_Taiwanrevenues_1" vbProcedure="false">Model!$136:$136</definedName>
    <definedName function="false" hidden="false" name="z_I9KH3H0125_MO_OS_Taiwanrevenues_2" vbProcedure="false">Model!$215:$215</definedName>
    <definedName function="false" hidden="false" name="z_I9KH3H0125_MO_OS_Temporaryemployees" vbProcedure="false">Model!$265:$265</definedName>
    <definedName function="false" hidden="false" name="z_I9KH3H0125_MO_OS_Totalbookings" vbProcedure="false">Model!$200:$200</definedName>
    <definedName function="false" hidden="false" name="z_I9KH3H0125_MO_OS_Totalbookings_1" vbProcedure="false">Model!$206:$206</definedName>
    <definedName function="false" hidden="false" name="z_I9KH3H0125_MO_OS_TotalDA" vbProcedure="false">Model!$113:$113</definedName>
    <definedName function="false" hidden="false" name="z_I9KH3H0125_MO_OS_Totalemployeecount" vbProcedure="false">Model!$256:$256</definedName>
    <definedName function="false" hidden="false" name="z_I9KH3H0125_MO_OS_Totalemployees" vbProcedure="false">Model!$264:$264</definedName>
    <definedName function="false" hidden="false" name="z_I9KH3H0125_MO_OS_TotalLogicbookings" vbProcedure="false">Model!$198:$198</definedName>
    <definedName function="false" hidden="false" name="z_I9KH3H0125_MO_OS_TotalLogicbookings_1" vbProcedure="false">Model!$204:$204</definedName>
    <definedName function="false" hidden="false" name="z_I9KH3H0125_MO_OS_Totallogicrevenueasaofbookings" vbProcedure="false">Model!$163:$163</definedName>
    <definedName function="false" hidden="false" name="z_I9KH3H0125_MO_OS_TotalLogicsales" vbProcedure="false">Model!$157:$157</definedName>
    <definedName function="false" hidden="false" name="z_I9KH3H0125_MO_OS_TotalLogicsales_1" vbProcedure="false">"Deleted"</definedName>
    <definedName function="false" hidden="false" name="z_I9KH3H0125_MO_OS_TotalLonglivedassets" vbProcedure="false">Model!$245:$245</definedName>
    <definedName function="false" hidden="false" name="z_I9KH3H0125_MO_OS_Totalmemoryrevenueasaofbookings" vbProcedure="false">Model!$164:$164</definedName>
    <definedName function="false" hidden="false" name="z_I9KH3H0125_MO_OS_Totalnetsales" vbProcedure="false">Model!$152:$152</definedName>
    <definedName function="false" hidden="false" name="z_I9KH3H0125_MO_OS_Totalnetsales_1" vbProcedure="false">Model!$159:$159</definedName>
    <definedName function="false" hidden="false" name="z_I9KH3H0125_MO_OS_Totalnetsystemsales" vbProcedure="false">Model!$39:$39</definedName>
    <definedName function="false" hidden="false" name="z_I9KH3H0125_MO_OS_Totalnetsystemsalesbyenduse" vbProcedure="false">Model!$123:$123</definedName>
    <definedName function="false" hidden="false" name="z_I9KH3H0125_MO_OS_Totalnetsystemsalesgrowth" vbProcedure="false">Model!$49:$49</definedName>
    <definedName function="false" hidden="false" name="z_I9KH3H0125_MO_OS_TotalNetsystemsalesinunits" vbProcedure="false">Model!$177:$177</definedName>
    <definedName function="false" hidden="false" name="z_I9KH3H0125_MO_OS_Totalnetsystemsales_1" vbProcedure="false">Model!$18:$18</definedName>
    <definedName function="false" hidden="false" name="z_I9KH3H0125_MO_OS_Totalnetsystemsales_2" vbProcedure="false">Model!$59:$59</definedName>
    <definedName function="false" hidden="false" name="z_I9KH3H0125_MO_OS_Totalnetsystemsales_3" vbProcedure="false">"Deleted"</definedName>
    <definedName function="false" hidden="false" name="z_I9KH3H0125_MO_OS_TotalNetsystemsales_5" vbProcedure="false">Model!$119:$119</definedName>
    <definedName function="false" hidden="false" name="z_I9KH3H0125_MO_OS_Totalpayrollemployees" vbProcedure="false">Model!$266:$266</definedName>
    <definedName function="false" hidden="false" name="z_I9KH3H0125_MO_OS_Totalpersonnelexpenses" vbProcedure="false">Model!$252:$252</definedName>
    <definedName function="false" hidden="false" name="z_I9KH3H0125_MO_OS_TotalRevenueGrowth" vbProcedure="false">Model!$51:$51</definedName>
    <definedName function="false" hidden="false" name="z_I9KH3H0125_MO_OS_TotalRevenues" vbProcedure="false">Model!$41:$41</definedName>
    <definedName function="false" hidden="false" name="z_I9KH3H0125_MO_OS_Totalrevenuesmix" vbProcedure="false">Model!$234:$234</definedName>
    <definedName function="false" hidden="false" name="z_I9KH3H0125_MO_OS_TotalRevenues_1" vbProcedure="false">Model!$134:$134</definedName>
    <definedName function="false" hidden="false" name="z_I9KH3H0125_MO_OS_TotalRevenues_2" vbProcedure="false">Model!$145:$145</definedName>
    <definedName function="false" hidden="false" name="z_I9KH3H0125_MO_OS_Totalrevenues_3" vbProcedure="false">Model!$221:$221</definedName>
    <definedName function="false" hidden="false" name="z_I9KH3H0125_MO_OS_UnitedStatesLonglivedassets" vbProcedure="false">Model!$244:$244</definedName>
    <definedName function="false" hidden="false" name="z_I9KH3H0125_MO_OS_UnitedStatesrevenues" vbProcedure="false">Model!$127:$127</definedName>
    <definedName function="false" hidden="false" name="z_I9KH3H0125_MO_OS_UnitedStatesrevenuesmix" vbProcedure="false">Model!$233:$233</definedName>
    <definedName function="false" hidden="false" name="z_I9KH3H0125_MO_OS_UnitedStatesrevenues_1" vbProcedure="false">Model!$138:$138</definedName>
    <definedName function="false" hidden="false" name="z_I9KH3H0125_MO_OS_UnitedStatesrevenues_2" vbProcedure="false">Model!$220:$220</definedName>
    <definedName function="false" hidden="false" name="z_I9KH3H0125_MO_OS_Usedlithographysystemsbookings" vbProcedure="false">Model!$181:$181</definedName>
    <definedName function="false" hidden="false" name="z_I9KH3H0125_MO_OS_Usedlithographysystemssold" vbProcedure="false">Model!$172:$172</definedName>
    <definedName function="false" hidden="false" name="z_I9KH3H0125_MO_OS_Usedsystemnsbookings" vbProcedure="false">Model!$188:$188</definedName>
    <definedName function="false" hidden="false" name="z_I9KH3H0125_MO_OS_Usedsystems" vbProcedure="false">Model!$167:$167</definedName>
    <definedName function="false" hidden="false" name="z_I9KH3H0125_MO_OS_Wagesandsalaries" vbProcedure="false">Model!$248:$248</definedName>
    <definedName function="false" hidden="false" name="z_I9KH3H0125_MO_OS_YoYnetbookingsgrowth" vbProcedure="false">Model!$190:$190</definedName>
    <definedName function="false" hidden="false" name="z_I9KH3H0125_MO_OS_YTDTotalLogicsales" vbProcedure="false">Model!$150:$150</definedName>
    <definedName function="false" hidden="false" name="z_I9KH3H0125_MO_OS_YYArFiunitpricegrowth" vbProcedure="false">Model!$23:$23</definedName>
    <definedName function="false" hidden="false" name="z_I9KH3H0125_MO_OS_YYArFunitpricegrowth" vbProcedure="false">Model!$25:$25</definedName>
    <definedName function="false" hidden="false" name="z_I9KH3H0125_MO_OS_YYbasicshareexpansionEoP" vbProcedure="false">Model!$386:$386</definedName>
    <definedName function="false" hidden="false" name="z_I9KH3H0125_MO_OS_YYbasicshareexpansionfromdilutivesecurities" vbProcedure="false">Model!$382:$382</definedName>
    <definedName function="false" hidden="false" name="z_I9KH3H0125_MO_OS_YYbasicshareexpansionfromshareissuancebuyback" vbProcedure="false">Model!$384:$384</definedName>
    <definedName function="false" hidden="false" name="z_I9KH3H0125_MO_OS_YYEBITDAgrowth" vbProcedure="false">Model!$99:$99</definedName>
    <definedName function="false" hidden="false" name="z_I9KH3H0125_MO_OS_YYEBITDAmarginimprovement" vbProcedure="false">Model!$101:$101</definedName>
    <definedName function="false" hidden="false" name="z_I9KH3H0125_MO_OS_YYEBITgrowth" vbProcedure="false">Model!$91:$91</definedName>
    <definedName function="false" hidden="false" name="z_I9KH3H0125_MO_OS_YYEBITmarginimprovement" vbProcedure="false">Model!$94:$94</definedName>
    <definedName function="false" hidden="false" name="z_I9KH3H0125_MO_OS_YYEUVunitpricegrowth" vbProcedure="false">Model!$21:$21</definedName>
    <definedName function="false" hidden="false" name="z_I9KH3H0125_MO_OS_YYGrossMarginimprovement" vbProcedure="false">Model!$76:$76</definedName>
    <definedName function="false" hidden="false" name="z_I9KH3H0125_MO_OS_YYGrossProfitgrowth" vbProcedure="false">Model!$73:$73</definedName>
    <definedName function="false" hidden="false" name="z_I9KH3H0125_MO_OS_YYilineunitpricegrowth" vbProcedure="false">Model!$29:$29</definedName>
    <definedName function="false" hidden="false" name="z_I9KH3H0125_MO_OS_YYKrFunitpricegrowth" vbProcedure="false">Model!$27:$27</definedName>
    <definedName function="false" hidden="false" name="z_I9KH3H0125_MO_OS_YYNetsystemsbookingsgrowth" vbProcedure="false">Model!$184:$184</definedName>
    <definedName function="false" hidden="false" name="z_I9KH3H0125_MO_OS_YYRDgrowth" vbProcedure="false">Model!$79:$79</definedName>
    <definedName function="false" hidden="false" name="z_I9KH3H0125_MO_OS_YYRDmarginimprovement" vbProcedure="false">Model!$81:$81</definedName>
    <definedName function="false" hidden="false" name="z_I9KH3H0125_MO_OS_YYSGAgrowth" vbProcedure="false">Model!$84:$84</definedName>
    <definedName function="false" hidden="false" name="z_I9KH3H0125_MO_OS_YYSGAmarginimprovement" vbProcedure="false">Model!$86:$86</definedName>
    <definedName function="false" hidden="false" name="z_I9KH3H0125_MO_RIS_AdjustedEarningsPerShareWAD" vbProcedure="false">Model!$372:$372</definedName>
    <definedName function="false" hidden="false" name="z_I9KH3H0125_MO_RIS_AdjustedEBITDANoAdjustments" vbProcedure="false">Model!$345:$345</definedName>
    <definedName function="false" hidden="false" name="z_I9KH3H0125_MO_RIS_AdjustedEBITNoAdjustments" vbProcedure="false">Model!$339:$339</definedName>
    <definedName function="false" hidden="false" name="z_I9KH3H0125_MO_RIS_AdjustedNetIncome" vbProcedure="false">Model!$365:$365</definedName>
    <definedName function="false" hidden="false" name="z_I9KH3H0125_MO_RIS_AdjustedSharesOutstandingWAD" vbProcedure="false">Model!$377:$377</definedName>
    <definedName function="false" hidden="false" name="z_I9KH3H0125_MO_RIS_AdjustmentsforConvertibleSecurities" vbProcedure="false">Model!$361:$361</definedName>
    <definedName function="false" hidden="false" name="z_I9KH3H0125_MO_RIS_COGS_1" vbProcedure="false">Model!$332:$332</definedName>
    <definedName function="false" hidden="false" name="z_I9KH3H0125_MO_RIS_ConsensusEstimatesAdjustedEarningsPerShareWAD" vbProcedure="false">Model!$373:$373</definedName>
    <definedName function="false" hidden="false" name="z_I9KH3H0125_MO_RIS_ConsensusEstimatesAdjustedEBITDA" vbProcedure="false">Model!$346:$346</definedName>
    <definedName function="false" hidden="false" name="z_I9KH3H0125_MO_RIS_ConsensusEstimatesAdjustedEBIT_1" vbProcedure="false">Model!$340:$340</definedName>
    <definedName function="false" hidden="false" name="z_I9KH3H0125_MO_RIS_ConsensusEstimatesNetRevenue" vbProcedure="false">Model!$330:$330</definedName>
    <definedName function="false" hidden="false" name="z_I9KH3H0125_MO_RIS_Currenttax" vbProcedure="false">Model!$354:$354</definedName>
    <definedName function="false" hidden="false" name="z_I9KH3H0125_MO_RIS_Currenttaxrate" vbProcedure="false">Model!$367:$367</definedName>
    <definedName function="false" hidden="false" name="z_I9KH3H0125_MO_RIS_DA" vbProcedure="false">Model!$342:$342</definedName>
    <definedName function="false" hidden="false" name="z_I9KH3H0125_MO_RIS_Deferredtax" vbProcedure="false">Model!$355:$355</definedName>
    <definedName function="false" hidden="false" name="z_I9KH3H0125_MO_RIS_Deferredtaxrate" vbProcedure="false">Model!$368:$368</definedName>
    <definedName function="false" hidden="false" name="z_I9KH3H0125_MO_RIS_DilutedNetIncometoCommonShareholders" vbProcedure="false">Model!$362:$362</definedName>
    <definedName function="false" hidden="false" name="z_I9KH3H0125_MO_RIS_DiscontinuedOperations" vbProcedure="false">Model!$357:$357</definedName>
    <definedName function="false" hidden="false" name="z_I9KH3H0125_MO_RIS_EarningsPerShareWAB" vbProcedure="false">Model!$370:$370</definedName>
    <definedName function="false" hidden="false" name="z_I9KH3H0125_MO_RIS_EarningsPerShareWAD" vbProcedure="false">Model!$371:$371</definedName>
    <definedName function="false" hidden="false" name="z_I9KH3H0125_MO_RIS_EarningstoPreferredandOtherSecurities" vbProcedure="false">Model!$359:$359</definedName>
    <definedName function="false" hidden="false" name="z_I9KH3H0125_MO_RIS_EBITDA" vbProcedure="false">Model!$344:$344</definedName>
    <definedName function="false" hidden="false" name="z_I9KH3H0125_MO_RIS_EBITDA_1" vbProcedure="false">"Deleted"</definedName>
    <definedName function="false" hidden="false" name="z_I9KH3H0125_MO_RIS_EBIT_2" vbProcedure="false">Model!$338:$338</definedName>
    <definedName function="false" hidden="false" name="z_I9KH3H0125_MO_RIS_EBT" vbProcedure="false">Model!$352:$352</definedName>
    <definedName function="false" hidden="false" name="z_I9KH3H0125_MO_RIS_GrossProfit" vbProcedure="false">Model!$333:$333</definedName>
    <definedName function="false" hidden="false" name="z_I9KH3H0125_MO_RIS_Incomefromequitymethodinvestments" vbProcedure="false">Model!$349:$349</definedName>
    <definedName function="false" hidden="false" name="z_I9KH3H0125_MO_RIS_Interestexpense" vbProcedure="false">Model!$348:$348</definedName>
    <definedName function="false" hidden="false" name="z_I9KH3H0125_MO_RIS_NetIncomefromContinuedOperation" vbProcedure="false">Model!$356:$356</definedName>
    <definedName function="false" hidden="false" name="z_I9KH3H0125_MO_RIS_NetIncometoCommonShareholders" vbProcedure="false">Model!$360:$360</definedName>
    <definedName function="false" hidden="false" name="z_I9KH3H0125_MO_RIS_NetIncometoNCI" vbProcedure="false">Model!$358:$358</definedName>
    <definedName function="false" hidden="false" name="z_I9KH3H0125_MO_RIS_NetRevenue" vbProcedure="false">Model!$329:$329</definedName>
    <definedName function="false" hidden="false" name="z_I9KH3H0125_MO_RIS_NonGAAPAdjustments" vbProcedure="false">Model!$363:$363</definedName>
    <definedName function="false" hidden="false" name="z_I9KH3H0125_MO_RIS_NonGAAPAdjustmentsforDilutiveSecurities" vbProcedure="false">Model!$364:$364</definedName>
    <definedName function="false" hidden="false" name="z_I9KH3H0125_MO_RIS_Onetimeitem" vbProcedure="false">Model!$351:$351</definedName>
    <definedName function="false" hidden="false" name="z_I9KH3H0125_MO_RIS_Otheritems" vbProcedure="false">Model!$350:$350</definedName>
    <definedName function="false" hidden="false" name="z_I9KH3H0125_MO_RIS_Other_1" vbProcedure="false">Model!$337:$337</definedName>
    <definedName function="false" hidden="false" name="z_I9KH3H0125_MO_RIS_RD_1" vbProcedure="false">Model!$335:$335</definedName>
    <definedName function="false" hidden="false" name="z_I9KH3H0125_MO_RIS_SBC" vbProcedure="false">Model!$343:$343</definedName>
    <definedName function="false" hidden="false" name="z_I9KH3H0125_MO_RIS_SGA" vbProcedure="false">Model!$336:$336</definedName>
    <definedName function="false" hidden="false" name="z_I9KH3H0125_MO_RIS_SharesOutstandingWAB" vbProcedure="false">Model!$375:$375</definedName>
    <definedName function="false" hidden="false" name="z_I9KH3H0125_MO_RIS_SharesOutstandingWAD" vbProcedure="false">Model!$376:$376</definedName>
    <definedName function="false" hidden="false" name="z_I9KH3H0125_MO_Section_AN_AdjustedNumbers" vbProcedure="false">"Deleted"</definedName>
    <definedName function="false" hidden="false" name="z_I9KH3H0125_MO_Section_AN_AdjustedNumbersAsReported" vbProcedure="false">"Deleted"</definedName>
    <definedName function="false" hidden="false" name="z_I9KH3H0125_MO_Section_BSS_BalanceSheetSummary" vbProcedure="false">Model!$426:$426</definedName>
    <definedName function="false" hidden="false" name="z_I9KH3H0125_MO_Section_BS_BalanceSheet" vbProcedure="false">Model!$623:$623</definedName>
    <definedName function="false" hidden="false" name="z_I9KH3H0125_MO_Section_BS_ModelChecks" vbProcedure="false">Model!$687:$687</definedName>
    <definedName function="false" hidden="false" name="z_I9KH3H0125_MO_Section_CCFS_CumulativeCashFlowStatement" vbProcedure="false">Model!$468:$468</definedName>
    <definedName function="false" hidden="false" name="z_I9KH3H0125_MO_Section_CFSum_CashFlowSummary" vbProcedure="false">Model!$396:$396</definedName>
    <definedName function="false" hidden="false" name="z_I9KH3H0125_MO_Section_CFS_CashFlowStatement" vbProcedure="false">Model!$524:$524</definedName>
    <definedName function="false" hidden="false" name="z_I9KH3H0125_MO_Section_DAF_DAForecasting" vbProcedure="false">Model!$582:$582</definedName>
    <definedName function="false" hidden="false" name="z_I9KH3H0125_MO_Section_IS_IncomeStatement" vbProcedure="false">Model!$297:$297</definedName>
    <definedName function="false" hidden="false" name="z_I9KH3H0125_MO_Section_MA_MarginAnalysis" vbProcedure="false">Model!$276:$276</definedName>
    <definedName function="false" hidden="false" name="z_I9KH3H0125_MO_Section_OS_AdjustedNumbersAsReported" vbProcedure="false">Model!$322:$322</definedName>
    <definedName function="false" hidden="false" name="z_I9KH3H0125_MO_Section_OS_GrowthAnalysis" vbProcedure="false">Model!$6:$6</definedName>
    <definedName function="false" hidden="false" name="z_I9KH3H0125_MO_Section_OS_KeyMetricsBookingsPRIP" vbProcedure="false">Model!$179:$179</definedName>
    <definedName function="false" hidden="false" name="z_I9KH3H0125_MO_Section_OS_KeyMetricsCustomerConcentrationFS" vbProcedure="false">Model!$271:$271</definedName>
    <definedName function="false" hidden="false" name="z_I9KH3H0125_MO_Section_OS_KeyMetricsNetSystemSalesBreakdownIP" vbProcedure="false">Model!$116:$116</definedName>
    <definedName function="false" hidden="false" name="z_I9KH3H0125_MO_Section_OS_KeyMetricsPersonnelexpensesFS" vbProcedure="false">Model!$247:$247</definedName>
    <definedName function="false" hidden="false" name="z_I9KH3H0125_MO_Section_OS_KeyMetricsPR" vbProcedure="false">"Deleted"</definedName>
    <definedName function="false" hidden="false" name="z_I9KH3H0125_MO_Section_OS_KeyMetricsUnitsSoldPRIP" vbProcedure="false">Model!$170:$170</definedName>
    <definedName function="false" hidden="false" name="z_I9KH3H0125_MO_Section_OS_OperatingExpenseForecasting" vbProcedure="false">Model!$69:$69</definedName>
    <definedName function="false" hidden="false" name="z_I9KH3H0125_MO_Section_OS_SBCandDABreakdownFS" vbProcedure="false">Model!$103:$103</definedName>
    <definedName function="false" hidden="false" name="z_I9KH3H0125_MO_Section_OS_SegmentedResultsGeographicBreakdownFS" vbProcedure="false">Model!$211:$211</definedName>
    <definedName function="false" hidden="false" name="z_I9KH3H0125_MO_Section_OS_SegmentedResultsGeographicRevenueBreakdownFS" vbProcedure="false">"Deleted"</definedName>
    <definedName function="false" hidden="false" name="z_I9KH3H0125_MO_Section_OS_SegmentedResultsRevenueBreakdownFS" vbProcedure="false">"Deleted"</definedName>
    <definedName function="false" hidden="false" name="z_I9KH3H0125_MO_Section_OS_ShareCountAnalysis" vbProcedure="false">Model!$379:$379</definedName>
    <definedName function="false" hidden="false" name="z_I9KH3H0125_MO_Section_OS_SupplementalInformation" vbProcedure="false">Model!$115:$115</definedName>
    <definedName function="false" hidden="false" name="z_I9KH3H0125_MO_Section_OS_WorkingCapitalForecasting" vbProcedure="false">Model!$604:$604</definedName>
    <definedName function="false" hidden="false" name="z_I9KH3H0125_MO_Section_RIS_RevisedIncomeStatement" vbProcedure="false">Model!$328:$328</definedName>
    <definedName function="false" hidden="false" name="z_I9KH3H0125_MO_Section_SNA_Canalyst" vbProcedure="false">Model!$836:$836</definedName>
    <definedName function="false" hidden="false" name="z_I9KH3H0125_MO_Section_SNA_OtherTables" vbProcedure="false">Model!$710:$710</definedName>
    <definedName function="false" hidden="false" name="z_I9KH3H0125_MO_Section_VA_Valuation" vbProcedure="false">Model!$444:$444</definedName>
    <definedName function="false" hidden="false" name="z_I9KH3H0125_MO_Unstructured_SNA_AdjustedEarningsPerShareWADNoAdjustments" vbProcedure="false">Model!$729:$729</definedName>
    <definedName function="false" hidden="false" name="z_I9KH3H0125_MO_Unstructured_SNA_AdjustedEBITDANoAdjustments" vbProcedure="false">Model!$727:$727</definedName>
    <definedName function="false" hidden="false" name="z_I9KH3H0125_MO_Unstructured_SNA_AdjustedEBITNoAdjustments" vbProcedure="false">Model!$728:$728</definedName>
    <definedName function="false" hidden="false" name="z_I9KH3H0125_MO_Unstructured_SNA_AnnualGuidanceTable" vbProcedure="false">Model!$764:$764</definedName>
    <definedName function="false" hidden="false" name="z_I9KH3H0125_MO_Unstructured_SNA_ApplicablePeriod" vbProcedure="false">Model!$761:$761</definedName>
    <definedName function="false" hidden="false" name="z_I9KH3H0125_MO_Unstructured_SNA_ApplicablePeriod_1" vbProcedure="false">Model!$767:$767</definedName>
    <definedName function="false" hidden="false" name="z_I9KH3H0125_MO_Unstructured_SNA_ApplyTradeCurrencyScaling" vbProcedure="false">Model!$823:$823</definedName>
    <definedName function="false" hidden="false" name="z_I9KH3H0125_MO_Unstructured_SNA_ASMLAS" vbProcedure="false">Model!$717:$717</definedName>
    <definedName function="false" hidden="false" name="z_I9KH3H0125_MO_Unstructured_SNA_ASMLEN" vbProcedure="false">Model!$714:$714</definedName>
    <definedName function="false" hidden="false" name="z_I9KH3H0125_MO_Unstructured_SNA_ASMLEN_1" vbProcedure="false">"Deleted"</definedName>
    <definedName function="false" hidden="false" name="z_I9KH3H0125_MO_Unstructured_SNA_ASMLNL" vbProcedure="false">Model!$713:$713</definedName>
    <definedName function="false" hidden="false" name="z_I9KH3H0125_MO_Unstructured_SNA_ASMLNL_1" vbProcedure="false">Model!$716:$716</definedName>
    <definedName function="false" hidden="false" name="z_I9KH3H0125_MO_Unstructured_SNA_Avg" vbProcedure="false">Model!$722:$722</definedName>
    <definedName function="false" hidden="false" name="z_I9KH3H0125_MO_Unstructured_SNA_Bloomberg" vbProcedure="false">Model!$787:$787</definedName>
    <definedName function="false" hidden="false" name="z_I9KH3H0125_MO_Unstructured_SNA_Bloomberg_1" vbProcedure="false">Model!$794:$794</definedName>
    <definedName function="false" hidden="false" name="z_I9KH3H0125_MO_Unstructured_SNA_Bloomberg_2" vbProcedure="false">Model!$801:$801</definedName>
    <definedName function="false" hidden="false" name="z_I9KH3H0125_MO_Unstructured_SNA_Bloomberg_3" vbProcedure="false">Model!$808:$808</definedName>
    <definedName function="false" hidden="false" name="z_I9KH3H0125_MO_Unstructured_SNA_CapitalIQ" vbProcedure="false">Model!$788:$788</definedName>
    <definedName function="false" hidden="false" name="z_I9KH3H0125_MO_Unstructured_SNA_CapitalIQ_1" vbProcedure="false">Model!$795:$795</definedName>
    <definedName function="false" hidden="false" name="z_I9KH3H0125_MO_Unstructured_SNA_CapitalIQ_2" vbProcedure="false">Model!$802:$802</definedName>
    <definedName function="false" hidden="false" name="z_I9KH3H0125_MO_Unstructured_SNA_CapitalIQ_3" vbProcedure="false">Model!$809:$809</definedName>
    <definedName function="false" hidden="false" name="z_I9KH3H0125_MO_Unstructured_SNA_ConsensusEstimatesAdjustedEarningsPerShareWAD" vbProcedure="false">Model!$777:$777</definedName>
    <definedName function="false" hidden="false" name="z_I9KH3H0125_MO_Unstructured_SNA_ConsensusEstimatesAdjustedEBITDA" vbProcedure="false">Model!$775:$775</definedName>
    <definedName function="false" hidden="false" name="z_I9KH3H0125_MO_Unstructured_SNA_ConsensusEstimatesAdjustedEBIT_1" vbProcedure="false">Model!$776:$776</definedName>
    <definedName function="false" hidden="false" name="z_I9KH3H0125_MO_Unstructured_SNA_ConsensusEstimatesCapex" vbProcedure="false">Model!$779:$779</definedName>
    <definedName function="false" hidden="false" name="z_I9KH3H0125_MO_Unstructured_SNA_ConsensusEstimatesCashFlowPerDilutedShare" vbProcedure="false">Model!$778:$778</definedName>
    <definedName function="false" hidden="false" name="z_I9KH3H0125_MO_Unstructured_SNA_ConsensusEstimatesGrossMargin" vbProcedure="false">Model!$773:$773</definedName>
    <definedName function="false" hidden="false" name="z_I9KH3H0125_MO_Unstructured_SNA_ConsensusEstimatesNetRevenue" vbProcedure="false">Model!$774:$774</definedName>
    <definedName function="false" hidden="false" name="z_I9KH3H0125_MO_Unstructured_SNA_ConsensusEstimateTable" vbProcedure="false">Model!$770:$770</definedName>
    <definedName function="false" hidden="false" name="z_I9KH3H0125_MO_Unstructured_SNA_CurrentFiscalYear" vbProcedure="false">Model!$831:$831</definedName>
    <definedName function="false" hidden="false" name="z_I9KH3H0125_MO_Unstructured_SNA_DataSourceIndex" vbProcedure="false">Model!$834:$834</definedName>
    <definedName function="false" hidden="false" name="z_I9KH3H0125_MO_Unstructured_SNA_EBITinOPEXEBITinISAR" vbProcedure="false">Model!$693:$693</definedName>
    <definedName function="false" hidden="false" name="z_I9KH3H0125_MO_Unstructured_SNA_ENASML" vbProcedure="false">Model!$715:$715</definedName>
    <definedName function="false" hidden="false" name="z_I9KH3H0125_MO_Unstructured_SNA_EoP" vbProcedure="false">Model!$723:$723</definedName>
    <definedName function="false" hidden="false" name="z_I9KH3H0125_MO_Unstructured_SNA_EVEBITDAAvg" vbProcedure="false">Model!$730:$730</definedName>
    <definedName function="false" hidden="false" name="z_I9KH3H0125_MO_Unstructured_SNA_FactSet" vbProcedure="false">Model!$789:$789</definedName>
    <definedName function="false" hidden="false" name="z_I9KH3H0125_MO_Unstructured_SNA_FactSet_1" vbProcedure="false">Model!$796:$796</definedName>
    <definedName function="false" hidden="false" name="z_I9KH3H0125_MO_Unstructured_SNA_FactSet_2" vbProcedure="false">Model!$803:$803</definedName>
    <definedName function="false" hidden="false" name="z_I9KH3H0125_MO_Unstructured_SNA_FactSet_3" vbProcedure="false">Model!$810:$810</definedName>
    <definedName function="false" hidden="false" name="z_I9KH3H0125_MO_Unstructured_SNA_FirstForecastFiscalYear" vbProcedure="false">Model!$832:$832</definedName>
    <definedName function="false" hidden="false" name="z_I9KH3H0125_MO_Unstructured_SNA_FiscalPeriodStartDate" vbProcedure="false">Model!$783:$783</definedName>
    <definedName function="false" hidden="false" name="z_I9KH3H0125_MO_Unstructured_SNA_FXAverageRealTimeOffSource" vbProcedure="false">Model!$806:$806</definedName>
    <definedName function="false" hidden="false" name="z_I9KH3H0125_MO_Unstructured_SNA_FXEoP" vbProcedure="false">Model!$815:$815</definedName>
    <definedName function="false" hidden="false" name="z_I9KH3H0125_MO_Unstructured_SNA_FYorFQ" vbProcedure="false">Model!$771:$771</definedName>
    <definedName function="false" hidden="false" name="z_I9KH3H0125_MO_Unstructured_SNA_GeneralTable" vbProcedure="false">Model!$818:$818</definedName>
    <definedName function="false" hidden="false" name="z_I9KH3H0125_MO_Unstructured_SNA_High" vbProcedure="false">Model!$720:$720</definedName>
    <definedName function="false" hidden="false" name="z_I9KH3H0125_MO_Unstructured_SNA_IsHistoricalPeriod" vbProcedure="false">Model!$784:$784</definedName>
    <definedName function="false" hidden="false" name="z_I9KH3H0125_MO_Unstructured_SNA_IsLatest" vbProcedure="false">Model!$766:$766</definedName>
    <definedName function="false" hidden="false" name="z_I9KH3H0125_MO_Unstructured_SNA_KeyOutputs" vbProcedure="false">Model!$725:$725</definedName>
    <definedName function="false" hidden="false" name="z_I9KH3H0125_MO_Unstructured_SNA_KPICount" vbProcedure="false">Model!$833:$833</definedName>
    <definedName function="false" hidden="false" name="z_I9KH3H0125_MO_Unstructured_SNA_KPIData" vbProcedure="false">Model!$734:$734</definedName>
    <definedName function="false" hidden="false" name="z_I9KH3H0125_MO_Unstructured_SNA_LastPrice" vbProcedure="false">Model!$819:$819</definedName>
    <definedName function="false" hidden="false" name="z_I9KH3H0125_MO_Unstructured_SNA_LastPriceDate" vbProcedure="false">Model!$820:$820</definedName>
    <definedName function="false" hidden="false" name="z_I9KH3H0125_MO_Unstructured_SNA_LastPriceFormula" vbProcedure="false">Model!$822:$822</definedName>
    <definedName function="false" hidden="false" name="z_I9KH3H0125_MO_Unstructured_SNA_LastWorkingDayInPeriod" vbProcedure="false">Model!$813:$813</definedName>
    <definedName function="false" hidden="false" name="z_I9KH3H0125_MO_Unstructured_SNA_Low" vbProcedure="false">Model!$721:$721</definedName>
    <definedName function="false" hidden="false" name="z_I9KH3H0125_MO_Unstructured_SNA_ModelSheetCurrencyHardcoded" vbProcedure="false">Model!$826:$826</definedName>
    <definedName function="false" hidden="false" name="z_I9KH3H0125_MO_Unstructured_SNA_MOKPIBacklogEOP" vbProcedure="false">Model!$744:$744</definedName>
    <definedName function="false" hidden="false" name="z_I9KH3H0125_MO_Unstructured_SNA_MOKPIOrdersValue" vbProcedure="false">Model!$746:$746</definedName>
    <definedName function="false" hidden="false" name="z_I9KH3H0125_MO_Unstructured_SNA_MOKPIRevenueContributionLargestClient" vbProcedure="false">Model!$747:$747</definedName>
    <definedName function="false" hidden="false" name="z_I9KH3H0125_MO_Unstructured_SNA_MOKPIRevenueContributionSecondLargestClient" vbProcedure="false">Model!$748:$748</definedName>
    <definedName function="false" hidden="false" name="z_I9KH3H0125_MO_Unstructured_SNA_MOKPIREVGeoChina" vbProcedure="false">Model!$751:$751</definedName>
    <definedName function="false" hidden="false" name="z_I9KH3H0125_MO_Unstructured_SNA_MOKPIREVGeoEurope" vbProcedure="false">Model!$756:$756</definedName>
    <definedName function="false" hidden="false" name="z_I9KH3H0125_MO_Unstructured_SNA_MOKPIREVGeoJapan" vbProcedure="false">Model!$752:$752</definedName>
    <definedName function="false" hidden="false" name="z_I9KH3H0125_MO_Unstructured_SNA_MOKPIREVGeoMalaysia" vbProcedure="false">Model!$754:$754</definedName>
    <definedName function="false" hidden="false" name="z_I9KH3H0125_MO_Unstructured_SNA_MOKPIREVGeoSingapore" vbProcedure="false">Model!$753:$753</definedName>
    <definedName function="false" hidden="false" name="z_I9KH3H0125_MO_Unstructured_SNA_MOKPIREVGeoSouthKorea" vbProcedure="false">Model!$755:$755</definedName>
    <definedName function="false" hidden="false" name="z_I9KH3H0125_MO_Unstructured_SNA_MOKPIREVGeoTaiwan" vbProcedure="false">Model!$750:$750</definedName>
    <definedName function="false" hidden="false" name="z_I9KH3H0125_MO_Unstructured_SNA_MOKPIREVGeoUS" vbProcedure="false">Model!$749:$749</definedName>
    <definedName function="false" hidden="false" name="z_I9KH3H0125_MO_Unstructured_SNA_MOKPIREVSemiEquipment" vbProcedure="false">Model!$743:$743</definedName>
    <definedName function="false" hidden="false" name="z_I9KH3H0125_MO_Unstructured_SNA_MOKPIREVSVCandSpares" vbProcedure="false">Model!$742:$742</definedName>
    <definedName function="false" hidden="false" name="z_I9KH3H0125_MO_Unstructured_SNA_MOKPIREVSystems" vbProcedure="false">Model!$741:$741</definedName>
    <definedName function="false" hidden="false" name="z_I9KH3H0125_MO_Unstructured_SNA_MOKPIRPO" vbProcedure="false">Model!$745:$745</definedName>
    <definedName function="false" hidden="false" name="z_I9KH3H0125_MO_Unstructured_SNA_MOMAEBITDAAdj" vbProcedure="false">Model!$739:$739</definedName>
    <definedName function="false" hidden="false" name="z_I9KH3H0125_MO_Unstructured_SNA_MOOSEmployeeCount" vbProcedure="false">Model!$740:$740</definedName>
    <definedName function="false" hidden="false" name="z_I9KH3H0125_MO_Unstructured_SNA_MORISEBITDAAdj" vbProcedure="false">Model!$738:$738</definedName>
    <definedName function="false" hidden="false" name="z_I9KH3H0125_MO_Unstructured_SNA_MORISEPSWADAdj" vbProcedure="false">Model!$737:$737</definedName>
    <definedName function="false" hidden="false" name="z_I9KH3H0125_MO_Unstructured_SNA_MORISNINONGAAPDiluted" vbProcedure="false">Model!$736:$736</definedName>
    <definedName function="false" hidden="false" name="z_I9KH3H0125_MO_Unstructured_SNA_MORISREV" vbProcedure="false">Model!$735:$735</definedName>
    <definedName function="false" hidden="false" name="z_I9KH3H0125_MO_Unstructured_SNA_MostRecentFiscalPeriodMRFP" vbProcedure="false">Model!$830:$830</definedName>
    <definedName function="false" hidden="false" name="z_I9KH3H0125_MO_Unstructured_SNA_MostRecentFX" vbProcedure="false">Model!$827:$827</definedName>
    <definedName function="false" hidden="false" name="z_I9KH3H0125_MO_Unstructured_SNA_MostRecentFXHardcoded" vbProcedure="false">Model!$828:$828</definedName>
    <definedName function="false" hidden="false" name="z_I9KH3H0125_MO_Unstructured_SNA_MRFPColumnNumber" vbProcedure="false">Model!$829:$829</definedName>
    <definedName function="false" hidden="false" name="z_I9KH3H0125_MO_Unstructured_SNA_NetRevenue" vbProcedure="false">Model!$726:$726</definedName>
    <definedName function="false" hidden="false" name="z_I9KH3H0125_MO_Unstructured_SNA_PEAvg" vbProcedure="false">Model!$731:$731</definedName>
    <definedName function="false" hidden="false" name="z_I9KH3H0125_MO_Unstructured_SNA_Period" vbProcedure="false">Model!$772:$772</definedName>
    <definedName function="false" hidden="false" name="z_I9KH3H0125_MO_Unstructured_SNA_QuarterlyGuidanceTable" vbProcedure="false">Model!$759:$759</definedName>
    <definedName function="false" hidden="false" name="z_I9KH3H0125_MO_Unstructured_SNA_RealTimeOffSource" vbProcedure="false">Model!$786:$786</definedName>
    <definedName function="false" hidden="false" name="z_I9KH3H0125_MO_Unstructured_SNA_RealTimeOffSource_1" vbProcedure="false">Model!$793:$793</definedName>
    <definedName function="false" hidden="false" name="z_I9KH3H0125_MO_Unstructured_SNA_RealTimeOffSource_2" vbProcedure="false">Model!$800:$800</definedName>
    <definedName function="false" hidden="false" name="z_I9KH3H0125_MO_Unstructured_SNA_RealTimeOffSource_3" vbProcedure="false">Model!$807:$807</definedName>
    <definedName function="false" hidden="false" name="z_I9KH3H0125_MO_Unstructured_SNA_RealTimeStockPrice" vbProcedure="false">Model!$821:$821</definedName>
    <definedName function="false" hidden="false" name="z_I9KH3H0125_MO_Unstructured_SNA_Refinitiv" vbProcedure="false">Model!$790:$790</definedName>
    <definedName function="false" hidden="false" name="z_I9KH3H0125_MO_Unstructured_SNA_Refinitiv_1" vbProcedure="false">Model!$797:$797</definedName>
    <definedName function="false" hidden="false" name="z_I9KH3H0125_MO_Unstructured_SNA_Refinitiv_2" vbProcedure="false">Model!$804:$804</definedName>
    <definedName function="false" hidden="false" name="z_I9KH3H0125_MO_Unstructured_SNA_Refinitiv_3" vbProcedure="false">Model!$811:$811</definedName>
    <definedName function="false" hidden="false" name="z_I9KH3H0125_MO_Unstructured_SNA_ReportingDate" vbProcedure="false">Model!$760:$760</definedName>
    <definedName function="false" hidden="false" name="z_I9KH3H0125_MO_Unstructured_SNA_ReportingDate_1" vbProcedure="false">Model!$765:$765</definedName>
    <definedName function="false" hidden="false" name="z_I9KH3H0125_MO_Unstructured_SNA_StockAverageRealTimeOffSource" vbProcedure="false">Model!$799:$799</definedName>
    <definedName function="false" hidden="false" name="z_I9KH3H0125_MO_Unstructured_SNA_StockHighRealTimeOffSource" vbProcedure="false">Model!$785:$785</definedName>
    <definedName function="false" hidden="false" name="z_I9KH3H0125_MO_Unstructured_SNA_StockLowRealTimeOffSource" vbProcedure="false">Model!$792:$792</definedName>
    <definedName function="false" hidden="false" name="z_I9KH3H0125_MO_Unstructured_SNA_StockPriceEoP" vbProcedure="false">Model!$814:$814</definedName>
    <definedName function="false" hidden="false" name="z_I9KH3H0125_MO_Unstructured_SNA_StockPriceTable" vbProcedure="false">Model!$782:$782</definedName>
    <definedName function="false" hidden="false" name="z_I9KH3H0125_MO_Unstructured_SNA_TickerSymbol" vbProcedure="false">Model!$712:$712</definedName>
    <definedName function="false" hidden="false" name="z_I9KH3H0125_MO_Unstructured_SNA_TradeCurrency" vbProcedure="false">Model!$824:$824</definedName>
    <definedName function="false" hidden="false" name="z_I9KH3H0125_MO_Unstructured_SNA_TradeCurrencyHardcoded" vbProcedure="false">Model!$825:$825</definedName>
    <definedName function="false" hidden="false" name="z_I9KH3H0125_MO_Unstructured_SNA_ValuationToggleTable" vbProcedure="false">Model!$719:$719</definedName>
    <definedName function="false" hidden="false" name="z_I9KH3H0125_MO_VA_EnterpriseValueAverage" vbProcedure="false">Model!$447:$447</definedName>
    <definedName function="false" hidden="false" name="z_I9KH3H0125_MO_VA_EnterpriseValueAvg" vbProcedure="false">"Deleted"</definedName>
    <definedName function="false" hidden="false" name="z_I9KH3H0125_MO_VA_EnterpriseValueComponents" vbProcedure="false">Model!$463:$463</definedName>
    <definedName function="false" hidden="false" name="z_I9KH3H0125_MO_VA_EnterpriseValueHigh" vbProcedure="false">"Deleted"</definedName>
    <definedName function="false" hidden="false" name="z_I9KH3H0125_MO_VA_EnterpriseValueLow" vbProcedure="false">"Deleted"</definedName>
    <definedName function="false" hidden="false" name="z_I9KH3H0125_MO_VA_EVEBITDAAverage" vbProcedure="false">Model!$450:$450</definedName>
    <definedName function="false" hidden="false" name="z_I9KH3H0125_MO_VA_FCFYieldtoAverageEnterpriseValue" vbProcedure="false">Model!$453:$453</definedName>
    <definedName function="false" hidden="false" name="z_I9KH3H0125_MO_VA_FCFYieldtoAverageMarketCap" vbProcedure="false">Model!$452:$452</definedName>
    <definedName function="false" hidden="false" name="z_I9KH3H0125_MO_VA_MarketCapAverage" vbProcedure="false">Model!$446:$446</definedName>
    <definedName function="false" hidden="false" name="z_I9KH3H0125_MO_VA_MarketCapAvg" vbProcedure="false">"Deleted"</definedName>
    <definedName function="false" hidden="false" name="z_I9KH3H0125_MO_VA_MarketCapHigh" vbProcedure="false">"Deleted"</definedName>
    <definedName function="false" hidden="false" name="z_I9KH3H0125_MO_VA_MarketCapLow" vbProcedure="false">"Deleted"</definedName>
    <definedName function="false" hidden="false" name="z_I9KH3H0125_MO_VA_NoncontrollingInterest" vbProcedure="false">Model!$464:$464</definedName>
    <definedName function="false" hidden="false" name="z_I9KH3H0125_MO_VA_OtherEVComponents" vbProcedure="false">Model!$466:$466</definedName>
    <definedName function="false" hidden="false" name="z_I9KH3H0125_MO_VA_PCFAverage" vbProcedure="false">Model!$451:$451</definedName>
    <definedName function="false" hidden="false" name="z_I9KH3H0125_MO_VA_PEAverage" vbProcedure="false">Model!$449:$449</definedName>
    <definedName function="false" hidden="false" name="z_I9KH3H0125_MO_VA_PreferredShares" vbProcedure="false">Model!$465:$465</definedName>
    <definedName function="false" hidden="false" name="z_I9KH3H0125_MO_VA_StockAvg" vbProcedure="false">Model!$457:$457</definedName>
    <definedName function="false" hidden="false" name="z_I9KH3H0125_MO_VA_StockHigh" vbProcedure="false">Model!$455:$455</definedName>
    <definedName function="false" hidden="false" name="z_I9KH3H0125_MO_VA_StockLow" vbProcedure="false">Model!$456:$456</definedName>
    <definedName function="false" hidden="false" name="z_I9KH3H0125_MO_VA_StockPriceAverage" vbProcedure="false">Model!$445:$445</definedName>
    <definedName function="false" hidden="false" localSheetId="0" name="WS.CanalystName" vbProcedure="false">"Front Page"</definedName>
    <definedName function="false" hidden="false" localSheetId="3" name="WS.CanalystName" vbProcedure="false">"Model"</definedName>
    <definedName function="false" hidden="false" localSheetId="5" name="WS.CanalystName" vbProcedure="false">"Summary Page"</definedName>
    <definedName function="false" hidden="false" localSheetId="6" name="WS.CanalystName" vbProcedure="false">"Update Log"</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Menno Burnet</author>
    <author>Tegus (AA)</author>
    <author>Tegus (ALT)</author>
    <author>Tegus (AN)</author>
    <author>Tegus (AW)</author>
    <author>Tegus (BL)</author>
    <author>Tegus (TP)</author>
    <author>Tegus (VA)</author>
    <author>Tegus(AR)</author>
  </authors>
  <commentList>
    <comment ref="A7" authorId="0">
      <text>
        <r>
          <rPr>
            <sz val="10"/>
            <rFont val="Arial"/>
            <family val="2"/>
          </rPr>
          <t xml:space="preserve">Tegus (LZ):
Provides high productivity, delivering higher ASPs and improved gross margins</t>
        </r>
      </text>
    </comment>
    <comment ref="A13" authorId="0">
      <text>
        <r>
          <rPr>
            <sz val="10"/>
            <rFont val="Arial"/>
            <family val="2"/>
          </rPr>
          <t xml:space="preserve">Tegus (HS):
Reported as Arfdry in IP</t>
        </r>
      </text>
    </comment>
    <comment ref="A39" authorId="0">
      <text>
        <r>
          <rPr>
            <sz val="10"/>
            <rFont val="Arial"/>
            <family val="2"/>
          </rPr>
          <t xml:space="preserve">Tegus (AlyD):
Quarterly data approximated using total system sales and percentage breakdown.</t>
        </r>
      </text>
    </comment>
    <comment ref="A54" authorId="0">
      <text>
        <r>
          <rPr>
            <sz val="10"/>
            <rFont val="Arial"/>
            <family val="2"/>
          </rPr>
          <t xml:space="preserve">Tegus (WC):
Immersion</t>
        </r>
      </text>
    </comment>
    <comment ref="A55" authorId="0">
      <text>
        <r>
          <rPr>
            <sz val="10"/>
            <rFont val="Arial"/>
            <family val="2"/>
          </rPr>
          <t xml:space="preserve">Tegus (WC):
Dry</t>
        </r>
      </text>
    </comment>
    <comment ref="A66" authorId="0">
      <text>
        <r>
          <rPr>
            <sz val="10"/>
            <rFont val="Arial"/>
            <family val="2"/>
          </rPr>
          <t xml:space="preserve">Tegus (SH):
Fast Shipment: A fast shipment process skips some of the testing in our factory. This leads to a deferral of revenue recognition for those shipments until formal customer acceptance but does provide our customers with earlier access to wafer output capacity. </t>
        </r>
      </text>
    </comment>
    <comment ref="A67" authorId="0">
      <text>
        <r>
          <rPr>
            <sz val="10"/>
            <rFont val="Arial"/>
            <family val="2"/>
          </rPr>
          <t xml:space="preserve">Tegus (SH):
Normalized Revenue, which is a non-GAAP measure, is defined as Total Net Sales plus Net Deferred Revenue from Fast Shipments.</t>
        </r>
      </text>
    </comment>
    <comment ref="A147" authorId="0">
      <text>
        <r>
          <rPr>
            <sz val="10"/>
            <rFont val="Arial"/>
            <family val="2"/>
          </rPr>
          <t xml:space="preserve">Tegus (VT):
Installed Base Management equals service and field option sales.</t>
        </r>
      </text>
    </comment>
    <comment ref="A154" authorId="0">
      <text>
        <r>
          <rPr>
            <sz val="10"/>
            <rFont val="Arial"/>
            <family val="2"/>
          </rPr>
          <t xml:space="preserve">Tegus (VT):
Installed Base Management equals service and field option sales.</t>
        </r>
      </text>
    </comment>
    <comment ref="A196" authorId="0">
      <text>
        <r>
          <rPr>
            <sz val="10"/>
            <rFont val="Arial"/>
            <family val="2"/>
          </rPr>
          <t xml:space="preserve">Tegus (AlyD):
FY data calculated as a sum of quarters</t>
        </r>
      </text>
    </comment>
    <comment ref="A197" authorId="0">
      <text>
        <r>
          <rPr>
            <sz val="10"/>
            <rFont val="Arial"/>
            <family val="2"/>
          </rPr>
          <t xml:space="preserve">Tegus (AlyD):
FY data calculated as a sum of quarters</t>
        </r>
      </text>
    </comment>
    <comment ref="A199" authorId="0">
      <text>
        <r>
          <rPr>
            <sz val="10"/>
            <rFont val="Arial"/>
            <family val="2"/>
          </rPr>
          <t xml:space="preserve">Tegus (AlyD):
FY data calculated as a sum of quarters</t>
        </r>
      </text>
    </comment>
    <comment ref="A202" authorId="0">
      <text>
        <r>
          <rPr>
            <sz val="10"/>
            <rFont val="Arial"/>
            <family val="2"/>
          </rPr>
          <t xml:space="preserve">Tegus (AlyD):
FY data calculated using bookings in $</t>
        </r>
      </text>
    </comment>
    <comment ref="A203" authorId="0">
      <text>
        <r>
          <rPr>
            <sz val="10"/>
            <rFont val="Arial"/>
            <family val="2"/>
          </rPr>
          <t xml:space="preserve">Tegus (AlyD):
FY data calculated using bookings in $</t>
        </r>
      </text>
    </comment>
    <comment ref="A204" authorId="0">
      <text>
        <r>
          <rPr>
            <sz val="10"/>
            <rFont val="Arial"/>
            <family val="2"/>
          </rPr>
          <t xml:space="preserve">Tegus (AlyD):
FY data calculated using bookings in $</t>
        </r>
      </text>
    </comment>
    <comment ref="A205" authorId="0">
      <text>
        <r>
          <rPr>
            <sz val="10"/>
            <rFont val="Arial"/>
            <family val="2"/>
          </rPr>
          <t xml:space="preserve">Tegus (AlyD):
FY data calculated using bookings in $</t>
        </r>
      </text>
    </comment>
    <comment ref="A208" authorId="0">
      <text>
        <r>
          <rPr>
            <sz val="10"/>
            <rFont val="Arial"/>
            <family val="2"/>
          </rPr>
          <t xml:space="preserve">Tegus (CZ):
Some results come from transcript</t>
        </r>
      </text>
    </comment>
    <comment ref="A380" authorId="0">
      <text>
        <r>
          <rPr>
            <sz val="10"/>
            <rFont val="Arial"/>
            <family val="2"/>
          </rPr>
          <t xml:space="preserve">Tegus (KeL):
Red quarterly values are estimated</t>
        </r>
      </text>
    </comment>
    <comment ref="A388" authorId="7">
      <text>
        <r>
          <rPr>
            <sz val="10"/>
            <rFont val="Arial"/>
            <family val="2"/>
          </rPr>
          <t xml:space="preserve">Tegus (VA):
Red data is estimated.</t>
        </r>
      </text>
    </comment>
    <comment ref="A391" authorId="7">
      <text>
        <r>
          <rPr>
            <sz val="10"/>
            <rFont val="Arial"/>
            <family val="2"/>
          </rPr>
          <t xml:space="preserve">Tegus:
In periods where EPS is negative, this amount is calculated using the closest prior period where EPS was positive.</t>
        </r>
      </text>
    </comment>
    <comment ref="C219" authorId="0">
      <text>
        <r>
          <rPr>
            <sz val="10"/>
            <rFont val="Arial"/>
            <family val="2"/>
          </rPr>
          <t xml:space="preserve">Tegus (AlyD):
Europe revenue</t>
        </r>
      </text>
    </comment>
    <comment ref="C259" authorId="0">
      <text>
        <r>
          <rPr>
            <sz val="10"/>
            <rFont val="Arial"/>
            <family val="2"/>
          </rPr>
          <t xml:space="preserve">Tegus (AHA):
Includes 367 related to sourcing</t>
        </r>
      </text>
    </comment>
    <comment ref="C263" authorId="0">
      <text>
        <r>
          <rPr>
            <sz val="10"/>
            <rFont val="Arial"/>
            <family val="2"/>
          </rPr>
          <t xml:space="preserve">Tegus (AHA):
Includes 277 related to industrial engineering</t>
        </r>
      </text>
    </comment>
    <comment ref="C388" authorId="2">
      <text>
        <r>
          <rPr>
            <sz val="10"/>
            <rFont val="Arial"/>
            <family val="2"/>
          </rPr>
          <t xml:space="preserve">Canalyst:
Assumption by Canalyst</t>
        </r>
      </text>
    </comment>
    <comment ref="D219" authorId="0">
      <text>
        <r>
          <rPr>
            <sz val="10"/>
            <rFont val="Arial"/>
            <family val="2"/>
          </rPr>
          <t xml:space="preserve">Tegus (AB):
Europe revenues</t>
        </r>
      </text>
    </comment>
    <comment ref="D263" authorId="0">
      <text>
        <r>
          <rPr>
            <sz val="10"/>
            <rFont val="Arial"/>
            <family val="2"/>
          </rPr>
          <t xml:space="preserve">Tegus (AHA):
Includes 398 related to industrial engineering</t>
        </r>
      </text>
    </comment>
    <comment ref="D388" authorId="2">
      <text>
        <r>
          <rPr>
            <sz val="10"/>
            <rFont val="Arial"/>
            <family val="2"/>
          </rPr>
          <t xml:space="preserve">Canalyst:
Assumption by Canalyst</t>
        </r>
      </text>
    </comment>
    <comment ref="E219" authorId="0">
      <text>
        <r>
          <rPr>
            <sz val="10"/>
            <rFont val="Arial"/>
            <family val="2"/>
          </rPr>
          <t xml:space="preserve">Tegus (AB):
Europe revenues</t>
        </r>
      </text>
    </comment>
    <comment ref="E263" authorId="0">
      <text>
        <r>
          <rPr>
            <sz val="10"/>
            <rFont val="Arial"/>
            <family val="2"/>
          </rPr>
          <t xml:space="preserve">Tegus (AHA):
Includes 420 related to industrial engineering</t>
        </r>
      </text>
    </comment>
    <comment ref="E388" authorId="2">
      <text>
        <r>
          <rPr>
            <sz val="10"/>
            <rFont val="Arial"/>
            <family val="2"/>
          </rPr>
          <t xml:space="preserve">Canalyst:
Assumption by Canalyst</t>
        </r>
      </text>
    </comment>
    <comment ref="F219" authorId="0">
      <text>
        <r>
          <rPr>
            <sz val="10"/>
            <rFont val="Arial"/>
            <family val="2"/>
          </rPr>
          <t xml:space="preserve">Tegus (AB):
Rest of Europe revenues</t>
        </r>
      </text>
    </comment>
    <comment ref="F263" authorId="0">
      <text>
        <r>
          <rPr>
            <sz val="10"/>
            <rFont val="Arial"/>
            <family val="2"/>
          </rPr>
          <t xml:space="preserve">Tegus (AHA):
Includes 637 related to industrial engineering</t>
        </r>
      </text>
    </comment>
    <comment ref="F388" authorId="2">
      <text>
        <r>
          <rPr>
            <sz val="10"/>
            <rFont val="Arial"/>
            <family val="2"/>
          </rPr>
          <t xml:space="preserve">Canalyst:
Assumption by Canalyst</t>
        </r>
      </text>
    </comment>
    <comment ref="G219" authorId="0">
      <text>
        <r>
          <rPr>
            <sz val="10"/>
            <rFont val="Arial"/>
            <family val="2"/>
          </rPr>
          <t xml:space="preserve">Tegus (AB):
Rest of Europe revenues</t>
        </r>
      </text>
    </comment>
    <comment ref="G243" authorId="0">
      <text>
        <r>
          <rPr>
            <sz val="10"/>
            <rFont val="Arial"/>
            <family val="2"/>
          </rPr>
          <t xml:space="preserve">Tegus (AHA):
Rest of Europe</t>
        </r>
      </text>
    </comment>
    <comment ref="G263" authorId="0">
      <text>
        <r>
          <rPr>
            <sz val="10"/>
            <rFont val="Arial"/>
            <family val="2"/>
          </rPr>
          <t xml:space="preserve">Tegus (AHA):
Includes 785 related to industrial engineering</t>
        </r>
      </text>
    </comment>
    <comment ref="G388" authorId="2">
      <text>
        <r>
          <rPr>
            <sz val="10"/>
            <rFont val="Arial"/>
            <family val="2"/>
          </rPr>
          <t xml:space="preserve">Canalyst:
Assumption by Canalyst</t>
        </r>
      </text>
    </comment>
    <comment ref="G405" authorId="0">
      <text>
        <r>
          <rPr>
            <sz val="10"/>
            <rFont val="Arial"/>
            <family val="2"/>
          </rPr>
          <t xml:space="preserve">Tegus (AB):
Acquisition of Cyner.</t>
        </r>
      </text>
    </comment>
    <comment ref="H111" authorId="0">
      <text>
        <r>
          <rPr>
            <sz val="10"/>
            <rFont val="Arial"/>
            <family val="2"/>
          </rPr>
          <t xml:space="preserve">Tegus (HS):
Estimated</t>
        </r>
      </text>
    </comment>
    <comment ref="H112" authorId="0">
      <text>
        <r>
          <rPr>
            <sz val="10"/>
            <rFont val="Arial"/>
            <family val="2"/>
          </rPr>
          <t xml:space="preserve">Tegus (HS):
Estimated</t>
        </r>
      </text>
    </comment>
    <comment ref="H163" authorId="0">
      <text>
        <r>
          <rPr>
            <sz val="10"/>
            <rFont val="Arial"/>
            <family val="2"/>
          </rPr>
          <t xml:space="preserve">Tegus (AlyD):
Not including EUV</t>
        </r>
      </text>
    </comment>
    <comment ref="H180" authorId="0">
      <text>
        <r>
          <rPr>
            <sz val="10"/>
            <rFont val="Arial"/>
            <family val="2"/>
          </rPr>
          <t xml:space="preserve">Tegus (AlyD):
Not including EUV</t>
        </r>
      </text>
    </comment>
    <comment ref="H196" authorId="0">
      <text>
        <r>
          <rPr>
            <sz val="10"/>
            <rFont val="Arial"/>
            <family val="2"/>
          </rPr>
          <t xml:space="preserve">Tegus (AlyD):
Not including EUV</t>
        </r>
      </text>
    </comment>
    <comment ref="H202" authorId="0">
      <text>
        <r>
          <rPr>
            <sz val="10"/>
            <rFont val="Arial"/>
            <family val="2"/>
          </rPr>
          <t xml:space="preserve">Tegus (AlyD):
Not including EUV</t>
        </r>
      </text>
    </comment>
    <comment ref="H380" authorId="2">
      <text>
        <r>
          <rPr>
            <sz val="10"/>
            <rFont val="Arial"/>
            <family val="2"/>
          </rPr>
          <t xml:space="preserve">Canalyst:
Assumption by Canalyst</t>
        </r>
      </text>
    </comment>
    <comment ref="H388" authorId="2">
      <text>
        <r>
          <rPr>
            <sz val="10"/>
            <rFont val="Arial"/>
            <family val="2"/>
          </rPr>
          <t xml:space="preserve">Canalyst:
Assumption by Canalyst</t>
        </r>
      </text>
    </comment>
    <comment ref="H521" authorId="0">
      <text>
        <r>
          <rPr>
            <sz val="10"/>
            <rFont val="Arial"/>
            <family val="2"/>
          </rPr>
          <t xml:space="preserve">Tegus (AB):
Adjusted formula to reflect change in reporting to 3 decimal places to 1 decimal place.</t>
        </r>
      </text>
    </comment>
    <comment ref="H577" authorId="0">
      <text>
        <r>
          <rPr>
            <sz val="10"/>
            <rFont val="Arial"/>
            <family val="2"/>
          </rPr>
          <t xml:space="preserve">Tegus (AB):
Adjusted formula to reflect change in reporting to 3 decimal places to 1 decimal place.</t>
        </r>
      </text>
    </comment>
    <comment ref="H659" authorId="0">
      <text>
        <r>
          <rPr>
            <sz val="10"/>
            <rFont val="Arial"/>
            <family val="2"/>
          </rPr>
          <t xml:space="preserve">Tegus (TZ):
Assumed, not reported</t>
        </r>
      </text>
    </comment>
    <comment ref="I111" authorId="0">
      <text>
        <r>
          <rPr>
            <sz val="10"/>
            <rFont val="Arial"/>
            <family val="2"/>
          </rPr>
          <t xml:space="preserve">Tegus (HS):
Estimated</t>
        </r>
      </text>
    </comment>
    <comment ref="I112" authorId="0">
      <text>
        <r>
          <rPr>
            <sz val="10"/>
            <rFont val="Arial"/>
            <family val="2"/>
          </rPr>
          <t xml:space="preserve">Tegus (HS):
Estimated</t>
        </r>
      </text>
    </comment>
    <comment ref="I163" authorId="0">
      <text>
        <r>
          <rPr>
            <sz val="10"/>
            <rFont val="Arial"/>
            <family val="2"/>
          </rPr>
          <t xml:space="preserve">Tegus (AlyD):
Not including EUV</t>
        </r>
      </text>
    </comment>
    <comment ref="I180" authorId="0">
      <text>
        <r>
          <rPr>
            <sz val="10"/>
            <rFont val="Arial"/>
            <family val="2"/>
          </rPr>
          <t xml:space="preserve">Tegus (AlyD):
Not including EUV</t>
        </r>
      </text>
    </comment>
    <comment ref="I196" authorId="0">
      <text>
        <r>
          <rPr>
            <sz val="10"/>
            <rFont val="Arial"/>
            <family val="2"/>
          </rPr>
          <t xml:space="preserve">Tegus (AlyD):
Not including EUV</t>
        </r>
      </text>
    </comment>
    <comment ref="I202" authorId="0">
      <text>
        <r>
          <rPr>
            <sz val="10"/>
            <rFont val="Arial"/>
            <family val="2"/>
          </rPr>
          <t xml:space="preserve">Tegus (AlyD):
Not including EUV</t>
        </r>
      </text>
    </comment>
    <comment ref="I380" authorId="2">
      <text>
        <r>
          <rPr>
            <sz val="10"/>
            <rFont val="Arial"/>
            <family val="2"/>
          </rPr>
          <t xml:space="preserve">Canalyst:
Assumption by Canalyst</t>
        </r>
      </text>
    </comment>
    <comment ref="I388" authorId="2">
      <text>
        <r>
          <rPr>
            <sz val="10"/>
            <rFont val="Arial"/>
            <family val="2"/>
          </rPr>
          <t xml:space="preserve">Canalyst:
Assumption by Canalyst</t>
        </r>
      </text>
    </comment>
    <comment ref="I659" authorId="0">
      <text>
        <r>
          <rPr>
            <sz val="10"/>
            <rFont val="Arial"/>
            <family val="2"/>
          </rPr>
          <t xml:space="preserve">Tegus (TZ):
Assumed, not reported</t>
        </r>
      </text>
    </comment>
    <comment ref="J111" authorId="0">
      <text>
        <r>
          <rPr>
            <sz val="10"/>
            <rFont val="Arial"/>
            <family val="2"/>
          </rPr>
          <t xml:space="preserve">Tegus (HS):
Estimated</t>
        </r>
      </text>
    </comment>
    <comment ref="J112" authorId="0">
      <text>
        <r>
          <rPr>
            <sz val="10"/>
            <rFont val="Arial"/>
            <family val="2"/>
          </rPr>
          <t xml:space="preserve">Tegus (HS):
Estimated</t>
        </r>
      </text>
    </comment>
    <comment ref="J163" authorId="0">
      <text>
        <r>
          <rPr>
            <sz val="10"/>
            <rFont val="Arial"/>
            <family val="2"/>
          </rPr>
          <t xml:space="preserve">Tegus (AlyD):
Not including EUV</t>
        </r>
      </text>
    </comment>
    <comment ref="J180" authorId="0">
      <text>
        <r>
          <rPr>
            <sz val="10"/>
            <rFont val="Arial"/>
            <family val="2"/>
          </rPr>
          <t xml:space="preserve">Tegus (AlyD):
Not including EUV</t>
        </r>
      </text>
    </comment>
    <comment ref="J196" authorId="0">
      <text>
        <r>
          <rPr>
            <sz val="10"/>
            <rFont val="Arial"/>
            <family val="2"/>
          </rPr>
          <t xml:space="preserve">Tegus (AlyD):
Not including EUV</t>
        </r>
      </text>
    </comment>
    <comment ref="J202" authorId="0">
      <text>
        <r>
          <rPr>
            <sz val="10"/>
            <rFont val="Arial"/>
            <family val="2"/>
          </rPr>
          <t xml:space="preserve">Tegus (AlyD):
Not including EUV</t>
        </r>
      </text>
    </comment>
    <comment ref="J380" authorId="2">
      <text>
        <r>
          <rPr>
            <sz val="10"/>
            <rFont val="Arial"/>
            <family val="2"/>
          </rPr>
          <t xml:space="preserve">Canalyst:
Assumption by Canalyst</t>
        </r>
      </text>
    </comment>
    <comment ref="J388" authorId="2">
      <text>
        <r>
          <rPr>
            <sz val="10"/>
            <rFont val="Arial"/>
            <family val="2"/>
          </rPr>
          <t xml:space="preserve">Canalyst:
Assumption by Canalyst</t>
        </r>
      </text>
    </comment>
    <comment ref="J659" authorId="0">
      <text>
        <r>
          <rPr>
            <sz val="10"/>
            <rFont val="Arial"/>
            <family val="2"/>
          </rPr>
          <t xml:space="preserve">Tegus (TZ):
Assumed, not reported</t>
        </r>
      </text>
    </comment>
    <comment ref="K111" authorId="0">
      <text>
        <r>
          <rPr>
            <sz val="10"/>
            <rFont val="Arial"/>
            <family val="2"/>
          </rPr>
          <t xml:space="preserve">Tegus (HS):
Estimated</t>
        </r>
      </text>
    </comment>
    <comment ref="K112" authorId="0">
      <text>
        <r>
          <rPr>
            <sz val="10"/>
            <rFont val="Arial"/>
            <family val="2"/>
          </rPr>
          <t xml:space="preserve">Tegus (HS):
Estimated</t>
        </r>
      </text>
    </comment>
    <comment ref="K163" authorId="0">
      <text>
        <r>
          <rPr>
            <sz val="10"/>
            <rFont val="Arial"/>
            <family val="2"/>
          </rPr>
          <t xml:space="preserve">Tegus (AlyD):
Including EUV</t>
        </r>
      </text>
    </comment>
    <comment ref="K180" authorId="0">
      <text>
        <r>
          <rPr>
            <sz val="10"/>
            <rFont val="Arial"/>
            <family val="2"/>
          </rPr>
          <t xml:space="preserve">Tegus (AlyD):
Including EUV</t>
        </r>
      </text>
    </comment>
    <comment ref="K196" authorId="0">
      <text>
        <r>
          <rPr>
            <sz val="10"/>
            <rFont val="Arial"/>
            <family val="2"/>
          </rPr>
          <t xml:space="preserve">Tegus (AlyD):
Including EUV</t>
        </r>
      </text>
    </comment>
    <comment ref="K202" authorId="0">
      <text>
        <r>
          <rPr>
            <sz val="10"/>
            <rFont val="Arial"/>
            <family val="2"/>
          </rPr>
          <t xml:space="preserve">Tegus (AlyD):
Including EUV</t>
        </r>
      </text>
    </comment>
    <comment ref="K320" authorId="0">
      <text>
        <r>
          <rPr>
            <sz val="10"/>
            <rFont val="Arial"/>
            <family val="2"/>
          </rPr>
          <t xml:space="preserve">Tegus (AB):
Rounding error.</t>
        </r>
      </text>
    </comment>
    <comment ref="K388" authorId="2">
      <text>
        <r>
          <rPr>
            <sz val="10"/>
            <rFont val="Arial"/>
            <family val="2"/>
          </rPr>
          <t xml:space="preserve">Canalyst:
Assumption by Canalyst</t>
        </r>
      </text>
    </comment>
    <comment ref="K521" authorId="0">
      <text>
        <r>
          <rPr>
            <sz val="10"/>
            <rFont val="Arial"/>
            <family val="2"/>
          </rPr>
          <t xml:space="preserve">Tegus (AB):
Adjusted formula to reflect change in reporting from 1 decimal place to 3 decimal places.</t>
        </r>
      </text>
    </comment>
    <comment ref="K577" authorId="0">
      <text>
        <r>
          <rPr>
            <sz val="10"/>
            <rFont val="Arial"/>
            <family val="2"/>
          </rPr>
          <t xml:space="preserve">Tegus (AB):
Adjusted formula to reflect change in reporting from 1 decimal place to 3 decimal places.</t>
        </r>
      </text>
    </comment>
    <comment ref="K688" authorId="0">
      <text>
        <r>
          <rPr>
            <sz val="10"/>
            <rFont val="Arial"/>
            <family val="2"/>
          </rPr>
          <t xml:space="preserve">Tegus (AB):
Rounding error - company reports to 3 decimal places in 20F and only 1 decimal place in PR.</t>
        </r>
      </text>
    </comment>
    <comment ref="K701" authorId="0">
      <text>
        <r>
          <rPr>
            <sz val="10"/>
            <rFont val="Arial"/>
            <family val="2"/>
          </rPr>
          <t xml:space="preserve">Tegus (AB):
As reported.</t>
        </r>
      </text>
    </comment>
    <comment ref="L187" authorId="0">
      <text>
        <r>
          <rPr>
            <sz val="10"/>
            <rFont val="Arial"/>
            <family val="2"/>
          </rPr>
          <t xml:space="preserve">Tegus (VT):
Calculated since not reported.</t>
        </r>
      </text>
    </comment>
    <comment ref="L188" authorId="0">
      <text>
        <r>
          <rPr>
            <sz val="10"/>
            <rFont val="Arial"/>
            <family val="2"/>
          </rPr>
          <t xml:space="preserve">Tegus (VT):
Calculated since not reported.</t>
        </r>
      </text>
    </comment>
    <comment ref="L219" authorId="0">
      <text>
        <r>
          <rPr>
            <sz val="10"/>
            <rFont val="Arial"/>
            <family val="2"/>
          </rPr>
          <t xml:space="preserve">Tegus (AB):
Rest of Europe revenues</t>
        </r>
      </text>
    </comment>
    <comment ref="L243" authorId="0">
      <text>
        <r>
          <rPr>
            <sz val="10"/>
            <rFont val="Arial"/>
            <family val="2"/>
          </rPr>
          <t xml:space="preserve">Tegus (AHA):
Rest of Europe</t>
        </r>
      </text>
    </comment>
    <comment ref="L388" authorId="2">
      <text>
        <r>
          <rPr>
            <sz val="10"/>
            <rFont val="Arial"/>
            <family val="2"/>
          </rPr>
          <t xml:space="preserve">Canalyst:
Assumption by Canalyst</t>
        </r>
      </text>
    </comment>
    <comment ref="L702" authorId="0">
      <text>
        <r>
          <rPr>
            <sz val="10"/>
            <rFont val="Arial"/>
            <family val="2"/>
          </rPr>
          <t xml:space="preserve">Tegus (AB):
Rounding error.</t>
        </r>
      </text>
    </comment>
    <comment ref="L703" authorId="0">
      <text>
        <r>
          <rPr>
            <sz val="10"/>
            <rFont val="Arial"/>
            <family val="2"/>
          </rPr>
          <t xml:space="preserve">Tegus (AB):
Rounding error.</t>
        </r>
      </text>
    </comment>
    <comment ref="M20" authorId="0">
      <text>
        <r>
          <rPr>
            <sz val="10"/>
            <rFont val="Arial"/>
            <family val="2"/>
          </rPr>
          <t xml:space="preserve">Tegus (SH):
No EUVs sold for this period</t>
        </r>
      </text>
    </comment>
    <comment ref="M43" authorId="0">
      <text>
        <r>
          <rPr>
            <sz val="10"/>
            <rFont val="Arial"/>
            <family val="2"/>
          </rPr>
          <t xml:space="preserve">Tegus (VT):
No EUVs sold for this period</t>
        </r>
      </text>
    </comment>
    <comment ref="M111" authorId="0">
      <text>
        <r>
          <rPr>
            <sz val="10"/>
            <rFont val="Arial"/>
            <family val="2"/>
          </rPr>
          <t xml:space="preserve">Tegus (HS):
Estimated</t>
        </r>
      </text>
    </comment>
    <comment ref="M112" authorId="0">
      <text>
        <r>
          <rPr>
            <sz val="10"/>
            <rFont val="Arial"/>
            <family val="2"/>
          </rPr>
          <t xml:space="preserve">Tegus (HS):
Estimated</t>
        </r>
      </text>
    </comment>
    <comment ref="M380" authorId="2">
      <text>
        <r>
          <rPr>
            <sz val="10"/>
            <rFont val="Arial"/>
            <family val="2"/>
          </rPr>
          <t xml:space="preserve">Canalyst:
Assumption by Canalyst</t>
        </r>
      </text>
    </comment>
    <comment ref="M388" authorId="2">
      <text>
        <r>
          <rPr>
            <sz val="10"/>
            <rFont val="Arial"/>
            <family val="2"/>
          </rPr>
          <t xml:space="preserve">Canalyst:
Assumption by Canalyst</t>
        </r>
      </text>
    </comment>
    <comment ref="M521" authorId="0">
      <text>
        <r>
          <rPr>
            <sz val="10"/>
            <rFont val="Arial"/>
            <family val="2"/>
          </rPr>
          <t xml:space="preserve">Tegus (AB):
Adjusted formula to reflect change in reporting to 3 decimal places to 1 decimal place.</t>
        </r>
      </text>
    </comment>
    <comment ref="M577" authorId="0">
      <text>
        <r>
          <rPr>
            <sz val="10"/>
            <rFont val="Arial"/>
            <family val="2"/>
          </rPr>
          <t xml:space="preserve">Tegus (AB):
Adjusted formula to reflect change in reporting to 3 decimal places to 1 decimal place.</t>
        </r>
      </text>
    </comment>
    <comment ref="M659" authorId="0">
      <text>
        <r>
          <rPr>
            <sz val="10"/>
            <rFont val="Arial"/>
            <family val="2"/>
          </rPr>
          <t xml:space="preserve">Tegus (TZ):
Assumed, not reported</t>
        </r>
      </text>
    </comment>
    <comment ref="N111" authorId="0">
      <text>
        <r>
          <rPr>
            <sz val="10"/>
            <rFont val="Arial"/>
            <family val="2"/>
          </rPr>
          <t xml:space="preserve">Tegus (HS):
Estimated</t>
        </r>
      </text>
    </comment>
    <comment ref="N112" authorId="0">
      <text>
        <r>
          <rPr>
            <sz val="10"/>
            <rFont val="Arial"/>
            <family val="2"/>
          </rPr>
          <t xml:space="preserve">Tegus (HS):
Estimated</t>
        </r>
      </text>
    </comment>
    <comment ref="N380" authorId="2">
      <text>
        <r>
          <rPr>
            <sz val="10"/>
            <rFont val="Arial"/>
            <family val="2"/>
          </rPr>
          <t xml:space="preserve">Canalyst:
Assumption by Canalyst</t>
        </r>
      </text>
    </comment>
    <comment ref="N388" authorId="2">
      <text>
        <r>
          <rPr>
            <sz val="10"/>
            <rFont val="Arial"/>
            <family val="2"/>
          </rPr>
          <t xml:space="preserve">Canalyst:
Assumption by Canalyst</t>
        </r>
      </text>
    </comment>
    <comment ref="N659" authorId="0">
      <text>
        <r>
          <rPr>
            <sz val="10"/>
            <rFont val="Arial"/>
            <family val="2"/>
          </rPr>
          <t xml:space="preserve">Tegus (TZ):
Assumed, not reported</t>
        </r>
      </text>
    </comment>
    <comment ref="O20" authorId="0">
      <text>
        <r>
          <rPr>
            <sz val="10"/>
            <rFont val="Arial"/>
            <family val="2"/>
          </rPr>
          <t xml:space="preserve">Tegus (SH):
No EUVs sold for this period</t>
        </r>
      </text>
    </comment>
    <comment ref="O43" authorId="0">
      <text>
        <r>
          <rPr>
            <sz val="10"/>
            <rFont val="Arial"/>
            <family val="2"/>
          </rPr>
          <t xml:space="preserve">Tegus (VT):
No EUVs sold for this period</t>
        </r>
      </text>
    </comment>
    <comment ref="O111" authorId="0">
      <text>
        <r>
          <rPr>
            <sz val="10"/>
            <rFont val="Arial"/>
            <family val="2"/>
          </rPr>
          <t xml:space="preserve">Tegus (HS):
Estimated</t>
        </r>
      </text>
    </comment>
    <comment ref="O112" authorId="0">
      <text>
        <r>
          <rPr>
            <sz val="10"/>
            <rFont val="Arial"/>
            <family val="2"/>
          </rPr>
          <t xml:space="preserve">Tegus (HS):
Estimated</t>
        </r>
      </text>
    </comment>
    <comment ref="O380" authorId="2">
      <text>
        <r>
          <rPr>
            <sz val="10"/>
            <rFont val="Arial"/>
            <family val="2"/>
          </rPr>
          <t xml:space="preserve">Canalyst:
Assumption by Canalyst</t>
        </r>
      </text>
    </comment>
    <comment ref="O388" authorId="2">
      <text>
        <r>
          <rPr>
            <sz val="10"/>
            <rFont val="Arial"/>
            <family val="2"/>
          </rPr>
          <t xml:space="preserve">Canalyst:
Assumption by Canalyst</t>
        </r>
      </text>
    </comment>
    <comment ref="O659" authorId="0">
      <text>
        <r>
          <rPr>
            <sz val="10"/>
            <rFont val="Arial"/>
            <family val="2"/>
          </rPr>
          <t xml:space="preserve">Tegus (TZ):
Assumed, not reported</t>
        </r>
      </text>
    </comment>
    <comment ref="P20" authorId="0">
      <text>
        <r>
          <rPr>
            <sz val="10"/>
            <rFont val="Arial"/>
            <family val="2"/>
          </rPr>
          <t xml:space="preserve">Tegus (SH):
No EUVs sold for this period</t>
        </r>
      </text>
    </comment>
    <comment ref="P43" authorId="0">
      <text>
        <r>
          <rPr>
            <sz val="10"/>
            <rFont val="Arial"/>
            <family val="2"/>
          </rPr>
          <t xml:space="preserve">Tegus (VT):
No EUVs sold for this period</t>
        </r>
      </text>
    </comment>
    <comment ref="P111" authorId="0">
      <text>
        <r>
          <rPr>
            <sz val="10"/>
            <rFont val="Arial"/>
            <family val="2"/>
          </rPr>
          <t xml:space="preserve">Tegus (HS):
Estimated</t>
        </r>
      </text>
    </comment>
    <comment ref="P112" authorId="0">
      <text>
        <r>
          <rPr>
            <sz val="10"/>
            <rFont val="Arial"/>
            <family val="2"/>
          </rPr>
          <t xml:space="preserve">Tegus (HS):
Estimated</t>
        </r>
      </text>
    </comment>
    <comment ref="P320" authorId="0">
      <text>
        <r>
          <rPr>
            <sz val="10"/>
            <rFont val="Arial"/>
            <family val="2"/>
          </rPr>
          <t xml:space="preserve">Tegus (AB):
Rounding error.</t>
        </r>
      </text>
    </comment>
    <comment ref="P388" authorId="2">
      <text>
        <r>
          <rPr>
            <sz val="10"/>
            <rFont val="Arial"/>
            <family val="2"/>
          </rPr>
          <t xml:space="preserve">Canalyst:
Assumption by Canalyst</t>
        </r>
      </text>
    </comment>
    <comment ref="P521" authorId="0">
      <text>
        <r>
          <rPr>
            <sz val="10"/>
            <rFont val="Arial"/>
            <family val="2"/>
          </rPr>
          <t xml:space="preserve">Tegus (AB):
Adjusted formula to reflect change in reporting from 1 decimal place to 3 decimal places.</t>
        </r>
      </text>
    </comment>
    <comment ref="P577" authorId="0">
      <text>
        <r>
          <rPr>
            <sz val="10"/>
            <rFont val="Arial"/>
            <family val="2"/>
          </rPr>
          <t xml:space="preserve">Tegus (AB):
Adjusted formula to reflect change in reporting from 1 decimal place to 3 decimal places.</t>
        </r>
      </text>
    </comment>
    <comment ref="P688" authorId="0">
      <text>
        <r>
          <rPr>
            <sz val="10"/>
            <rFont val="Arial"/>
            <family val="2"/>
          </rPr>
          <t xml:space="preserve">Tegus (AB):
Rounding error - company reports to 3 decimal places in 20F and only 1 decimal place in PR.</t>
        </r>
      </text>
    </comment>
    <comment ref="Q187" authorId="0">
      <text>
        <r>
          <rPr>
            <sz val="10"/>
            <rFont val="Arial"/>
            <family val="2"/>
          </rPr>
          <t xml:space="preserve">Tegus (VT):
Calculated since not reported.</t>
        </r>
      </text>
    </comment>
    <comment ref="Q188" authorId="0">
      <text>
        <r>
          <rPr>
            <sz val="10"/>
            <rFont val="Arial"/>
            <family val="2"/>
          </rPr>
          <t xml:space="preserve">Tegus (VT):
Calculated since not reported.</t>
        </r>
      </text>
    </comment>
    <comment ref="Q388" authorId="2">
      <text>
        <r>
          <rPr>
            <sz val="10"/>
            <rFont val="Arial"/>
            <family val="2"/>
          </rPr>
          <t xml:space="preserve">Canalyst:
Assumption by Canalyst</t>
        </r>
      </text>
    </comment>
    <comment ref="Q702" authorId="0">
      <text>
        <r>
          <rPr>
            <sz val="10"/>
            <rFont val="Arial"/>
            <family val="2"/>
          </rPr>
          <t xml:space="preserve">Tegus (AB):
Rounding error.</t>
        </r>
      </text>
    </comment>
    <comment ref="Q703" authorId="0">
      <text>
        <r>
          <rPr>
            <sz val="10"/>
            <rFont val="Arial"/>
            <family val="2"/>
          </rPr>
          <t xml:space="preserve">Tegus (AB):
Rounding error.</t>
        </r>
      </text>
    </comment>
    <comment ref="R20" authorId="0">
      <text>
        <r>
          <rPr>
            <sz val="10"/>
            <rFont val="Arial"/>
            <family val="2"/>
          </rPr>
          <t xml:space="preserve">Tegus (SH):
No EUVs sold for this period</t>
        </r>
      </text>
    </comment>
    <comment ref="R111" authorId="0">
      <text>
        <r>
          <rPr>
            <sz val="10"/>
            <rFont val="Arial"/>
            <family val="2"/>
          </rPr>
          <t xml:space="preserve">Tegus (HS):
Estimated</t>
        </r>
      </text>
    </comment>
    <comment ref="R112" authorId="0">
      <text>
        <r>
          <rPr>
            <sz val="10"/>
            <rFont val="Arial"/>
            <family val="2"/>
          </rPr>
          <t xml:space="preserve">Tegus (HS):
Estimated</t>
        </r>
      </text>
    </comment>
    <comment ref="R380" authorId="2">
      <text>
        <r>
          <rPr>
            <sz val="10"/>
            <rFont val="Arial"/>
            <family val="2"/>
          </rPr>
          <t xml:space="preserve">Canalyst:
Assumption by Canalyst</t>
        </r>
      </text>
    </comment>
    <comment ref="R388" authorId="2">
      <text>
        <r>
          <rPr>
            <sz val="10"/>
            <rFont val="Arial"/>
            <family val="2"/>
          </rPr>
          <t xml:space="preserve">Canalyst:
Assumption by Canalyst</t>
        </r>
      </text>
    </comment>
    <comment ref="R521" authorId="0">
      <text>
        <r>
          <rPr>
            <sz val="10"/>
            <rFont val="Arial"/>
            <family val="2"/>
          </rPr>
          <t xml:space="preserve">Tegus (AB):
Adjusted formula to reflect change in reporting to 3 decimal places to 1 decimal place.</t>
        </r>
      </text>
    </comment>
    <comment ref="R577" authorId="0">
      <text>
        <r>
          <rPr>
            <sz val="10"/>
            <rFont val="Arial"/>
            <family val="2"/>
          </rPr>
          <t xml:space="preserve">Tegus (AB):
Adjusted formula to reflect change in reporting to 3 decimal places to 1 decimal place.</t>
        </r>
      </text>
    </comment>
    <comment ref="R659" authorId="0">
      <text>
        <r>
          <rPr>
            <sz val="10"/>
            <rFont val="Arial"/>
            <family val="2"/>
          </rPr>
          <t xml:space="preserve">Tegus (TZ):
Assumed, not reported</t>
        </r>
      </text>
    </comment>
    <comment ref="S111" authorId="0">
      <text>
        <r>
          <rPr>
            <sz val="10"/>
            <rFont val="Arial"/>
            <family val="2"/>
          </rPr>
          <t xml:space="preserve">Tegus (HS):
Estimated</t>
        </r>
      </text>
    </comment>
    <comment ref="S112" authorId="0">
      <text>
        <r>
          <rPr>
            <sz val="10"/>
            <rFont val="Arial"/>
            <family val="2"/>
          </rPr>
          <t xml:space="preserve">Tegus (HS):
Estimated</t>
        </r>
      </text>
    </comment>
    <comment ref="S380" authorId="2">
      <text>
        <r>
          <rPr>
            <sz val="10"/>
            <rFont val="Arial"/>
            <family val="2"/>
          </rPr>
          <t xml:space="preserve">Canalyst:
Assumption by Canalyst</t>
        </r>
      </text>
    </comment>
    <comment ref="S388" authorId="2">
      <text>
        <r>
          <rPr>
            <sz val="10"/>
            <rFont val="Arial"/>
            <family val="2"/>
          </rPr>
          <t xml:space="preserve">Canalyst:
Assumption by Canalyst</t>
        </r>
      </text>
    </comment>
    <comment ref="S659" authorId="0">
      <text>
        <r>
          <rPr>
            <sz val="10"/>
            <rFont val="Arial"/>
            <family val="2"/>
          </rPr>
          <t xml:space="preserve">Tegus (TZ):
Assumed, not reported</t>
        </r>
      </text>
    </comment>
    <comment ref="T21" authorId="0">
      <text>
        <r>
          <rPr>
            <sz val="10"/>
            <rFont val="Arial"/>
            <family val="2"/>
          </rPr>
          <t xml:space="preserve">Tegus (SH):
No base period</t>
        </r>
      </text>
    </comment>
    <comment ref="T111" authorId="0">
      <text>
        <r>
          <rPr>
            <sz val="10"/>
            <rFont val="Arial"/>
            <family val="2"/>
          </rPr>
          <t xml:space="preserve">Tegus (HS):
Estimated</t>
        </r>
      </text>
    </comment>
    <comment ref="T112" authorId="0">
      <text>
        <r>
          <rPr>
            <sz val="10"/>
            <rFont val="Arial"/>
            <family val="2"/>
          </rPr>
          <t xml:space="preserve">Tegus (HS):
Estimated</t>
        </r>
      </text>
    </comment>
    <comment ref="T380" authorId="2">
      <text>
        <r>
          <rPr>
            <sz val="10"/>
            <rFont val="Arial"/>
            <family val="2"/>
          </rPr>
          <t xml:space="preserve">Canalyst:
Assumption by Canalyst</t>
        </r>
      </text>
    </comment>
    <comment ref="T388" authorId="2">
      <text>
        <r>
          <rPr>
            <sz val="10"/>
            <rFont val="Arial"/>
            <family val="2"/>
          </rPr>
          <t xml:space="preserve">Canalyst:
Assumption by Canalyst</t>
        </r>
      </text>
    </comment>
    <comment ref="T659" authorId="0">
      <text>
        <r>
          <rPr>
            <sz val="10"/>
            <rFont val="Arial"/>
            <family val="2"/>
          </rPr>
          <t xml:space="preserve">Tegus (TZ):
Assumed, not reported</t>
        </r>
      </text>
    </comment>
    <comment ref="U21" authorId="0">
      <text>
        <r>
          <rPr>
            <sz val="10"/>
            <rFont val="Arial"/>
            <family val="2"/>
          </rPr>
          <t xml:space="preserve">Tegus (SH):
No base period</t>
        </r>
      </text>
    </comment>
    <comment ref="U38" authorId="0">
      <text>
        <r>
          <rPr>
            <sz val="10"/>
            <rFont val="Arial"/>
            <family val="2"/>
          </rPr>
          <t xml:space="preserve">Tegus (VT):
As per January 1, 2017, ASML presents net sales with respect to metrology and inspection systems as part of net system sales instead of net service and field option sales.</t>
        </r>
      </text>
    </comment>
    <comment ref="U111" authorId="0">
      <text>
        <r>
          <rPr>
            <sz val="10"/>
            <rFont val="Arial"/>
            <family val="2"/>
          </rPr>
          <t xml:space="preserve">Tegus (HS):
Estimated</t>
        </r>
      </text>
    </comment>
    <comment ref="U112" authorId="0">
      <text>
        <r>
          <rPr>
            <sz val="10"/>
            <rFont val="Arial"/>
            <family val="2"/>
          </rPr>
          <t xml:space="preserve">Tegus (HS):
Estimated</t>
        </r>
      </text>
    </comment>
    <comment ref="U388" authorId="2">
      <text>
        <r>
          <rPr>
            <sz val="10"/>
            <rFont val="Arial"/>
            <family val="2"/>
          </rPr>
          <t xml:space="preserve">Canalyst:
Assumption by Canalyst</t>
        </r>
      </text>
    </comment>
    <comment ref="U405" authorId="0">
      <text>
        <r>
          <rPr>
            <sz val="10"/>
            <rFont val="Arial"/>
            <family val="2"/>
          </rPr>
          <t xml:space="preserve">Tegus (AB):
Acquisition of HMI.</t>
        </r>
      </text>
    </comment>
    <comment ref="V17" authorId="0">
      <text>
        <r>
          <rPr>
            <sz val="10"/>
            <rFont val="Arial"/>
            <family val="2"/>
          </rPr>
          <t xml:space="preserve">Tegus (VT):
As per January 1, 2017, ASML presents net sales with respect to metrology and inspection systems as part of net system sales instead of net service and field option sales.</t>
        </r>
      </text>
    </comment>
    <comment ref="V38" authorId="0">
      <text>
        <r>
          <rPr>
            <sz val="10"/>
            <rFont val="Arial"/>
            <family val="2"/>
          </rPr>
          <t xml:space="preserve">Tegus (VT):
As per January 1, 2017, ASML presents net sales with respect to metrology and inspection systems as part of net system sales instead of net service and field option sales.</t>
        </r>
      </text>
    </comment>
    <comment ref="V187" authorId="0">
      <text>
        <r>
          <rPr>
            <sz val="10"/>
            <rFont val="Arial"/>
            <family val="2"/>
          </rPr>
          <t xml:space="preserve">Tegus (VT):
Calculated since not reported.</t>
        </r>
      </text>
    </comment>
    <comment ref="V188" authorId="0">
      <text>
        <r>
          <rPr>
            <sz val="10"/>
            <rFont val="Arial"/>
            <family val="2"/>
          </rPr>
          <t xml:space="preserve">Tegus (VT):
Calculated since not reported.</t>
        </r>
      </text>
    </comment>
    <comment ref="V388" authorId="2">
      <text>
        <r>
          <rPr>
            <sz val="10"/>
            <rFont val="Arial"/>
            <family val="2"/>
          </rPr>
          <t xml:space="preserve">Canalyst:
Assumption by Canalyst</t>
        </r>
      </text>
    </comment>
    <comment ref="V577" authorId="0">
      <text>
        <r>
          <rPr>
            <sz val="10"/>
            <rFont val="Arial"/>
            <family val="2"/>
          </rPr>
          <t xml:space="preserve">Tegus (AB):
Adjusted formula to reflect change in reporting to 3 decimal places to 1 decimal place.</t>
        </r>
      </text>
    </comment>
    <comment ref="W20" authorId="0">
      <text>
        <r>
          <rPr>
            <sz val="10"/>
            <rFont val="Arial"/>
            <family val="2"/>
          </rPr>
          <t xml:space="preserve">Tegus (SH):
No EUVs sold for this period</t>
        </r>
      </text>
    </comment>
    <comment ref="W111" authorId="0">
      <text>
        <r>
          <rPr>
            <sz val="10"/>
            <rFont val="Arial"/>
            <family val="2"/>
          </rPr>
          <t xml:space="preserve">Tegus (HS):
Estimated</t>
        </r>
      </text>
    </comment>
    <comment ref="W112" authorId="0">
      <text>
        <r>
          <rPr>
            <sz val="10"/>
            <rFont val="Arial"/>
            <family val="2"/>
          </rPr>
          <t xml:space="preserve">Tegus (HS):
Estimated</t>
        </r>
      </text>
    </comment>
    <comment ref="W187" authorId="0">
      <text>
        <r>
          <rPr>
            <sz val="10"/>
            <rFont val="Arial"/>
            <family val="2"/>
          </rPr>
          <t xml:space="preserve">Tegus (VT):
No longer reported</t>
        </r>
      </text>
    </comment>
    <comment ref="W188" authorId="0">
      <text>
        <r>
          <rPr>
            <sz val="10"/>
            <rFont val="Arial"/>
            <family val="2"/>
          </rPr>
          <t xml:space="preserve">Tegus (VT):
No longer reported</t>
        </r>
      </text>
    </comment>
    <comment ref="W380" authorId="2">
      <text>
        <r>
          <rPr>
            <sz val="10"/>
            <rFont val="Arial"/>
            <family val="2"/>
          </rPr>
          <t xml:space="preserve">Canalyst:
Assumption by Canalyst</t>
        </r>
      </text>
    </comment>
    <comment ref="W388" authorId="2">
      <text>
        <r>
          <rPr>
            <sz val="10"/>
            <rFont val="Arial"/>
            <family val="2"/>
          </rPr>
          <t xml:space="preserve">Canalyst:
Assumption by Canalyst</t>
        </r>
      </text>
    </comment>
    <comment ref="W577" authorId="0">
      <text>
        <r>
          <rPr>
            <sz val="10"/>
            <rFont val="Arial"/>
            <family val="2"/>
          </rPr>
          <t xml:space="preserve">Tegus (AB):
Adjusted formula to reflect change in reporting to 3 decimal places to 1 decimal place.</t>
        </r>
      </text>
    </comment>
    <comment ref="W659" authorId="0">
      <text>
        <r>
          <rPr>
            <sz val="10"/>
            <rFont val="Arial"/>
            <family val="2"/>
          </rPr>
          <t xml:space="preserve">Tegus (TZ):
Assumed, not reported</t>
        </r>
      </text>
    </comment>
    <comment ref="X111" authorId="0">
      <text>
        <r>
          <rPr>
            <sz val="10"/>
            <rFont val="Arial"/>
            <family val="2"/>
          </rPr>
          <t xml:space="preserve">Tegus (HS):
Estimated</t>
        </r>
      </text>
    </comment>
    <comment ref="X112" authorId="0">
      <text>
        <r>
          <rPr>
            <sz val="10"/>
            <rFont val="Arial"/>
            <family val="2"/>
          </rPr>
          <t xml:space="preserve">Tegus (HS):
Estimated</t>
        </r>
      </text>
    </comment>
    <comment ref="X380" authorId="2">
      <text>
        <r>
          <rPr>
            <sz val="10"/>
            <rFont val="Arial"/>
            <family val="2"/>
          </rPr>
          <t xml:space="preserve">Canalyst:
Assumption by Canalyst</t>
        </r>
      </text>
    </comment>
    <comment ref="X388" authorId="2">
      <text>
        <r>
          <rPr>
            <sz val="10"/>
            <rFont val="Arial"/>
            <family val="2"/>
          </rPr>
          <t xml:space="preserve">Canalyst:
Assumption by Canalyst</t>
        </r>
      </text>
    </comment>
    <comment ref="X556" authorId="0">
      <text>
        <r>
          <rPr>
            <sz val="10"/>
            <rFont val="Arial"/>
            <family val="2"/>
          </rPr>
          <t xml:space="preserve">Tegus (AB):
Acquisition of 24.9% interest in Carl Zeiss SMT Holding.</t>
        </r>
      </text>
    </comment>
    <comment ref="X659" authorId="0">
      <text>
        <r>
          <rPr>
            <sz val="10"/>
            <rFont val="Arial"/>
            <family val="2"/>
          </rPr>
          <t xml:space="preserve">Tegus (TZ):
Assumed, not reported</t>
        </r>
      </text>
    </comment>
    <comment ref="Y111" authorId="0">
      <text>
        <r>
          <rPr>
            <sz val="10"/>
            <rFont val="Arial"/>
            <family val="2"/>
          </rPr>
          <t xml:space="preserve">Tegus (HS):
Estimated</t>
        </r>
      </text>
    </comment>
    <comment ref="Y112" authorId="0">
      <text>
        <r>
          <rPr>
            <sz val="10"/>
            <rFont val="Arial"/>
            <family val="2"/>
          </rPr>
          <t xml:space="preserve">Tegus (HS):
Estimated</t>
        </r>
      </text>
    </comment>
    <comment ref="Y380" authorId="2">
      <text>
        <r>
          <rPr>
            <sz val="10"/>
            <rFont val="Arial"/>
            <family val="2"/>
          </rPr>
          <t xml:space="preserve">Canalyst:
Assumption by Canalyst</t>
        </r>
      </text>
    </comment>
    <comment ref="Y388" authorId="2">
      <text>
        <r>
          <rPr>
            <sz val="10"/>
            <rFont val="Arial"/>
            <family val="2"/>
          </rPr>
          <t xml:space="preserve">Canalyst:
Assumption by Canalyst</t>
        </r>
      </text>
    </comment>
    <comment ref="Y659" authorId="0">
      <text>
        <r>
          <rPr>
            <sz val="10"/>
            <rFont val="Arial"/>
            <family val="2"/>
          </rPr>
          <t xml:space="preserve">Tegus (TZ):
Assumed, not reported</t>
        </r>
      </text>
    </comment>
    <comment ref="Z48" authorId="0">
      <text>
        <r>
          <rPr>
            <sz val="10"/>
            <rFont val="Arial"/>
            <family val="2"/>
          </rPr>
          <t xml:space="preserve">Tegus (VT):
As per January 1, 2017, ASML presents net sales with respect to metrology and inspection systems as part of net system sales instead of net service and field option sales.</t>
        </r>
      </text>
    </comment>
    <comment ref="Z50" authorId="0">
      <text>
        <r>
          <rPr>
            <sz val="10"/>
            <rFont val="Arial"/>
            <family val="2"/>
          </rPr>
          <t xml:space="preserve">Tegus (VT):
As per January 1, 2017, ASML presents net sales with respect to metrology and inspection systems as part of net system sales instead of net service and field option sales.</t>
        </r>
      </text>
    </comment>
    <comment ref="Z111" authorId="0">
      <text>
        <r>
          <rPr>
            <sz val="10"/>
            <rFont val="Arial"/>
            <family val="2"/>
          </rPr>
          <t xml:space="preserve">Tegus (HS):
Estimated</t>
        </r>
      </text>
    </comment>
    <comment ref="Z112" authorId="0">
      <text>
        <r>
          <rPr>
            <sz val="10"/>
            <rFont val="Arial"/>
            <family val="2"/>
          </rPr>
          <t xml:space="preserve">Tegus (HS):
Estimated</t>
        </r>
      </text>
    </comment>
    <comment ref="Z388" authorId="2">
      <text>
        <r>
          <rPr>
            <sz val="10"/>
            <rFont val="Arial"/>
            <family val="2"/>
          </rPr>
          <t xml:space="preserve">Canalyst:
Assumption by Canalyst</t>
        </r>
      </text>
    </comment>
    <comment ref="AA177" authorId="0">
      <text>
        <r>
          <rPr>
            <sz val="10"/>
            <rFont val="Arial"/>
            <family val="2"/>
          </rPr>
          <t xml:space="preserve">Tegus (SH):
Reported in FY2018</t>
        </r>
      </text>
    </comment>
    <comment ref="AA259" authorId="0">
      <text>
        <r>
          <rPr>
            <sz val="10"/>
            <rFont val="Arial"/>
            <family val="2"/>
          </rPr>
          <t xml:space="preserve">Tegus (AHA):
Reported as manufacturing and logistics before FY2018</t>
        </r>
      </text>
    </comment>
    <comment ref="AA261" authorId="0">
      <text>
        <r>
          <rPr>
            <sz val="10"/>
            <rFont val="Arial"/>
            <family val="2"/>
          </rPr>
          <t xml:space="preserve">Tegus (AHA):
Reported as SG&amp;A prior to FY2018</t>
        </r>
      </text>
    </comment>
    <comment ref="AA315" authorId="0">
      <text>
        <r>
          <rPr>
            <sz val="10"/>
            <rFont val="Arial"/>
            <family val="2"/>
          </rPr>
          <t xml:space="preserve">Tegus (AHA):
Backfilled from T period as FY2017 was restated but the company does not provide quarterly financial statements for 2018 to check to see if 2017 quarters are restated</t>
        </r>
      </text>
    </comment>
    <comment ref="AA388" authorId="2">
      <text>
        <r>
          <rPr>
            <sz val="10"/>
            <rFont val="Arial"/>
            <family val="2"/>
          </rPr>
          <t xml:space="preserve">Canalyst:
Assumption by Canalyst</t>
        </r>
      </text>
    </comment>
    <comment ref="AB21" authorId="0">
      <text>
        <r>
          <rPr>
            <sz val="10"/>
            <rFont val="Arial"/>
            <family val="2"/>
          </rPr>
          <t xml:space="preserve">Tegus (SH):
No base period</t>
        </r>
      </text>
    </comment>
    <comment ref="AB111" authorId="0">
      <text>
        <r>
          <rPr>
            <sz val="10"/>
            <rFont val="Arial"/>
            <family val="2"/>
          </rPr>
          <t xml:space="preserve">Tegus (HS):
Estimated</t>
        </r>
      </text>
    </comment>
    <comment ref="AB112" authorId="0">
      <text>
        <r>
          <rPr>
            <sz val="10"/>
            <rFont val="Arial"/>
            <family val="2"/>
          </rPr>
          <t xml:space="preserve">Tegus (HS):
Estimated</t>
        </r>
      </text>
    </comment>
    <comment ref="AB119" authorId="0">
      <text>
        <r>
          <rPr>
            <sz val="10"/>
            <rFont val="Arial"/>
            <family val="2"/>
          </rPr>
          <t xml:space="preserve">Tegus (SH):
Comparable breakdown is not available prior to this period.</t>
        </r>
      </text>
    </comment>
    <comment ref="AB157" authorId="0">
      <text>
        <r>
          <rPr>
            <sz val="10"/>
            <rFont val="Arial"/>
            <family val="2"/>
          </rPr>
          <t xml:space="preserve">Tegus (VT):
Breakdown not reported.</t>
        </r>
      </text>
    </comment>
    <comment ref="AB163" authorId="0">
      <text>
        <r>
          <rPr>
            <sz val="10"/>
            <rFont val="Arial"/>
            <family val="2"/>
          </rPr>
          <t xml:space="preserve">Tegus (VT):
Breakdown not reported.</t>
        </r>
      </text>
    </comment>
    <comment ref="AB198" authorId="0">
      <text>
        <r>
          <rPr>
            <sz val="10"/>
            <rFont val="Arial"/>
            <family val="2"/>
          </rPr>
          <t xml:space="preserve">Tegus (VT):
Breakdown not reported.</t>
        </r>
      </text>
    </comment>
    <comment ref="AB208" authorId="0">
      <text>
        <r>
          <rPr>
            <sz val="10"/>
            <rFont val="Arial"/>
            <family val="2"/>
          </rPr>
          <t xml:space="preserve">Tegus (VT):
Not reported</t>
        </r>
      </text>
    </comment>
    <comment ref="AB380" authorId="2">
      <text>
        <r>
          <rPr>
            <sz val="10"/>
            <rFont val="Arial"/>
            <family val="2"/>
          </rPr>
          <t xml:space="preserve">Canalyst:
Assumption by Canalyst</t>
        </r>
      </text>
    </comment>
    <comment ref="AB388" authorId="2">
      <text>
        <r>
          <rPr>
            <sz val="10"/>
            <rFont val="Arial"/>
            <family val="2"/>
          </rPr>
          <t xml:space="preserve">Canalyst:
Assumption by Canalyst</t>
        </r>
      </text>
    </comment>
    <comment ref="AB659" authorId="0">
      <text>
        <r>
          <rPr>
            <sz val="10"/>
            <rFont val="Arial"/>
            <family val="2"/>
          </rPr>
          <t xml:space="preserve">Tegus (TZ):
Assumed, not reported</t>
        </r>
      </text>
    </comment>
    <comment ref="AC111" authorId="0">
      <text>
        <r>
          <rPr>
            <sz val="10"/>
            <rFont val="Arial"/>
            <family val="2"/>
          </rPr>
          <t xml:space="preserve">Tegus (HS):
Estimated</t>
        </r>
      </text>
    </comment>
    <comment ref="AC112" authorId="0">
      <text>
        <r>
          <rPr>
            <sz val="10"/>
            <rFont val="Arial"/>
            <family val="2"/>
          </rPr>
          <t xml:space="preserve">Tegus (HS):
Estimated</t>
        </r>
      </text>
    </comment>
    <comment ref="AC380" authorId="2">
      <text>
        <r>
          <rPr>
            <sz val="10"/>
            <rFont val="Arial"/>
            <family val="2"/>
          </rPr>
          <t xml:space="preserve">Canalyst:
Assumption by Canalyst</t>
        </r>
      </text>
    </comment>
    <comment ref="AC388" authorId="2">
      <text>
        <r>
          <rPr>
            <sz val="10"/>
            <rFont val="Arial"/>
            <family val="2"/>
          </rPr>
          <t xml:space="preserve">Canalyst:
Assumption by Canalyst</t>
        </r>
      </text>
    </comment>
    <comment ref="AC659" authorId="0">
      <text>
        <r>
          <rPr>
            <sz val="10"/>
            <rFont val="Arial"/>
            <family val="2"/>
          </rPr>
          <t xml:space="preserve">Tegus (TZ):
Assumed, not reported</t>
        </r>
      </text>
    </comment>
    <comment ref="AD111" authorId="0">
      <text>
        <r>
          <rPr>
            <sz val="10"/>
            <rFont val="Arial"/>
            <family val="2"/>
          </rPr>
          <t xml:space="preserve">Tegus (HS):
Estimated</t>
        </r>
      </text>
    </comment>
    <comment ref="AD112" authorId="0">
      <text>
        <r>
          <rPr>
            <sz val="10"/>
            <rFont val="Arial"/>
            <family val="2"/>
          </rPr>
          <t xml:space="preserve">Tegus (HS):
Estimated</t>
        </r>
      </text>
    </comment>
    <comment ref="AD380" authorId="2">
      <text>
        <r>
          <rPr>
            <sz val="10"/>
            <rFont val="Arial"/>
            <family val="2"/>
          </rPr>
          <t xml:space="preserve">Canalyst:
Assumption by Canalyst</t>
        </r>
      </text>
    </comment>
    <comment ref="AD388" authorId="2">
      <text>
        <r>
          <rPr>
            <sz val="10"/>
            <rFont val="Arial"/>
            <family val="2"/>
          </rPr>
          <t xml:space="preserve">Canalyst:
Assumption by Canalyst</t>
        </r>
      </text>
    </comment>
    <comment ref="AD659" authorId="0">
      <text>
        <r>
          <rPr>
            <sz val="10"/>
            <rFont val="Arial"/>
            <family val="2"/>
          </rPr>
          <t xml:space="preserve">Tegus (TZ):
Assumed, not reported</t>
        </r>
      </text>
    </comment>
    <comment ref="AE111" authorId="0">
      <text>
        <r>
          <rPr>
            <sz val="10"/>
            <rFont val="Arial"/>
            <family val="2"/>
          </rPr>
          <t xml:space="preserve">Tegus (HS):
Estimated</t>
        </r>
      </text>
    </comment>
    <comment ref="AE112" authorId="0">
      <text>
        <r>
          <rPr>
            <sz val="10"/>
            <rFont val="Arial"/>
            <family val="2"/>
          </rPr>
          <t xml:space="preserve">Tegus (HS):
Estimated</t>
        </r>
      </text>
    </comment>
    <comment ref="AE388" authorId="2">
      <text>
        <r>
          <rPr>
            <sz val="10"/>
            <rFont val="Arial"/>
            <family val="2"/>
          </rPr>
          <t xml:space="preserve">Canalyst:
Assumption by Canalyst</t>
        </r>
      </text>
    </comment>
    <comment ref="AF388" authorId="2">
      <text>
        <r>
          <rPr>
            <sz val="10"/>
            <rFont val="Arial"/>
            <family val="2"/>
          </rPr>
          <t xml:space="preserve">Canalyst:
Assumption by Canalyst</t>
        </r>
      </text>
    </comment>
    <comment ref="AG111" authorId="0">
      <text>
        <r>
          <rPr>
            <sz val="10"/>
            <rFont val="Arial"/>
            <family val="2"/>
          </rPr>
          <t xml:space="preserve">Tegus (HS):
Estimated</t>
        </r>
      </text>
    </comment>
    <comment ref="AG112" authorId="0">
      <text>
        <r>
          <rPr>
            <sz val="10"/>
            <rFont val="Arial"/>
            <family val="2"/>
          </rPr>
          <t xml:space="preserve">Tegus (HS):
Estimated</t>
        </r>
      </text>
    </comment>
    <comment ref="AG380" authorId="2">
      <text>
        <r>
          <rPr>
            <sz val="10"/>
            <rFont val="Arial"/>
            <family val="2"/>
          </rPr>
          <t xml:space="preserve">Canalyst:
Assumption by Canalyst</t>
        </r>
      </text>
    </comment>
    <comment ref="AG388" authorId="2">
      <text>
        <r>
          <rPr>
            <sz val="10"/>
            <rFont val="Arial"/>
            <family val="2"/>
          </rPr>
          <t xml:space="preserve">Canalyst:
Assumption by Canalyst</t>
        </r>
      </text>
    </comment>
    <comment ref="AH111" authorId="0">
      <text>
        <r>
          <rPr>
            <sz val="10"/>
            <rFont val="Arial"/>
            <family val="2"/>
          </rPr>
          <t xml:space="preserve">Tegus (HS):
Estimated</t>
        </r>
      </text>
    </comment>
    <comment ref="AH112" authorId="0">
      <text>
        <r>
          <rPr>
            <sz val="10"/>
            <rFont val="Arial"/>
            <family val="2"/>
          </rPr>
          <t xml:space="preserve">Tegus (HS):
Estimated</t>
        </r>
      </text>
    </comment>
    <comment ref="AH380" authorId="2">
      <text>
        <r>
          <rPr>
            <sz val="10"/>
            <rFont val="Arial"/>
            <family val="2"/>
          </rPr>
          <t xml:space="preserve">Canalyst:
Assumption by Canalyst</t>
        </r>
      </text>
    </comment>
    <comment ref="AH388" authorId="2">
      <text>
        <r>
          <rPr>
            <sz val="10"/>
            <rFont val="Arial"/>
            <family val="2"/>
          </rPr>
          <t xml:space="preserve">Canalyst:
Assumption by Canalyst</t>
        </r>
      </text>
    </comment>
    <comment ref="AI8" authorId="0">
      <text>
        <r>
          <rPr>
            <sz val="10"/>
            <rFont val="Arial"/>
            <family val="2"/>
          </rPr>
          <t xml:space="preserve">Tegus (AP):
Backed out</t>
        </r>
      </text>
    </comment>
    <comment ref="AI111" authorId="0">
      <text>
        <r>
          <rPr>
            <sz val="10"/>
            <rFont val="Arial"/>
            <family val="2"/>
          </rPr>
          <t xml:space="preserve">Tegus (HS):
Estimated</t>
        </r>
      </text>
    </comment>
    <comment ref="AI112" authorId="0">
      <text>
        <r>
          <rPr>
            <sz val="10"/>
            <rFont val="Arial"/>
            <family val="2"/>
          </rPr>
          <t xml:space="preserve">Tegus (HS):
Estimated</t>
        </r>
      </text>
    </comment>
    <comment ref="AI380" authorId="2">
      <text>
        <r>
          <rPr>
            <sz val="10"/>
            <rFont val="Arial"/>
            <family val="2"/>
          </rPr>
          <t xml:space="preserve">Canalyst:
Assumption by Canalyst</t>
        </r>
      </text>
    </comment>
    <comment ref="AI388" authorId="2">
      <text>
        <r>
          <rPr>
            <sz val="10"/>
            <rFont val="Arial"/>
            <family val="2"/>
          </rPr>
          <t xml:space="preserve">Canalyst:
Assumption by Canalyst</t>
        </r>
      </text>
    </comment>
    <comment ref="AJ8" authorId="0">
      <text>
        <r>
          <rPr>
            <sz val="10"/>
            <rFont val="Arial"/>
            <family val="2"/>
          </rPr>
          <t xml:space="preserve">Tegus (AP):
Backed out based on provided 3400C shipments</t>
        </r>
      </text>
    </comment>
    <comment ref="AJ11" authorId="0">
      <text>
        <r>
          <rPr>
            <sz val="10"/>
            <rFont val="Arial"/>
            <family val="2"/>
          </rPr>
          <t xml:space="preserve">Tegus (AP):
6 shipments of NXE:3400C </t>
        </r>
      </text>
    </comment>
    <comment ref="AJ111" authorId="0">
      <text>
        <r>
          <rPr>
            <sz val="10"/>
            <rFont val="Arial"/>
            <family val="2"/>
          </rPr>
          <t xml:space="preserve">Tegus (HS):
Estimated</t>
        </r>
      </text>
    </comment>
    <comment ref="AJ112" authorId="0">
      <text>
        <r>
          <rPr>
            <sz val="10"/>
            <rFont val="Arial"/>
            <family val="2"/>
          </rPr>
          <t xml:space="preserve">Tegus (HS):
Estimated</t>
        </r>
      </text>
    </comment>
    <comment ref="AJ300" authorId="0">
      <text>
        <r>
          <rPr>
            <sz val="10"/>
            <rFont val="Arial"/>
            <family val="2"/>
          </rPr>
          <t xml:space="preserve">Tegus (JK):
Reported as 4,036.4 - rounding error</t>
        </r>
      </text>
    </comment>
    <comment ref="AJ329" authorId="0">
      <text>
        <r>
          <rPr>
            <sz val="10"/>
            <rFont val="Arial"/>
            <family val="2"/>
          </rPr>
          <t xml:space="preserve">Tegus (JK):
Reported as 4,036.4 - rounding error</t>
        </r>
      </text>
    </comment>
    <comment ref="AJ388" authorId="2">
      <text>
        <r>
          <rPr>
            <sz val="10"/>
            <rFont val="Arial"/>
            <family val="2"/>
          </rPr>
          <t xml:space="preserve">Canalyst:
Assumption by Canalyst</t>
        </r>
      </text>
    </comment>
    <comment ref="AK8" authorId="0">
      <text>
        <r>
          <rPr>
            <sz val="10"/>
            <rFont val="Arial"/>
            <family val="2"/>
          </rPr>
          <t xml:space="preserve">Tegus (AP):
Backed out based on provided 3400C shipments</t>
        </r>
      </text>
    </comment>
    <comment ref="AK11" authorId="0">
      <text>
        <r>
          <rPr>
            <sz val="10"/>
            <rFont val="Arial"/>
            <family val="2"/>
          </rPr>
          <t xml:space="preserve">Tegus (AP):
9 shipments of NXE:3400C </t>
        </r>
      </text>
    </comment>
    <comment ref="AK193" authorId="0">
      <text>
        <r>
          <rPr>
            <sz val="10"/>
            <rFont val="Arial"/>
            <family val="2"/>
          </rPr>
          <t xml:space="preserve">Tegus (TP):
Excludes bookings from 0.55 NA (High-NA) EUV systems</t>
        </r>
      </text>
    </comment>
    <comment ref="AK388" authorId="2">
      <text>
        <r>
          <rPr>
            <sz val="10"/>
            <rFont val="Arial"/>
            <family val="2"/>
          </rPr>
          <t xml:space="preserve">Canalyst:
Assumption by Canalyst</t>
        </r>
      </text>
    </comment>
    <comment ref="AK408" authorId="0">
      <text>
        <r>
          <rPr>
            <sz val="10"/>
            <rFont val="Arial"/>
            <family val="2"/>
          </rPr>
          <t xml:space="preserve">Tegus (AK):
ASML will submit a proposal at the 2020 Annual General Meeting of Shareholders (AGM) to declare a total dividend for 2019 of €2.40 per ordinary share. Recognizing the interim dividend of €1.05 paid in November 2019, this leads to a final dividend of €1.35 to be paid in the second quarter. This is a 14% increase compared to the 2018 dividend.</t>
        </r>
      </text>
    </comment>
    <comment ref="AL11" authorId="0">
      <text>
        <r>
          <rPr>
            <sz val="10"/>
            <rFont val="Arial"/>
            <family val="2"/>
          </rPr>
          <t xml:space="preserve">Tegus (HS):
Breakdown not reported</t>
        </r>
      </text>
    </comment>
    <comment ref="AL111" authorId="0">
      <text>
        <r>
          <rPr>
            <sz val="10"/>
            <rFont val="Arial"/>
            <family val="2"/>
          </rPr>
          <t xml:space="preserve">Tegus (HS):
Estimated</t>
        </r>
      </text>
    </comment>
    <comment ref="AL112" authorId="0">
      <text>
        <r>
          <rPr>
            <sz val="10"/>
            <rFont val="Arial"/>
            <family val="2"/>
          </rPr>
          <t xml:space="preserve">Tegus (HS):
Estimated</t>
        </r>
      </text>
    </comment>
    <comment ref="AL193" authorId="0">
      <text>
        <r>
          <rPr>
            <sz val="10"/>
            <rFont val="Arial"/>
            <family val="2"/>
          </rPr>
          <t xml:space="preserve">Tegus (TP):
Excludes bookings from 0.55 NA (High-NA) EUV systems</t>
        </r>
      </text>
    </comment>
    <comment ref="AL380" authorId="2">
      <text>
        <r>
          <rPr>
            <sz val="10"/>
            <rFont val="Arial"/>
            <family val="2"/>
          </rPr>
          <t xml:space="preserve">Canalyst:
Assumption by Canalyst</t>
        </r>
      </text>
    </comment>
    <comment ref="AL388" authorId="2">
      <text>
        <r>
          <rPr>
            <sz val="10"/>
            <rFont val="Arial"/>
            <family val="2"/>
          </rPr>
          <t xml:space="preserve">Canalyst:
Assumption by Canalyst</t>
        </r>
      </text>
    </comment>
    <comment ref="AL659" authorId="0">
      <text>
        <r>
          <rPr>
            <sz val="10"/>
            <rFont val="Arial"/>
            <family val="2"/>
          </rPr>
          <t xml:space="preserve">Tegus (TZ):
Assumed, not reported</t>
        </r>
      </text>
    </comment>
    <comment ref="AM111" authorId="0">
      <text>
        <r>
          <rPr>
            <sz val="10"/>
            <rFont val="Arial"/>
            <family val="2"/>
          </rPr>
          <t xml:space="preserve">Tegus (HS):
Estimated</t>
        </r>
      </text>
    </comment>
    <comment ref="AM112" authorId="0">
      <text>
        <r>
          <rPr>
            <sz val="10"/>
            <rFont val="Arial"/>
            <family val="2"/>
          </rPr>
          <t xml:space="preserve">Tegus (HS):
Estimated</t>
        </r>
      </text>
    </comment>
    <comment ref="AM193" authorId="0">
      <text>
        <r>
          <rPr>
            <sz val="10"/>
            <rFont val="Arial"/>
            <family val="2"/>
          </rPr>
          <t xml:space="preserve">Tegus (TP):
Excludes bookings from 0.55 NA (High-NA) EUV systems</t>
        </r>
      </text>
    </comment>
    <comment ref="AM380" authorId="2">
      <text>
        <r>
          <rPr>
            <sz val="10"/>
            <rFont val="Arial"/>
            <family val="2"/>
          </rPr>
          <t xml:space="preserve">Canalyst:
Assumption by Canalyst</t>
        </r>
      </text>
    </comment>
    <comment ref="AM388" authorId="2">
      <text>
        <r>
          <rPr>
            <sz val="10"/>
            <rFont val="Arial"/>
            <family val="2"/>
          </rPr>
          <t xml:space="preserve">Canalyst:
Assumption by Canalyst</t>
        </r>
      </text>
    </comment>
    <comment ref="AM659" authorId="0">
      <text>
        <r>
          <rPr>
            <sz val="10"/>
            <rFont val="Arial"/>
            <family val="2"/>
          </rPr>
          <t xml:space="preserve">Tegus (TZ):
Assumed, not reported</t>
        </r>
      </text>
    </comment>
    <comment ref="AN111" authorId="0">
      <text>
        <r>
          <rPr>
            <sz val="10"/>
            <rFont val="Arial"/>
            <family val="2"/>
          </rPr>
          <t xml:space="preserve">Tegus (HS):
Estimated</t>
        </r>
      </text>
    </comment>
    <comment ref="AN112" authorId="0">
      <text>
        <r>
          <rPr>
            <sz val="10"/>
            <rFont val="Arial"/>
            <family val="2"/>
          </rPr>
          <t xml:space="preserve">Tegus (HS):
Estimated</t>
        </r>
      </text>
    </comment>
    <comment ref="AN193" authorId="0">
      <text>
        <r>
          <rPr>
            <sz val="10"/>
            <rFont val="Arial"/>
            <family val="2"/>
          </rPr>
          <t xml:space="preserve">Tegus (TP):
Excludes bookings from 0.55 NA (High-NA) EUV systems</t>
        </r>
      </text>
    </comment>
    <comment ref="AN208" authorId="0">
      <text>
        <r>
          <rPr>
            <sz val="10"/>
            <rFont val="Arial"/>
            <family val="2"/>
          </rPr>
          <t xml:space="preserve">Tegus (CZ):
Not reported. EUV system backlog 6.2 bn</t>
        </r>
      </text>
    </comment>
    <comment ref="AN380" authorId="2">
      <text>
        <r>
          <rPr>
            <sz val="10"/>
            <rFont val="Arial"/>
            <family val="2"/>
          </rPr>
          <t xml:space="preserve">Canalyst:
Assumption by Canalyst</t>
        </r>
      </text>
    </comment>
    <comment ref="AN388" authorId="2">
      <text>
        <r>
          <rPr>
            <sz val="10"/>
            <rFont val="Arial"/>
            <family val="2"/>
          </rPr>
          <t xml:space="preserve">Canalyst:
Assumption by Canalyst</t>
        </r>
      </text>
    </comment>
    <comment ref="AN659" authorId="0">
      <text>
        <r>
          <rPr>
            <sz val="10"/>
            <rFont val="Arial"/>
            <family val="2"/>
          </rPr>
          <t xml:space="preserve">Tegus (TZ):
Assumed, not reported</t>
        </r>
      </text>
    </comment>
    <comment ref="AO111" authorId="0">
      <text>
        <r>
          <rPr>
            <sz val="10"/>
            <rFont val="Arial"/>
            <family val="2"/>
          </rPr>
          <t xml:space="preserve">Tegus (HS):
Estimated</t>
        </r>
      </text>
    </comment>
    <comment ref="AO112" authorId="0">
      <text>
        <r>
          <rPr>
            <sz val="10"/>
            <rFont val="Arial"/>
            <family val="2"/>
          </rPr>
          <t xml:space="preserve">Tegus (HS):
Estimated</t>
        </r>
      </text>
    </comment>
    <comment ref="AO193" authorId="0">
      <text>
        <r>
          <rPr>
            <sz val="10"/>
            <rFont val="Arial"/>
            <family val="2"/>
          </rPr>
          <t xml:space="preserve">Tegus (TP):
Excludes bookings from 0.55 NA (High-NA) EUV systems</t>
        </r>
      </text>
    </comment>
    <comment ref="AO388" authorId="2">
      <text>
        <r>
          <rPr>
            <sz val="10"/>
            <rFont val="Arial"/>
            <family val="2"/>
          </rPr>
          <t xml:space="preserve">Canalyst:
Assumption by Canalyst</t>
        </r>
      </text>
    </comment>
    <comment ref="AO405" authorId="0">
      <text>
        <r>
          <rPr>
            <sz val="10"/>
            <rFont val="Arial"/>
            <family val="2"/>
          </rPr>
          <t xml:space="preserve">Tegus (AP):
Acquisition of Berliner Glas Group closed November 2nd, 2020</t>
        </r>
      </text>
    </comment>
    <comment ref="AP370" authorId="0">
      <text>
        <r>
          <rPr>
            <sz val="10"/>
            <rFont val="Arial"/>
            <family val="2"/>
          </rPr>
          <t xml:space="preserve">Tegus (AP):
Reported as 8.49</t>
        </r>
      </text>
    </comment>
    <comment ref="AP388" authorId="2">
      <text>
        <r>
          <rPr>
            <sz val="10"/>
            <rFont val="Arial"/>
            <family val="2"/>
          </rPr>
          <t xml:space="preserve">Canalyst:
Assumption by Canalyst</t>
        </r>
      </text>
    </comment>
    <comment ref="AP405" authorId="0">
      <text>
        <r>
          <rPr>
            <sz val="10"/>
            <rFont val="Arial"/>
            <family val="2"/>
          </rPr>
          <t xml:space="preserve">Tegus (AP):
Acquisition of Berliner Glas Group closed November 2nd, 2020</t>
        </r>
      </text>
    </comment>
    <comment ref="AQ111" authorId="0">
      <text>
        <r>
          <rPr>
            <sz val="10"/>
            <rFont val="Arial"/>
            <family val="2"/>
          </rPr>
          <t xml:space="preserve">Tegus (HS):
Estimated</t>
        </r>
      </text>
    </comment>
    <comment ref="AQ112" authorId="0">
      <text>
        <r>
          <rPr>
            <sz val="10"/>
            <rFont val="Arial"/>
            <family val="2"/>
          </rPr>
          <t xml:space="preserve">Tegus (HS):
Estimated</t>
        </r>
      </text>
    </comment>
    <comment ref="AQ128" authorId="0">
      <text>
        <r>
          <rPr>
            <sz val="10"/>
            <rFont val="Arial"/>
            <family val="2"/>
          </rPr>
          <t xml:space="preserve">Tegus (AW):
Company bought back two unused systems previously sold to a customer, which was counted for as a revenue reversal in Q1 2021.</t>
        </r>
      </text>
    </comment>
    <comment ref="AQ139" authorId="0">
      <text>
        <r>
          <rPr>
            <sz val="10"/>
            <rFont val="Arial"/>
            <family val="2"/>
          </rPr>
          <t xml:space="preserve">Tegus (AW):
Company bought back two unused systems previously sold to a customer, which was counted for as a revenue reversal in Q1 2021.</t>
        </r>
      </text>
    </comment>
    <comment ref="AQ193" authorId="0">
      <text>
        <r>
          <rPr>
            <sz val="10"/>
            <rFont val="Arial"/>
            <family val="2"/>
          </rPr>
          <t xml:space="preserve">Tegus (TP):
Excludes bookings from 0.55 NA (High-NA) EUV systems</t>
        </r>
      </text>
    </comment>
    <comment ref="AQ208" authorId="0">
      <text>
        <r>
          <rPr>
            <sz val="10"/>
            <rFont val="Arial"/>
            <family val="2"/>
          </rPr>
          <t xml:space="preserve">Tegus (CZ):
Not reported. EUV backlog is 7.4 bn</t>
        </r>
      </text>
    </comment>
    <comment ref="AQ380" authorId="2">
      <text>
        <r>
          <rPr>
            <sz val="10"/>
            <rFont val="Arial"/>
            <family val="2"/>
          </rPr>
          <t xml:space="preserve">Canalyst:
Assumption by Canalyst</t>
        </r>
      </text>
    </comment>
    <comment ref="AQ388" authorId="2">
      <text>
        <r>
          <rPr>
            <sz val="10"/>
            <rFont val="Arial"/>
            <family val="2"/>
          </rPr>
          <t xml:space="preserve">Canalyst:
Assumption by Canalyst</t>
        </r>
      </text>
    </comment>
    <comment ref="AQ659" authorId="0">
      <text>
        <r>
          <rPr>
            <sz val="10"/>
            <rFont val="Arial"/>
            <family val="2"/>
          </rPr>
          <t xml:space="preserve">Tegus (TZ):
Assumed, not reported</t>
        </r>
      </text>
    </comment>
    <comment ref="AQ664" authorId="0">
      <text>
        <r>
          <rPr>
            <sz val="10"/>
            <rFont val="Arial"/>
            <family val="2"/>
          </rPr>
          <t xml:space="preserve">Tegus (AW):
Includes 47.2mm of held for sale liabilities</t>
        </r>
      </text>
    </comment>
    <comment ref="AR111" authorId="0">
      <text>
        <r>
          <rPr>
            <sz val="10"/>
            <rFont val="Arial"/>
            <family val="2"/>
          </rPr>
          <t xml:space="preserve">Tegus (HS):
Estimated</t>
        </r>
      </text>
    </comment>
    <comment ref="AR112" authorId="0">
      <text>
        <r>
          <rPr>
            <sz val="10"/>
            <rFont val="Arial"/>
            <family val="2"/>
          </rPr>
          <t xml:space="preserve">Tegus (HS):
Estimated</t>
        </r>
      </text>
    </comment>
    <comment ref="AR193" authorId="0">
      <text>
        <r>
          <rPr>
            <sz val="10"/>
            <rFont val="Arial"/>
            <family val="2"/>
          </rPr>
          <t xml:space="preserve">Tegus (TP):
Excludes bookings from 0.55 NA (High-NA) EUV systems</t>
        </r>
      </text>
    </comment>
    <comment ref="AR380" authorId="2">
      <text>
        <r>
          <rPr>
            <sz val="10"/>
            <rFont val="Arial"/>
            <family val="2"/>
          </rPr>
          <t xml:space="preserve">Canalyst:
Assumption by Canalyst</t>
        </r>
      </text>
    </comment>
    <comment ref="AR388" authorId="2">
      <text>
        <r>
          <rPr>
            <sz val="10"/>
            <rFont val="Arial"/>
            <family val="2"/>
          </rPr>
          <t xml:space="preserve">Canalyst:
Assumption by Canalyst</t>
        </r>
      </text>
    </comment>
    <comment ref="AR406" authorId="0">
      <text>
        <r>
          <rPr>
            <sz val="10"/>
            <rFont val="Arial"/>
            <family val="2"/>
          </rPr>
          <t xml:space="preserve">Tegus (HS):
Proceeds from sale of subsidiaries</t>
        </r>
      </text>
    </comment>
    <comment ref="AR502" authorId="0">
      <text>
        <r>
          <rPr>
            <sz val="10"/>
            <rFont val="Arial"/>
            <family val="2"/>
          </rPr>
          <t xml:space="preserve">Tegus (HS):
Proceeds from sale of subsidiaries</t>
        </r>
      </text>
    </comment>
    <comment ref="AR558" authorId="0">
      <text>
        <r>
          <rPr>
            <sz val="10"/>
            <rFont val="Arial"/>
            <family val="2"/>
          </rPr>
          <t xml:space="preserve">Tegus (HS):
Proceeds from sale of subsidiaries</t>
        </r>
      </text>
    </comment>
    <comment ref="AR659" authorId="0">
      <text>
        <r>
          <rPr>
            <sz val="10"/>
            <rFont val="Arial"/>
            <family val="2"/>
          </rPr>
          <t xml:space="preserve">Tegus (TZ):
Assumed, not reported</t>
        </r>
      </text>
    </comment>
    <comment ref="AR664" authorId="0">
      <text>
        <r>
          <rPr>
            <sz val="10"/>
            <rFont val="Arial"/>
            <family val="2"/>
          </rPr>
          <t xml:space="preserve">Tegus (HS):
46.6mm hold for sales liabilities</t>
        </r>
      </text>
    </comment>
    <comment ref="AS111" authorId="0">
      <text>
        <r>
          <rPr>
            <sz val="10"/>
            <rFont val="Arial"/>
            <family val="2"/>
          </rPr>
          <t xml:space="preserve">Tegus (HS):
Estimated</t>
        </r>
      </text>
    </comment>
    <comment ref="AS112" authorId="0">
      <text>
        <r>
          <rPr>
            <sz val="10"/>
            <rFont val="Arial"/>
            <family val="2"/>
          </rPr>
          <t xml:space="preserve">Tegus (HS):
Estimated</t>
        </r>
      </text>
    </comment>
    <comment ref="AS193" authorId="0">
      <text>
        <r>
          <rPr>
            <sz val="10"/>
            <rFont val="Arial"/>
            <family val="2"/>
          </rPr>
          <t xml:space="preserve">Tegus (TP):
Excludes bookings from 0.55 NA (High-NA) EUV systems</t>
        </r>
      </text>
    </comment>
    <comment ref="AS380" authorId="2">
      <text>
        <r>
          <rPr>
            <sz val="10"/>
            <rFont val="Arial"/>
            <family val="2"/>
          </rPr>
          <t xml:space="preserve">Canalyst:
Assumption by Canalyst</t>
        </r>
      </text>
    </comment>
    <comment ref="AS388" authorId="2">
      <text>
        <r>
          <rPr>
            <sz val="10"/>
            <rFont val="Arial"/>
            <family val="2"/>
          </rPr>
          <t xml:space="preserve">Canalyst:
Assumption by Canalyst</t>
        </r>
      </text>
    </comment>
    <comment ref="AS659" authorId="0">
      <text>
        <r>
          <rPr>
            <sz val="10"/>
            <rFont val="Arial"/>
            <family val="2"/>
          </rPr>
          <t xml:space="preserve">Tegus (TZ):
Assumed, not reported</t>
        </r>
      </text>
    </comment>
    <comment ref="AS664" authorId="0">
      <text>
        <r>
          <rPr>
            <sz val="10"/>
            <rFont val="Arial"/>
            <family val="2"/>
          </rPr>
          <t xml:space="preserve">Tegus (HS):
47.9 Hold for sale liabilities</t>
        </r>
      </text>
    </comment>
    <comment ref="AT111" authorId="0">
      <text>
        <r>
          <rPr>
            <sz val="10"/>
            <rFont val="Arial"/>
            <family val="2"/>
          </rPr>
          <t xml:space="preserve">Tegus (HS):
Estimated</t>
        </r>
      </text>
    </comment>
    <comment ref="AT112" authorId="0">
      <text>
        <r>
          <rPr>
            <sz val="10"/>
            <rFont val="Arial"/>
            <family val="2"/>
          </rPr>
          <t xml:space="preserve">Tegus (HS):
Estimated</t>
        </r>
      </text>
    </comment>
    <comment ref="AT388" authorId="2">
      <text>
        <r>
          <rPr>
            <sz val="10"/>
            <rFont val="Arial"/>
            <family val="2"/>
          </rPr>
          <t xml:space="preserve">Canalyst:
Assumption by Canalyst</t>
        </r>
      </text>
    </comment>
    <comment ref="AU388" authorId="2">
      <text>
        <r>
          <rPr>
            <sz val="10"/>
            <rFont val="Arial"/>
            <family val="2"/>
          </rPr>
          <t xml:space="preserve">Canalyst:
Assumption by Canalyst</t>
        </r>
      </text>
    </comment>
    <comment ref="AV66" authorId="0">
      <text>
        <r>
          <rPr>
            <sz val="10"/>
            <rFont val="Arial"/>
            <family val="2"/>
          </rPr>
          <t xml:space="preserve">Tegus (SH):
Reported in Q3 2022 IP</t>
        </r>
      </text>
    </comment>
    <comment ref="AV67" authorId="0">
      <text>
        <r>
          <rPr>
            <sz val="10"/>
            <rFont val="Arial"/>
            <family val="2"/>
          </rPr>
          <t xml:space="preserve">Tegus (SH):
Reported in Q3 2022 IP</t>
        </r>
      </text>
    </comment>
    <comment ref="AV111" authorId="0">
      <text>
        <r>
          <rPr>
            <sz val="10"/>
            <rFont val="Arial"/>
            <family val="2"/>
          </rPr>
          <t xml:space="preserve">Tegus (HS):
Estimated</t>
        </r>
      </text>
    </comment>
    <comment ref="AV112" authorId="0">
      <text>
        <r>
          <rPr>
            <sz val="10"/>
            <rFont val="Arial"/>
            <family val="2"/>
          </rPr>
          <t xml:space="preserve">Tegus (HS):
Estimated</t>
        </r>
      </text>
    </comment>
    <comment ref="AV208" authorId="0">
      <text>
        <r>
          <rPr>
            <sz val="10"/>
            <rFont val="Arial"/>
            <family val="2"/>
          </rPr>
          <t xml:space="preserve">Tegus (CZ):
Around 29 bn. Result comes from cc</t>
        </r>
      </text>
    </comment>
    <comment ref="AV380" authorId="2">
      <text>
        <r>
          <rPr>
            <sz val="10"/>
            <rFont val="Arial"/>
            <family val="2"/>
          </rPr>
          <t xml:space="preserve">Canalyst:
Assumption by Canalyst</t>
        </r>
      </text>
    </comment>
    <comment ref="AV388" authorId="2">
      <text>
        <r>
          <rPr>
            <sz val="10"/>
            <rFont val="Arial"/>
            <family val="2"/>
          </rPr>
          <t xml:space="preserve">Canalyst:
Assumption by Canalyst</t>
        </r>
      </text>
    </comment>
    <comment ref="AV659" authorId="0">
      <text>
        <r>
          <rPr>
            <sz val="10"/>
            <rFont val="Arial"/>
            <family val="2"/>
          </rPr>
          <t xml:space="preserve">Tegus (TZ):
Assumed, not reported</t>
        </r>
      </text>
    </comment>
    <comment ref="AW66" authorId="0">
      <text>
        <r>
          <rPr>
            <sz val="10"/>
            <rFont val="Arial"/>
            <family val="2"/>
          </rPr>
          <t xml:space="preserve">Tegus (SH):
Reported in Q3 2022 IP</t>
        </r>
      </text>
    </comment>
    <comment ref="AW67" authorId="0">
      <text>
        <r>
          <rPr>
            <sz val="10"/>
            <rFont val="Arial"/>
            <family val="2"/>
          </rPr>
          <t xml:space="preserve">Tegus (SH):
Reported in Q3 2022 IP</t>
        </r>
      </text>
    </comment>
    <comment ref="AW111" authorId="0">
      <text>
        <r>
          <rPr>
            <sz val="10"/>
            <rFont val="Arial"/>
            <family val="2"/>
          </rPr>
          <t xml:space="preserve">Tegus (HS):
Estimated</t>
        </r>
      </text>
    </comment>
    <comment ref="AW112" authorId="0">
      <text>
        <r>
          <rPr>
            <sz val="10"/>
            <rFont val="Arial"/>
            <family val="2"/>
          </rPr>
          <t xml:space="preserve">Tegus (HS):
Estimated</t>
        </r>
      </text>
    </comment>
    <comment ref="AW152" authorId="0">
      <text>
        <r>
          <rPr>
            <sz val="10"/>
            <rFont val="Arial"/>
            <family val="2"/>
          </rPr>
          <t xml:space="preserve">Tegus (AK):
hardcoded as reported</t>
        </r>
      </text>
    </comment>
    <comment ref="AW208" authorId="0">
      <text>
        <r>
          <rPr>
            <sz val="10"/>
            <rFont val="Arial"/>
            <family val="2"/>
          </rPr>
          <t xml:space="preserve">Tegus (CZ):
Over 33 bn</t>
        </r>
      </text>
    </comment>
    <comment ref="AW380" authorId="2">
      <text>
        <r>
          <rPr>
            <sz val="10"/>
            <rFont val="Arial"/>
            <family val="2"/>
          </rPr>
          <t xml:space="preserve">Canalyst:
Assumption by Canalyst</t>
        </r>
      </text>
    </comment>
    <comment ref="AW388" authorId="2">
      <text>
        <r>
          <rPr>
            <sz val="10"/>
            <rFont val="Arial"/>
            <family val="2"/>
          </rPr>
          <t xml:space="preserve">Canalyst:
Assumption by Canalyst</t>
        </r>
      </text>
    </comment>
    <comment ref="AW659" authorId="0">
      <text>
        <r>
          <rPr>
            <sz val="10"/>
            <rFont val="Arial"/>
            <family val="2"/>
          </rPr>
          <t xml:space="preserve">Tegus (TZ):
Assumed, not reported</t>
        </r>
      </text>
    </comment>
    <comment ref="AX111" authorId="0">
      <text>
        <r>
          <rPr>
            <sz val="10"/>
            <rFont val="Arial"/>
            <family val="2"/>
          </rPr>
          <t xml:space="preserve">Tegus (HS):
Estimated</t>
        </r>
      </text>
    </comment>
    <comment ref="AX112" authorId="0">
      <text>
        <r>
          <rPr>
            <sz val="10"/>
            <rFont val="Arial"/>
            <family val="2"/>
          </rPr>
          <t xml:space="preserve">Tegus (HS):
Estimated</t>
        </r>
      </text>
    </comment>
    <comment ref="AX208" authorId="0">
      <text>
        <r>
          <rPr>
            <sz val="10"/>
            <rFont val="Arial"/>
            <family val="2"/>
          </rPr>
          <t xml:space="preserve">Tegus (CZ):
Over 38 bn. Result comes from cc</t>
        </r>
      </text>
    </comment>
    <comment ref="AX380" authorId="2">
      <text>
        <r>
          <rPr>
            <sz val="10"/>
            <rFont val="Arial"/>
            <family val="2"/>
          </rPr>
          <t xml:space="preserve">Canalyst:
Assumption by Canalyst</t>
        </r>
      </text>
    </comment>
    <comment ref="AX388" authorId="2">
      <text>
        <r>
          <rPr>
            <sz val="10"/>
            <rFont val="Arial"/>
            <family val="2"/>
          </rPr>
          <t xml:space="preserve">Canalyst:
Assumption by Canalyst</t>
        </r>
      </text>
    </comment>
    <comment ref="AX659" authorId="0">
      <text>
        <r>
          <rPr>
            <sz val="10"/>
            <rFont val="Arial"/>
            <family val="2"/>
          </rPr>
          <t xml:space="preserve">Tegus (TZ):
Assumed, not reported</t>
        </r>
      </text>
    </comment>
    <comment ref="AY111" authorId="0">
      <text>
        <r>
          <rPr>
            <sz val="10"/>
            <rFont val="Arial"/>
            <family val="2"/>
          </rPr>
          <t xml:space="preserve">Tegus (HS):
Estimated</t>
        </r>
      </text>
    </comment>
    <comment ref="AY112" authorId="0">
      <text>
        <r>
          <rPr>
            <sz val="10"/>
            <rFont val="Arial"/>
            <family val="2"/>
          </rPr>
          <t xml:space="preserve">Tegus (HS):
Estimated</t>
        </r>
      </text>
    </comment>
    <comment ref="AY182" authorId="0">
      <text>
        <r>
          <rPr>
            <sz val="10"/>
            <rFont val="Arial"/>
            <family val="2"/>
          </rPr>
          <t xml:space="preserve">Tegus (DY):
Breakdown not reported</t>
        </r>
      </text>
    </comment>
    <comment ref="AY388" authorId="2">
      <text>
        <r>
          <rPr>
            <sz val="10"/>
            <rFont val="Arial"/>
            <family val="2"/>
          </rPr>
          <t xml:space="preserve">Canalyst:
Assumption by Canalyst</t>
        </r>
      </text>
    </comment>
    <comment ref="AY649" authorId="0">
      <text>
        <r>
          <rPr>
            <sz val="10"/>
            <rFont val="Arial"/>
            <family val="2"/>
          </rPr>
          <t xml:space="preserve">Tegus (AK):
breakout no longer reports</t>
        </r>
      </text>
    </comment>
    <comment ref="AY650" authorId="0">
      <text>
        <r>
          <rPr>
            <sz val="10"/>
            <rFont val="Arial"/>
            <family val="2"/>
          </rPr>
          <t xml:space="preserve">Tegus (AK):
breakout no longer reports</t>
        </r>
      </text>
    </comment>
    <comment ref="AZ182" authorId="0">
      <text>
        <r>
          <rPr>
            <sz val="10"/>
            <rFont val="Arial"/>
            <family val="2"/>
          </rPr>
          <t xml:space="preserve">Tegus (DY):
Breakdown not reported</t>
        </r>
      </text>
    </comment>
    <comment ref="AZ388" authorId="2">
      <text>
        <r>
          <rPr>
            <sz val="10"/>
            <rFont val="Arial"/>
            <family val="2"/>
          </rPr>
          <t xml:space="preserve">Canalyst:
Assumption by Canalyst</t>
        </r>
      </text>
    </comment>
    <comment ref="AZ649" authorId="0">
      <text>
        <r>
          <rPr>
            <sz val="10"/>
            <rFont val="Arial"/>
            <family val="2"/>
          </rPr>
          <t xml:space="preserve">Tegus (AK):
breakout no longer reports</t>
        </r>
      </text>
    </comment>
    <comment ref="AZ650" authorId="0">
      <text>
        <r>
          <rPr>
            <sz val="10"/>
            <rFont val="Arial"/>
            <family val="2"/>
          </rPr>
          <t xml:space="preserve">Tegus (AK):
breakout no longer reports</t>
        </r>
      </text>
    </comment>
    <comment ref="BA17" authorId="0">
      <text>
        <r>
          <rPr>
            <sz val="10"/>
            <rFont val="Arial"/>
            <family val="2"/>
          </rPr>
          <t xml:space="preserve">Tegus (CZ):
estimated</t>
        </r>
      </text>
    </comment>
    <comment ref="BA30" authorId="0">
      <text>
        <r>
          <rPr>
            <sz val="10"/>
            <rFont val="Arial"/>
            <family val="2"/>
          </rPr>
          <t xml:space="preserve">Tegus (CZ):
backed out</t>
        </r>
      </text>
    </comment>
    <comment ref="BA66" authorId="0">
      <text>
        <r>
          <rPr>
            <sz val="10"/>
            <rFont val="Arial"/>
            <family val="2"/>
          </rPr>
          <t xml:space="preserve">Tegus (CZ):
Not reported</t>
        </r>
      </text>
    </comment>
    <comment ref="BA67" authorId="0">
      <text>
        <r>
          <rPr>
            <sz val="10"/>
            <rFont val="Arial"/>
            <family val="2"/>
          </rPr>
          <t xml:space="preserve">Tegus (CZ):
Not reported</t>
        </r>
      </text>
    </comment>
    <comment ref="BA111" authorId="0">
      <text>
        <r>
          <rPr>
            <sz val="10"/>
            <rFont val="Arial"/>
            <family val="2"/>
          </rPr>
          <t xml:space="preserve">Tegus (CZ):
estimated</t>
        </r>
      </text>
    </comment>
    <comment ref="BA112" authorId="0">
      <text>
        <r>
          <rPr>
            <sz val="10"/>
            <rFont val="Arial"/>
            <family val="2"/>
          </rPr>
          <t xml:space="preserve">Tegus (CZ):
estimated</t>
        </r>
      </text>
    </comment>
    <comment ref="BA182" authorId="0">
      <text>
        <r>
          <rPr>
            <sz val="10"/>
            <rFont val="Arial"/>
            <family val="2"/>
          </rPr>
          <t xml:space="preserve">Tegus (CZ):
Not reported</t>
        </r>
      </text>
    </comment>
    <comment ref="BA380" authorId="2">
      <text>
        <r>
          <rPr>
            <sz val="10"/>
            <rFont val="Arial"/>
            <family val="2"/>
          </rPr>
          <t xml:space="preserve">Canalyst:
Assumption by Canalyst</t>
        </r>
      </text>
    </comment>
    <comment ref="BA388" authorId="2">
      <text>
        <r>
          <rPr>
            <sz val="10"/>
            <rFont val="Arial"/>
            <family val="2"/>
          </rPr>
          <t xml:space="preserve">Canalyst:
Assumption by Canalyst</t>
        </r>
      </text>
    </comment>
    <comment ref="BA659" authorId="0">
      <text>
        <r>
          <rPr>
            <sz val="10"/>
            <rFont val="Arial"/>
            <family val="2"/>
          </rPr>
          <t xml:space="preserve">Tegus (CZ):
Assumed, not reported</t>
        </r>
      </text>
    </comment>
    <comment ref="BB17" authorId="0">
      <text>
        <r>
          <rPr>
            <sz val="10"/>
            <rFont val="Arial"/>
            <family val="2"/>
          </rPr>
          <t xml:space="preserve">Tegus (CZ):
estimated</t>
        </r>
      </text>
    </comment>
    <comment ref="BB30" authorId="0">
      <text>
        <r>
          <rPr>
            <sz val="10"/>
            <rFont val="Arial"/>
            <family val="2"/>
          </rPr>
          <t xml:space="preserve">Tegus (TP):
Backed out</t>
        </r>
      </text>
    </comment>
    <comment ref="BB111" authorId="0">
      <text>
        <r>
          <rPr>
            <sz val="10"/>
            <rFont val="Arial"/>
            <family val="2"/>
          </rPr>
          <t xml:space="preserve">Tegus (CZ):
estimated</t>
        </r>
      </text>
    </comment>
    <comment ref="BB112" authorId="0">
      <text>
        <r>
          <rPr>
            <sz val="10"/>
            <rFont val="Arial"/>
            <family val="2"/>
          </rPr>
          <t xml:space="preserve">Tegus (CZ):
estimated</t>
        </r>
      </text>
    </comment>
    <comment ref="BB182" authorId="0">
      <text>
        <r>
          <rPr>
            <sz val="10"/>
            <rFont val="Arial"/>
            <family val="2"/>
          </rPr>
          <t xml:space="preserve">Tegus (TP):
Not reported</t>
        </r>
      </text>
    </comment>
    <comment ref="BB208" authorId="0">
      <text>
        <r>
          <rPr>
            <sz val="10"/>
            <rFont val="Arial"/>
            <family val="2"/>
          </rPr>
          <t xml:space="preserve">Tegus (TP):
Around 38 Billion</t>
        </r>
      </text>
    </comment>
    <comment ref="BB380" authorId="2">
      <text>
        <r>
          <rPr>
            <sz val="10"/>
            <rFont val="Arial"/>
            <family val="2"/>
          </rPr>
          <t xml:space="preserve">Canalyst:
Assumption by Canalyst</t>
        </r>
      </text>
    </comment>
    <comment ref="BB388" authorId="2">
      <text>
        <r>
          <rPr>
            <sz val="10"/>
            <rFont val="Arial"/>
            <family val="2"/>
          </rPr>
          <t xml:space="preserve">Canalyst:
Assumption by Canalyst</t>
        </r>
      </text>
    </comment>
    <comment ref="BB408" authorId="0">
      <text>
        <r>
          <rPr>
            <sz val="10"/>
            <rFont val="Arial"/>
            <family val="2"/>
          </rPr>
          <t xml:space="preserve">Tegus (DY):
ASML intends to declare a total dividend for the year 2022 of 5.80 euro per ordinary share. Recognizing the three interim dividends of EURO 1.37 per ordinary share each paid in 2022 and 2023, this leads to a final dividend proposal to the Annual General Meeting of EURO 1.69 per ordinary share.</t>
        </r>
      </text>
    </comment>
    <comment ref="BB659" authorId="0">
      <text>
        <r>
          <rPr>
            <sz val="10"/>
            <rFont val="Arial"/>
            <family val="2"/>
          </rPr>
          <t xml:space="preserve">Tegus (CZ):
Assumed, not reported</t>
        </r>
      </text>
    </comment>
    <comment ref="BC17" authorId="0">
      <text>
        <r>
          <rPr>
            <sz val="10"/>
            <rFont val="Arial"/>
            <family val="2"/>
          </rPr>
          <t xml:space="preserve">Tegus (CZ):
estimated</t>
        </r>
      </text>
    </comment>
    <comment ref="BC30" authorId="0">
      <text>
        <r>
          <rPr>
            <sz val="10"/>
            <rFont val="Arial"/>
            <family val="2"/>
          </rPr>
          <t xml:space="preserve">Tegus (TP):
Backed out</t>
        </r>
      </text>
    </comment>
    <comment ref="BC111" authorId="0">
      <text>
        <r>
          <rPr>
            <sz val="10"/>
            <rFont val="Arial"/>
            <family val="2"/>
          </rPr>
          <t xml:space="preserve">Tegus (TP):
Estimated</t>
        </r>
      </text>
    </comment>
    <comment ref="BC112" authorId="0">
      <text>
        <r>
          <rPr>
            <sz val="10"/>
            <rFont val="Arial"/>
            <family val="2"/>
          </rPr>
          <t xml:space="preserve">Tegus (TP):
Estimated</t>
        </r>
      </text>
    </comment>
    <comment ref="BC182" authorId="0">
      <text>
        <r>
          <rPr>
            <sz val="10"/>
            <rFont val="Arial"/>
            <family val="2"/>
          </rPr>
          <t xml:space="preserve">Tegus (TP):
Not reported</t>
        </r>
      </text>
    </comment>
    <comment ref="BC208" authorId="0">
      <text>
        <r>
          <rPr>
            <sz val="10"/>
            <rFont val="Arial"/>
            <family val="2"/>
          </rPr>
          <t xml:space="preserve">Tegus (MB):
Calculated.</t>
        </r>
      </text>
    </comment>
    <comment ref="BC380" authorId="2">
      <text>
        <r>
          <rPr>
            <sz val="10"/>
            <rFont val="Arial"/>
            <family val="2"/>
          </rPr>
          <t xml:space="preserve">Canalyst:
Assumption by Canalyst</t>
        </r>
      </text>
    </comment>
    <comment ref="BC388" authorId="2">
      <text>
        <r>
          <rPr>
            <sz val="10"/>
            <rFont val="Arial"/>
            <family val="2"/>
          </rPr>
          <t xml:space="preserve">Canalyst:
Assumption by Canalyst</t>
        </r>
      </text>
    </comment>
    <comment ref="BC408" authorId="0">
      <text>
        <r>
          <rPr>
            <sz val="10"/>
            <rFont val="Arial"/>
            <family val="2"/>
          </rPr>
          <t xml:space="preserve">Tegus (TP):
The first quarterly interim dividend over 2023 will be 1.45 EUR per ordinary share and will be made payable on August 10, 2023</t>
        </r>
      </text>
    </comment>
    <comment ref="BC659" authorId="0">
      <text>
        <r>
          <rPr>
            <sz val="10"/>
            <rFont val="Arial"/>
            <family val="2"/>
          </rPr>
          <t xml:space="preserve">Tegus (CZ):
Assumed, not reported</t>
        </r>
      </text>
    </comment>
    <comment ref="BD17" authorId="0">
      <text>
        <r>
          <rPr>
            <sz val="10"/>
            <rFont val="Arial"/>
            <family val="2"/>
          </rPr>
          <t xml:space="preserve">Tegus (CZ):
estimated</t>
        </r>
      </text>
    </comment>
    <comment ref="BD30" authorId="0">
      <text>
        <r>
          <rPr>
            <sz val="10"/>
            <rFont val="Arial"/>
            <family val="2"/>
          </rPr>
          <t xml:space="preserve">Tegus (TP):
Backed out</t>
        </r>
      </text>
    </comment>
    <comment ref="BD111" authorId="0">
      <text>
        <r>
          <rPr>
            <sz val="10"/>
            <rFont val="Arial"/>
            <family val="2"/>
          </rPr>
          <t xml:space="preserve">Tegus (TP):
Estimated</t>
        </r>
      </text>
    </comment>
    <comment ref="BD112" authorId="0">
      <text>
        <r>
          <rPr>
            <sz val="10"/>
            <rFont val="Arial"/>
            <family val="2"/>
          </rPr>
          <t xml:space="preserve">Tegus (TP):
Estimate, to be updated</t>
        </r>
      </text>
    </comment>
    <comment ref="BD208" authorId="0">
      <text>
        <r>
          <rPr>
            <sz val="10"/>
            <rFont val="Arial"/>
            <family val="2"/>
          </rPr>
          <t xml:space="preserve">Tegus (MB):
Calculated.</t>
        </r>
      </text>
    </comment>
    <comment ref="BD388" authorId="2">
      <text>
        <r>
          <rPr>
            <sz val="10"/>
            <rFont val="Arial"/>
            <family val="2"/>
          </rPr>
          <t xml:space="preserve">Canalyst:
Assumption by Canalyst</t>
        </r>
      </text>
    </comment>
    <comment ref="BD408" authorId="0">
      <text>
        <r>
          <rPr>
            <sz val="10"/>
            <rFont val="Arial"/>
            <family val="2"/>
          </rPr>
          <t xml:space="preserve">Tegus (TP):
ASML intends to declare a total dividend for the year 2022 of 5.80 euro per ordinary share. An interim dividend of 1.37 euro per ordinary share will be made payable on February 15, 2023</t>
        </r>
      </text>
    </comment>
    <comment ref="BE388" authorId="2">
      <text>
        <r>
          <rPr>
            <sz val="10"/>
            <rFont val="Arial"/>
            <family val="2"/>
          </rPr>
          <t xml:space="preserve">Canalyst:
Assumption by Canalyst</t>
        </r>
      </text>
    </comment>
    <comment ref="BF17" authorId="0">
      <text>
        <r>
          <rPr>
            <sz val="10"/>
            <rFont val="Arial"/>
            <family val="2"/>
          </rPr>
          <t xml:space="preserve">Tegus (AN):
estimated</t>
        </r>
      </text>
    </comment>
    <comment ref="BF30" authorId="0">
      <text>
        <r>
          <rPr>
            <sz val="10"/>
            <rFont val="Arial"/>
            <family val="2"/>
          </rPr>
          <t xml:space="preserve">Tegus (AN):
backed out based on estimate</t>
        </r>
      </text>
    </comment>
    <comment ref="BF111" authorId="0">
      <text>
        <r>
          <rPr>
            <sz val="10"/>
            <rFont val="Arial"/>
            <family val="2"/>
          </rPr>
          <t xml:space="preserve">Tegus (AN):
estimated</t>
        </r>
      </text>
    </comment>
    <comment ref="BF112" authorId="0">
      <text>
        <r>
          <rPr>
            <sz val="10"/>
            <rFont val="Arial"/>
            <family val="2"/>
          </rPr>
          <t xml:space="preserve">Tegus (AN):
estimated</t>
        </r>
      </text>
    </comment>
    <comment ref="BF208" authorId="0">
      <text>
        <r>
          <rPr>
            <sz val="10"/>
            <rFont val="Arial"/>
            <family val="2"/>
          </rPr>
          <t xml:space="preserve">Tegus (MB):
Calculated.</t>
        </r>
      </text>
    </comment>
    <comment ref="BF380" authorId="2">
      <text>
        <r>
          <rPr>
            <sz val="10"/>
            <rFont val="Arial"/>
            <family val="2"/>
          </rPr>
          <t xml:space="preserve">Canalyst:
Assumption by Canalyst</t>
        </r>
      </text>
    </comment>
    <comment ref="BF388" authorId="2">
      <text>
        <r>
          <rPr>
            <sz val="10"/>
            <rFont val="Arial"/>
            <family val="2"/>
          </rPr>
          <t xml:space="preserve">Canalyst:
Assumption by Canalyst</t>
        </r>
      </text>
    </comment>
    <comment ref="BF408" authorId="0">
      <text>
        <r>
          <rPr>
            <sz val="10"/>
            <rFont val="Arial"/>
            <family val="2"/>
          </rPr>
          <t xml:space="preserve">Tegus (TP):
An interim dividend of €1.45 per ordinary share will be made payable on February 14, 2024. Recognizing this interim dividend and the two interim dividends of €1.45 per ordinary share paid in 2023, this leads to a final dividend proposal to the General Meeting of €1.75 per ordinary share.</t>
        </r>
      </text>
    </comment>
    <comment ref="BF659" authorId="0">
      <text>
        <r>
          <rPr>
            <sz val="10"/>
            <rFont val="Arial"/>
            <family val="2"/>
          </rPr>
          <t xml:space="preserve">Tegus (AN):
Assumed</t>
        </r>
      </text>
    </comment>
    <comment ref="BF660" authorId="0">
      <text>
        <r>
          <rPr>
            <sz val="10"/>
            <rFont val="Arial"/>
            <family val="2"/>
          </rPr>
          <t xml:space="preserve">Tegus (AN):
Backed out as a plug-in</t>
        </r>
      </text>
    </comment>
    <comment ref="BG17" authorId="0">
      <text>
        <r>
          <rPr>
            <sz val="10"/>
            <rFont val="Arial"/>
            <family val="2"/>
          </rPr>
          <t xml:space="preserve">Tegus (AN):
estimated</t>
        </r>
      </text>
    </comment>
    <comment ref="BG30" authorId="0">
      <text>
        <r>
          <rPr>
            <sz val="10"/>
            <rFont val="Arial"/>
            <family val="2"/>
          </rPr>
          <t xml:space="preserve">Tegus (AN):
backed out based on estimate</t>
        </r>
      </text>
    </comment>
    <comment ref="BG111" authorId="0">
      <text>
        <r>
          <rPr>
            <sz val="10"/>
            <rFont val="Arial"/>
            <family val="2"/>
          </rPr>
          <t xml:space="preserve">Tegus (TP):
estimated</t>
        </r>
      </text>
    </comment>
    <comment ref="BG112" authorId="0">
      <text>
        <r>
          <rPr>
            <sz val="10"/>
            <rFont val="Arial"/>
            <family val="2"/>
          </rPr>
          <t xml:space="preserve">Tegus (TP):
estimated</t>
        </r>
      </text>
    </comment>
    <comment ref="BG208" authorId="0">
      <text>
        <r>
          <rPr>
            <sz val="10"/>
            <rFont val="Arial"/>
            <family val="2"/>
          </rPr>
          <t xml:space="preserve">Tegus (MB):
Calculated.</t>
        </r>
      </text>
    </comment>
    <comment ref="BG380" authorId="2">
      <text>
        <r>
          <rPr>
            <sz val="10"/>
            <rFont val="Arial"/>
            <family val="2"/>
          </rPr>
          <t xml:space="preserve">Canalyst:
Assumption by Canalyst</t>
        </r>
      </text>
    </comment>
    <comment ref="BG388" authorId="2">
      <text>
        <r>
          <rPr>
            <sz val="10"/>
            <rFont val="Arial"/>
            <family val="2"/>
          </rPr>
          <t xml:space="preserve">Canalyst:
Assumption by Canalyst</t>
        </r>
      </text>
    </comment>
    <comment ref="BG408" authorId="0">
      <text>
        <r>
          <rPr>
            <sz val="10"/>
            <rFont val="Arial"/>
            <family val="2"/>
          </rPr>
          <t xml:space="preserve">Tegus (TP):
An interim dividend of €1.45 per ordinary share will be made payable on February 14, 2024. Recognizing this interim dividend and the two interim dividends of €1.45 per ordinary share paid in 2023, this leads to a final dividend proposal to the General Meeting of €1.75 per ordinary share.</t>
        </r>
      </text>
    </comment>
    <comment ref="BG659" authorId="0">
      <text>
        <r>
          <rPr>
            <sz val="10"/>
            <rFont val="Arial"/>
            <family val="2"/>
          </rPr>
          <t xml:space="preserve">Tegus (AN):
Assumed</t>
        </r>
      </text>
    </comment>
    <comment ref="BG660" authorId="0">
      <text>
        <r>
          <rPr>
            <sz val="10"/>
            <rFont val="Arial"/>
            <family val="2"/>
          </rPr>
          <t xml:space="preserve">Tegus (AN):
Backed out as a plug-in</t>
        </r>
      </text>
    </comment>
    <comment ref="BH17" authorId="0">
      <text>
        <r>
          <rPr>
            <sz val="10"/>
            <rFont val="Arial"/>
            <family val="2"/>
          </rPr>
          <t xml:space="preserve">Tegus (AN):
estimated</t>
        </r>
      </text>
    </comment>
    <comment ref="BH30" authorId="0">
      <text>
        <r>
          <rPr>
            <sz val="10"/>
            <rFont val="Arial"/>
            <family val="2"/>
          </rPr>
          <t xml:space="preserve">Tegus (AN):
backed out based on estimate</t>
        </r>
      </text>
    </comment>
    <comment ref="BH111" authorId="0">
      <text>
        <r>
          <rPr>
            <sz val="10"/>
            <rFont val="Arial"/>
            <family val="2"/>
          </rPr>
          <t xml:space="preserve">Tegus (TP):
estimated</t>
        </r>
      </text>
    </comment>
    <comment ref="BH112" authorId="0">
      <text>
        <r>
          <rPr>
            <sz val="10"/>
            <rFont val="Arial"/>
            <family val="2"/>
          </rPr>
          <t xml:space="preserve">Tegus (TP):
estimated</t>
        </r>
      </text>
    </comment>
    <comment ref="BH208" authorId="5">
      <text>
        <r>
          <rPr>
            <sz val="10"/>
            <rFont val="Arial"/>
            <family val="2"/>
          </rPr>
          <t xml:space="preserve">Tegus (BL):
Calculated.</t>
        </r>
      </text>
    </comment>
    <comment ref="BH380" authorId="2">
      <text>
        <r>
          <rPr>
            <sz val="10"/>
            <rFont val="Arial"/>
            <family val="2"/>
          </rPr>
          <t xml:space="preserve">Canalyst:
Assumption by Canalyst</t>
        </r>
      </text>
    </comment>
    <comment ref="BH388" authorId="2">
      <text>
        <r>
          <rPr>
            <sz val="10"/>
            <rFont val="Arial"/>
            <family val="2"/>
          </rPr>
          <t xml:space="preserve">Canalyst:
Assumption by Canalyst</t>
        </r>
      </text>
    </comment>
    <comment ref="BH408" authorId="4">
      <text>
        <r>
          <rPr>
            <sz val="10"/>
            <rFont val="Arial"/>
            <family val="2"/>
          </rPr>
          <t xml:space="preserve">Tegus (AW):
On July 17, 2024 ASML announced that an interim dividend of €1.52 per ordinary share will be made payable on August 7, 2024.</t>
        </r>
      </text>
    </comment>
    <comment ref="BH659" authorId="0">
      <text>
        <r>
          <rPr>
            <sz val="10"/>
            <rFont val="Arial"/>
            <family val="2"/>
          </rPr>
          <t xml:space="preserve">Tegus (AN):
Assumed</t>
        </r>
      </text>
    </comment>
    <comment ref="BH660" authorId="0">
      <text>
        <r>
          <rPr>
            <sz val="10"/>
            <rFont val="Arial"/>
            <family val="2"/>
          </rPr>
          <t xml:space="preserve">Tegus (AN):
Backed out as a plug-in</t>
        </r>
      </text>
    </comment>
    <comment ref="BI9" authorId="3">
      <text>
        <r>
          <rPr>
            <sz val="10"/>
            <rFont val="Arial"/>
            <family val="2"/>
          </rPr>
          <t xml:space="preserve">Tegus (AN):
Sourced from PR: recognition of the first two High NA systems upon customer acceptance</t>
        </r>
      </text>
    </comment>
    <comment ref="BI17" authorId="0">
      <text>
        <r>
          <rPr>
            <sz val="10"/>
            <rFont val="Arial"/>
            <family val="2"/>
          </rPr>
          <t xml:space="preserve">Tegus (AN):
estimated</t>
        </r>
      </text>
    </comment>
    <comment ref="BI111" authorId="5">
      <text>
        <r>
          <rPr>
            <sz val="10"/>
            <rFont val="Arial"/>
            <family val="2"/>
          </rPr>
          <t xml:space="preserve">Tegus (BL):
Estimated</t>
        </r>
      </text>
    </comment>
    <comment ref="BI112" authorId="5">
      <text>
        <r>
          <rPr>
            <sz val="10"/>
            <rFont val="Arial"/>
            <family val="2"/>
          </rPr>
          <t xml:space="preserve">Tegus (BL):
Estimate, to be updated</t>
        </r>
      </text>
    </comment>
    <comment ref="BI380" authorId="2">
      <text>
        <r>
          <rPr>
            <sz val="10"/>
            <rFont val="Arial"/>
            <family val="2"/>
          </rPr>
          <t xml:space="preserve">Canalyst:
Assumption by Canalyst</t>
        </r>
      </text>
    </comment>
    <comment ref="BI388" authorId="2">
      <text>
        <r>
          <rPr>
            <sz val="10"/>
            <rFont val="Arial"/>
            <family val="2"/>
          </rPr>
          <t xml:space="preserve">Canalyst:
Assumption by Canalyst</t>
        </r>
      </text>
    </comment>
    <comment ref="BI408" authorId="5">
      <text>
        <r>
          <rPr>
            <sz val="10"/>
            <rFont val="Arial"/>
            <family val="2"/>
          </rPr>
          <t xml:space="preserve">Tegus (BL):
An interim dividend of €1.52 per ordinary share will be made payable on November 7, 2024.</t>
        </r>
      </text>
    </comment>
    <comment ref="BJ33" authorId="8">
      <text>
        <r>
          <rPr>
            <sz val="10"/>
            <rFont val="Arial"/>
            <family val="2"/>
          </rPr>
          <t xml:space="preserve">Tegus (AR):
EXE: 465mm
NXE: 7856.4mm</t>
        </r>
      </text>
    </comment>
    <comment ref="BJ388" authorId="2">
      <text>
        <r>
          <rPr>
            <sz val="10"/>
            <rFont val="Arial"/>
            <family val="2"/>
          </rPr>
          <t xml:space="preserve">Canalyst:
Assumption by Canalyst</t>
        </r>
      </text>
    </comment>
    <comment ref="BK9" authorId="3">
      <text>
        <r>
          <rPr>
            <sz val="10"/>
            <rFont val="Arial"/>
            <family val="2"/>
          </rPr>
          <t xml:space="preserve">Tegus (AN):
"In the first quarter, we shipped our fifth High NA system, and we now have these systems at three customers"</t>
        </r>
      </text>
    </comment>
    <comment ref="BK17" authorId="3">
      <text>
        <r>
          <rPr>
            <sz val="10"/>
            <rFont val="Arial"/>
            <family val="2"/>
          </rPr>
          <t xml:space="preserve">Tegus (AN):
Estimated</t>
        </r>
      </text>
    </comment>
    <comment ref="BK111" authorId="3">
      <text>
        <r>
          <rPr>
            <sz val="10"/>
            <rFont val="Arial"/>
            <family val="2"/>
          </rPr>
          <t xml:space="preserve">Tegus (AN):
Estimated</t>
        </r>
      </text>
    </comment>
    <comment ref="BK112" authorId="3">
      <text>
        <r>
          <rPr>
            <sz val="10"/>
            <rFont val="Arial"/>
            <family val="2"/>
          </rPr>
          <t xml:space="preserve">Tegus (AN):
Estimated</t>
        </r>
      </text>
    </comment>
    <comment ref="BK380" authorId="2">
      <text>
        <r>
          <rPr>
            <sz val="10"/>
            <rFont val="Arial"/>
            <family val="2"/>
          </rPr>
          <t xml:space="preserve">Canalyst:
Assumption by Canalyst</t>
        </r>
      </text>
    </comment>
    <comment ref="BK388" authorId="2">
      <text>
        <r>
          <rPr>
            <sz val="10"/>
            <rFont val="Arial"/>
            <family val="2"/>
          </rPr>
          <t xml:space="preserve">Canalyst:
Assumption by Canalyst</t>
        </r>
      </text>
    </comment>
    <comment ref="BK408" authorId="3">
      <text>
        <r>
          <rPr>
            <sz val="10"/>
            <rFont val="Arial"/>
            <family val="2"/>
          </rPr>
          <t xml:space="preserve">Tegus (AN):
Recognizing the three interim dividends of €1.52 per ordinary share paid in 2024 and 2025</t>
        </r>
      </text>
    </comment>
    <comment ref="BK659" authorId="0">
      <text>
        <r>
          <rPr>
            <sz val="10"/>
            <rFont val="Arial"/>
            <family val="2"/>
          </rPr>
          <t xml:space="preserve">Tegus (AN):
Assumed</t>
        </r>
      </text>
    </comment>
    <comment ref="BK660" authorId="0">
      <text>
        <r>
          <rPr>
            <sz val="10"/>
            <rFont val="Arial"/>
            <family val="2"/>
          </rPr>
          <t xml:space="preserve">Tegus (AN):
Backed out as a plug-in</t>
        </r>
      </text>
    </comment>
    <comment ref="BL9" authorId="6">
      <text>
        <r>
          <rPr>
            <sz val="10"/>
            <rFont val="Arial"/>
            <family val="2"/>
          </rPr>
          <t xml:space="preserve">Tegus (TP):
Not reported. 
"This quarter, we shipped the first TWINSCAN EXE:5200B system."</t>
        </r>
      </text>
    </comment>
    <comment ref="BL10" authorId="6">
      <text>
        <r>
          <rPr>
            <sz val="10"/>
            <rFont val="Arial"/>
            <family val="2"/>
          </rPr>
          <t xml:space="preserve">Tegus (TP):
Not reported</t>
        </r>
      </text>
    </comment>
    <comment ref="BL17" authorId="3">
      <text>
        <r>
          <rPr>
            <sz val="10"/>
            <rFont val="Arial"/>
            <family val="2"/>
          </rPr>
          <t xml:space="preserve">Tegus (AN):
Estimated</t>
        </r>
      </text>
    </comment>
    <comment ref="BL111" authorId="3">
      <text>
        <r>
          <rPr>
            <sz val="10"/>
            <rFont val="Arial"/>
            <family val="2"/>
          </rPr>
          <t xml:space="preserve">Tegus (AN):
Estimated</t>
        </r>
      </text>
    </comment>
    <comment ref="BL112" authorId="3">
      <text>
        <r>
          <rPr>
            <sz val="10"/>
            <rFont val="Arial"/>
            <family val="2"/>
          </rPr>
          <t xml:space="preserve">Tegus (AN):
Estimated</t>
        </r>
      </text>
    </comment>
    <comment ref="BL380" authorId="2">
      <text>
        <r>
          <rPr>
            <sz val="10"/>
            <rFont val="Arial"/>
            <family val="2"/>
          </rPr>
          <t xml:space="preserve">Canalyst:
Assumption by Canalyst</t>
        </r>
      </text>
    </comment>
    <comment ref="BL388" authorId="2">
      <text>
        <r>
          <rPr>
            <sz val="10"/>
            <rFont val="Arial"/>
            <family val="2"/>
          </rPr>
          <t xml:space="preserve">Canalyst:
Assumption by Canalyst</t>
        </r>
      </text>
    </comment>
    <comment ref="BL408" authorId="1">
      <text>
        <r>
          <rPr>
            <sz val="10"/>
            <rFont val="Arial"/>
            <family val="2"/>
          </rPr>
          <t xml:space="preserve">Tegus (AA):
final dividend proposal to the General Meeting of €1.84 per ordinary shar</t>
        </r>
      </text>
    </comment>
    <comment ref="BL659" authorId="0">
      <text>
        <r>
          <rPr>
            <sz val="10"/>
            <rFont val="Arial"/>
            <family val="2"/>
          </rPr>
          <t xml:space="preserve">Tegus (AN):
Assumed</t>
        </r>
      </text>
    </comment>
    <comment ref="BL660" authorId="0">
      <text>
        <r>
          <rPr>
            <sz val="10"/>
            <rFont val="Arial"/>
            <family val="2"/>
          </rPr>
          <t xml:space="preserve">Tegus (AN):
Backed out as a plug-in</t>
        </r>
      </text>
    </comment>
    <comment ref="BM9" authorId="5">
      <text>
        <r>
          <rPr>
            <sz val="10"/>
            <rFont val="Arial"/>
            <family val="2"/>
          </rPr>
          <t xml:space="preserve">Tegus (BL):
Not reported.
"On the technology side, we see litho intensity continue to develop positively as EUV adoption gains momentum,
including progress on High NA EUV. In line with our plans to support our customers in the 3D integration space, we
shipped ASML’s first product serving Advanced Packaging, the TWINSCAN XT:260, an i-line scanner offering up to 4x productivity compared to existing solutions."</t>
        </r>
      </text>
    </comment>
    <comment ref="BM17" authorId="5">
      <text>
        <r>
          <rPr>
            <sz val="10"/>
            <rFont val="Arial"/>
            <family val="2"/>
          </rPr>
          <t xml:space="preserve">Tegus:
Estimated</t>
        </r>
      </text>
    </comment>
    <comment ref="BM111" authorId="5">
      <text>
        <r>
          <rPr>
            <sz val="10"/>
            <rFont val="Arial"/>
            <family val="2"/>
          </rPr>
          <t xml:space="preserve">Tegus:
Estimated</t>
        </r>
      </text>
    </comment>
    <comment ref="BM112" authorId="5">
      <text>
        <r>
          <rPr>
            <sz val="10"/>
            <rFont val="Arial"/>
            <family val="2"/>
          </rPr>
          <t xml:space="preserve">Tegus:
Estimated</t>
        </r>
      </text>
    </comment>
    <comment ref="BM380" authorId="2">
      <text>
        <r>
          <rPr>
            <sz val="10"/>
            <rFont val="Arial"/>
            <family val="2"/>
          </rPr>
          <t xml:space="preserve">Canalyst:
Assumption by Canalyst</t>
        </r>
      </text>
    </comment>
    <comment ref="BM388" authorId="2">
      <text>
        <r>
          <rPr>
            <sz val="10"/>
            <rFont val="Arial"/>
            <family val="2"/>
          </rPr>
          <t xml:space="preserve">Canalyst:
Assumption by Canalyst</t>
        </r>
      </text>
    </comment>
    <comment ref="BM408" authorId="6">
      <text>
        <r>
          <rPr>
            <sz val="10"/>
            <rFont val="Arial"/>
            <family val="2"/>
          </rPr>
          <t xml:space="preserve">Tegus (TP):
The first quarterly interim dividend over 2025 will be €1.60 per ordinary share and will be made
payable on August 6, 2025</t>
        </r>
      </text>
    </comment>
    <comment ref="BM659" authorId="0">
      <text>
        <r>
          <rPr>
            <sz val="10"/>
            <rFont val="Arial"/>
            <family val="2"/>
          </rPr>
          <t xml:space="preserve">Tegus (AN):
Assumed</t>
        </r>
      </text>
    </comment>
    <comment ref="BM660" authorId="0">
      <text>
        <r>
          <rPr>
            <sz val="10"/>
            <rFont val="Arial"/>
            <family val="2"/>
          </rPr>
          <t xml:space="preserve">Tegus (AN):
Backed out as a plug-in</t>
        </r>
      </text>
    </comment>
    <comment ref="BN2" authorId="2">
      <text>
        <r>
          <rPr>
            <sz val="10"/>
            <rFont val="Arial"/>
            <family val="2"/>
          </rPr>
          <t xml:space="preserve">Tegus:
This period has been partially updated from a press release, prior to the release of the complete statements. Information that was not included in the press release has been left as assumptions, and can be identified by the red font in cells for this period. Upon release of the full statements, the model will be updated to reflect any new or changed information.</t>
        </r>
      </text>
    </comment>
    <comment ref="BN6" authorId="2">
      <text>
        <r>
          <rPr>
            <sz val="10"/>
            <rFont val="Arial"/>
            <family val="2"/>
          </rPr>
          <t xml:space="preserve">Tegus:
To be updated on full disclosure</t>
        </r>
      </text>
    </comment>
    <comment ref="BN9" authorId="2">
      <text>
        <r>
          <rPr>
            <sz val="10"/>
            <rFont val="Arial"/>
            <family val="2"/>
          </rPr>
          <t xml:space="preserve">Tegus (ALT):
we reported record total net sales of €9.7 billion, including the revenue recognized
for two High NA systems.</t>
        </r>
      </text>
    </comment>
    <comment ref="BN17" authorId="2">
      <text>
        <r>
          <rPr>
            <sz val="10"/>
            <rFont val="Arial"/>
            <family val="2"/>
          </rPr>
          <t xml:space="preserve">Tegus (ALT):
estimated</t>
        </r>
      </text>
    </comment>
    <comment ref="BN111" authorId="2">
      <text>
        <r>
          <rPr>
            <sz val="10"/>
            <rFont val="Arial"/>
            <family val="2"/>
          </rPr>
          <t xml:space="preserve">Tegus (ALT):
Estimated</t>
        </r>
      </text>
    </comment>
    <comment ref="BN112" authorId="2">
      <text>
        <r>
          <rPr>
            <sz val="10"/>
            <rFont val="Arial"/>
            <family val="2"/>
          </rPr>
          <t xml:space="preserve">Tegus (ALT):
Estimate, to be updated</t>
        </r>
      </text>
    </comment>
    <comment ref="BN379" authorId="2">
      <text>
        <r>
          <rPr>
            <sz val="10"/>
            <rFont val="Arial"/>
            <family val="2"/>
          </rPr>
          <t xml:space="preserve">Tegus (ALT):
To be updated with annual report</t>
        </r>
      </text>
    </comment>
    <comment ref="BN380" authorId="2">
      <text>
        <r>
          <rPr>
            <sz val="10"/>
            <rFont val="Arial"/>
            <family val="2"/>
          </rPr>
          <t xml:space="preserve">Canalyst:
Assumption by Canalyst</t>
        </r>
      </text>
    </comment>
    <comment ref="BN388" authorId="2">
      <text>
        <r>
          <rPr>
            <sz val="10"/>
            <rFont val="Arial"/>
            <family val="2"/>
          </rPr>
          <t xml:space="preserve">Tegus (ALT):
Estimated</t>
        </r>
      </text>
    </comment>
    <comment ref="BN468" authorId="2">
      <text>
        <r>
          <rPr>
            <sz val="10"/>
            <rFont val="Arial"/>
            <family val="2"/>
          </rPr>
          <t xml:space="preserve">Tegus (ALT):
To be updated with annual report</t>
        </r>
      </text>
    </comment>
    <comment ref="BN604" authorId="2">
      <text>
        <r>
          <rPr>
            <sz val="10"/>
            <rFont val="Arial"/>
            <family val="2"/>
          </rPr>
          <t xml:space="preserve">Tegus (ALT):
To be updated with annual report</t>
        </r>
      </text>
    </comment>
    <comment ref="BN623" authorId="2">
      <text>
        <r>
          <rPr>
            <sz val="10"/>
            <rFont val="Arial"/>
            <family val="2"/>
          </rPr>
          <t xml:space="preserve">Tegus (ALT):
To be updated with annual report</t>
        </r>
      </text>
    </comment>
    <comment ref="BO2" authorId="2">
      <text>
        <r>
          <rPr>
            <sz val="10"/>
            <rFont val="Arial"/>
            <family val="2"/>
          </rPr>
          <t xml:space="preserve">Tegus:
This period has been partially updated from a press release, prior to the release of the complete statements. Information that was not included in the press release has been left as assumptions, and can be identified by the red font in cells for this period. Upon release of the full statements, the model will be updated to reflect any new or changed information.</t>
        </r>
      </text>
    </comment>
    <comment ref="BO6" authorId="2">
      <text>
        <r>
          <rPr>
            <sz val="10"/>
            <rFont val="Arial"/>
            <family val="2"/>
          </rPr>
          <t xml:space="preserve">Tegus:
To be updated on full disclosure</t>
        </r>
      </text>
    </comment>
    <comment ref="BO9" authorId="2">
      <text>
        <r>
          <rPr>
            <sz val="10"/>
            <rFont val="Arial"/>
            <family val="2"/>
          </rPr>
          <t xml:space="preserve">Tegus:
To be updated on full disclosure</t>
        </r>
      </text>
    </comment>
    <comment ref="BO17" authorId="2">
      <text>
        <r>
          <rPr>
            <sz val="10"/>
            <rFont val="Arial"/>
            <family val="2"/>
          </rPr>
          <t xml:space="preserve">Tegus:
To be updated on full disclosure</t>
        </r>
      </text>
    </comment>
    <comment ref="BO33" authorId="2">
      <text>
        <r>
          <rPr>
            <sz val="10"/>
            <rFont val="Arial"/>
            <family val="2"/>
          </rPr>
          <t xml:space="preserve">Tegus (ALT):
To be updated with annual report</t>
        </r>
      </text>
    </comment>
    <comment ref="BO34" authorId="2">
      <text>
        <r>
          <rPr>
            <sz val="10"/>
            <rFont val="Arial"/>
            <family val="2"/>
          </rPr>
          <t xml:space="preserve">Tegus (ALT):
To be updated with annual report</t>
        </r>
      </text>
    </comment>
    <comment ref="BO35" authorId="2">
      <text>
        <r>
          <rPr>
            <sz val="10"/>
            <rFont val="Arial"/>
            <family val="2"/>
          </rPr>
          <t xml:space="preserve">Tegus (ALT):
To be updated with annual report</t>
        </r>
      </text>
    </comment>
    <comment ref="BO36" authorId="2">
      <text>
        <r>
          <rPr>
            <sz val="10"/>
            <rFont val="Arial"/>
            <family val="2"/>
          </rPr>
          <t xml:space="preserve">Tegus (ALT):
To be updated with annual report</t>
        </r>
      </text>
    </comment>
    <comment ref="BO37" authorId="2">
      <text>
        <r>
          <rPr>
            <sz val="10"/>
            <rFont val="Arial"/>
            <family val="2"/>
          </rPr>
          <t xml:space="preserve">Tegus (ALT):
To be updated with annual report</t>
        </r>
      </text>
    </comment>
    <comment ref="BO38" authorId="2">
      <text>
        <r>
          <rPr>
            <sz val="10"/>
            <rFont val="Arial"/>
            <family val="2"/>
          </rPr>
          <t xml:space="preserve">Tegus (ALT):
To be updated with annual report</t>
        </r>
      </text>
    </comment>
    <comment ref="BO103" authorId="2">
      <text>
        <r>
          <rPr>
            <sz val="10"/>
            <rFont val="Arial"/>
            <family val="2"/>
          </rPr>
          <t xml:space="preserve">Tegus:
To be updated on full disclosure</t>
        </r>
      </text>
    </comment>
    <comment ref="BO116" authorId="2">
      <text>
        <r>
          <rPr>
            <sz val="10"/>
            <rFont val="Arial"/>
            <family val="2"/>
          </rPr>
          <t xml:space="preserve">Tegus:
To be updated on full disclosure</t>
        </r>
      </text>
    </comment>
    <comment ref="BO117" authorId="2">
      <text>
        <r>
          <rPr>
            <sz val="10"/>
            <rFont val="Arial"/>
            <family val="2"/>
          </rPr>
          <t xml:space="preserve">Tegus:
To be updated on full disclosure</t>
        </r>
      </text>
    </comment>
    <comment ref="BO118" authorId="2">
      <text>
        <r>
          <rPr>
            <sz val="10"/>
            <rFont val="Arial"/>
            <family val="2"/>
          </rPr>
          <t xml:space="preserve">Tegus:
To be updated on full disclosure</t>
        </r>
      </text>
    </comment>
    <comment ref="BO168" authorId="2">
      <text>
        <r>
          <rPr>
            <sz val="10"/>
            <rFont val="Arial"/>
            <family val="2"/>
          </rPr>
          <t xml:space="preserve">Tegus:
To be updated on full disclosure</t>
        </r>
      </text>
    </comment>
    <comment ref="BO170" authorId="2">
      <text>
        <r>
          <rPr>
            <sz val="10"/>
            <rFont val="Arial"/>
            <family val="2"/>
          </rPr>
          <t xml:space="preserve">Tegus:
To be updated on full disclosure</t>
        </r>
      </text>
    </comment>
    <comment ref="BO177" authorId="2">
      <text>
        <r>
          <rPr>
            <sz val="10"/>
            <rFont val="Arial"/>
            <family val="2"/>
          </rPr>
          <t xml:space="preserve">Tegus:
To be updated on full disclosure</t>
        </r>
      </text>
    </comment>
    <comment ref="BO208" authorId="2">
      <text>
        <r>
          <rPr>
            <sz val="10"/>
            <rFont val="Arial"/>
            <family val="2"/>
          </rPr>
          <t xml:space="preserve">Tegus:
To be updated on full disclosure</t>
        </r>
      </text>
    </comment>
    <comment ref="BO209" authorId="2">
      <text>
        <r>
          <rPr>
            <sz val="10"/>
            <rFont val="Arial"/>
            <family val="2"/>
          </rPr>
          <t xml:space="preserve">Tegus:
To be updated on full disclosure</t>
        </r>
      </text>
    </comment>
    <comment ref="BO211" authorId="2">
      <text>
        <r>
          <rPr>
            <sz val="10"/>
            <rFont val="Arial"/>
            <family val="2"/>
          </rPr>
          <t xml:space="preserve">Tegus:
To be updated on full disclosure</t>
        </r>
      </text>
    </comment>
    <comment ref="BO247" authorId="2">
      <text>
        <r>
          <rPr>
            <sz val="10"/>
            <rFont val="Arial"/>
            <family val="2"/>
          </rPr>
          <t xml:space="preserve">Tegus:
To be updated on full disclosure</t>
        </r>
      </text>
    </comment>
    <comment ref="BO264" authorId="2">
      <text>
        <r>
          <rPr>
            <sz val="10"/>
            <rFont val="Arial"/>
            <family val="2"/>
          </rPr>
          <t xml:space="preserve">Tegus:
To be updated on full disclosure</t>
        </r>
      </text>
    </comment>
    <comment ref="BO266" authorId="2">
      <text>
        <r>
          <rPr>
            <sz val="10"/>
            <rFont val="Arial"/>
            <family val="2"/>
          </rPr>
          <t xml:space="preserve">Tegus (ALT):
Hardcode as reported from quarterly result.</t>
        </r>
      </text>
    </comment>
    <comment ref="BO271" authorId="2">
      <text>
        <r>
          <rPr>
            <sz val="10"/>
            <rFont val="Arial"/>
            <family val="2"/>
          </rPr>
          <t xml:space="preserve">Tegus:
To be updated on full disclosure</t>
        </r>
      </text>
    </comment>
    <comment ref="BO297" authorId="2">
      <text>
        <r>
          <rPr>
            <sz val="10"/>
            <rFont val="Arial"/>
            <family val="2"/>
          </rPr>
          <t xml:space="preserve">Tegus:
To be updated on full disclosure</t>
        </r>
      </text>
    </comment>
    <comment ref="BO309" authorId="2">
      <text>
        <r>
          <rPr>
            <sz val="10"/>
            <rFont val="Arial"/>
            <family val="2"/>
          </rPr>
          <t xml:space="preserve">Tegus:
To be updated on full disclosure</t>
        </r>
      </text>
    </comment>
    <comment ref="BO379" authorId="2">
      <text>
        <r>
          <rPr>
            <sz val="10"/>
            <rFont val="Arial"/>
            <family val="2"/>
          </rPr>
          <t xml:space="preserve">Tegus (ALT):
To be updated with annual report</t>
        </r>
      </text>
    </comment>
    <comment ref="BO380" authorId="2">
      <text>
        <r>
          <rPr>
            <sz val="10"/>
            <rFont val="Arial"/>
            <family val="2"/>
          </rPr>
          <t xml:space="preserve">Tegus (ALT):
Estimated</t>
        </r>
      </text>
    </comment>
    <comment ref="BO388" authorId="2">
      <text>
        <r>
          <rPr>
            <sz val="10"/>
            <rFont val="Arial"/>
            <family val="2"/>
          </rPr>
          <t xml:space="preserve">Tegus (ALT):
Estimated</t>
        </r>
      </text>
    </comment>
    <comment ref="BO468" authorId="2">
      <text>
        <r>
          <rPr>
            <sz val="10"/>
            <rFont val="Arial"/>
            <family val="2"/>
          </rPr>
          <t xml:space="preserve">Tegus (ALT):
To be updated with annual report</t>
        </r>
      </text>
    </comment>
    <comment ref="BO489" authorId="2">
      <text>
        <r>
          <rPr>
            <sz val="10"/>
            <rFont val="Arial"/>
            <family val="2"/>
          </rPr>
          <t xml:space="preserve">Tegus (ALT):
Hardcode as reported, to be updated with annual report</t>
        </r>
      </text>
    </comment>
    <comment ref="BO537" authorId="2">
      <text>
        <r>
          <rPr>
            <sz val="10"/>
            <rFont val="Arial"/>
            <family val="2"/>
          </rPr>
          <t xml:space="preserve">Tegus (ALT):
Estimated</t>
        </r>
      </text>
    </comment>
    <comment ref="BO538" authorId="2">
      <text>
        <r>
          <rPr>
            <sz val="10"/>
            <rFont val="Arial"/>
            <family val="2"/>
          </rPr>
          <t xml:space="preserve">Tegus (ALT):
Estimated</t>
        </r>
      </text>
    </comment>
    <comment ref="BO539" authorId="2">
      <text>
        <r>
          <rPr>
            <sz val="10"/>
            <rFont val="Arial"/>
            <family val="2"/>
          </rPr>
          <t xml:space="preserve">Tegus (ALT):
Estimated</t>
        </r>
      </text>
    </comment>
    <comment ref="BO540" authorId="2">
      <text>
        <r>
          <rPr>
            <sz val="10"/>
            <rFont val="Arial"/>
            <family val="2"/>
          </rPr>
          <t xml:space="preserve">Tegus (ALT):
Estimated</t>
        </r>
      </text>
    </comment>
    <comment ref="BO541" authorId="2">
      <text>
        <r>
          <rPr>
            <sz val="10"/>
            <rFont val="Arial"/>
            <family val="2"/>
          </rPr>
          <t xml:space="preserve">Tegus (ALT):
Estimated</t>
        </r>
      </text>
    </comment>
    <comment ref="BO542" authorId="2">
      <text>
        <r>
          <rPr>
            <sz val="10"/>
            <rFont val="Arial"/>
            <family val="2"/>
          </rPr>
          <t xml:space="preserve">Tegus (ALT):
Estimated</t>
        </r>
      </text>
    </comment>
    <comment ref="BO543" authorId="2">
      <text>
        <r>
          <rPr>
            <sz val="10"/>
            <rFont val="Arial"/>
            <family val="2"/>
          </rPr>
          <t xml:space="preserve">Tegus (ALT):
Estimated</t>
        </r>
      </text>
    </comment>
    <comment ref="BO544" authorId="2">
      <text>
        <r>
          <rPr>
            <sz val="10"/>
            <rFont val="Arial"/>
            <family val="2"/>
          </rPr>
          <t xml:space="preserve">Tegus (ALT):
Backout to reconcile subtotal.</t>
        </r>
      </text>
    </comment>
    <comment ref="BO604" authorId="2">
      <text>
        <r>
          <rPr>
            <sz val="10"/>
            <rFont val="Arial"/>
            <family val="2"/>
          </rPr>
          <t xml:space="preserve">Tegus (ALT):
To be updated with annual report</t>
        </r>
      </text>
    </comment>
    <comment ref="BO609" authorId="2">
      <text>
        <r>
          <rPr>
            <sz val="10"/>
            <rFont val="Arial"/>
            <family val="2"/>
          </rPr>
          <t xml:space="preserve">Tegus (ALT):
To be updated with annual report</t>
        </r>
      </text>
    </comment>
    <comment ref="BO610" authorId="2">
      <text>
        <r>
          <rPr>
            <sz val="10"/>
            <rFont val="Arial"/>
            <family val="2"/>
          </rPr>
          <t xml:space="preserve">Tegus (ALT):
To be updated with annual report</t>
        </r>
      </text>
    </comment>
    <comment ref="BO611" authorId="2">
      <text>
        <r>
          <rPr>
            <sz val="10"/>
            <rFont val="Arial"/>
            <family val="2"/>
          </rPr>
          <t xml:space="preserve">Tegus (ALT):
To be updated with annual report</t>
        </r>
      </text>
    </comment>
    <comment ref="BO612" authorId="2">
      <text>
        <r>
          <rPr>
            <sz val="10"/>
            <rFont val="Arial"/>
            <family val="2"/>
          </rPr>
          <t xml:space="preserve">Tegus (ALT):
To be updated with annual report</t>
        </r>
      </text>
    </comment>
    <comment ref="BO623" authorId="2">
      <text>
        <r>
          <rPr>
            <sz val="10"/>
            <rFont val="Arial"/>
            <family val="2"/>
          </rPr>
          <t xml:space="preserve">Tegus (ALT):
To be updated with annual report</t>
        </r>
      </text>
    </comment>
    <comment ref="BO656" authorId="2">
      <text>
        <r>
          <rPr>
            <sz val="10"/>
            <rFont val="Arial"/>
            <family val="2"/>
          </rPr>
          <t xml:space="preserve">Tegus (ALT):
Based on estimate, will be updated with annual report</t>
        </r>
      </text>
    </comment>
    <comment ref="BO657" authorId="2">
      <text>
        <r>
          <rPr>
            <sz val="10"/>
            <rFont val="Arial"/>
            <family val="2"/>
          </rPr>
          <t xml:space="preserve">Tegus (ALT):
Based on estimate, will be updated with annual report</t>
        </r>
      </text>
    </comment>
    <comment ref="BO658" authorId="2">
      <text>
        <r>
          <rPr>
            <sz val="10"/>
            <rFont val="Arial"/>
            <family val="2"/>
          </rPr>
          <t xml:space="preserve">Tegus (ALT):
Based on estimate, will be updated with annual report</t>
        </r>
      </text>
    </comment>
    <comment ref="BO659" authorId="2">
      <text>
        <r>
          <rPr>
            <sz val="10"/>
            <rFont val="Arial"/>
            <family val="2"/>
          </rPr>
          <t xml:space="preserve">Tegus (ALT):
Backed out</t>
        </r>
      </text>
    </comment>
    <comment ref="BO660" authorId="2">
      <text>
        <r>
          <rPr>
            <sz val="10"/>
            <rFont val="Arial"/>
            <family val="2"/>
          </rPr>
          <t xml:space="preserve">Tegus (ALT):
Based on estimate, will be updated with annual report</t>
        </r>
      </text>
    </comment>
    <comment ref="BO664" authorId="2">
      <text>
        <r>
          <rPr>
            <sz val="10"/>
            <rFont val="Arial"/>
            <family val="2"/>
          </rPr>
          <t xml:space="preserve">Tegus (ALT):
Hardcode as reported, to be updated with annual report</t>
        </r>
      </text>
    </comment>
    <comment ref="BO681" authorId="2">
      <text>
        <r>
          <rPr>
            <sz val="10"/>
            <rFont val="Arial"/>
            <family val="2"/>
          </rPr>
          <t xml:space="preserve">Tegus (ALT):
Hardcode as reported, to be updated with annual report</t>
        </r>
      </text>
    </comment>
  </commentList>
</comments>
</file>

<file path=xl/comments5.xml><?xml version="1.0" encoding="utf-8"?>
<comments xmlns="http://schemas.openxmlformats.org/spreadsheetml/2006/main" xmlns:xdr="http://schemas.openxmlformats.org/drawingml/2006/spreadsheetDrawing">
  <authors>
    <author>Menno Burnet</author>
    <author>Tegus (BL)</author>
    <author>Tegus (TP)</author>
  </authors>
  <commentList>
    <comment ref="A4" authorId="0">
      <text>
        <r>
          <rPr>
            <sz val="10"/>
            <rFont val="Arial"/>
            <family val="2"/>
          </rPr>
          <t xml:space="preserve">Tegus:
Sort Largest to Smallest to return to default.</t>
        </r>
      </text>
    </comment>
    <comment ref="D232" authorId="0">
      <text>
        <r>
          <rPr>
            <sz val="10"/>
            <rFont val="Arial"/>
            <family val="2"/>
          </rPr>
          <t xml:space="preserve">Tegus (HS):
Installed Base Management equals service and field upgrades sales as reported in IP</t>
        </r>
      </text>
    </comment>
    <comment ref="D242" authorId="0">
      <text>
        <r>
          <rPr>
            <sz val="10"/>
            <rFont val="Arial"/>
            <family val="2"/>
          </rPr>
          <t xml:space="preserve">Tegus (HS):
Installed Base Management equals service and field upgrades sales as reported in IP</t>
        </r>
      </text>
    </comment>
    <comment ref="I224" authorId="0">
      <text>
        <r>
          <rPr>
            <sz val="10"/>
            <rFont val="Arial"/>
            <family val="2"/>
          </rPr>
          <t xml:space="preserve">Tegus (AK):
based on capacity cycle-time</t>
        </r>
      </text>
    </comment>
    <comment ref="J224" authorId="0">
      <text>
        <r>
          <rPr>
            <sz val="10"/>
            <rFont val="Arial"/>
            <family val="2"/>
          </rPr>
          <t xml:space="preserve">Tegus (AK):
based on capacity cycle-time</t>
        </r>
      </text>
    </comment>
    <comment ref="K11" authorId="1">
      <text>
        <r>
          <rPr>
            <sz val="10"/>
            <rFont val="Arial"/>
            <family val="2"/>
          </rPr>
          <t xml:space="preserve">Tegus (BL):
Around.</t>
        </r>
      </text>
    </comment>
    <comment ref="K13" authorId="1">
      <text>
        <r>
          <rPr>
            <sz val="10"/>
            <rFont val="Arial"/>
            <family val="2"/>
          </rPr>
          <t xml:space="preserve">Tegus (BL):
Around.</t>
        </r>
      </text>
    </comment>
    <comment ref="K14" authorId="1">
      <text>
        <r>
          <rPr>
            <sz val="10"/>
            <rFont val="Arial"/>
            <family val="2"/>
          </rPr>
          <t xml:space="preserve">Tegus (BL):
Around.</t>
        </r>
      </text>
    </comment>
    <comment ref="K16" authorId="2">
      <text>
        <r>
          <rPr>
            <sz val="10"/>
            <rFont val="Arial"/>
            <family val="2"/>
          </rPr>
          <t xml:space="preserve">Tegus (TP):
around 15% total net sales growth</t>
        </r>
      </text>
    </comment>
    <comment ref="K21" authorId="1">
      <text>
        <r>
          <rPr>
            <sz val="10"/>
            <rFont val="Arial"/>
            <family val="2"/>
          </rPr>
          <t xml:space="preserve">Tegus (BL):
Around.</t>
        </r>
      </text>
    </comment>
    <comment ref="K23" authorId="1">
      <text>
        <r>
          <rPr>
            <sz val="10"/>
            <rFont val="Arial"/>
            <family val="2"/>
          </rPr>
          <t xml:space="preserve">Tegus (BL):
Around.</t>
        </r>
      </text>
    </comment>
    <comment ref="K24" authorId="1">
      <text>
        <r>
          <rPr>
            <sz val="10"/>
            <rFont val="Arial"/>
            <family val="2"/>
          </rPr>
          <t xml:space="preserve">Tegus (BL):
Around.</t>
        </r>
      </text>
    </comment>
    <comment ref="K26" authorId="2">
      <text>
        <r>
          <rPr>
            <sz val="10"/>
            <rFont val="Arial"/>
            <family val="2"/>
          </rPr>
          <t xml:space="preserve">Tegus (TP):
around 15% total net sales growth</t>
        </r>
      </text>
    </comment>
    <comment ref="K66" authorId="0">
      <text>
        <r>
          <rPr>
            <sz val="10"/>
            <rFont val="Arial"/>
            <family val="2"/>
          </rPr>
          <t xml:space="preserve">Tegus (TP):
Similar net sales with a slightly lower gross margin, relative to 2023</t>
        </r>
      </text>
    </comment>
    <comment ref="K75" authorId="0">
      <text>
        <r>
          <rPr>
            <sz val="10"/>
            <rFont val="Arial"/>
            <family val="2"/>
          </rPr>
          <t xml:space="preserve">Tegus (AN):
Similar net sales with a slightly lower gross margin, relative to 2023</t>
        </r>
      </text>
    </comment>
    <comment ref="K84" authorId="0">
      <text>
        <r>
          <rPr>
            <sz val="10"/>
            <rFont val="Arial"/>
            <family val="2"/>
          </rPr>
          <t xml:space="preserve">Tegus (TP):
Similar net sales with a slightly lower gross margin, relative to 2023</t>
        </r>
      </text>
    </comment>
    <comment ref="K89" authorId="0">
      <text>
        <r>
          <rPr>
            <sz val="10"/>
            <rFont val="Arial"/>
            <family val="2"/>
          </rPr>
          <t xml:space="preserve">Tegus (TP):
Around 50%</t>
        </r>
      </text>
    </comment>
    <comment ref="K93" authorId="0">
      <text>
        <r>
          <rPr>
            <sz val="10"/>
            <rFont val="Arial"/>
            <family val="2"/>
          </rPr>
          <t xml:space="preserve">Tegus (TP):
Net sales growth expectation towards 30% with a slight improvement in gross margin, relative to 2022, confirmed</t>
        </r>
      </text>
    </comment>
    <comment ref="K98" authorId="0">
      <text>
        <r>
          <rPr>
            <sz val="10"/>
            <rFont val="Arial"/>
            <family val="2"/>
          </rPr>
          <t xml:space="preserve">Tegus (TP):
Around 50%</t>
        </r>
      </text>
    </comment>
    <comment ref="K102" authorId="0">
      <text>
        <r>
          <rPr>
            <sz val="10"/>
            <rFont val="Arial"/>
            <family val="2"/>
          </rPr>
          <t xml:space="preserve">Tegus (TP):
Expected net sales growth towards 30% with a slight improvement in gross margin, relative to 2022</t>
        </r>
      </text>
    </comment>
    <comment ref="K107" authorId="0">
      <text>
        <r>
          <rPr>
            <sz val="10"/>
            <rFont val="Arial"/>
            <family val="2"/>
          </rPr>
          <t xml:space="preserve">Tegus (TP):
Around 50%</t>
        </r>
      </text>
    </comment>
    <comment ref="K111" authorId="0">
      <text>
        <r>
          <rPr>
            <sz val="10"/>
            <rFont val="Arial"/>
            <family val="2"/>
          </rPr>
          <t xml:space="preserve">Tegus (CZ):
Over</t>
        </r>
      </text>
    </comment>
    <comment ref="K120" authorId="0">
      <text>
        <r>
          <rPr>
            <sz val="10"/>
            <rFont val="Arial"/>
            <family val="2"/>
          </rPr>
          <t xml:space="preserve">Tegus (DY):
Over</t>
        </r>
      </text>
    </comment>
    <comment ref="K133" authorId="0">
      <text>
        <r>
          <rPr>
            <sz val="10"/>
            <rFont val="Arial"/>
            <family val="2"/>
          </rPr>
          <t xml:space="preserve">Tegus (AK):
Net delayed revenue recognition of around €1.1 billion into subsequent quarters due to fast shipments</t>
        </r>
      </text>
    </comment>
    <comment ref="K143" authorId="0">
      <text>
        <r>
          <rPr>
            <sz val="10"/>
            <rFont val="Arial"/>
            <family val="2"/>
          </rPr>
          <t xml:space="preserve">Tegus (AK):
Net delayed revenue recognition of around €1.1 billion into subsequent quarters due to fast shipments</t>
        </r>
      </text>
    </comment>
    <comment ref="K152" authorId="0">
      <text>
        <r>
          <rPr>
            <sz val="10"/>
            <rFont val="Arial"/>
            <family val="2"/>
          </rPr>
          <t xml:space="preserve">Tegus (AK):
excluding, net revenue shift of around €800 million due to fast shipments to subsequent quarters</t>
        </r>
      </text>
    </comment>
    <comment ref="K161" authorId="0">
      <text>
        <r>
          <rPr>
            <sz val="10"/>
            <rFont val="Arial"/>
            <family val="2"/>
          </rPr>
          <t xml:space="preserve">Tegus (AW):
excluding, revenue shift of approximately €2 billion due to fast shipments to subsequent quarters </t>
        </r>
      </text>
    </comment>
    <comment ref="N221" authorId="0">
      <text>
        <r>
          <rPr>
            <sz val="10"/>
            <rFont val="Arial"/>
            <family val="2"/>
          </rPr>
          <t xml:space="preserve">Tegus (AP):
"Due to concerns around the continued ability to ship systems in the current circumstances, some customers have asked us to expedite the delivery of EUV systems by shipping the systems before the normal Factory Acceptance Tests (FAT). The implication of this is a delay in our revenue recognition as final acceptance will now take place after successful installation at the customer site." -"We expect the revenue that we were not able to recognize for Q1 as a result of the issues listed above, to shift to Q2 and Q3 of this year."</t>
        </r>
      </text>
    </comment>
    <comment ref="N222" authorId="0">
      <text>
        <r>
          <rPr>
            <sz val="10"/>
            <rFont val="Arial"/>
            <family val="2"/>
          </rPr>
          <t xml:space="preserve">Tegus (AP):
"Due to concerns around the continued ability to ship systems in the current circumstances, some customers have asked us to expedite the delivery of EUV systems by shipping the systems before the normal Factory Acceptance Tests (FAT). The implication of this is a delay in our revenue recognition as final acceptance will now take place after successful installation at the customer site." -"We expect the revenue that we were not able to recognize for Q1 as a result of the issues listed above, to shift to Q2 and Q3 of this year."</t>
        </r>
      </text>
    </comment>
  </commentList>
</comments>
</file>

<file path=xl/sharedStrings.xml><?xml version="1.0" encoding="utf-8"?>
<sst xmlns="http://schemas.openxmlformats.org/spreadsheetml/2006/main" count="1768" uniqueCount="885">
  <si>
    <t xml:space="preserve">Please contact this email for any model-specific questions: </t>
  </si>
  <si>
    <t xml:space="preserve">modelsupport@alpha-sense.com</t>
  </si>
  <si>
    <t xml:space="preserve">mailto:support@canalyst.com?subject=Canalyst%20Support:%20ASML%20Holdings%20N.V.%20ASML%20US&amp;body=Model%20Version:%20Q2-2019.20</t>
  </si>
  <si>
    <t xml:space="preserve">Company Model:</t>
  </si>
  <si>
    <t xml:space="preserve">Updated: </t>
  </si>
  <si>
    <t xml:space="preserve">Comments on Model:</t>
  </si>
  <si>
    <t xml:space="preserve">For:</t>
  </si>
  <si>
    <t xml:space="preserve">Consensus Data and Real-Time Stock Price:</t>
  </si>
  <si>
    <t xml:space="preserve">Bloomberg</t>
  </si>
  <si>
    <t xml:space="preserve">Real-Time Stock Price:</t>
  </si>
  <si>
    <t xml:space="preserve">OFF</t>
  </si>
  <si>
    <t xml:space="preserve">Stock Price Override:</t>
  </si>
  <si>
    <t xml:space="preserve">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</si>
  <si>
    <t xml:space="preserve">ASML Holdings N.V. (ASML)</t>
  </si>
  <si>
    <t xml:space="preserve">Comprehensive Multiples-Based Valuation</t>
  </si>
  <si>
    <t xml:space="preserve">EPS DRIVERS — NON-GAAP INCOME STATEMENT WATERFALL</t>
  </si>
  <si>
    <t xml:space="preserve">($ in millions, except per share &amp; margins)</t>
  </si>
  <si>
    <t xml:space="preserve">FY2024</t>
  </si>
  <si>
    <t xml:space="preserve">FY2025</t>
  </si>
  <si>
    <t xml:space="preserve">FY2026E</t>
  </si>
  <si>
    <t xml:space="preserve">FY2027E</t>
  </si>
  <si>
    <t xml:space="preserve">Total Revenue</t>
  </si>
  <si>
    <t xml:space="preserve">  Y/Y Revenue Growth %</t>
  </si>
  <si>
    <t xml:space="preserve">Non-GAAP COGS</t>
  </si>
  <si>
    <t xml:space="preserve">Non-GAAP Gross Profit</t>
  </si>
  <si>
    <t xml:space="preserve">  Gross Margin %</t>
  </si>
  <si>
    <t xml:space="preserve">Non-GAAP R&amp;D Expense</t>
  </si>
  <si>
    <t xml:space="preserve">  R&amp;D as % of Revenue</t>
  </si>
  <si>
    <t xml:space="preserve">Non-GAAP SG&amp;A Expense</t>
  </si>
  <si>
    <t xml:space="preserve">  SG&amp;A as % of Revenue</t>
  </si>
  <si>
    <t xml:space="preserve">Non-GAAP Other OPEX</t>
  </si>
  <si>
    <t xml:space="preserve">Non-GAAP Operating Income (EBIT)</t>
  </si>
  <si>
    <t xml:space="preserve">  EBIT Margin %</t>
  </si>
  <si>
    <t xml:space="preserve">Non-GAAP Net Interest Expense</t>
  </si>
  <si>
    <t xml:space="preserve">Other Non-Operating Items</t>
  </si>
  <si>
    <t xml:space="preserve">Non-GAAP Earnings Before Taxes</t>
  </si>
  <si>
    <t xml:space="preserve">Non-GAAP Tax Provision</t>
  </si>
  <si>
    <t xml:space="preserve">  Tax Rate %</t>
  </si>
  <si>
    <t xml:space="preserve">Non-GAAP Net Income</t>
  </si>
  <si>
    <t xml:space="preserve">Diluted Shares Outstanding (mm)</t>
  </si>
  <si>
    <t xml:space="preserve">Non-GAAP EPS (Diluted)</t>
  </si>
  <si>
    <t xml:space="preserve">  Y/Y EPS Growth %</t>
  </si>
  <si>
    <t xml:space="preserve">EBITDA DRIVERS — NON-GAAP EBITDA BUILD</t>
  </si>
  <si>
    <t xml:space="preserve">($ in millions)</t>
  </si>
  <si>
    <t xml:space="preserve">Company Reported Non-GAAP EBIT</t>
  </si>
  <si>
    <t xml:space="preserve">Plus: Depreciation</t>
  </si>
  <si>
    <t xml:space="preserve">Plus: Amortization</t>
  </si>
  <si>
    <t xml:space="preserve">Total D&amp;A</t>
  </si>
  <si>
    <t xml:space="preserve">Non-GAAP EBITDA</t>
  </si>
  <si>
    <t xml:space="preserve">  EBITDA Margin %</t>
  </si>
  <si>
    <t xml:space="preserve">  Y/Y EBITDA Growth %</t>
  </si>
  <si>
    <t xml:space="preserve">MEMO: KEY ADJUSTMENTS</t>
  </si>
  <si>
    <t xml:space="preserve">Stock-Based Compensation</t>
  </si>
  <si>
    <t xml:space="preserve">  SBC as % of Revenue</t>
  </si>
  <si>
    <t xml:space="preserve">Capital Expenditures</t>
  </si>
  <si>
    <t xml:space="preserve">Free Cash Flow</t>
  </si>
  <si>
    <t xml:space="preserve">  FCF Margin %</t>
  </si>
  <si>
    <t xml:space="preserve">ENTERPRISE VALUE BRIDGE</t>
  </si>
  <si>
    <t xml:space="preserve">Current Stock Price ($)</t>
  </si>
  <si>
    <t xml:space="preserve">Market Capitalization ($M)</t>
  </si>
  <si>
    <t xml:space="preserve">Plus: Total Debt ($M)</t>
  </si>
  <si>
    <t xml:space="preserve">Plus: Operating Lease Liabilities ($M)</t>
  </si>
  <si>
    <t xml:space="preserve">Less: Cash &amp; Equivalents ($M)</t>
  </si>
  <si>
    <t xml:space="preserve">Enterprise Value ($M)</t>
  </si>
  <si>
    <t xml:space="preserve">CURRENT TRADING MULTIPLES</t>
  </si>
  <si>
    <t xml:space="preserve">Based on current stock price / EV</t>
  </si>
  <si>
    <t xml:space="preserve">P/E (Non-GAAP)</t>
  </si>
  <si>
    <t xml:space="preserve">EV / Revenue</t>
  </si>
  <si>
    <t xml:space="preserve">EV / EBITDA (Non-GAAP)</t>
  </si>
  <si>
    <t xml:space="preserve">IMPLIED VALUATION — TARGET MULTIPLES</t>
  </si>
  <si>
    <t xml:space="preserve">Apply target multiples to NTM estimates</t>
  </si>
  <si>
    <t xml:space="preserve">Target Multiple</t>
  </si>
  <si>
    <t xml:space="preserve">Metric (NTM)</t>
  </si>
  <si>
    <t xml:space="preserve">Implied Price/Share</t>
  </si>
  <si>
    <t xml:space="preserve">P/E (Non-GAAP NTM EPS)</t>
  </si>
  <si>
    <t xml:space="preserve">EV / Revenue (NTM)</t>
  </si>
  <si>
    <t xml:space="preserve">EV / EBITDA (NTM)</t>
  </si>
  <si>
    <t xml:space="preserve">Price / FCF (NTM)</t>
  </si>
  <si>
    <t xml:space="preserve">VALUATION SUMMARY</t>
  </si>
  <si>
    <t xml:space="preserve">EV / EBITDA</t>
  </si>
  <si>
    <t xml:space="preserve">Price / FCF</t>
  </si>
  <si>
    <t xml:space="preserve">Weighted Average Implied Price</t>
  </si>
  <si>
    <t xml:space="preserve">Current Stock Price</t>
  </si>
  <si>
    <t xml:space="preserve">REVENUE MIX BY SEGMENT</t>
  </si>
  <si>
    <t xml:space="preserve">EUV systems</t>
  </si>
  <si>
    <t xml:space="preserve">  Y/Y EUV Growth %</t>
  </si>
  <si>
    <t xml:space="preserve">DUV systems</t>
  </si>
  <si>
    <t xml:space="preserve">  Y/Y DUV Growth %</t>
  </si>
  <si>
    <t xml:space="preserve">Installed Base Management</t>
  </si>
  <si>
    <t xml:space="preserve">  Y/Y IBM Growth %</t>
  </si>
  <si>
    <t xml:space="preserve">  EUV % of Total Revenue</t>
  </si>
  <si>
    <t xml:space="preserve">  DUV % of Total Revenue</t>
  </si>
  <si>
    <t xml:space="preserve">  IBM % of Total Revenue</t>
  </si>
  <si>
    <t xml:space="preserve">ASML DCF Valuation Analysis</t>
  </si>
  <si>
    <t xml:space="preserve">Period</t>
  </si>
  <si>
    <t xml:space="preserve">FY2026</t>
  </si>
  <si>
    <t xml:space="preserve">FY2027</t>
  </si>
  <si>
    <t xml:space="preserve">FY2028</t>
  </si>
  <si>
    <t xml:space="preserve">FY2029</t>
  </si>
  <si>
    <t xml:space="preserve">REVENUE BUILD</t>
  </si>
  <si>
    <t xml:space="preserve">EUV Revenue</t>
  </si>
  <si>
    <t xml:space="preserve">ArFi Revenue</t>
  </si>
  <si>
    <t xml:space="preserve">ArF Revenue</t>
  </si>
  <si>
    <t xml:space="preserve">KrF Revenue</t>
  </si>
  <si>
    <t xml:space="preserve">i-line Revenue</t>
  </si>
  <si>
    <t xml:space="preserve">Metrology Revenue</t>
  </si>
  <si>
    <t xml:space="preserve">Y/Y Growth %</t>
  </si>
  <si>
    <t xml:space="preserve">OPERATING MARGINS</t>
  </si>
  <si>
    <t xml:space="preserve">Gross Margin %</t>
  </si>
  <si>
    <t xml:space="preserve">Operating Margin %</t>
  </si>
  <si>
    <t xml:space="preserve">UFCF BUILD</t>
  </si>
  <si>
    <t xml:space="preserve">Revenue</t>
  </si>
  <si>
    <t xml:space="preserve">EBIT</t>
  </si>
  <si>
    <t xml:space="preserve">Tax Rate %</t>
  </si>
  <si>
    <t xml:space="preserve">NOPAT</t>
  </si>
  <si>
    <t xml:space="preserve">D&amp;A</t>
  </si>
  <si>
    <t xml:space="preserve">CapEx</t>
  </si>
  <si>
    <t xml:space="preserve">Change in Working Capital</t>
  </si>
  <si>
    <t xml:space="preserve">Unlevered FCF</t>
  </si>
  <si>
    <t xml:space="preserve">DISCOUNTING</t>
  </si>
  <si>
    <t xml:space="preserve">WACC %</t>
  </si>
  <si>
    <t xml:space="preserve">Discount Factor</t>
  </si>
  <si>
    <t xml:space="preserve">PV of UFCF</t>
  </si>
  <si>
    <t xml:space="preserve">TERMINAL VALUE</t>
  </si>
  <si>
    <t xml:space="preserve">Terminal Growth %</t>
  </si>
  <si>
    <t xml:space="preserve">Terminal Value</t>
  </si>
  <si>
    <t xml:space="preserve">PV of TV</t>
  </si>
  <si>
    <t xml:space="preserve">VALUATION</t>
  </si>
  <si>
    <t xml:space="preserve">Sum PV UFCF</t>
  </si>
  <si>
    <t xml:space="preserve">PV Terminal Value</t>
  </si>
  <si>
    <t xml:space="preserve">Enterprise Value</t>
  </si>
  <si>
    <t xml:space="preserve">Less: Net Debt</t>
  </si>
  <si>
    <t xml:space="preserve">Equity Value</t>
  </si>
  <si>
    <t xml:space="preserve">Shares Outstanding (mm)</t>
  </si>
  <si>
    <t xml:space="preserve">Implied Price</t>
  </si>
  <si>
    <t xml:space="preserve">Current Price</t>
  </si>
  <si>
    <t xml:space="preserve">Upside %</t>
  </si>
  <si>
    <t xml:space="preserve">ASML Holdings N.V.</t>
  </si>
  <si>
    <t xml:space="preserve">Partial</t>
  </si>
  <si>
    <t xml:space="preserve">FY2009</t>
  </si>
  <si>
    <t xml:space="preserve">Revenue Build</t>
  </si>
  <si>
    <t xml:space="preserve">EUV 3400C units sold, # of units</t>
  </si>
  <si>
    <t xml:space="preserve">EUV 3400B units sold, # of units</t>
  </si>
  <si>
    <t xml:space="preserve">High NA EUV, # of units</t>
  </si>
  <si>
    <t xml:space="preserve">Low NA EUV, # of units</t>
  </si>
  <si>
    <t xml:space="preserve">EUV units sold, # of units</t>
  </si>
  <si>
    <t xml:space="preserve">ArFi units sold, # of units</t>
  </si>
  <si>
    <t xml:space="preserve">ArF units sold, # of units</t>
  </si>
  <si>
    <t xml:space="preserve">KrF units sold, # of units</t>
  </si>
  <si>
    <t xml:space="preserve">i-line units sold, # of units</t>
  </si>
  <si>
    <t xml:space="preserve">Total net lithography systems sold, # of units</t>
  </si>
  <si>
    <t xml:space="preserve">Metrology &amp; Inspection units sold, # of units</t>
  </si>
  <si>
    <t xml:space="preserve">Total net system sold, # of units</t>
  </si>
  <si>
    <t xml:space="preserve">EUV unit price, 000 EUR/unit</t>
  </si>
  <si>
    <t xml:space="preserve">Y/Y EUV unit price growth, %</t>
  </si>
  <si>
    <t xml:space="preserve">ArFi unit price, 000 EUR/unit</t>
  </si>
  <si>
    <t xml:space="preserve">Y/Y ArFi unit price growth, %</t>
  </si>
  <si>
    <t xml:space="preserve">ArF unit price, 000 EUR/unit</t>
  </si>
  <si>
    <t xml:space="preserve">Y/Y ArF unit price growth, %</t>
  </si>
  <si>
    <t xml:space="preserve">KrF unit price, 000 EUR/unit</t>
  </si>
  <si>
    <t xml:space="preserve">Y/Y KrF unit price growth, %</t>
  </si>
  <si>
    <t xml:space="preserve">i-line unit price, 000 EUR/unit</t>
  </si>
  <si>
    <t xml:space="preserve">Y/Y i-line unit price growth, %</t>
  </si>
  <si>
    <t xml:space="preserve">Metrology &amp; Inspection unit price, 000 EUR/unit</t>
  </si>
  <si>
    <t xml:space="preserve">Metrology &amp; Inspection unit price growth, %</t>
  </si>
  <si>
    <t xml:space="preserve">EUV sales, mm</t>
  </si>
  <si>
    <t xml:space="preserve">ArFi sales, mm</t>
  </si>
  <si>
    <t xml:space="preserve">ArF sales, mm</t>
  </si>
  <si>
    <t xml:space="preserve">KrF sales, mm</t>
  </si>
  <si>
    <t xml:space="preserve">i-line sales, mm</t>
  </si>
  <si>
    <t xml:space="preserve">Metrology &amp; Inspection sales, mm</t>
  </si>
  <si>
    <t xml:space="preserve">Total net system sales, mm</t>
  </si>
  <si>
    <t xml:space="preserve">Net service and field option sales, mm</t>
  </si>
  <si>
    <t xml:space="preserve">Total revenue, mm</t>
  </si>
  <si>
    <t xml:space="preserve">Y/Y EUV sales growth, %</t>
  </si>
  <si>
    <t xml:space="preserve">Y/Y ArFi sales growth, %</t>
  </si>
  <si>
    <t xml:space="preserve">Y/Y ArF sales growth, %</t>
  </si>
  <si>
    <t xml:space="preserve">Y/Y KrF sales growth, %</t>
  </si>
  <si>
    <t xml:space="preserve">Y/Y i-line sales growth, %</t>
  </si>
  <si>
    <t xml:space="preserve">Y/Y Metrology &amp; Inspection sales growth, %</t>
  </si>
  <si>
    <t xml:space="preserve">Y/Y Total net system sales growth, %</t>
  </si>
  <si>
    <t xml:space="preserve">Y/Y Net service and field option sales growth, %</t>
  </si>
  <si>
    <t xml:space="preserve">Y/Y Total revenue growth, %</t>
  </si>
  <si>
    <t xml:space="preserve">EUV sales as % of total net system sales, %</t>
  </si>
  <si>
    <t xml:space="preserve">ArFi sales as % of total net system sales, %</t>
  </si>
  <si>
    <t xml:space="preserve">ArF sales as % of total net system sales, %</t>
  </si>
  <si>
    <t xml:space="preserve">KrF sales as % of total net system sales, %</t>
  </si>
  <si>
    <t xml:space="preserve">i-line sales as % of total net system sales, %</t>
  </si>
  <si>
    <t xml:space="preserve">Metrology &amp; Inspection sales as % of total net system sales, %</t>
  </si>
  <si>
    <t xml:space="preserve">Total net system sales, %</t>
  </si>
  <si>
    <t xml:space="preserve">DUV sales, mm</t>
  </si>
  <si>
    <t xml:space="preserve">Y/Y DUV sales growth, %</t>
  </si>
  <si>
    <t xml:space="preserve">Net deferred revenue from fast shipment, mm</t>
  </si>
  <si>
    <t xml:space="preserve">Normalized revenue, mm</t>
  </si>
  <si>
    <t xml:space="preserve">Operating Expense Forecasting</t>
  </si>
  <si>
    <t xml:space="preserve">Revenue, mm</t>
  </si>
  <si>
    <t xml:space="preserve">COGS, mm</t>
  </si>
  <si>
    <t xml:space="preserve">Gross profit, mm</t>
  </si>
  <si>
    <t xml:space="preserve">Y/Y Gross Profit growth, %</t>
  </si>
  <si>
    <t xml:space="preserve">Gross Margin, %</t>
  </si>
  <si>
    <t xml:space="preserve">Y/Y Gross Margin improvement, bps</t>
  </si>
  <si>
    <t xml:space="preserve">R&amp;D, mm</t>
  </si>
  <si>
    <t xml:space="preserve">Y/Y R&amp;D growth, %</t>
  </si>
  <si>
    <t xml:space="preserve">R&amp;D margin, %</t>
  </si>
  <si>
    <t xml:space="preserve">Y/Y R&amp;D margin improvement, bps</t>
  </si>
  <si>
    <t xml:space="preserve">SG&amp;A, mm</t>
  </si>
  <si>
    <t xml:space="preserve">Y/Y SG&amp;A growth, %</t>
  </si>
  <si>
    <t xml:space="preserve">SG&amp;A margin, %</t>
  </si>
  <si>
    <t xml:space="preserve">Y/Y SG&amp;A margin improvement, bps</t>
  </si>
  <si>
    <t xml:space="preserve">Other, mm</t>
  </si>
  <si>
    <t xml:space="preserve">EBIT, mm</t>
  </si>
  <si>
    <t xml:space="preserve">Y/Y EBIT growth, %</t>
  </si>
  <si>
    <t xml:space="preserve">EBIT margin, %</t>
  </si>
  <si>
    <t xml:space="preserve">Y/Y EBIT margin improvement, bps</t>
  </si>
  <si>
    <t xml:space="preserve">Add back: D&amp;A, mm</t>
  </si>
  <si>
    <t xml:space="preserve">Add back: SBC, mm</t>
  </si>
  <si>
    <t xml:space="preserve">EBITDA, mm</t>
  </si>
  <si>
    <t xml:space="preserve">Y/Y EBITDA growth, %</t>
  </si>
  <si>
    <t xml:space="preserve">EBITDA margin, %</t>
  </si>
  <si>
    <t xml:space="preserve">Y/Y EBITDA margin improvement, bps</t>
  </si>
  <si>
    <t xml:space="preserve">SBC and D&amp;A Breakdown (FS)</t>
  </si>
  <si>
    <t xml:space="preserve">Depreciation related to cost of sales, mm</t>
  </si>
  <si>
    <t xml:space="preserve">Depreciation related to R&amp;D costs, mm</t>
  </si>
  <si>
    <t xml:space="preserve">Depreciation related to SG&amp;A, mm</t>
  </si>
  <si>
    <t xml:space="preserve">Depreciation of PPE, mm</t>
  </si>
  <si>
    <t xml:space="preserve">Amortization related to cost of sales, mm</t>
  </si>
  <si>
    <t xml:space="preserve">Amortization related to R&amp;D costs, mm</t>
  </si>
  <si>
    <t xml:space="preserve">Amortization related to SG&amp;A, mm</t>
  </si>
  <si>
    <t xml:space="preserve">Amortization of intangibles, mm</t>
  </si>
  <si>
    <t xml:space="preserve">Other D&amp;A, mm</t>
  </si>
  <si>
    <t xml:space="preserve">Total D&amp;A, mm</t>
  </si>
  <si>
    <t xml:space="preserve">Supplemental Information</t>
  </si>
  <si>
    <t xml:space="preserve">Key Metrics - Net System Sales Breakdown (IP)</t>
  </si>
  <si>
    <t xml:space="preserve">Logic net system sales, mm</t>
  </si>
  <si>
    <t xml:space="preserve">Memory net system sales, mm</t>
  </si>
  <si>
    <t xml:space="preserve">Total net system sales by end-use, mm</t>
  </si>
  <si>
    <t xml:space="preserve">Logic net system sales as % of total net system sales, %</t>
  </si>
  <si>
    <t xml:space="preserve">Memory net system sales as % of total net system sales, %</t>
  </si>
  <si>
    <t xml:space="preserve">Total net system sales by end-use, %</t>
  </si>
  <si>
    <t xml:space="preserve">Taiwan net system sales, mm</t>
  </si>
  <si>
    <t xml:space="preserve">South Korea net system sales, mm</t>
  </si>
  <si>
    <t xml:space="preserve">United States net system sales, mm</t>
  </si>
  <si>
    <t xml:space="preserve">EMEA net system sales, mm</t>
  </si>
  <si>
    <t xml:space="preserve">Rest of Asia net system sales, mm</t>
  </si>
  <si>
    <t xml:space="preserve">Japan net system sales, mm</t>
  </si>
  <si>
    <t xml:space="preserve">China net system sales, mm</t>
  </si>
  <si>
    <t xml:space="preserve">Singapore net system sales, mm</t>
  </si>
  <si>
    <t xml:space="preserve">Netherlands net system sales, mm</t>
  </si>
  <si>
    <t xml:space="preserve">Total net system sales by region, mm</t>
  </si>
  <si>
    <t xml:space="preserve">Taiwan net system sales as % of total net system sales, %</t>
  </si>
  <si>
    <t xml:space="preserve">South Korea net system sales as % of total net system sales, %</t>
  </si>
  <si>
    <t xml:space="preserve">United States net system sales as % of total net system sales, %</t>
  </si>
  <si>
    <t xml:space="preserve">EMEA net system sales as % of total net system sales, %</t>
  </si>
  <si>
    <t xml:space="preserve">Rest of Asia net system sales as % of total net system sales, %</t>
  </si>
  <si>
    <t xml:space="preserve">Japan net system sales as % of total net system sales, %</t>
  </si>
  <si>
    <t xml:space="preserve">China net system sales as % of total net system sales, %</t>
  </si>
  <si>
    <t xml:space="preserve">Singapore net system sales as % of total net system sales, %</t>
  </si>
  <si>
    <t xml:space="preserve">Netherlands net system sales as % of total net system sales, %</t>
  </si>
  <si>
    <t xml:space="preserve">Total net system sales by region, %</t>
  </si>
  <si>
    <t xml:space="preserve">Cumulative Installed base management sales, mm</t>
  </si>
  <si>
    <t xml:space="preserve">Cumulative Foundry sales, mm</t>
  </si>
  <si>
    <t xml:space="preserve">Cumulative IDM sales, mm</t>
  </si>
  <si>
    <t xml:space="preserve">Cumulative Total Logic sales, mm</t>
  </si>
  <si>
    <t xml:space="preserve">Cumulative Memory sales, mm</t>
  </si>
  <si>
    <t xml:space="preserve">Cumulative Total net sales, mm</t>
  </si>
  <si>
    <t xml:space="preserve">Installed base management sales, mm</t>
  </si>
  <si>
    <t xml:space="preserve">Foundry sales, mm</t>
  </si>
  <si>
    <t xml:space="preserve">IDM sales, mm</t>
  </si>
  <si>
    <t xml:space="preserve">Total Logic sales, mm</t>
  </si>
  <si>
    <t xml:space="preserve">Memory sales, mm</t>
  </si>
  <si>
    <t xml:space="preserve">Total net sales, mm</t>
  </si>
  <si>
    <t xml:space="preserve">Foundry revenue as a % of bookings, %</t>
  </si>
  <si>
    <t xml:space="preserve">IDM revenue as a % of bookings, %</t>
  </si>
  <si>
    <t xml:space="preserve">Total logic revenue as a % of bookings, %</t>
  </si>
  <si>
    <t xml:space="preserve">Total memory revenue as a % of bookings, %</t>
  </si>
  <si>
    <t xml:space="preserve">New systems, mm</t>
  </si>
  <si>
    <t xml:space="preserve">Used systems, mm</t>
  </si>
  <si>
    <t xml:space="preserve">Net system sales, mm</t>
  </si>
  <si>
    <t xml:space="preserve">Key Metrics - Units Sold (PR/IP)</t>
  </si>
  <si>
    <t xml:space="preserve">New lithography systems sold, # of units</t>
  </si>
  <si>
    <t xml:space="preserve">Used lithography systems sold, # of units</t>
  </si>
  <si>
    <t xml:space="preserve">Net lithography systems sold, # of units</t>
  </si>
  <si>
    <t xml:space="preserve">Logic Net system sales in units, # of units</t>
  </si>
  <si>
    <t xml:space="preserve">Memory Net system sales in units, # of units</t>
  </si>
  <si>
    <t xml:space="preserve">Total Net system sales in units, # of units</t>
  </si>
  <si>
    <t xml:space="preserve">Key Metrics - Bookings (PR/IP)</t>
  </si>
  <si>
    <t xml:space="preserve">New systems bookings, # of units</t>
  </si>
  <si>
    <t xml:space="preserve">Used systems bookings, # of units</t>
  </si>
  <si>
    <t xml:space="preserve">Net systems bookings, # of units</t>
  </si>
  <si>
    <t xml:space="preserve">Q/Q Net systems bookings growth, %</t>
  </si>
  <si>
    <t xml:space="preserve">Y/Y Net systems bookings growth, %</t>
  </si>
  <si>
    <t xml:space="preserve">LTM Net systems bookings, # of units</t>
  </si>
  <si>
    <t xml:space="preserve">New systems bookings, mm</t>
  </si>
  <si>
    <t xml:space="preserve">Used systems bookings, mm</t>
  </si>
  <si>
    <t xml:space="preserve">Net bookings, mm</t>
  </si>
  <si>
    <t xml:space="preserve">Y/Y Net bookings growth, %</t>
  </si>
  <si>
    <t xml:space="preserve">Revenue recognized as a % of bookings, %</t>
  </si>
  <si>
    <t xml:space="preserve">EUV Bookings, mm</t>
  </si>
  <si>
    <t xml:space="preserve">EUV Bookings as % of Net Bookings, %</t>
  </si>
  <si>
    <t xml:space="preserve">Foundry bookings, mm</t>
  </si>
  <si>
    <t xml:space="preserve">IDM bookings, mm</t>
  </si>
  <si>
    <t xml:space="preserve">Total Logic bookings, mm</t>
  </si>
  <si>
    <t xml:space="preserve">Memory bookings, mm</t>
  </si>
  <si>
    <t xml:space="preserve">Total bookings by end-use, mm</t>
  </si>
  <si>
    <t xml:space="preserve">Foundry bookings as % of total bookings, %</t>
  </si>
  <si>
    <t xml:space="preserve">IDM bookings as % of total bookings, %</t>
  </si>
  <si>
    <t xml:space="preserve">Total Logic bookings as % of total bookings, %</t>
  </si>
  <si>
    <t xml:space="preserve">Memory bookings as % of total bookings, %</t>
  </si>
  <si>
    <t xml:space="preserve">Total bookings by end-use, %</t>
  </si>
  <si>
    <t xml:space="preserve">Systems backlog, mm</t>
  </si>
  <si>
    <t xml:space="preserve">Remaining performance obligations (RPOs), mm</t>
  </si>
  <si>
    <t xml:space="preserve">Key Metrics - Geographic Breakdown (FS/IP)</t>
  </si>
  <si>
    <t xml:space="preserve">Japan revenues, mm</t>
  </si>
  <si>
    <t xml:space="preserve">Korea revenues, mm</t>
  </si>
  <si>
    <t xml:space="preserve">Singapore revenues, mm</t>
  </si>
  <si>
    <t xml:space="preserve">Taiwan revenues, mm</t>
  </si>
  <si>
    <t xml:space="preserve">China revenues, mm</t>
  </si>
  <si>
    <t xml:space="preserve">Rest of Asia revenues, mm</t>
  </si>
  <si>
    <t xml:space="preserve">Netherlands revenues, mm</t>
  </si>
  <si>
    <t xml:space="preserve">EMEA revenues, mm</t>
  </si>
  <si>
    <t xml:space="preserve">United States revenues, mm</t>
  </si>
  <si>
    <t xml:space="preserve">Total revenues by region, mm</t>
  </si>
  <si>
    <t xml:space="preserve">EMEA revenues (incl. NL), mm</t>
  </si>
  <si>
    <t xml:space="preserve">Japan revenues mix, %</t>
  </si>
  <si>
    <t xml:space="preserve">Korea revenues mix, %</t>
  </si>
  <si>
    <t xml:space="preserve">Singapore revenues mix, %</t>
  </si>
  <si>
    <t xml:space="preserve">Taiwan revenues mix, %</t>
  </si>
  <si>
    <t xml:space="preserve">China revenues mix, %</t>
  </si>
  <si>
    <t xml:space="preserve">Rest of Asia revenues mix, %</t>
  </si>
  <si>
    <t xml:space="preserve">Netherlands revenues mix, %</t>
  </si>
  <si>
    <t xml:space="preserve">EMEA revenues mix, %</t>
  </si>
  <si>
    <t xml:space="preserve">United States revenues mix, %</t>
  </si>
  <si>
    <t xml:space="preserve">Total revenues mix by region, %</t>
  </si>
  <si>
    <t xml:space="preserve">Japan Long-lived assets, mm</t>
  </si>
  <si>
    <t xml:space="preserve">Korea Long-lived assets, mm</t>
  </si>
  <si>
    <t xml:space="preserve">Singapore Long-lived assets, mm</t>
  </si>
  <si>
    <t xml:space="preserve">Taiwan Long-lived assets, mm</t>
  </si>
  <si>
    <t xml:space="preserve">China Long-lived assets, mm</t>
  </si>
  <si>
    <t xml:space="preserve">Rest of Asia Long-lived assets, mm</t>
  </si>
  <si>
    <t xml:space="preserve">Netherlands Long-lived assets, mm</t>
  </si>
  <si>
    <t xml:space="preserve">EMEA Long-lived assets, mm</t>
  </si>
  <si>
    <t xml:space="preserve">United States Long-lived assets, mm</t>
  </si>
  <si>
    <t xml:space="preserve">Total Long-lived assets, mm</t>
  </si>
  <si>
    <t xml:space="preserve">Key Metrics - Personnel Related Metrics (FS)</t>
  </si>
  <si>
    <t xml:space="preserve">Wages and salaries, mm</t>
  </si>
  <si>
    <t xml:space="preserve">Social security expenses, mm</t>
  </si>
  <si>
    <t xml:space="preserve">Pension and retirement expenses, mm</t>
  </si>
  <si>
    <t xml:space="preserve">Share-based payments, mm</t>
  </si>
  <si>
    <t xml:space="preserve">Total personnel expenses, mm</t>
  </si>
  <si>
    <t xml:space="preserve">Number of payroll employees, # of employees</t>
  </si>
  <si>
    <t xml:space="preserve">Number of temporary employees, # of employees</t>
  </si>
  <si>
    <t xml:space="preserve">Total employee count, # of employees</t>
  </si>
  <si>
    <t xml:space="preserve">Customer support employees, # of employees</t>
  </si>
  <si>
    <t xml:space="preserve">Manufacturing and supply chain management employees, # of employees</t>
  </si>
  <si>
    <t xml:space="preserve">Strategic supply management employees, # of employees</t>
  </si>
  <si>
    <t xml:space="preserve">General &amp; administrative employees, # of employees</t>
  </si>
  <si>
    <t xml:space="preserve">Sales and mature products and services employees, # of employees</t>
  </si>
  <si>
    <t xml:space="preserve">Research and development employees, # of employees</t>
  </si>
  <si>
    <t xml:space="preserve">Total employees, # of employees</t>
  </si>
  <si>
    <t xml:space="preserve">Temporary employees, # of employees</t>
  </si>
  <si>
    <t xml:space="preserve">Total payroll employees, # of employees</t>
  </si>
  <si>
    <t xml:space="preserve">Average Netherlands employees, # of employees</t>
  </si>
  <si>
    <t xml:space="preserve">Average worldwide (including Netherlands) employees, # of employees</t>
  </si>
  <si>
    <t xml:space="preserve">Key Metrics - Customer Concentration (FS)</t>
  </si>
  <si>
    <t xml:space="preserve">Sales to largest customer as a % of total net sales, %</t>
  </si>
  <si>
    <t xml:space="preserve">Sales to second largest customer as a % of total net sales, %</t>
  </si>
  <si>
    <t xml:space="preserve">Sales to two largest customers as a % of total net sales, %</t>
  </si>
  <si>
    <t xml:space="preserve">Margin Analysis</t>
  </si>
  <si>
    <t xml:space="preserve">COGS Margin (Excluding D&amp;A), %</t>
  </si>
  <si>
    <t xml:space="preserve">Gross Margin (Excluding D&amp;A), %</t>
  </si>
  <si>
    <t xml:space="preserve">COGS Margin, %</t>
  </si>
  <si>
    <t xml:space="preserve">Consensus Estimates - Gross Margin, %</t>
  </si>
  <si>
    <t xml:space="preserve">SG&amp;A Margin, %</t>
  </si>
  <si>
    <t xml:space="preserve">R&amp;D Margin, %</t>
  </si>
  <si>
    <t xml:space="preserve">Other Margin, %</t>
  </si>
  <si>
    <t xml:space="preserve">EBIT Margin, %</t>
  </si>
  <si>
    <t xml:space="preserve">Adjusted EBIT Margin (No Adjustments), %</t>
  </si>
  <si>
    <t xml:space="preserve">Consensus Estimates - Adjusted EBIT Margin, %</t>
  </si>
  <si>
    <t xml:space="preserve">Add back: D&amp;A Margin, %</t>
  </si>
  <si>
    <t xml:space="preserve">Add back: SBC Margin, %</t>
  </si>
  <si>
    <t xml:space="preserve">EBITDA Margin, %</t>
  </si>
  <si>
    <t xml:space="preserve">Adjusted EBITDA Margin (No Adjustments), %</t>
  </si>
  <si>
    <t xml:space="preserve">Consensus Estimates - Adjusted EBITDA Margin, %</t>
  </si>
  <si>
    <t xml:space="preserve">Income Statement - As Reported</t>
  </si>
  <si>
    <t xml:space="preserve">Net system sales</t>
  </si>
  <si>
    <t xml:space="preserve">Net service and field option sales</t>
  </si>
  <si>
    <t xml:space="preserve">Total net sales</t>
  </si>
  <si>
    <t xml:space="preserve">Cost of system sales</t>
  </si>
  <si>
    <t xml:space="preserve">Cost of service and field option sales</t>
  </si>
  <si>
    <t xml:space="preserve">Total cost of sales</t>
  </si>
  <si>
    <t xml:space="preserve">Gross profit</t>
  </si>
  <si>
    <t xml:space="preserve">Other income</t>
  </si>
  <si>
    <t xml:space="preserve">Research and development costs</t>
  </si>
  <si>
    <t xml:space="preserve">Selling, general and administrative costs</t>
  </si>
  <si>
    <t xml:space="preserve">Income from operations</t>
  </si>
  <si>
    <t xml:space="preserve">Interest expense</t>
  </si>
  <si>
    <t xml:space="preserve">Interest income and other</t>
  </si>
  <si>
    <t xml:space="preserve">Interest and other, net</t>
  </si>
  <si>
    <t xml:space="preserve">Income before income taxes</t>
  </si>
  <si>
    <t xml:space="preserve">Current income taxes</t>
  </si>
  <si>
    <t xml:space="preserve">Deferred income taxes</t>
  </si>
  <si>
    <t xml:space="preserve">Provision for income taxes</t>
  </si>
  <si>
    <t xml:space="preserve">Income after income taxes</t>
  </si>
  <si>
    <t xml:space="preserve">Profit (loss) related to equity method investments</t>
  </si>
  <si>
    <t xml:space="preserve">Net income</t>
  </si>
  <si>
    <t xml:space="preserve">IS Check</t>
  </si>
  <si>
    <t xml:space="preserve">Adjusted Numbers - As Reported</t>
  </si>
  <si>
    <t xml:space="preserve">CFO</t>
  </si>
  <si>
    <t xml:space="preserve">FCF</t>
  </si>
  <si>
    <t xml:space="preserve">Revised Income Statement</t>
  </si>
  <si>
    <t xml:space="preserve">Net Revenue</t>
  </si>
  <si>
    <t xml:space="preserve">COGS</t>
  </si>
  <si>
    <t xml:space="preserve">Gross Profit</t>
  </si>
  <si>
    <t xml:space="preserve">R&amp;D</t>
  </si>
  <si>
    <t xml:space="preserve">SG&amp;A</t>
  </si>
  <si>
    <t xml:space="preserve">Other</t>
  </si>
  <si>
    <t xml:space="preserve">Consensus Estimates - Adjusted EBIT</t>
  </si>
  <si>
    <t xml:space="preserve">Add back: D&amp;A</t>
  </si>
  <si>
    <t xml:space="preserve">Add back: SBC</t>
  </si>
  <si>
    <t xml:space="preserve">EBITDA</t>
  </si>
  <si>
    <t xml:space="preserve">Net interest expense</t>
  </si>
  <si>
    <t xml:space="preserve">Income from equity method investments</t>
  </si>
  <si>
    <t xml:space="preserve">Other items</t>
  </si>
  <si>
    <t xml:space="preserve">One-time item</t>
  </si>
  <si>
    <t xml:space="preserve">EBT</t>
  </si>
  <si>
    <t xml:space="preserve">Current tax</t>
  </si>
  <si>
    <t xml:space="preserve">Deferred tax</t>
  </si>
  <si>
    <t xml:space="preserve">Net Income from Continued Operation</t>
  </si>
  <si>
    <t xml:space="preserve">Discontinued Operations</t>
  </si>
  <si>
    <t xml:space="preserve">Net Income to NCI</t>
  </si>
  <si>
    <t xml:space="preserve">Earnings to Preferred and Other Securities</t>
  </si>
  <si>
    <t xml:space="preserve">Net Income to Common Shareholders</t>
  </si>
  <si>
    <t xml:space="preserve">Adjustments for Convertible Securities</t>
  </si>
  <si>
    <t xml:space="preserve">Diluted Net Income to Common Shareholders</t>
  </si>
  <si>
    <t xml:space="preserve">Non-GAAP Adjustments</t>
  </si>
  <si>
    <t xml:space="preserve">Non-GAAP Adjustments for Dilutive Securities</t>
  </si>
  <si>
    <t xml:space="preserve">Adjusted Net Income</t>
  </si>
  <si>
    <t xml:space="preserve">Current tax rate</t>
  </si>
  <si>
    <t xml:space="preserve">Deferred tax rate</t>
  </si>
  <si>
    <t xml:space="preserve">Earnings Per Share - WAB</t>
  </si>
  <si>
    <t xml:space="preserve">Earnings Per Share - WAD</t>
  </si>
  <si>
    <t xml:space="preserve">Adjusted Earnings Per Share - WAD (No Adjustments)</t>
  </si>
  <si>
    <t xml:space="preserve">Shares Outstanding - WAB</t>
  </si>
  <si>
    <t xml:space="preserve">Shares Outstanding - WAD</t>
  </si>
  <si>
    <t xml:space="preserve">Adjusted Shares Outstanding - WAD</t>
  </si>
  <si>
    <t xml:space="preserve">Share Count Analysis</t>
  </si>
  <si>
    <t xml:space="preserve">EoP Ordinary Shares Outstanding, mm shares</t>
  </si>
  <si>
    <t xml:space="preserve">Q/Q basic share expansion from dilutive securities, %</t>
  </si>
  <si>
    <t xml:space="preserve">Y/Y basic share expansion from dilutive securities, %</t>
  </si>
  <si>
    <t xml:space="preserve">Q/Q basic share expansion from share issuance (buyback), %</t>
  </si>
  <si>
    <t xml:space="preserve">Y/Y basic share expansion from share issuance (buyback), %</t>
  </si>
  <si>
    <t xml:space="preserve">Q/Q basic share expansion - EoP, %</t>
  </si>
  <si>
    <t xml:space="preserve">Y/Y basic share expansion - EoP, %</t>
  </si>
  <si>
    <t xml:space="preserve">Cover Page Ordinary Shares Outstanding, mm shares</t>
  </si>
  <si>
    <t xml:space="preserve">Date of Cover Page Share Count, date</t>
  </si>
  <si>
    <t xml:space="preserve">Dilutive Shares, mm shares</t>
  </si>
  <si>
    <t xml:space="preserve">Diluted share count to basic share count ratio, x</t>
  </si>
  <si>
    <t xml:space="preserve">EoP Total Diluted Ordinary Shares Outstanding, mm shares</t>
  </si>
  <si>
    <t xml:space="preserve">Cash Flow Summary</t>
  </si>
  <si>
    <t xml:space="preserve">Operating Cash Flow before WC</t>
  </si>
  <si>
    <t xml:space="preserve">Operating Cash Flow after WC</t>
  </si>
  <si>
    <t xml:space="preserve">Cash Flow Per Diluted Share before WC</t>
  </si>
  <si>
    <t xml:space="preserve">Cash Flow Per Diluted Share</t>
  </si>
  <si>
    <t xml:space="preserve">Consensus Estimates - Cash Flow Per Diluted Share</t>
  </si>
  <si>
    <t xml:space="preserve">Capex</t>
  </si>
  <si>
    <t xml:space="preserve">Acquisitions</t>
  </si>
  <si>
    <t xml:space="preserve">Divestiture</t>
  </si>
  <si>
    <t xml:space="preserve">Dividend Paid</t>
  </si>
  <si>
    <t xml:space="preserve">Dividend Per Share</t>
  </si>
  <si>
    <t xml:space="preserve">Net Debt Issuance (Repayment)</t>
  </si>
  <si>
    <t xml:space="preserve">Net Share Issuance (Buybacks)</t>
  </si>
  <si>
    <t xml:space="preserve">Estimated Share Price for Issuance/Buybacks, EUR</t>
  </si>
  <si>
    <t xml:space="preserve">SBC expense</t>
  </si>
  <si>
    <t xml:space="preserve">SBC expense as % of revenue, %</t>
  </si>
  <si>
    <t xml:space="preserve">FCF (before WC), Pre Div</t>
  </si>
  <si>
    <t xml:space="preserve">FCF (before WC), Post Div, Pre A/D</t>
  </si>
  <si>
    <t xml:space="preserve">FCF (before WC), Post Div, Post A/D</t>
  </si>
  <si>
    <t xml:space="preserve">FCF (before WC), Post Div, Debt, Buyback, A/D</t>
  </si>
  <si>
    <t xml:space="preserve">FCF, Pre Div</t>
  </si>
  <si>
    <t xml:space="preserve">FCF, Post Div, Pre A/D</t>
  </si>
  <si>
    <t xml:space="preserve">FCF, Post Div, Post A/D</t>
  </si>
  <si>
    <t xml:space="preserve">FCF, Post Div, Debt, Buyback, A/D</t>
  </si>
  <si>
    <t xml:space="preserve">Balance Sheet Summary</t>
  </si>
  <si>
    <t xml:space="preserve">Cash</t>
  </si>
  <si>
    <t xml:space="preserve">ST Debt</t>
  </si>
  <si>
    <t xml:space="preserve">LT Debt</t>
  </si>
  <si>
    <t xml:space="preserve">Debt</t>
  </si>
  <si>
    <t xml:space="preserve">Net Debt</t>
  </si>
  <si>
    <t xml:space="preserve">Interest Expense</t>
  </si>
  <si>
    <t xml:space="preserve">Effective Interest Rate on Debt</t>
  </si>
  <si>
    <t xml:space="preserve">Interest Income</t>
  </si>
  <si>
    <t xml:space="preserve">Effective Interest Rate on Cash</t>
  </si>
  <si>
    <t xml:space="preserve">Net Interest Expense (Income)</t>
  </si>
  <si>
    <t xml:space="preserve">Effective Net Interest Rate on Debt</t>
  </si>
  <si>
    <t xml:space="preserve">EBITDA / Net Interest Expense</t>
  </si>
  <si>
    <t xml:space="preserve">Net Debt / EBITDA</t>
  </si>
  <si>
    <t xml:space="preserve">Net Debt / Cash Flow</t>
  </si>
  <si>
    <t xml:space="preserve">Valuation</t>
  </si>
  <si>
    <t xml:space="preserve">EoP</t>
  </si>
  <si>
    <t xml:space="preserve">Enterprise Value Components</t>
  </si>
  <si>
    <t xml:space="preserve">Noncontrolling Interest</t>
  </si>
  <si>
    <t xml:space="preserve">Preferred Shares</t>
  </si>
  <si>
    <t xml:space="preserve">Other EV Components</t>
  </si>
  <si>
    <t xml:space="preserve">Cumulative Cash Flow Statement</t>
  </si>
  <si>
    <t xml:space="preserve">Depreciation and amortization</t>
  </si>
  <si>
    <t xml:space="preserve">Impairment</t>
  </si>
  <si>
    <t xml:space="preserve">Loss on disposal of property, plant and equipment</t>
  </si>
  <si>
    <t xml:space="preserve">Share-based payments</t>
  </si>
  <si>
    <t xml:space="preserve">Gain on sale of subsidiaries</t>
  </si>
  <si>
    <t xml:space="preserve">Allowance for doubtful receivables</t>
  </si>
  <si>
    <t xml:space="preserve">Allowance for obsolete inventory</t>
  </si>
  <si>
    <t xml:space="preserve">Equity method investments, net of income taxes</t>
  </si>
  <si>
    <t xml:space="preserve">CFO before WC</t>
  </si>
  <si>
    <t xml:space="preserve">Accounts receivable</t>
  </si>
  <si>
    <t xml:space="preserve">Finance receivables</t>
  </si>
  <si>
    <t xml:space="preserve">Inventories</t>
  </si>
  <si>
    <t xml:space="preserve">Other assets</t>
  </si>
  <si>
    <t xml:space="preserve">Accrued and other liabilities</t>
  </si>
  <si>
    <t xml:space="preserve">Accounts payable</t>
  </si>
  <si>
    <t xml:space="preserve">Contract assets and liabilities</t>
  </si>
  <si>
    <t xml:space="preserve">Current tax assets and liabilities</t>
  </si>
  <si>
    <t xml:space="preserve">Changes in assets and liabilities</t>
  </si>
  <si>
    <t xml:space="preserve">Net CFO</t>
  </si>
  <si>
    <t xml:space="preserve">CFI</t>
  </si>
  <si>
    <t xml:space="preserve">Purchase of property, plant and equipment</t>
  </si>
  <si>
    <t xml:space="preserve">Purchase of intangible assets</t>
  </si>
  <si>
    <t xml:space="preserve">Purchase of short-term investments</t>
  </si>
  <si>
    <t xml:space="preserve">Maturity of short-term investments</t>
  </si>
  <si>
    <t xml:space="preserve">Cash from (used for) derivative financial instruments</t>
  </si>
  <si>
    <t xml:space="preserve">Loans issued and other investments</t>
  </si>
  <si>
    <t xml:space="preserve">Repayment on loans</t>
  </si>
  <si>
    <t xml:space="preserve">Acquisition of equity method investments</t>
  </si>
  <si>
    <t xml:space="preserve">Dividend income from equity method investments</t>
  </si>
  <si>
    <t xml:space="preserve">Proceeds from sale of property, plant and equipment</t>
  </si>
  <si>
    <t xml:space="preserve">Acquisition of subsidiaries (net of cash acquired)</t>
  </si>
  <si>
    <t xml:space="preserve">Net CFI</t>
  </si>
  <si>
    <t xml:space="preserve">CFF</t>
  </si>
  <si>
    <t xml:space="preserve">Dividend paid</t>
  </si>
  <si>
    <t xml:space="preserve">Purchase of treasury shares</t>
  </si>
  <si>
    <t xml:space="preserve">Net proceeds from issuance of shares</t>
  </si>
  <si>
    <t xml:space="preserve">Net proceeds from issuance of notes</t>
  </si>
  <si>
    <t xml:space="preserve">Capital repayment</t>
  </si>
  <si>
    <t xml:space="preserve">Repurchase of notes</t>
  </si>
  <si>
    <t xml:space="preserve">Deposits from customers</t>
  </si>
  <si>
    <t xml:space="preserve">Repayment of debt</t>
  </si>
  <si>
    <t xml:space="preserve">Tax benefit (deficit) from share-based payments</t>
  </si>
  <si>
    <t xml:space="preserve">Net CFF</t>
  </si>
  <si>
    <t xml:space="preserve">FX</t>
  </si>
  <si>
    <t xml:space="preserve">Net Change in Cash Balance</t>
  </si>
  <si>
    <t xml:space="preserve">Beginning Cash Balance</t>
  </si>
  <si>
    <t xml:space="preserve">Ending Cash Balance</t>
  </si>
  <si>
    <t xml:space="preserve">Cash Flow Statement</t>
  </si>
  <si>
    <t xml:space="preserve">CF Check</t>
  </si>
  <si>
    <t xml:space="preserve">D&amp;A Forecasting</t>
  </si>
  <si>
    <t xml:space="preserve">PP&amp;E BoP, mm</t>
  </si>
  <si>
    <t xml:space="preserve">Depreciation of fixed assets, mm</t>
  </si>
  <si>
    <t xml:space="preserve">Capex of PP&amp;E, mm</t>
  </si>
  <si>
    <t xml:space="preserve">Other net additions to PP&amp;E, mm</t>
  </si>
  <si>
    <t xml:space="preserve">PP&amp;E EoP, mm</t>
  </si>
  <si>
    <t xml:space="preserve">Intangibles BoP, mm</t>
  </si>
  <si>
    <t xml:space="preserve">Capex of intangibles, mm</t>
  </si>
  <si>
    <t xml:space="preserve">Other net additions to intangibles, mm</t>
  </si>
  <si>
    <t xml:space="preserve">Intangibles EoP, mm</t>
  </si>
  <si>
    <t xml:space="preserve">Depreciation as percentage of PP&amp;E BoP, %</t>
  </si>
  <si>
    <t xml:space="preserve">Amortization as percentage of Intangibles BoP, %</t>
  </si>
  <si>
    <t xml:space="preserve">Implied life of fixed assets, yr</t>
  </si>
  <si>
    <t xml:space="preserve">Implied life of intangibles, yr</t>
  </si>
  <si>
    <t xml:space="preserve">Total Capex, mm</t>
  </si>
  <si>
    <t xml:space="preserve">Percentage of capex allocated to intangible assets, %</t>
  </si>
  <si>
    <t xml:space="preserve">Working Capital Forecasting</t>
  </si>
  <si>
    <t xml:space="preserve">Accounts receivable, net, % of LTM Sales</t>
  </si>
  <si>
    <t xml:space="preserve">Finance receivables, net, % of LTM Sales</t>
  </si>
  <si>
    <t xml:space="preserve">Inventories, net, % of LTM Sales</t>
  </si>
  <si>
    <t xml:space="preserve">Other assets, % of LTM Sales</t>
  </si>
  <si>
    <t xml:space="preserve">Accrued and other liabilities, % of LTM Sales</t>
  </si>
  <si>
    <t xml:space="preserve">Accounts payable, % of LTM Sales</t>
  </si>
  <si>
    <t xml:space="preserve">Contract liabilities, current, % of LTM Sales</t>
  </si>
  <si>
    <t xml:space="preserve">Current tax liabilities, % of LTM Sales</t>
  </si>
  <si>
    <t xml:space="preserve">Accounts receivable, net, Y/Y Change, %</t>
  </si>
  <si>
    <t xml:space="preserve">Finance receivables, net, Y/Y Change, %</t>
  </si>
  <si>
    <t xml:space="preserve">Inventories, net, Y/Y Change, %</t>
  </si>
  <si>
    <t xml:space="preserve">Other assets, Y/Y Change, %</t>
  </si>
  <si>
    <t xml:space="preserve">Accrued and other liabilities, Y/Y Change, %</t>
  </si>
  <si>
    <t xml:space="preserve">Accounts payable, Y/Y Change, %</t>
  </si>
  <si>
    <t xml:space="preserve">Contract liabilities, current, Y/Y Change, %</t>
  </si>
  <si>
    <t xml:space="preserve">Current tax liabilities, Y/Y Change, %</t>
  </si>
  <si>
    <t xml:space="preserve">Balance Sheet</t>
  </si>
  <si>
    <t xml:space="preserve">Current Assets</t>
  </si>
  <si>
    <t xml:space="preserve">Cash and cash equivalents</t>
  </si>
  <si>
    <t xml:space="preserve">Short-term investments</t>
  </si>
  <si>
    <t xml:space="preserve">Accounts receivable, net</t>
  </si>
  <si>
    <t xml:space="preserve">Finance receivables, net</t>
  </si>
  <si>
    <t xml:space="preserve">Total Accounts Receivable</t>
  </si>
  <si>
    <t xml:space="preserve">Current tax assets</t>
  </si>
  <si>
    <t xml:space="preserve">Inventories, net</t>
  </si>
  <si>
    <t xml:space="preserve">Deferred tax assets</t>
  </si>
  <si>
    <t xml:space="preserve">Contract assets</t>
  </si>
  <si>
    <t xml:space="preserve">Loans receivable</t>
  </si>
  <si>
    <t xml:space="preserve">Held for sale assets</t>
  </si>
  <si>
    <t xml:space="preserve">Total Current Assets</t>
  </si>
  <si>
    <t xml:space="preserve">Non-Current Assets</t>
  </si>
  <si>
    <t xml:space="preserve">Loan receivable</t>
  </si>
  <si>
    <t xml:space="preserve">Equity method investments</t>
  </si>
  <si>
    <t xml:space="preserve">Equity investments</t>
  </si>
  <si>
    <t xml:space="preserve">Goodwill</t>
  </si>
  <si>
    <t xml:space="preserve">Other intangible assets, net</t>
  </si>
  <si>
    <t xml:space="preserve">Property, plant and equipment, net</t>
  </si>
  <si>
    <t xml:space="preserve">Right-of-use assets (Operating)</t>
  </si>
  <si>
    <t xml:space="preserve">Right-of-use assets (Finance)</t>
  </si>
  <si>
    <t xml:space="preserve">Total Right-of-use assets</t>
  </si>
  <si>
    <t xml:space="preserve">Total Non-Current Assets</t>
  </si>
  <si>
    <t xml:space="preserve">Total Assets</t>
  </si>
  <si>
    <t xml:space="preserve">Current Liabilities</t>
  </si>
  <si>
    <t xml:space="preserve">Current tax liabilities</t>
  </si>
  <si>
    <t xml:space="preserve">Current portion of long-term debt</t>
  </si>
  <si>
    <t xml:space="preserve">Contract liabilities, current</t>
  </si>
  <si>
    <t xml:space="preserve">Provisions</t>
  </si>
  <si>
    <t xml:space="preserve">Deferred tax liabilities</t>
  </si>
  <si>
    <t xml:space="preserve">Held for sale liabilities</t>
  </si>
  <si>
    <t xml:space="preserve">Total Current Liabilities</t>
  </si>
  <si>
    <t xml:space="preserve">Non-Current Liabilities</t>
  </si>
  <si>
    <t xml:space="preserve">Long-term debt</t>
  </si>
  <si>
    <t xml:space="preserve">Deferred and other tax liabilities</t>
  </si>
  <si>
    <t xml:space="preserve">Contract liabilities</t>
  </si>
  <si>
    <t xml:space="preserve">Total Non-Current liabilities</t>
  </si>
  <si>
    <t xml:space="preserve">Total Liabilities</t>
  </si>
  <si>
    <t xml:space="preserve">Shareholders' Equity</t>
  </si>
  <si>
    <t xml:space="preserve">Issued and outstanding shares</t>
  </si>
  <si>
    <t xml:space="preserve">Share premium</t>
  </si>
  <si>
    <t xml:space="preserve">Treasury shares at cost</t>
  </si>
  <si>
    <t xml:space="preserve">Retained earnings</t>
  </si>
  <si>
    <t xml:space="preserve">Accumulated other comprehensive income</t>
  </si>
  <si>
    <t xml:space="preserve">Total SE</t>
  </si>
  <si>
    <t xml:space="preserve">NCI</t>
  </si>
  <si>
    <t xml:space="preserve">Total Liabilities &amp; SE</t>
  </si>
  <si>
    <t xml:space="preserve">BS Check</t>
  </si>
  <si>
    <t xml:space="preserve">Model Checks</t>
  </si>
  <si>
    <t xml:space="preserve">Net Income on Revised IS = NI on CF statement</t>
  </si>
  <si>
    <t xml:space="preserve">Net Income on Reported IS = NI on Revised</t>
  </si>
  <si>
    <t xml:space="preserve">Cash is Positive</t>
  </si>
  <si>
    <t xml:space="preserve">Debt is Positive</t>
  </si>
  <si>
    <t xml:space="preserve">Segmented Revenue = Revenue</t>
  </si>
  <si>
    <t xml:space="preserve">EBIT in OPEX = EBIT in ISAR</t>
  </si>
  <si>
    <t xml:space="preserve">Cash Flow is not Repeated</t>
  </si>
  <si>
    <t xml:space="preserve">Income Statement is not Repeated</t>
  </si>
  <si>
    <t xml:space="preserve">Balance Sheet is not Repeated</t>
  </si>
  <si>
    <t xml:space="preserve">Ending CF = Ending Cumulative CF</t>
  </si>
  <si>
    <t xml:space="preserve">Capex is Updated</t>
  </si>
  <si>
    <t xml:space="preserve">Margin is Updated</t>
  </si>
  <si>
    <t xml:space="preserve">Adjusted Numbers FY = Sum of Qs</t>
  </si>
  <si>
    <t xml:space="preserve">*Cash Flow Summary Signs are Correct</t>
  </si>
  <si>
    <t xml:space="preserve">*RIS NI FY = Sum of Qs</t>
  </si>
  <si>
    <t xml:space="preserve">*RIS Adjusted NI FY = Sum of Qs</t>
  </si>
  <si>
    <t xml:space="preserve">*CFO Before WC subtotal FY = Sum of Qs</t>
  </si>
  <si>
    <t xml:space="preserve">*CFO subtotal FY = Sum of Qs</t>
  </si>
  <si>
    <t xml:space="preserve">*CFI subtotal FY = Sum of Qs</t>
  </si>
  <si>
    <t xml:space="preserve">*CFF subtotal FY = Sum of Qs</t>
  </si>
  <si>
    <t xml:space="preserve">*CF Summary FY = Sum of Qs</t>
  </si>
  <si>
    <t xml:space="preserve">Other Tables</t>
  </si>
  <si>
    <t xml:space="preserve">Ticker Symbol</t>
  </si>
  <si>
    <t xml:space="preserve">ASML_NL</t>
  </si>
  <si>
    <t xml:space="preserve">ASML NA</t>
  </si>
  <si>
    <t xml:space="preserve">EN:ASML</t>
  </si>
  <si>
    <t xml:space="preserve">ASML-NL</t>
  </si>
  <si>
    <t xml:space="preserve">ASML.AS</t>
  </si>
  <si>
    <t xml:space="preserve">Valuation Toggle Table</t>
  </si>
  <si>
    <t xml:space="preserve">High</t>
  </si>
  <si>
    <t xml:space="preserve">Low</t>
  </si>
  <si>
    <t xml:space="preserve">Avg</t>
  </si>
  <si>
    <t xml:space="preserve">Key Outputs</t>
  </si>
  <si>
    <t xml:space="preserve">KPI Data</t>
  </si>
  <si>
    <t xml:space="preserve">MO_RIS_REV</t>
  </si>
  <si>
    <t xml:space="preserve">MO_RIS_NI_NONGAAP_Diluted</t>
  </si>
  <si>
    <t xml:space="preserve">MO_RIS_EPS_WAD_Adj</t>
  </si>
  <si>
    <t xml:space="preserve">MO_RIS_EBITDA_Adj</t>
  </si>
  <si>
    <t xml:space="preserve">MO_MA_EBITDA_Adj</t>
  </si>
  <si>
    <t xml:space="preserve">MO_OS_EmployeeCount</t>
  </si>
  <si>
    <t xml:space="preserve">MO_KPI_REV_Systems</t>
  </si>
  <si>
    <t xml:space="preserve">MO_KPI_REV_SVCandSpares</t>
  </si>
  <si>
    <t xml:space="preserve">MO_KPI_REV_Semi_Equipment</t>
  </si>
  <si>
    <t xml:space="preserve">MO_KPI_Backlog_EOP</t>
  </si>
  <si>
    <t xml:space="preserve">MO_KPI_RPO</t>
  </si>
  <si>
    <t xml:space="preserve">MO_KPI_Orders_Value</t>
  </si>
  <si>
    <t xml:space="preserve">MO_KPI_RevenueContribution_LargestClient</t>
  </si>
  <si>
    <t xml:space="preserve">MO_KPI_RevenueContribution_SecondLargestClient</t>
  </si>
  <si>
    <t xml:space="preserve">MO_KPI_REV_Geo_US</t>
  </si>
  <si>
    <t xml:space="preserve">MO_KPI_REV_Geo_Taiwan</t>
  </si>
  <si>
    <t xml:space="preserve">MO_KPI_REV_Geo_China</t>
  </si>
  <si>
    <t xml:space="preserve">MO_KPI_REV_Geo_Japan</t>
  </si>
  <si>
    <t xml:space="preserve">MO_KPI_REV_Geo_Singapore</t>
  </si>
  <si>
    <t xml:space="preserve">MO_KPI_REV_Geo_Malaysia</t>
  </si>
  <si>
    <t xml:space="preserve">MO_KPI_REV_Geo_SouthKorea</t>
  </si>
  <si>
    <t xml:space="preserve">MO_KPI_REV_Geo_Europe</t>
  </si>
  <si>
    <t xml:space="preserve">Quarterly Guidance Table</t>
  </si>
  <si>
    <t xml:space="preserve">Reporting Date</t>
  </si>
  <si>
    <t xml:space="preserve">Applicable Period</t>
  </si>
  <si>
    <t xml:space="preserve">Annual Guidance Table</t>
  </si>
  <si>
    <t xml:space="preserve">Is Latest</t>
  </si>
  <si>
    <t xml:space="preserve">Consensus Estimate Table</t>
  </si>
  <si>
    <t xml:space="preserve">FY or FQ</t>
  </si>
  <si>
    <t xml:space="preserve">Stock Price Table</t>
  </si>
  <si>
    <t xml:space="preserve">Fiscal Period Start Date</t>
  </si>
  <si>
    <t xml:space="preserve">Is Historical Period</t>
  </si>
  <si>
    <t xml:space="preserve">Real-Time Off Source</t>
  </si>
  <si>
    <t xml:space="preserve">Capital IQ</t>
  </si>
  <si>
    <t xml:space="preserve">FactSet</t>
  </si>
  <si>
    <t xml:space="preserve">Refinitiv</t>
  </si>
  <si>
    <t xml:space="preserve">Last Working Day In Period</t>
  </si>
  <si>
    <t xml:space="preserve">Stock Price EoP</t>
  </si>
  <si>
    <t xml:space="preserve">FX EoP</t>
  </si>
  <si>
    <t xml:space="preserve">General Table</t>
  </si>
  <si>
    <t xml:space="preserve">Last Price</t>
  </si>
  <si>
    <t xml:space="preserve">Last Price Date</t>
  </si>
  <si>
    <t xml:space="preserve">Real-Time Stock Price</t>
  </si>
  <si>
    <t xml:space="preserve">Last Price Formula</t>
  </si>
  <si>
    <t xml:space="preserve">Apply Trade Currency Scaling</t>
  </si>
  <si>
    <t xml:space="preserve">Trade Currency</t>
  </si>
  <si>
    <t xml:space="preserve">Trade Currency Hardcoded</t>
  </si>
  <si>
    <t xml:space="preserve">EUR</t>
  </si>
  <si>
    <t xml:space="preserve">Model Sheet Currency Hardcoded</t>
  </si>
  <si>
    <t xml:space="preserve">Most Recent FX</t>
  </si>
  <si>
    <t xml:space="preserve">Most Recent FX Hardcoded</t>
  </si>
  <si>
    <t xml:space="preserve">MRFP Column Number</t>
  </si>
  <si>
    <t xml:space="preserve">Most Recent Fiscal Period (MRFP)</t>
  </si>
  <si>
    <t xml:space="preserve">Current Fiscal Year</t>
  </si>
  <si>
    <t xml:space="preserve">First Forecast Fiscal Year</t>
  </si>
  <si>
    <t xml:space="preserve">KPI Count</t>
  </si>
  <si>
    <t xml:space="preserve">Data Source Index</t>
  </si>
  <si>
    <t xml:space="preserve">Tegus</t>
  </si>
  <si>
    <t xml:space="preserve">Most Recent Period:</t>
  </si>
  <si>
    <t xml:space="preserve">Guidance</t>
  </si>
  <si>
    <t xml:space="preserve">Model</t>
  </si>
  <si>
    <t xml:space="preserve">Difference vs. Mid</t>
  </si>
  <si>
    <t xml:space="preserve">Update Log</t>
  </si>
  <si>
    <t xml:space="preserve">Type</t>
  </si>
  <si>
    <t xml:space="preserve">Item</t>
  </si>
  <si>
    <t xml:space="preserve">Item Name</t>
  </si>
  <si>
    <t xml:space="preserve">Fiscal Period</t>
  </si>
  <si>
    <t xml:space="preserve">Base Period</t>
  </si>
  <si>
    <t xml:space="preserve">Mid</t>
  </si>
  <si>
    <t xml:space="preserve">Output</t>
  </si>
  <si>
    <t xml:space="preserve">Absolute</t>
  </si>
  <si>
    <t xml:space="preserve">Relative</t>
  </si>
  <si>
    <t xml:space="preserve">Date</t>
  </si>
  <si>
    <t xml:space="preserve">Link</t>
  </si>
  <si>
    <t xml:space="preserve">Investor Presentation</t>
  </si>
  <si>
    <t xml:space="preserve">MO_MA_GM</t>
  </si>
  <si>
    <t xml:space="preserve">Effective tax rate</t>
  </si>
  <si>
    <t xml:space="preserve">Q1-2026</t>
  </si>
  <si>
    <t xml:space="preserve">Installed Base Management sales</t>
  </si>
  <si>
    <t xml:space="preserve">z_I9KH3H0125_MO_OS_Netserviceandfieldoptionsales</t>
  </si>
  <si>
    <t xml:space="preserve">R&amp;D Expense</t>
  </si>
  <si>
    <t xml:space="preserve">MO_RIS_RD</t>
  </si>
  <si>
    <t xml:space="preserve">MO_RIS_SGA</t>
  </si>
  <si>
    <t xml:space="preserve">Q4-2025</t>
  </si>
  <si>
    <t xml:space="preserve">Q3-2025</t>
  </si>
  <si>
    <t xml:space="preserve">Q2-2025</t>
  </si>
  <si>
    <t xml:space="preserve">Q1-2025</t>
  </si>
  <si>
    <t xml:space="preserve">Q4-2024</t>
  </si>
  <si>
    <t xml:space="preserve">MO_GA_TotalRevenue</t>
  </si>
  <si>
    <t xml:space="preserve">Q3-2024</t>
  </si>
  <si>
    <t xml:space="preserve">Q2-2024</t>
  </si>
  <si>
    <t xml:space="preserve">Q1-2024</t>
  </si>
  <si>
    <t xml:space="preserve">FY2023</t>
  </si>
  <si>
    <t xml:space="preserve">Q4-2023</t>
  </si>
  <si>
    <t xml:space="preserve">Q3-2023</t>
  </si>
  <si>
    <t xml:space="preserve">Q2-2023</t>
  </si>
  <si>
    <t xml:space="preserve">Q1-2023</t>
  </si>
  <si>
    <t xml:space="preserve">FY2022</t>
  </si>
  <si>
    <t xml:space="preserve">Q4-2022</t>
  </si>
  <si>
    <t xml:space="preserve">Q3-2022</t>
  </si>
  <si>
    <t xml:space="preserve">Q2-2022</t>
  </si>
  <si>
    <t xml:space="preserve">Q1-2022</t>
  </si>
  <si>
    <t xml:space="preserve">FY2021</t>
  </si>
  <si>
    <t xml:space="preserve">Q4-2021</t>
  </si>
  <si>
    <t xml:space="preserve">Q3-2021</t>
  </si>
  <si>
    <t xml:space="preserve">Q2-2021</t>
  </si>
  <si>
    <t xml:space="preserve">Q1-2021</t>
  </si>
  <si>
    <t xml:space="preserve">FY2020</t>
  </si>
  <si>
    <t xml:space="preserve">Q4-2020</t>
  </si>
  <si>
    <t xml:space="preserve">Q3-2020</t>
  </si>
  <si>
    <t xml:space="preserve">Q1-2020</t>
  </si>
  <si>
    <t xml:space="preserve">Press Release</t>
  </si>
  <si>
    <t xml:space="preserve">z_I9KH3H0125_MO_OS_EUVsales_1</t>
  </si>
  <si>
    <t xml:space="preserve">Conference Call</t>
  </si>
  <si>
    <t xml:space="preserve">z_I9KH3H0125_MO_OS_EUVsales</t>
  </si>
  <si>
    <t xml:space="preserve">FY2019</t>
  </si>
  <si>
    <t xml:space="preserve">Q4-2019</t>
  </si>
  <si>
    <t xml:space="preserve">https://www.asml.com/-/media/asml/files/investors/financial-results/q-results/2019/q2/2019-07-17-q2-presentation.pdf</t>
  </si>
  <si>
    <t xml:space="preserve">Q3-2019</t>
  </si>
  <si>
    <t xml:space="preserve">Transcript</t>
  </si>
  <si>
    <t xml:space="preserve">Q2-2019</t>
  </si>
  <si>
    <t xml:space="preserve">Q1-2019</t>
  </si>
  <si>
    <t xml:space="preserve">FY2018</t>
  </si>
  <si>
    <t xml:space="preserve">Q4-2018</t>
  </si>
  <si>
    <t xml:space="preserve">Q3-2018</t>
  </si>
  <si>
    <t xml:space="preserve">Q2-2018</t>
  </si>
  <si>
    <t xml:space="preserve">Reports</t>
  </si>
  <si>
    <t xml:space="preserve">Capitalization Summary</t>
  </si>
  <si>
    <t xml:space="preserve">Company-Specific Operational Data</t>
  </si>
  <si>
    <t xml:space="preserve">GAAP Financials</t>
  </si>
  <si>
    <t xml:space="preserve">Tax</t>
  </si>
  <si>
    <t xml:space="preserve">Non-GAAP Financials</t>
  </si>
  <si>
    <t xml:space="preserve">Cash Flow Analysis</t>
  </si>
  <si>
    <t xml:space="preserve">Change in WC</t>
  </si>
  <si>
    <t xml:space="preserve">Core FCF, Pre Div</t>
  </si>
  <si>
    <t xml:space="preserve">Core FCF, Post Div</t>
  </si>
  <si>
    <t xml:space="preserve">New Equity Issuance</t>
  </si>
  <si>
    <t xml:space="preserve">New Debt Issuance</t>
  </si>
  <si>
    <t xml:space="preserve">Other Items</t>
  </si>
  <si>
    <t xml:space="preserve">Change in Cash Position</t>
  </si>
  <si>
    <t xml:space="preserve">Operating Cash Flow Per Share</t>
  </si>
  <si>
    <t xml:space="preserve">Core Free Cash Flow Per Share, Pre Div</t>
  </si>
  <si>
    <t xml:space="preserve">Dividend Payout Ratio vs Core FCF, Pre Div</t>
  </si>
  <si>
    <t xml:space="preserve">Dividend Payout Ratio vs Earnings Per Share</t>
  </si>
  <si>
    <t xml:space="preserve">Balance Sheet Ratios</t>
  </si>
  <si>
    <t xml:space="preserve">Net Debt / Capital</t>
  </si>
  <si>
    <t xml:space="preserve">LTM EBITDA</t>
  </si>
  <si>
    <t xml:space="preserve">LTM Cash Flow</t>
  </si>
  <si>
    <t xml:space="preserve">Profitability Ratios</t>
  </si>
  <si>
    <t xml:space="preserve">Net Income</t>
  </si>
  <si>
    <t xml:space="preserve">LTM Net Income</t>
  </si>
  <si>
    <t xml:space="preserve">Shareholder's Equity</t>
  </si>
  <si>
    <t xml:space="preserve">Average Shareholder's Equity</t>
  </si>
  <si>
    <t xml:space="preserve">ROE</t>
  </si>
  <si>
    <t xml:space="preserve">LTM Net Operating Profit</t>
  </si>
  <si>
    <t xml:space="preserve">Average Total Assets</t>
  </si>
  <si>
    <t xml:space="preserve">After-tax ROA</t>
  </si>
  <si>
    <t xml:space="preserve">Total Debt</t>
  </si>
  <si>
    <t xml:space="preserve">Average Book Value of Debt</t>
  </si>
  <si>
    <t xml:space="preserve">Average Invested Capital</t>
  </si>
  <si>
    <t xml:space="preserve">ROIC</t>
  </si>
  <si>
    <t xml:space="preserve">LTM EBIT</t>
  </si>
  <si>
    <t xml:space="preserve">Average Current Liabilities</t>
  </si>
  <si>
    <t xml:space="preserve">Average Capital Employed</t>
  </si>
  <si>
    <t xml:space="preserve">ROCE</t>
  </si>
  <si>
    <t xml:space="preserve">Per-Share Growth Metrics</t>
  </si>
  <si>
    <t xml:space="preserve">Revenue Per Share Growth</t>
  </si>
  <si>
    <t xml:space="preserve">Adj. EBITDA Per Share Growth</t>
  </si>
  <si>
    <t xml:space="preserve">Adj. Earnings Per Share Growth</t>
  </si>
  <si>
    <t xml:space="preserve">Operating Cash Flow Per Share Growth</t>
  </si>
  <si>
    <t xml:space="preserve">Free Cash Flow Per Share Growth</t>
  </si>
  <si>
    <t xml:space="preserve">Valuation Metrics</t>
  </si>
  <si>
    <t xml:space="preserve">Check</t>
  </si>
  <si>
    <t xml:space="preserve">Adjusted EBITDA</t>
  </si>
  <si>
    <t xml:space="preserve">Adjusted EBIT</t>
  </si>
  <si>
    <t xml:space="preserve">Non GAAP NI</t>
  </si>
  <si>
    <t xml:space="preserve">GAAP NI</t>
  </si>
  <si>
    <t xml:space="preserve">Change in Cash Summary = Change in Cash Model</t>
  </si>
  <si>
    <t xml:space="preserve">Update Date</t>
  </si>
  <si>
    <t xml:space="preserve">Updated By (Initials)</t>
  </si>
  <si>
    <t xml:space="preserve">Update Type</t>
  </si>
  <si>
    <t xml:space="preserve">Most Recent Period</t>
  </si>
  <si>
    <t xml:space="preserve">Special Comments</t>
  </si>
  <si>
    <t xml:space="preserve">Link to Press Release / News Item</t>
  </si>
  <si>
    <t xml:space="preserve">ALT</t>
  </si>
  <si>
    <t xml:space="preserve">Initial (Press Release)</t>
  </si>
  <si>
    <t xml:space="preserve">Earnings Press Release</t>
  </si>
  <si>
    <t xml:space="preserve">BL</t>
  </si>
  <si>
    <t xml:space="preserve">Quarterly (Earnings Report)</t>
  </si>
  <si>
    <t xml:space="preserve">TP</t>
  </si>
  <si>
    <t xml:space="preserve">AN</t>
  </si>
  <si>
    <t xml:space="preserve">AR</t>
  </si>
  <si>
    <t xml:space="preserve">Annual (Earnings Report)</t>
  </si>
  <si>
    <t xml:space="preserve">AW</t>
  </si>
  <si>
    <t xml:space="preserve">CZ</t>
  </si>
  <si>
    <t xml:space="preserve">DY</t>
  </si>
  <si>
    <t xml:space="preserve">HS</t>
  </si>
  <si>
    <t xml:space="preserve">AK</t>
  </si>
  <si>
    <t xml:space="preserve">SK</t>
  </si>
  <si>
    <t xml:space="preserve">AP</t>
  </si>
  <si>
    <t xml:space="preserve">KZZH</t>
  </si>
  <si>
    <t xml:space="preserve">Q2-2020</t>
  </si>
  <si>
    <t xml:space="preserve">AW HS</t>
  </si>
  <si>
    <t xml:space="preserve">WC</t>
  </si>
  <si>
    <t xml:space="preserve">AH</t>
  </si>
  <si>
    <t xml:space="preserve">JK</t>
  </si>
  <si>
    <t xml:space="preserve">PR Update</t>
  </si>
  <si>
    <t xml:space="preserve">RL</t>
  </si>
  <si>
    <t xml:space="preserve">WC Project</t>
  </si>
  <si>
    <t xml:space="preserve">LZ FL</t>
  </si>
  <si>
    <t xml:space="preserve">EN</t>
  </si>
  <si>
    <t xml:space="preserve">AB</t>
  </si>
  <si>
    <t xml:space="preserve">New Build</t>
  </si>
  <si>
    <t xml:space="preserve">Q1-2018</t>
  </si>
</sst>
</file>

<file path=xl/styles.xml><?xml version="1.0" encoding="utf-8"?>
<styleSheet xmlns="http://schemas.openxmlformats.org/spreadsheetml/2006/main">
  <numFmts count="43">
    <numFmt numFmtId="164" formatCode="General"/>
    <numFmt numFmtId="165" formatCode="_(* #,##0.00_);_(* \(#,##0.00\);_(* \-??_);_(@_)"/>
    <numFmt numFmtId="166" formatCode="_(* #,##0_);_(* \(#,##0\);_(* \-_);_(@_)"/>
    <numFmt numFmtId="167" formatCode="_(\$* #,##0.00_);_(\$* \(#,##0.00\);_(\$* \-??_);_(@_)"/>
    <numFmt numFmtId="168" formatCode="_(\$* #,##0_);_(\$* \(#,##0\);_(\$* \-_);_(@_)"/>
    <numFmt numFmtId="169" formatCode="0%"/>
    <numFmt numFmtId="170" formatCode="m/d/yyyy"/>
    <numFmt numFmtId="171" formatCode="0"/>
    <numFmt numFmtId="172" formatCode="yyyy\-mm\-dd"/>
    <numFmt numFmtId="173" formatCode="_(\€* #,##0.00_);_(\€* \(#,##0.00\);_(\€* &quot; - &quot;??_);_(@_)"/>
    <numFmt numFmtId="174" formatCode="_(* #,##0.0_);_(* \(#,##0.0\);_(* \-??_);_(@_)"/>
    <numFmt numFmtId="175" formatCode="_(* 0.0%_);_(* \-0.0%_);_(* \-??_);_(@_)"/>
    <numFmt numFmtId="176" formatCode="_(* #,##0_);_(* \(#,##0\);_(* \-??_);_(@_)"/>
    <numFmt numFmtId="177" formatCode="_(* 0%_);_(* \-0%_);_(* \-??_);_(@_)"/>
    <numFmt numFmtId="178" formatCode="0.0%"/>
    <numFmt numFmtId="179" formatCode="_(* #,##0.0_);_(* \(#,##0.0\);_(* \-??_);_(&quot;Ticker :   &quot;@_)"/>
    <numFmt numFmtId="180" formatCode="_(* #,##0.0_);_(* \(#,##0.0\);_(* \-??_);@"/>
    <numFmt numFmtId="181" formatCode=";;;"/>
    <numFmt numFmtId="182" formatCode="_(* #,##0.0_);_(* \(#,##0.0\);_(* &quot; - &quot;??_);_(&quot;Last Price (&quot;@&quot;) &quot;_)"/>
    <numFmt numFmtId="183" formatCode="_(* #,##0.0_);_(* \(#,##0.0\);_(* \-??_);_(&quot;Real-Time Stock Price :   &quot;@_)"/>
    <numFmt numFmtId="184" formatCode="mmm\-yy"/>
    <numFmt numFmtId="185" formatCode="_(* #,##0.0_);_(* \(#,##0.0\);_(* \-??_);_(&quot;Model Sheet Currency :   &quot;@_)"/>
    <numFmt numFmtId="186" formatCode="_(\€* #,##0_);_(\€* \(#,##0\);_(\€* &quot; - &quot;??_);_(@_)"/>
    <numFmt numFmtId="187" formatCode="_(\€* 0.00_);_(\€* \(0.00\);_(\€* \-??_);_(@_)"/>
    <numFmt numFmtId="188" formatCode="m/dd/yy;@"/>
    <numFmt numFmtId="189" formatCode="_(* 0.000&quot; x&quot;_);\ _(* &quot;n/a&quot;_);_(* \-??_);_(@_)"/>
    <numFmt numFmtId="190" formatCode="_(* 0.0&quot; x&quot;_);\ _(* &quot;n/a&quot;_);_(* \-??_);_(@_)"/>
    <numFmt numFmtId="191" formatCode="_(\$* 0.00_);_(\$* \(0.00\);_(\$* \-??_);_(@\ * &quot; Toggle  &gt;&gt;&gt;&quot;_)"/>
    <numFmt numFmtId="192" formatCode="_(* #,##0.000_);_(* \(#,##0.000\);_(* \-??_);_(@_)"/>
    <numFmt numFmtId="193" formatCode="_(\$* 0.00_);_(\$* \(0.00\);_(\$* &quot; - &quot;??_);_(@_)"/>
    <numFmt numFmtId="194" formatCode="_(* #,##0.0_);_(* \(#,##0.0\);_(* \-??_);_(&quot;Tegus Ticker &gt;&gt; &quot;@_)"/>
    <numFmt numFmtId="195" formatCode="_(* #,##0.0_);_(* \(#,##0.0\);_(* \-??_);_(&quot;Bloomberg &gt;&gt; &quot;@_)"/>
    <numFmt numFmtId="196" formatCode="_(* #,##0.0_);_(* \(#,##0.0\);_(* \-??_);_(&quot;Capital IQ &gt;&gt; &quot;@_)"/>
    <numFmt numFmtId="197" formatCode="_(* #,##0.0_);_(* \(#,##0.0\);_(* \-??_);_(&quot;FactSet &gt;&gt; &quot;@_)"/>
    <numFmt numFmtId="198" formatCode="_(* #,##0.0_);_(* \(#,##0.0\);_(* &quot; -&quot;??_);_(&quot;Refinitiv &gt;&gt; &quot;@_)"/>
    <numFmt numFmtId="199" formatCode="m/d/yy"/>
    <numFmt numFmtId="200" formatCode="_(\$* 0.00_);_(\$* \(0.00\);_(\$* \-??_);_(@_)"/>
    <numFmt numFmtId="201" formatCode="_(\$* #,##0_);_(\$* \(#,##0\);_(\$* \-??_);_(@_)"/>
    <numFmt numFmtId="202" formatCode="_(* 0.0%_);_(* &quot;NMF&quot;_);_(* \-??_);_(@_)"/>
    <numFmt numFmtId="203" formatCode="_(* 0.0%_);_(* &quot;n/a&quot;_);_(* \-??_);_(@_)"/>
    <numFmt numFmtId="204" formatCode="&quot;Most Recent Period:&quot;"/>
    <numFmt numFmtId="205" formatCode="_(* #,##0.0_);_(* \(#,##0.0\);_(* \-??_);_(&quot;Canalyst Security Identification #: &quot;@_)"/>
    <numFmt numFmtId="206" formatCode="_(* #,##0.0_);_(* \(#,##0.0\);_(* \-??_);_(&quot;Model Version #: &quot;@_)"/>
  </numFmts>
  <fonts count="50">
    <font>
      <sz val="11"/>
      <name val="Calibri"/>
      <family val="2"/>
      <charset val="1"/>
    </font>
    <font>
      <sz val="10"/>
      <name val="Arial"/>
      <family val="0"/>
    </font>
    <font>
      <sz val="10"/>
      <name val="Arial"/>
      <family val="0"/>
    </font>
    <font>
      <sz val="10"/>
      <name val="Arial"/>
      <family val="0"/>
    </font>
    <font>
      <sz val="10"/>
      <color theme="1"/>
      <name val="Arial"/>
      <family val="2"/>
      <charset val="1"/>
    </font>
    <font>
      <sz val="11"/>
      <color theme="1"/>
      <name val="Calibri"/>
      <family val="2"/>
      <charset val="1"/>
    </font>
    <font>
      <sz val="11"/>
      <color rgb="FF006100"/>
      <name val="Calibri"/>
      <family val="2"/>
      <charset val="1"/>
    </font>
    <font>
      <u val="single"/>
      <sz val="11"/>
      <color theme="10"/>
      <name val="Calibri"/>
      <family val="2"/>
      <charset val="1"/>
    </font>
    <font>
      <sz val="14"/>
      <color theme="1"/>
      <name val="Calibri"/>
      <family val="2"/>
      <charset val="1"/>
    </font>
    <font>
      <u val="single"/>
      <sz val="14"/>
      <color rgb="FF0000FF"/>
      <name val="Calibri"/>
      <family val="2"/>
      <charset val="1"/>
    </font>
    <font>
      <sz val="22"/>
      <color theme="1"/>
      <name val="Calibri"/>
      <family val="2"/>
      <charset val="1"/>
    </font>
    <font>
      <b val="true"/>
      <sz val="14"/>
      <color theme="1"/>
      <name val="Calibri"/>
      <family val="2"/>
      <charset val="1"/>
    </font>
    <font>
      <u val="single"/>
      <sz val="14"/>
      <color theme="10"/>
      <name val="Calibri"/>
      <family val="2"/>
      <charset val="1"/>
    </font>
    <font>
      <sz val="14"/>
      <name val="Calibri"/>
      <family val="2"/>
      <charset val="1"/>
    </font>
    <font>
      <b val="true"/>
      <sz val="14"/>
      <color rgb="FFD04B35"/>
      <name val="Calibri"/>
      <family val="2"/>
      <charset val="1"/>
    </font>
    <font>
      <b val="true"/>
      <sz val="10"/>
      <color theme="1"/>
      <name val="Calibri"/>
      <family val="2"/>
      <charset val="1"/>
    </font>
    <font>
      <sz val="10"/>
      <color theme="1"/>
      <name val="Calibri"/>
      <family val="2"/>
      <charset val="1"/>
    </font>
    <font>
      <sz val="10"/>
      <color theme="0"/>
      <name val="Calibri"/>
      <family val="2"/>
      <charset val="1"/>
    </font>
    <font>
      <sz val="7"/>
      <color rgb="FF000000"/>
      <name val="Calibri"/>
      <family val="2"/>
      <charset val="1"/>
    </font>
    <font>
      <sz val="11"/>
      <color rgb="FF0070C0"/>
      <name val="Arial"/>
      <family val="0"/>
      <charset val="1"/>
    </font>
    <font>
      <b val="true"/>
      <sz val="11"/>
      <color rgb="FFFFFFFF"/>
      <name val="Arial"/>
      <family val="0"/>
      <charset val="1"/>
    </font>
    <font>
      <sz val="11"/>
      <color rgb="FF00B050"/>
      <name val="Arial"/>
      <family val="0"/>
      <charset val="1"/>
    </font>
    <font>
      <b val="true"/>
      <sz val="14"/>
      <color rgb="FF000000"/>
      <name val="Cambria"/>
      <family val="0"/>
      <charset val="1"/>
    </font>
    <font>
      <b val="true"/>
      <sz val="11"/>
      <name val="Cambria"/>
      <family val="0"/>
      <charset val="1"/>
    </font>
    <font>
      <b val="true"/>
      <sz val="12"/>
      <color rgb="FF000000"/>
      <name val="Cambria"/>
      <family val="0"/>
      <charset val="1"/>
    </font>
    <font>
      <sz val="10"/>
      <color rgb="FF007F00"/>
      <name val="Cambria"/>
      <family val="0"/>
      <charset val="1"/>
    </font>
    <font>
      <u val="single"/>
      <sz val="26"/>
      <color theme="10"/>
      <name val="Calibri"/>
      <family val="2"/>
      <charset val="1"/>
    </font>
    <font>
      <sz val="11"/>
      <color rgb="FF000000"/>
      <name val="Calibri"/>
      <family val="2"/>
      <charset val="1"/>
    </font>
    <font>
      <i val="true"/>
      <sz val="11"/>
      <color rgb="FF000000"/>
      <name val="Calibri"/>
      <family val="2"/>
      <charset val="1"/>
    </font>
    <font>
      <b val="true"/>
      <sz val="11"/>
      <color theme="1"/>
      <name val="Calibri"/>
      <family val="2"/>
      <charset val="1"/>
    </font>
    <font>
      <b val="true"/>
      <sz val="11"/>
      <name val="Calibri"/>
      <family val="2"/>
      <charset val="1"/>
    </font>
    <font>
      <b val="true"/>
      <sz val="11"/>
      <color rgb="FF000000"/>
      <name val="Calibri"/>
      <family val="2"/>
      <charset val="1"/>
    </font>
    <font>
      <i val="true"/>
      <sz val="11"/>
      <color rgb="FF0000FC"/>
      <name val="Calibri"/>
      <family val="2"/>
      <charset val="1"/>
    </font>
    <font>
      <b val="true"/>
      <sz val="11"/>
      <color rgb="FF0000FC"/>
      <name val="Calibri"/>
      <family val="2"/>
      <charset val="1"/>
    </font>
    <font>
      <b val="true"/>
      <sz val="11"/>
      <color rgb="FFFFFFFF"/>
      <name val="Calibri"/>
      <family val="2"/>
      <charset val="1"/>
    </font>
    <font>
      <sz val="11"/>
      <color rgb="FF0000FC"/>
      <name val="Calibri"/>
      <family val="2"/>
      <charset val="1"/>
    </font>
    <font>
      <i val="true"/>
      <sz val="11"/>
      <name val="Calibri"/>
      <family val="2"/>
      <charset val="1"/>
    </font>
    <font>
      <b val="true"/>
      <i val="true"/>
      <sz val="11"/>
      <color rgb="FF000000"/>
      <name val="Calibri"/>
      <family val="2"/>
      <charset val="1"/>
    </font>
    <font>
      <b val="true"/>
      <i val="true"/>
      <sz val="11"/>
      <name val="Calibri"/>
      <family val="2"/>
      <charset val="1"/>
    </font>
    <font>
      <b val="true"/>
      <i val="true"/>
      <sz val="11"/>
      <color rgb="FF0000FC"/>
      <name val="Calibri"/>
      <family val="2"/>
      <charset val="1"/>
    </font>
    <font>
      <sz val="11"/>
      <color rgb="FFFFFFFF"/>
      <name val="Calibri"/>
      <family val="2"/>
      <charset val="1"/>
    </font>
    <font>
      <sz val="10"/>
      <name val="Arial"/>
      <family val="2"/>
    </font>
    <font>
      <sz val="11"/>
      <color theme="0" tint="-0.0411"/>
      <name val="Calibri"/>
      <family val="2"/>
      <charset val="1"/>
    </font>
    <font>
      <sz val="11"/>
      <color rgb="FFFF0000"/>
      <name val="Calibri"/>
      <family val="2"/>
      <charset val="1"/>
    </font>
    <font>
      <sz val="11"/>
      <color rgb="FFF2F2F2"/>
      <name val="Calibri"/>
      <family val="2"/>
      <charset val="1"/>
    </font>
    <font>
      <u val="single"/>
      <sz val="22"/>
      <color rgb="FF000000"/>
      <name val="Calibri"/>
      <family val="2"/>
      <charset val="1"/>
    </font>
    <font>
      <b val="true"/>
      <sz val="11"/>
      <color theme="0"/>
      <name val="Calibri"/>
      <family val="2"/>
      <charset val="1"/>
    </font>
    <font>
      <u val="single"/>
      <sz val="11"/>
      <color rgb="FF0000FF"/>
      <name val="Calibri"/>
      <family val="2"/>
      <charset val="1"/>
    </font>
    <font>
      <u val="single"/>
      <sz val="11"/>
      <color rgb="FF000000"/>
      <name val="Calibri"/>
      <family val="2"/>
      <charset val="1"/>
    </font>
    <font>
      <sz val="11"/>
      <color theme="0"/>
      <name val="Calibri"/>
      <family val="2"/>
      <charset val="1"/>
    </font>
  </fonts>
  <fills count="10">
    <fill>
      <patternFill patternType="none"/>
    </fill>
    <fill>
      <patternFill patternType="gray125"/>
    </fill>
    <fill>
      <patternFill patternType="solid">
        <fgColor rgb="FFC6EFCE"/>
        <bgColor rgb="FFD0F9F2"/>
      </patternFill>
    </fill>
    <fill>
      <patternFill patternType="solid">
        <fgColor rgb="FFFFFFFF"/>
        <bgColor rgb="FFF5F5F5"/>
      </patternFill>
    </fill>
    <fill>
      <patternFill patternType="solid">
        <fgColor rgb="FFD0F9F2"/>
        <bgColor rgb="FFDDEBF7"/>
      </patternFill>
    </fill>
    <fill>
      <patternFill patternType="solid">
        <fgColor rgb="FFECEDF0"/>
        <bgColor rgb="FFF2F2F2"/>
      </patternFill>
    </fill>
    <fill>
      <patternFill patternType="solid">
        <fgColor rgb="FF1F4E78"/>
        <bgColor rgb="FF003366"/>
      </patternFill>
    </fill>
    <fill>
      <patternFill patternType="solid">
        <fgColor rgb="FFDDEBF7"/>
        <bgColor rgb="FFECEDF0"/>
      </patternFill>
    </fill>
    <fill>
      <patternFill patternType="solid">
        <fgColor rgb="FFF2F2F2"/>
        <bgColor rgb="FFF5F5F5"/>
      </patternFill>
    </fill>
    <fill>
      <patternFill patternType="solid">
        <fgColor rgb="FF000000"/>
        <bgColor rgb="FF000080"/>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right style="thick"/>
      <top/>
      <bottom/>
      <diagonal/>
    </border>
    <border diagonalUp="false" diagonalDown="false">
      <left/>
      <right/>
      <top style="thin"/>
      <bottom/>
      <diagonal/>
    </border>
    <border diagonalUp="false" diagonalDown="false">
      <left/>
      <right style="thick"/>
      <top style="thin"/>
      <bottom/>
      <diagonal/>
    </border>
    <border diagonalUp="false" diagonalDown="false">
      <left/>
      <right/>
      <top/>
      <bottom style="thin"/>
      <diagonal/>
    </border>
    <border diagonalUp="false" diagonalDown="false">
      <left/>
      <right style="thick"/>
      <top/>
      <bottom style="thin"/>
      <diagonal/>
    </border>
    <border diagonalUp="false" diagonalDown="false">
      <left/>
      <right/>
      <top style="thin"/>
      <bottom style="thin"/>
      <diagonal/>
    </border>
    <border diagonalUp="false" diagonalDown="false">
      <left/>
      <right style="thick"/>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6" fillId="2"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top" textRotation="0" wrapText="false" indent="0" shrinkToFit="false"/>
      <protection locked="fals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xf numFmtId="169" fontId="5" fillId="0" borderId="0" applyFont="true" applyBorder="true" applyAlignment="true" applyProtection="true">
      <alignment horizontal="general" vertical="bottom" textRotation="0" wrapText="false" indent="0" shrinkToFit="false"/>
      <protection locked="true" hidden="false"/>
    </xf>
    <xf numFmtId="169" fontId="5" fillId="0" borderId="0" applyFont="true" applyBorder="true" applyAlignment="true" applyProtection="true">
      <alignment horizontal="general" vertical="bottom" textRotation="0" wrapText="false" indent="0" shrinkToFit="false"/>
      <protection locked="true" hidden="false"/>
    </xf>
  </cellStyleXfs>
  <cellXfs count="76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70" fontId="8" fillId="4"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71" fontId="14" fillId="5" borderId="0" xfId="0" applyFont="true" applyBorder="false" applyAlignment="true" applyProtection="false">
      <alignment horizontal="center" vertical="center"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center" vertical="bottom" textRotation="0" wrapText="false" indent="0" shrinkToFit="false"/>
      <protection locked="true" hidden="false"/>
    </xf>
    <xf numFmtId="171" fontId="16" fillId="3"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72" fontId="16" fillId="3" borderId="0" xfId="0" applyFont="true" applyBorder="false" applyAlignment="false" applyProtection="false">
      <alignment horizontal="general" vertical="bottom" textRotation="0" wrapText="false" indent="0" shrinkToFit="false"/>
      <protection locked="true" hidden="false"/>
    </xf>
    <xf numFmtId="173" fontId="14" fillId="5" borderId="0" xfId="34" applyFont="true" applyBorder="fals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73" fontId="19" fillId="0" borderId="1" xfId="0" applyFont="true" applyBorder="true" applyAlignment="true" applyProtection="false">
      <alignment horizontal="right" vertical="center" textRotation="0" wrapText="false" indent="0" shrinkToFit="false"/>
      <protection locked="true" hidden="false"/>
    </xf>
    <xf numFmtId="164" fontId="20" fillId="6" borderId="1" xfId="0" applyFont="true" applyBorder="true" applyAlignment="true" applyProtection="false">
      <alignment horizontal="center" vertical="center" textRotation="0" wrapText="false" indent="0" shrinkToFit="false"/>
      <protection locked="true" hidden="false"/>
    </xf>
    <xf numFmtId="174" fontId="21"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4" fontId="19" fillId="7" borderId="1" xfId="0" applyFont="true" applyBorder="true" applyAlignment="true" applyProtection="false">
      <alignment horizontal="right" vertical="center" textRotation="0" wrapText="false" indent="0" shrinkToFit="false"/>
      <protection locked="true" hidden="false"/>
    </xf>
    <xf numFmtId="164" fontId="21" fillId="0" borderId="1" xfId="0" applyFont="true" applyBorder="true" applyAlignment="true" applyProtection="false">
      <alignment horizontal="right" vertical="center" textRotation="0" wrapText="false" indent="0" shrinkToFit="false"/>
      <protection locked="true" hidden="false"/>
    </xf>
    <xf numFmtId="174" fontId="0" fillId="0" borderId="1" xfId="0" applyFont="false" applyBorder="true" applyAlignment="true" applyProtection="false">
      <alignment horizontal="right" vertical="center" textRotation="0" wrapText="false" indent="0" shrinkToFit="false"/>
      <protection locked="true" hidden="false"/>
    </xf>
    <xf numFmtId="173" fontId="0" fillId="0" borderId="1" xfId="0" applyFont="false" applyBorder="true" applyAlignment="true" applyProtection="false">
      <alignment horizontal="right" vertical="center" textRotation="0" wrapText="false" indent="0" shrinkToFit="false"/>
      <protection locked="true" hidden="false"/>
    </xf>
    <xf numFmtId="175" fontId="21" fillId="0" borderId="1" xfId="0" applyFont="true" applyBorder="true" applyAlignment="true" applyProtection="false">
      <alignment horizontal="right" vertical="center" textRotation="0" wrapText="false" indent="0" shrinkToFit="false"/>
      <protection locked="true" hidden="false"/>
    </xf>
    <xf numFmtId="176" fontId="21" fillId="0" borderId="1" xfId="0" applyFont="true" applyBorder="true" applyAlignment="true" applyProtection="false">
      <alignment horizontal="right"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5" fontId="25" fillId="0" borderId="0" xfId="0" applyFont="true" applyBorder="false" applyAlignment="false" applyProtection="false">
      <alignment horizontal="general" vertical="bottom" textRotation="0" wrapText="false" indent="0" shrinkToFit="false"/>
      <protection locked="true" hidden="false"/>
    </xf>
    <xf numFmtId="177"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26" fillId="3" borderId="0" xfId="0" applyFont="true" applyBorder="false" applyAlignment="false" applyProtection="false">
      <alignment horizontal="general" vertical="bottom" textRotation="0" wrapText="false" indent="0" shrinkToFit="false"/>
      <protection locked="true" hidden="false"/>
    </xf>
    <xf numFmtId="174" fontId="27" fillId="3" borderId="0" xfId="0" applyFont="true" applyBorder="false" applyAlignment="false" applyProtection="false">
      <alignment horizontal="general" vertical="bottom" textRotation="0" wrapText="false" indent="0" shrinkToFit="false"/>
      <protection locked="true" hidden="false"/>
    </xf>
    <xf numFmtId="174" fontId="27" fillId="3" borderId="2" xfId="0" applyFont="true" applyBorder="true" applyAlignment="false" applyProtection="false">
      <alignment horizontal="general" vertical="bottom" textRotation="0" wrapText="false" indent="0" shrinkToFit="false"/>
      <protection locked="true" hidden="false"/>
    </xf>
    <xf numFmtId="174" fontId="0" fillId="3"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9" fontId="5" fillId="3" borderId="0" xfId="0" applyFont="true" applyBorder="false" applyAlignment="true" applyProtection="false">
      <alignment horizontal="left" vertical="bottom" textRotation="0" wrapText="false" indent="0" shrinkToFit="false"/>
      <protection locked="true" hidden="false"/>
    </xf>
    <xf numFmtId="180" fontId="27" fillId="3" borderId="0" xfId="0" applyFont="true" applyBorder="false" applyAlignment="true" applyProtection="false">
      <alignment horizontal="center" vertical="bottom" textRotation="0" wrapText="false" indent="0" shrinkToFit="false"/>
      <protection locked="true" hidden="false"/>
    </xf>
    <xf numFmtId="181" fontId="0" fillId="3" borderId="0" xfId="0" applyFont="fals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8" fillId="3" borderId="0" xfId="0" applyFont="true" applyBorder="false" applyAlignment="false" applyProtection="false">
      <alignment horizontal="general" vertical="bottom" textRotation="0" wrapText="false" indent="0" shrinkToFit="false"/>
      <protection locked="true" hidden="false"/>
    </xf>
    <xf numFmtId="164" fontId="28" fillId="3" borderId="2"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82" fontId="29" fillId="3" borderId="0" xfId="0" applyFont="true" applyBorder="false" applyAlignment="true" applyProtection="false">
      <alignment horizontal="left" vertical="bottom" textRotation="0" wrapText="false" indent="0" shrinkToFit="false"/>
      <protection locked="true" hidden="false"/>
    </xf>
    <xf numFmtId="173" fontId="30" fillId="3" borderId="0" xfId="34" applyFont="true" applyBorder="false" applyAlignment="true" applyProtection="false">
      <alignment horizontal="center" vertical="bottom" textRotation="0" wrapText="false" indent="0" shrinkToFit="false"/>
      <protection locked="true" hidden="false"/>
    </xf>
    <xf numFmtId="171" fontId="30" fillId="8"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1" fontId="30" fillId="8" borderId="2" xfId="0" applyFont="true" applyBorder="true" applyAlignment="true" applyProtection="false">
      <alignment horizontal="center" vertical="bottom" textRotation="0" wrapText="false" indent="0" shrinkToFit="false"/>
      <protection locked="true" hidden="false"/>
    </xf>
    <xf numFmtId="171" fontId="31" fillId="3" borderId="0" xfId="0" applyFont="true" applyBorder="false" applyAlignment="true" applyProtection="false">
      <alignment horizontal="center" vertical="bottom" textRotation="0" wrapText="false" indent="0" shrinkToFit="false"/>
      <protection locked="true" hidden="false"/>
    </xf>
    <xf numFmtId="171" fontId="31" fillId="8" borderId="0" xfId="0" applyFont="true" applyBorder="false" applyAlignment="true" applyProtection="false">
      <alignment horizontal="center" vertical="bottom" textRotation="0" wrapText="false" indent="0" shrinkToFit="false"/>
      <protection locked="true" hidden="false"/>
    </xf>
    <xf numFmtId="174" fontId="30" fillId="3" borderId="0" xfId="0" applyFont="true" applyBorder="false" applyAlignment="true" applyProtection="false">
      <alignment horizontal="center" vertical="bottom" textRotation="0" wrapText="false" indent="0" shrinkToFit="false"/>
      <protection locked="true" hidden="false"/>
    </xf>
    <xf numFmtId="174" fontId="30" fillId="0" borderId="0" xfId="0" applyFont="true" applyBorder="false" applyAlignment="true" applyProtection="false">
      <alignment horizontal="center" vertical="bottom" textRotation="0" wrapText="false" indent="0" shrinkToFit="false"/>
      <protection locked="true" hidden="false"/>
    </xf>
    <xf numFmtId="183" fontId="29"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true" applyProtection="false">
      <alignment horizontal="center" vertical="bottom" textRotation="0" wrapText="false" indent="0" shrinkToFit="false"/>
      <protection locked="true" hidden="false"/>
    </xf>
    <xf numFmtId="184" fontId="32" fillId="8" borderId="0" xfId="0" applyFont="true" applyBorder="false" applyAlignment="true" applyProtection="false">
      <alignment horizontal="center" vertical="bottom" textRotation="0" wrapText="false" indent="0" shrinkToFit="false"/>
      <protection locked="true" hidden="false"/>
    </xf>
    <xf numFmtId="184" fontId="32" fillId="3" borderId="0" xfId="0" applyFont="true" applyBorder="false" applyAlignment="true" applyProtection="false">
      <alignment horizontal="center" vertical="bottom" textRotation="0" wrapText="false" indent="0" shrinkToFit="false"/>
      <protection locked="true" hidden="false"/>
    </xf>
    <xf numFmtId="184" fontId="28" fillId="3" borderId="0" xfId="0" applyFont="true" applyBorder="false" applyAlignment="true" applyProtection="false">
      <alignment horizontal="center" vertical="bottom" textRotation="0" wrapText="false" indent="0" shrinkToFit="false"/>
      <protection locked="true" hidden="false"/>
    </xf>
    <xf numFmtId="184" fontId="32" fillId="8" borderId="2" xfId="0" applyFont="true" applyBorder="true" applyAlignment="true" applyProtection="false">
      <alignment horizontal="center" vertical="bottom" textRotation="0" wrapText="false" indent="0" shrinkToFit="false"/>
      <protection locked="true" hidden="false"/>
    </xf>
    <xf numFmtId="184" fontId="28" fillId="8" borderId="0" xfId="0" applyFont="true" applyBorder="false" applyAlignment="true" applyProtection="false">
      <alignment horizontal="center" vertical="bottom" textRotation="0" wrapText="false" indent="0" shrinkToFit="false"/>
      <protection locked="true" hidden="false"/>
    </xf>
    <xf numFmtId="185" fontId="29" fillId="3" borderId="0" xfId="0" applyFont="true" applyBorder="false" applyAlignment="false" applyProtection="false">
      <alignment horizontal="general" vertical="bottom" textRotation="0" wrapText="false" indent="0" shrinkToFit="false"/>
      <protection locked="true" hidden="false"/>
    </xf>
    <xf numFmtId="164" fontId="31" fillId="3" borderId="0" xfId="34" applyFont="true" applyBorder="false" applyAlignment="true" applyProtection="false">
      <alignment horizontal="center" vertical="bottom" textRotation="0" wrapText="false" indent="0" shrinkToFit="false"/>
      <protection locked="true" hidden="false"/>
    </xf>
    <xf numFmtId="164" fontId="33" fillId="8" borderId="0" xfId="0" applyFont="true" applyBorder="false" applyAlignment="true" applyProtection="false">
      <alignment horizontal="center" vertical="bottom" textRotation="0" wrapText="false" indent="0" shrinkToFit="false"/>
      <protection locked="true" hidden="false"/>
    </xf>
    <xf numFmtId="164" fontId="31" fillId="8" borderId="0" xfId="0" applyFont="true" applyBorder="false" applyAlignment="true" applyProtection="false">
      <alignment horizontal="center" vertical="bottom" textRotation="0" wrapText="false" indent="0" shrinkToFit="false"/>
      <protection locked="true" hidden="false"/>
    </xf>
    <xf numFmtId="164" fontId="31" fillId="3" borderId="0" xfId="0" applyFont="true" applyBorder="false" applyAlignment="true" applyProtection="false">
      <alignment horizontal="center" vertical="bottom" textRotation="0" wrapText="false" indent="0" shrinkToFit="false"/>
      <protection locked="true" hidden="false"/>
    </xf>
    <xf numFmtId="164" fontId="31" fillId="8" borderId="2" xfId="0" applyFont="true" applyBorder="true" applyAlignment="true" applyProtection="false">
      <alignment horizontal="center" vertical="bottom" textRotation="0" wrapText="false" indent="0" shrinkToFit="false"/>
      <protection locked="true" hidden="false"/>
    </xf>
    <xf numFmtId="175" fontId="34" fillId="9" borderId="0" xfId="0" applyFont="true" applyBorder="false" applyAlignment="false" applyProtection="false">
      <alignment horizontal="general" vertical="bottom" textRotation="0" wrapText="false" indent="0" shrinkToFit="false"/>
      <protection locked="true" hidden="false"/>
    </xf>
    <xf numFmtId="175" fontId="34" fillId="9" borderId="2" xfId="0" applyFont="true" applyBorder="true" applyAlignment="false" applyProtection="false">
      <alignment horizontal="general" vertical="bottom" textRotation="0" wrapText="false" indent="0" shrinkToFit="false"/>
      <protection locked="true" hidden="false"/>
    </xf>
    <xf numFmtId="175" fontId="30" fillId="3" borderId="0" xfId="0" applyFont="true" applyBorder="false" applyAlignment="false" applyProtection="false">
      <alignment horizontal="general" vertical="bottom" textRotation="0" wrapText="false" indent="0" shrinkToFit="false"/>
      <protection locked="true" hidden="false"/>
    </xf>
    <xf numFmtId="175" fontId="30" fillId="0" borderId="0" xfId="0" applyFont="true" applyBorder="false" applyAlignment="false" applyProtection="false">
      <alignment horizontal="general" vertical="bottom" textRotation="0" wrapText="false" indent="0" shrinkToFit="false"/>
      <protection locked="true" hidden="false"/>
    </xf>
    <xf numFmtId="176" fontId="27" fillId="3" borderId="0" xfId="0" applyFont="true" applyBorder="false" applyAlignment="true" applyProtection="false">
      <alignment horizontal="left" vertical="bottom" textRotation="0" wrapText="false" indent="3" shrinkToFit="false"/>
      <protection locked="true" hidden="false"/>
    </xf>
    <xf numFmtId="176" fontId="27" fillId="3" borderId="0" xfId="34" applyFont="true" applyBorder="false" applyAlignment="false" applyProtection="false">
      <alignment horizontal="general" vertical="bottom" textRotation="0" wrapText="false" indent="0" shrinkToFit="false"/>
      <protection locked="true" hidden="false"/>
    </xf>
    <xf numFmtId="176" fontId="27" fillId="8" borderId="0" xfId="0" applyFont="true" applyBorder="false" applyAlignment="true" applyProtection="false">
      <alignment horizontal="right" vertical="bottom" textRotation="0" wrapText="false" indent="0" shrinkToFit="false"/>
      <protection locked="true" hidden="false"/>
    </xf>
    <xf numFmtId="176" fontId="27" fillId="3" borderId="0" xfId="0" applyFont="true" applyBorder="false" applyAlignment="true" applyProtection="false">
      <alignment horizontal="right" vertical="bottom" textRotation="0" wrapText="false" indent="0" shrinkToFit="false"/>
      <protection locked="true" hidden="false"/>
    </xf>
    <xf numFmtId="176" fontId="35" fillId="3" borderId="0" xfId="0" applyFont="true" applyBorder="false" applyAlignment="true" applyProtection="false">
      <alignment horizontal="right" vertical="bottom" textRotation="0" wrapText="false" indent="0" shrinkToFit="false"/>
      <protection locked="true" hidden="false"/>
    </xf>
    <xf numFmtId="176" fontId="35" fillId="8" borderId="0" xfId="0" applyFont="true" applyBorder="false" applyAlignment="true" applyProtection="false">
      <alignment horizontal="right" vertical="bottom" textRotation="0" wrapText="false" indent="0" shrinkToFit="false"/>
      <protection locked="true" hidden="false"/>
    </xf>
    <xf numFmtId="176" fontId="27" fillId="8" borderId="2" xfId="0" applyFont="true" applyBorder="true" applyAlignment="true" applyProtection="false">
      <alignment horizontal="right" vertical="bottom" textRotation="0" wrapText="false" indent="0" shrinkToFit="false"/>
      <protection locked="true" hidden="false"/>
    </xf>
    <xf numFmtId="176" fontId="0" fillId="3" borderId="0" xfId="0" applyFont="false" applyBorder="false" applyAlignment="false" applyProtection="false">
      <alignment horizontal="general" vertical="bottom" textRotation="0" wrapText="false" indent="0" shrinkToFit="false"/>
      <protection locked="true" hidden="false"/>
    </xf>
    <xf numFmtId="176" fontId="27" fillId="3" borderId="3" xfId="0" applyFont="true" applyBorder="true" applyAlignment="true" applyProtection="false">
      <alignment horizontal="left" vertical="bottom" textRotation="0" wrapText="false" indent="2" shrinkToFit="false"/>
      <protection locked="true" hidden="false"/>
    </xf>
    <xf numFmtId="176" fontId="27" fillId="3" borderId="3" xfId="34" applyFont="true" applyBorder="true" applyAlignment="false" applyProtection="false">
      <alignment horizontal="general" vertical="bottom" textRotation="0" wrapText="false" indent="0" shrinkToFit="false"/>
      <protection locked="true" hidden="false"/>
    </xf>
    <xf numFmtId="176" fontId="27" fillId="8" borderId="3" xfId="0" applyFont="true" applyBorder="true" applyAlignment="true" applyProtection="false">
      <alignment horizontal="right" vertical="bottom" textRotation="0" wrapText="false" indent="0" shrinkToFit="false"/>
      <protection locked="true" hidden="false"/>
    </xf>
    <xf numFmtId="176" fontId="35" fillId="8" borderId="3" xfId="0" applyFont="true" applyBorder="true" applyAlignment="true" applyProtection="false">
      <alignment horizontal="right" vertical="bottom" textRotation="0" wrapText="false" indent="0" shrinkToFit="false"/>
      <protection locked="true" hidden="false"/>
    </xf>
    <xf numFmtId="176" fontId="35" fillId="3" borderId="3" xfId="0" applyFont="true" applyBorder="true" applyAlignment="true" applyProtection="false">
      <alignment horizontal="right" vertical="bottom" textRotation="0" wrapText="false" indent="0" shrinkToFit="false"/>
      <protection locked="true" hidden="false"/>
    </xf>
    <xf numFmtId="176" fontId="27" fillId="3" borderId="3" xfId="0" applyFont="true" applyBorder="true" applyAlignment="true" applyProtection="false">
      <alignment horizontal="right" vertical="bottom" textRotation="0" wrapText="false" indent="0" shrinkToFit="false"/>
      <protection locked="true" hidden="false"/>
    </xf>
    <xf numFmtId="176" fontId="35" fillId="8" borderId="4" xfId="0" applyFont="true" applyBorder="true" applyAlignment="true" applyProtection="false">
      <alignment horizontal="right" vertical="bottom" textRotation="0" wrapText="false" indent="0" shrinkToFit="false"/>
      <protection locked="true" hidden="false"/>
    </xf>
    <xf numFmtId="176" fontId="27" fillId="3" borderId="0" xfId="0" applyFont="true" applyBorder="false" applyAlignment="true" applyProtection="false">
      <alignment horizontal="left" vertical="bottom" textRotation="0" wrapText="false" indent="2" shrinkToFit="false"/>
      <protection locked="true" hidden="false"/>
    </xf>
    <xf numFmtId="176" fontId="35" fillId="8" borderId="2" xfId="0" applyFont="true" applyBorder="true" applyAlignment="true" applyProtection="false">
      <alignment horizontal="right" vertical="bottom" textRotation="0" wrapText="false" indent="0" shrinkToFit="false"/>
      <protection locked="true" hidden="false"/>
    </xf>
    <xf numFmtId="176" fontId="27" fillId="3" borderId="5" xfId="0" applyFont="true" applyBorder="true" applyAlignment="true" applyProtection="false">
      <alignment horizontal="left" vertical="bottom" textRotation="0" wrapText="false" indent="2" shrinkToFit="false"/>
      <protection locked="true" hidden="false"/>
    </xf>
    <xf numFmtId="176" fontId="27" fillId="3" borderId="5" xfId="34" applyFont="true" applyBorder="true" applyAlignment="false" applyProtection="false">
      <alignment horizontal="general" vertical="bottom" textRotation="0" wrapText="false" indent="0" shrinkToFit="false"/>
      <protection locked="true" hidden="false"/>
    </xf>
    <xf numFmtId="176" fontId="27" fillId="8" borderId="5" xfId="0" applyFont="true" applyBorder="true" applyAlignment="true" applyProtection="false">
      <alignment horizontal="right" vertical="bottom" textRotation="0" wrapText="false" indent="0" shrinkToFit="false"/>
      <protection locked="true" hidden="false"/>
    </xf>
    <xf numFmtId="176" fontId="35" fillId="8" borderId="5" xfId="0" applyFont="true" applyBorder="true" applyAlignment="true" applyProtection="false">
      <alignment horizontal="right" vertical="bottom" textRotation="0" wrapText="false" indent="0" shrinkToFit="false"/>
      <protection locked="true" hidden="false"/>
    </xf>
    <xf numFmtId="176" fontId="35" fillId="3" borderId="5" xfId="0" applyFont="true" applyBorder="true" applyAlignment="true" applyProtection="false">
      <alignment horizontal="right" vertical="bottom" textRotation="0" wrapText="false" indent="0" shrinkToFit="false"/>
      <protection locked="true" hidden="false"/>
    </xf>
    <xf numFmtId="176" fontId="35" fillId="8" borderId="6" xfId="0" applyFont="true" applyBorder="true" applyAlignment="true" applyProtection="false">
      <alignment horizontal="right" vertical="bottom" textRotation="0" wrapText="false" indent="0" shrinkToFit="false"/>
      <protection locked="true" hidden="false"/>
    </xf>
    <xf numFmtId="176" fontId="31" fillId="3" borderId="0" xfId="0" applyFont="true" applyBorder="false" applyAlignment="true" applyProtection="false">
      <alignment horizontal="left" vertical="bottom" textRotation="0" wrapText="false" indent="1" shrinkToFit="false"/>
      <protection locked="true" hidden="false"/>
    </xf>
    <xf numFmtId="176" fontId="31" fillId="3" borderId="0" xfId="34" applyFont="true" applyBorder="false" applyAlignment="false" applyProtection="false">
      <alignment horizontal="general" vertical="bottom" textRotation="0" wrapText="false" indent="0" shrinkToFit="false"/>
      <protection locked="true" hidden="false"/>
    </xf>
    <xf numFmtId="176" fontId="33" fillId="8" borderId="3" xfId="0" applyFont="true" applyBorder="true" applyAlignment="true" applyProtection="false">
      <alignment horizontal="right" vertical="bottom" textRotation="0" wrapText="false" indent="0" shrinkToFit="false"/>
      <protection locked="true" hidden="false"/>
    </xf>
    <xf numFmtId="176" fontId="31" fillId="8" borderId="0" xfId="0" applyFont="true" applyBorder="false" applyAlignment="true" applyProtection="false">
      <alignment horizontal="right" vertical="bottom" textRotation="0" wrapText="false" indent="0" shrinkToFit="false"/>
      <protection locked="true" hidden="false"/>
    </xf>
    <xf numFmtId="176" fontId="31" fillId="3" borderId="0" xfId="0" applyFont="true" applyBorder="false" applyAlignment="true" applyProtection="false">
      <alignment horizontal="right" vertical="bottom" textRotation="0" wrapText="false" indent="0" shrinkToFit="false"/>
      <protection locked="true" hidden="false"/>
    </xf>
    <xf numFmtId="176" fontId="31" fillId="8" borderId="2" xfId="0" applyFont="true" applyBorder="true" applyAlignment="true" applyProtection="false">
      <alignment horizontal="right" vertical="bottom" textRotation="0" wrapText="false" indent="0" shrinkToFit="false"/>
      <protection locked="true" hidden="false"/>
    </xf>
    <xf numFmtId="176" fontId="30" fillId="3" borderId="0" xfId="0" applyFont="true" applyBorder="false" applyAlignment="false" applyProtection="false">
      <alignment horizontal="general" vertical="bottom" textRotation="0" wrapText="false" indent="0" shrinkToFit="false"/>
      <protection locked="true" hidden="false"/>
    </xf>
    <xf numFmtId="176" fontId="30" fillId="0" borderId="0" xfId="0" applyFont="true" applyBorder="false" applyAlignment="false" applyProtection="false">
      <alignment horizontal="general" vertical="bottom" textRotation="0" wrapText="false" indent="0" shrinkToFit="false"/>
      <protection locked="true" hidden="false"/>
    </xf>
    <xf numFmtId="176" fontId="27" fillId="3" borderId="5" xfId="0" applyFont="true" applyBorder="true" applyAlignment="true" applyProtection="false">
      <alignment horizontal="left" vertical="bottom" textRotation="0" wrapText="false" indent="1" shrinkToFit="false"/>
      <protection locked="true" hidden="false"/>
    </xf>
    <xf numFmtId="176" fontId="27" fillId="3" borderId="5" xfId="0" applyFont="true" applyBorder="true" applyAlignment="true" applyProtection="false">
      <alignment horizontal="right" vertical="bottom" textRotation="0" wrapText="false" indent="0" shrinkToFit="false"/>
      <protection locked="true" hidden="false"/>
    </xf>
    <xf numFmtId="176" fontId="31" fillId="3" borderId="3" xfId="0" applyFont="true" applyBorder="true" applyAlignment="true" applyProtection="false">
      <alignment horizontal="left" vertical="bottom" textRotation="0" wrapText="false" indent="0" shrinkToFit="false"/>
      <protection locked="true" hidden="false"/>
    </xf>
    <xf numFmtId="176" fontId="31" fillId="3" borderId="3" xfId="34" applyFont="true" applyBorder="true" applyAlignment="false" applyProtection="false">
      <alignment horizontal="general" vertical="bottom" textRotation="0" wrapText="false" indent="0" shrinkToFit="false"/>
      <protection locked="true" hidden="false"/>
    </xf>
    <xf numFmtId="176" fontId="31" fillId="8" borderId="3" xfId="0" applyFont="true" applyBorder="true" applyAlignment="true" applyProtection="false">
      <alignment horizontal="right" vertical="bottom" textRotation="0" wrapText="false" indent="0" shrinkToFit="false"/>
      <protection locked="true" hidden="false"/>
    </xf>
    <xf numFmtId="176" fontId="31" fillId="3" borderId="3" xfId="0" applyFont="true" applyBorder="true" applyAlignment="true" applyProtection="false">
      <alignment horizontal="right" vertical="bottom" textRotation="0" wrapText="false" indent="0" shrinkToFit="false"/>
      <protection locked="true" hidden="false"/>
    </xf>
    <xf numFmtId="176" fontId="31" fillId="8" borderId="4" xfId="0" applyFont="true" applyBorder="true" applyAlignment="true" applyProtection="false">
      <alignment horizontal="right" vertical="bottom" textRotation="0" wrapText="false" indent="0" shrinkToFit="false"/>
      <protection locked="true" hidden="false"/>
    </xf>
    <xf numFmtId="176" fontId="31" fillId="3" borderId="0" xfId="0" applyFont="true" applyBorder="false" applyAlignment="true" applyProtection="false">
      <alignment horizontal="left" vertical="bottom" textRotation="0" wrapText="false" indent="0" shrinkToFit="false"/>
      <protection locked="true" hidden="false"/>
    </xf>
    <xf numFmtId="186" fontId="27" fillId="3" borderId="0" xfId="0" applyFont="true" applyBorder="false" applyAlignment="true" applyProtection="false">
      <alignment horizontal="left" vertical="bottom" textRotation="0" wrapText="false" indent="0" shrinkToFit="false"/>
      <protection locked="true" hidden="false"/>
    </xf>
    <xf numFmtId="186" fontId="27" fillId="3" borderId="0" xfId="34" applyFont="true" applyBorder="false" applyAlignment="false" applyProtection="false">
      <alignment horizontal="general" vertical="bottom" textRotation="0" wrapText="false" indent="0" shrinkToFit="false"/>
      <protection locked="true" hidden="false"/>
    </xf>
    <xf numFmtId="186" fontId="27" fillId="8" borderId="0" xfId="0" applyFont="true" applyBorder="false" applyAlignment="true" applyProtection="false">
      <alignment horizontal="right" vertical="bottom" textRotation="0" wrapText="false" indent="0" shrinkToFit="false"/>
      <protection locked="true" hidden="false"/>
    </xf>
    <xf numFmtId="186" fontId="27" fillId="3" borderId="0" xfId="0" applyFont="true" applyBorder="false" applyAlignment="true" applyProtection="false">
      <alignment horizontal="right" vertical="bottom" textRotation="0" wrapText="false" indent="0" shrinkToFit="false"/>
      <protection locked="true" hidden="false"/>
    </xf>
    <xf numFmtId="186" fontId="27" fillId="8" borderId="2" xfId="0" applyFont="true" applyBorder="true" applyAlignment="true" applyProtection="false">
      <alignment horizontal="right" vertical="bottom" textRotation="0" wrapText="false" indent="0" shrinkToFit="false"/>
      <protection locked="true" hidden="false"/>
    </xf>
    <xf numFmtId="186" fontId="0" fillId="3" borderId="0" xfId="0" applyFont="false" applyBorder="false" applyAlignment="false" applyProtection="false">
      <alignment horizontal="general" vertical="bottom" textRotation="0" wrapText="false" indent="0" shrinkToFit="false"/>
      <protection locked="true" hidden="false"/>
    </xf>
    <xf numFmtId="186" fontId="0" fillId="0" borderId="0" xfId="0" applyFont="false" applyBorder="false" applyAlignment="false" applyProtection="false">
      <alignment horizontal="general" vertical="bottom" textRotation="0" wrapText="false" indent="0" shrinkToFit="false"/>
      <protection locked="true" hidden="false"/>
    </xf>
    <xf numFmtId="175" fontId="28" fillId="3" borderId="0" xfId="0" applyFont="true" applyBorder="false" applyAlignment="true" applyProtection="false">
      <alignment horizontal="left" vertical="bottom" textRotation="0" wrapText="false" indent="1" shrinkToFit="false"/>
      <protection locked="true" hidden="false"/>
    </xf>
    <xf numFmtId="175" fontId="28" fillId="3" borderId="0" xfId="34" applyFont="true" applyBorder="false" applyAlignment="false" applyProtection="false">
      <alignment horizontal="general" vertical="bottom" textRotation="0" wrapText="false" indent="0" shrinkToFit="false"/>
      <protection locked="true" hidden="false"/>
    </xf>
    <xf numFmtId="175" fontId="28" fillId="8" borderId="0" xfId="0" applyFont="true" applyBorder="false" applyAlignment="true" applyProtection="false">
      <alignment horizontal="right" vertical="bottom" textRotation="0" wrapText="false" indent="0" shrinkToFit="false"/>
      <protection locked="true" hidden="false"/>
    </xf>
    <xf numFmtId="175" fontId="28" fillId="3" borderId="0" xfId="0" applyFont="true" applyBorder="false" applyAlignment="true" applyProtection="false">
      <alignment horizontal="right" vertical="bottom" textRotation="0" wrapText="false" indent="0" shrinkToFit="false"/>
      <protection locked="true" hidden="false"/>
    </xf>
    <xf numFmtId="175" fontId="28" fillId="8" borderId="2" xfId="0" applyFont="true" applyBorder="true" applyAlignment="true" applyProtection="false">
      <alignment horizontal="right" vertical="bottom" textRotation="0" wrapText="false" indent="0" shrinkToFit="false"/>
      <protection locked="true" hidden="false"/>
    </xf>
    <xf numFmtId="175" fontId="32" fillId="3" borderId="0" xfId="0" applyFont="true" applyBorder="false" applyAlignment="true" applyProtection="false">
      <alignment horizontal="right" vertical="bottom" textRotation="0" wrapText="false" indent="0" shrinkToFit="false"/>
      <protection locked="true" hidden="false"/>
    </xf>
    <xf numFmtId="175" fontId="32" fillId="8" borderId="0" xfId="0" applyFont="true" applyBorder="false" applyAlignment="true" applyProtection="false">
      <alignment horizontal="right" vertical="bottom" textRotation="0" wrapText="false" indent="0" shrinkToFit="false"/>
      <protection locked="true" hidden="false"/>
    </xf>
    <xf numFmtId="175" fontId="36" fillId="3" borderId="0" xfId="0" applyFont="true" applyBorder="false" applyAlignment="false" applyProtection="false">
      <alignment horizontal="general" vertical="bottom" textRotation="0" wrapText="false" indent="0" shrinkToFit="false"/>
      <protection locked="true" hidden="false"/>
    </xf>
    <xf numFmtId="175" fontId="36" fillId="0" borderId="0" xfId="0" applyFont="true" applyBorder="false" applyAlignment="false" applyProtection="false">
      <alignment horizontal="general" vertical="bottom" textRotation="0" wrapText="false" indent="0" shrinkToFit="false"/>
      <protection locked="true" hidden="false"/>
    </xf>
    <xf numFmtId="175" fontId="31" fillId="3" borderId="0" xfId="0" applyFont="true" applyBorder="false" applyAlignment="true" applyProtection="false">
      <alignment horizontal="left" vertical="bottom" textRotation="0" wrapText="false" indent="0" shrinkToFit="false"/>
      <protection locked="true" hidden="false"/>
    </xf>
    <xf numFmtId="175" fontId="31" fillId="3" borderId="0" xfId="34" applyFont="true" applyBorder="false" applyAlignment="false" applyProtection="false">
      <alignment horizontal="general" vertical="bottom" textRotation="0" wrapText="false" indent="0" shrinkToFit="false"/>
      <protection locked="true" hidden="false"/>
    </xf>
    <xf numFmtId="175" fontId="31" fillId="8" borderId="0" xfId="0" applyFont="true" applyBorder="false" applyAlignment="true" applyProtection="false">
      <alignment horizontal="right" vertical="bottom" textRotation="0" wrapText="false" indent="0" shrinkToFit="false"/>
      <protection locked="true" hidden="false"/>
    </xf>
    <xf numFmtId="175" fontId="31" fillId="3" borderId="0" xfId="0" applyFont="true" applyBorder="false" applyAlignment="true" applyProtection="false">
      <alignment horizontal="right" vertical="bottom" textRotation="0" wrapText="false" indent="0" shrinkToFit="false"/>
      <protection locked="true" hidden="false"/>
    </xf>
    <xf numFmtId="175" fontId="31" fillId="8" borderId="2" xfId="0" applyFont="true" applyBorder="true" applyAlignment="true" applyProtection="false">
      <alignment horizontal="right" vertical="bottom" textRotation="0" wrapText="false" indent="0" shrinkToFit="false"/>
      <protection locked="true" hidden="false"/>
    </xf>
    <xf numFmtId="174" fontId="27" fillId="3" borderId="0" xfId="0" applyFont="true" applyBorder="false" applyAlignment="true" applyProtection="false">
      <alignment horizontal="left" vertical="bottom" textRotation="0" wrapText="false" indent="1" shrinkToFit="false"/>
      <protection locked="true" hidden="false"/>
    </xf>
    <xf numFmtId="174" fontId="27" fillId="3" borderId="0" xfId="34" applyFont="true" applyBorder="false" applyAlignment="false" applyProtection="false">
      <alignment horizontal="general" vertical="bottom" textRotation="0" wrapText="false" indent="0" shrinkToFit="false"/>
      <protection locked="true" hidden="false"/>
    </xf>
    <xf numFmtId="174" fontId="27" fillId="8" borderId="0" xfId="0" applyFont="true" applyBorder="false" applyAlignment="true" applyProtection="false">
      <alignment horizontal="right" vertical="bottom" textRotation="0" wrapText="false" indent="0" shrinkToFit="false"/>
      <protection locked="true" hidden="false"/>
    </xf>
    <xf numFmtId="174" fontId="35" fillId="8" borderId="0" xfId="0" applyFont="true" applyBorder="false" applyAlignment="true" applyProtection="false">
      <alignment horizontal="right" vertical="bottom" textRotation="0" wrapText="false" indent="0" shrinkToFit="false"/>
      <protection locked="true" hidden="false"/>
    </xf>
    <xf numFmtId="174" fontId="27" fillId="3" borderId="0" xfId="0" applyFont="true" applyBorder="false" applyAlignment="true" applyProtection="false">
      <alignment horizontal="right" vertical="bottom" textRotation="0" wrapText="false" indent="0" shrinkToFit="false"/>
      <protection locked="true" hidden="false"/>
    </xf>
    <xf numFmtId="174" fontId="27" fillId="8" borderId="2" xfId="0" applyFont="true" applyBorder="true" applyAlignment="true" applyProtection="false">
      <alignment horizontal="right" vertical="bottom" textRotation="0" wrapText="false" indent="0" shrinkToFit="false"/>
      <protection locked="true" hidden="false"/>
    </xf>
    <xf numFmtId="174" fontId="31" fillId="3" borderId="3" xfId="0" applyFont="true" applyBorder="true" applyAlignment="true" applyProtection="false">
      <alignment horizontal="left" vertical="bottom" textRotation="0" wrapText="false" indent="0" shrinkToFit="false"/>
      <protection locked="true" hidden="false"/>
    </xf>
    <xf numFmtId="174" fontId="31" fillId="3" borderId="3" xfId="34" applyFont="true" applyBorder="true" applyAlignment="false" applyProtection="false">
      <alignment horizontal="general" vertical="bottom" textRotation="0" wrapText="false" indent="0" shrinkToFit="false"/>
      <protection locked="true" hidden="false"/>
    </xf>
    <xf numFmtId="174" fontId="31" fillId="8" borderId="3" xfId="0" applyFont="true" applyBorder="true" applyAlignment="true" applyProtection="false">
      <alignment horizontal="right" vertical="bottom" textRotation="0" wrapText="false" indent="0" shrinkToFit="false"/>
      <protection locked="true" hidden="false"/>
    </xf>
    <xf numFmtId="174" fontId="31" fillId="3" borderId="3" xfId="0" applyFont="true" applyBorder="true" applyAlignment="true" applyProtection="false">
      <alignment horizontal="right" vertical="bottom" textRotation="0" wrapText="false" indent="0" shrinkToFit="false"/>
      <protection locked="true" hidden="false"/>
    </xf>
    <xf numFmtId="174" fontId="31" fillId="8" borderId="4" xfId="0" applyFont="true" applyBorder="true" applyAlignment="true" applyProtection="false">
      <alignment horizontal="right" vertical="bottom" textRotation="0" wrapText="false" indent="0" shrinkToFit="false"/>
      <protection locked="true" hidden="false"/>
    </xf>
    <xf numFmtId="174" fontId="30" fillId="3" borderId="0" xfId="0" applyFont="true" applyBorder="false" applyAlignment="false" applyProtection="false">
      <alignment horizontal="general" vertical="bottom" textRotation="0" wrapText="false" indent="0" shrinkToFit="false"/>
      <protection locked="true" hidden="false"/>
    </xf>
    <xf numFmtId="174" fontId="30" fillId="0" borderId="0" xfId="0" applyFont="true" applyBorder="false" applyAlignment="false" applyProtection="false">
      <alignment horizontal="general" vertical="bottom" textRotation="0" wrapText="false" indent="0" shrinkToFit="false"/>
      <protection locked="true" hidden="false"/>
    </xf>
    <xf numFmtId="174" fontId="27" fillId="3" borderId="0" xfId="0" applyFont="true" applyBorder="false" applyAlignment="true" applyProtection="false">
      <alignment horizontal="left" vertical="bottom" textRotation="0" wrapText="false" indent="4" shrinkToFit="false"/>
      <protection locked="true" hidden="false"/>
    </xf>
    <xf numFmtId="174" fontId="27" fillId="8" borderId="0" xfId="0" applyFont="true" applyBorder="false" applyAlignment="false" applyProtection="false">
      <alignment horizontal="general" vertical="bottom" textRotation="0" wrapText="false" indent="0" shrinkToFit="false"/>
      <protection locked="true" hidden="false"/>
    </xf>
    <xf numFmtId="174" fontId="27" fillId="8" borderId="2" xfId="0" applyFont="true" applyBorder="true" applyAlignment="false" applyProtection="false">
      <alignment horizontal="general" vertical="bottom" textRotation="0" wrapText="false" indent="0" shrinkToFit="false"/>
      <protection locked="true" hidden="false"/>
    </xf>
    <xf numFmtId="174" fontId="31" fillId="3" borderId="3" xfId="0" applyFont="true" applyBorder="true" applyAlignment="true" applyProtection="false">
      <alignment horizontal="left" vertical="bottom" textRotation="0" wrapText="false" indent="4" shrinkToFit="false"/>
      <protection locked="true" hidden="false"/>
    </xf>
    <xf numFmtId="174" fontId="31" fillId="8" borderId="3" xfId="0" applyFont="true" applyBorder="true" applyAlignment="false" applyProtection="false">
      <alignment horizontal="general" vertical="bottom" textRotation="0" wrapText="false" indent="0" shrinkToFit="false"/>
      <protection locked="true" hidden="false"/>
    </xf>
    <xf numFmtId="174" fontId="31" fillId="3" borderId="3" xfId="0" applyFont="true" applyBorder="true" applyAlignment="false" applyProtection="false">
      <alignment horizontal="general" vertical="bottom" textRotation="0" wrapText="false" indent="0" shrinkToFit="false"/>
      <protection locked="true" hidden="false"/>
    </xf>
    <xf numFmtId="174" fontId="31" fillId="8" borderId="4" xfId="0" applyFont="true" applyBorder="true" applyAlignment="false" applyProtection="false">
      <alignment horizontal="general" vertical="bottom" textRotation="0" wrapText="false" indent="0" shrinkToFit="false"/>
      <protection locked="true" hidden="false"/>
    </xf>
    <xf numFmtId="175" fontId="28" fillId="3" borderId="0" xfId="0" applyFont="true" applyBorder="false" applyAlignment="true" applyProtection="false">
      <alignment horizontal="left" vertical="bottom" textRotation="0" wrapText="false" indent="2" shrinkToFit="false"/>
      <protection locked="true" hidden="false"/>
    </xf>
    <xf numFmtId="175" fontId="28" fillId="3" borderId="0" xfId="0" applyFont="true" applyBorder="false" applyAlignment="true" applyProtection="false">
      <alignment horizontal="left" vertical="bottom" textRotation="0" wrapText="false" indent="4" shrinkToFit="false"/>
      <protection locked="true" hidden="false"/>
    </xf>
    <xf numFmtId="175" fontId="28" fillId="8" borderId="0" xfId="0" applyFont="true" applyBorder="false" applyAlignment="false" applyProtection="false">
      <alignment horizontal="general" vertical="bottom" textRotation="0" wrapText="false" indent="0" shrinkToFit="false"/>
      <protection locked="true" hidden="false"/>
    </xf>
    <xf numFmtId="175" fontId="28" fillId="3" borderId="0" xfId="0" applyFont="true" applyBorder="false" applyAlignment="false" applyProtection="false">
      <alignment horizontal="general" vertical="bottom" textRotation="0" wrapText="false" indent="0" shrinkToFit="false"/>
      <protection locked="true" hidden="false"/>
    </xf>
    <xf numFmtId="175" fontId="28" fillId="8" borderId="2" xfId="0" applyFont="true" applyBorder="true" applyAlignment="false" applyProtection="false">
      <alignment horizontal="general" vertical="bottom" textRotation="0" wrapText="false" indent="0" shrinkToFit="false"/>
      <protection locked="true" hidden="false"/>
    </xf>
    <xf numFmtId="175" fontId="28" fillId="3" borderId="5" xfId="0" applyFont="true" applyBorder="true" applyAlignment="true" applyProtection="false">
      <alignment horizontal="left" vertical="bottom" textRotation="0" wrapText="false" indent="1" shrinkToFit="false"/>
      <protection locked="true" hidden="false"/>
    </xf>
    <xf numFmtId="175" fontId="28" fillId="3" borderId="5" xfId="0" applyFont="true" applyBorder="true" applyAlignment="true" applyProtection="false">
      <alignment horizontal="left" vertical="bottom" textRotation="0" wrapText="false" indent="4" shrinkToFit="false"/>
      <protection locked="true" hidden="false"/>
    </xf>
    <xf numFmtId="175" fontId="28" fillId="8" borderId="5" xfId="0" applyFont="true" applyBorder="true" applyAlignment="false" applyProtection="false">
      <alignment horizontal="general" vertical="bottom" textRotation="0" wrapText="false" indent="0" shrinkToFit="false"/>
      <protection locked="true" hidden="false"/>
    </xf>
    <xf numFmtId="175" fontId="28" fillId="3" borderId="5" xfId="0" applyFont="true" applyBorder="true" applyAlignment="false" applyProtection="false">
      <alignment horizontal="general" vertical="bottom" textRotation="0" wrapText="false" indent="0" shrinkToFit="false"/>
      <protection locked="true" hidden="false"/>
    </xf>
    <xf numFmtId="175" fontId="28" fillId="8" borderId="6" xfId="0" applyFont="true" applyBorder="true" applyAlignment="false" applyProtection="false">
      <alignment horizontal="general" vertical="bottom" textRotation="0" wrapText="false" indent="0" shrinkToFit="false"/>
      <protection locked="true" hidden="false"/>
    </xf>
    <xf numFmtId="175" fontId="37" fillId="3" borderId="0" xfId="0" applyFont="true" applyBorder="false" applyAlignment="true" applyProtection="false">
      <alignment horizontal="left" vertical="bottom" textRotation="0" wrapText="false" indent="0" shrinkToFit="false"/>
      <protection locked="true" hidden="false"/>
    </xf>
    <xf numFmtId="175" fontId="37" fillId="3" borderId="0" xfId="0" applyFont="true" applyBorder="false" applyAlignment="true" applyProtection="false">
      <alignment horizontal="left" vertical="bottom" textRotation="0" wrapText="false" indent="4" shrinkToFit="false"/>
      <protection locked="true" hidden="false"/>
    </xf>
    <xf numFmtId="175" fontId="37" fillId="8" borderId="0" xfId="0" applyFont="true" applyBorder="false" applyAlignment="false" applyProtection="false">
      <alignment horizontal="general" vertical="bottom" textRotation="0" wrapText="false" indent="0" shrinkToFit="false"/>
      <protection locked="true" hidden="false"/>
    </xf>
    <xf numFmtId="175" fontId="37" fillId="3" borderId="0" xfId="0" applyFont="true" applyBorder="false" applyAlignment="false" applyProtection="false">
      <alignment horizontal="general" vertical="bottom" textRotation="0" wrapText="false" indent="0" shrinkToFit="false"/>
      <protection locked="true" hidden="false"/>
    </xf>
    <xf numFmtId="175" fontId="37" fillId="8" borderId="2" xfId="0" applyFont="true" applyBorder="true" applyAlignment="false" applyProtection="false">
      <alignment horizontal="general" vertical="bottom" textRotation="0" wrapText="false" indent="0" shrinkToFit="false"/>
      <protection locked="true" hidden="false"/>
    </xf>
    <xf numFmtId="175" fontId="38" fillId="3" borderId="0" xfId="0" applyFont="true" applyBorder="false" applyAlignment="false" applyProtection="false">
      <alignment horizontal="general" vertical="bottom" textRotation="0" wrapText="false" indent="0" shrinkToFit="false"/>
      <protection locked="true" hidden="false"/>
    </xf>
    <xf numFmtId="175" fontId="38" fillId="0" borderId="0" xfId="0" applyFont="true" applyBorder="false" applyAlignment="false" applyProtection="false">
      <alignment horizontal="general" vertical="bottom" textRotation="0" wrapText="false" indent="0" shrinkToFit="false"/>
      <protection locked="true" hidden="false"/>
    </xf>
    <xf numFmtId="175" fontId="32" fillId="3" borderId="5" xfId="0" applyFont="true" applyBorder="true" applyAlignment="false" applyProtection="false">
      <alignment horizontal="general" vertical="bottom" textRotation="0" wrapText="false" indent="0" shrinkToFit="false"/>
      <protection locked="true" hidden="false"/>
    </xf>
    <xf numFmtId="175" fontId="32" fillId="8" borderId="5" xfId="0" applyFont="true" applyBorder="true" applyAlignment="false" applyProtection="false">
      <alignment horizontal="general" vertical="bottom" textRotation="0" wrapText="false" indent="0" shrinkToFit="false"/>
      <protection locked="true" hidden="false"/>
    </xf>
    <xf numFmtId="177" fontId="0" fillId="3" borderId="0" xfId="0" applyFont="true" applyBorder="false" applyAlignment="true" applyProtection="false">
      <alignment horizontal="left" vertical="bottom" textRotation="0" wrapText="false" indent="1" shrinkToFit="false"/>
      <protection locked="true" hidden="false"/>
    </xf>
    <xf numFmtId="177" fontId="27" fillId="3" borderId="0" xfId="34" applyFont="true" applyBorder="false" applyAlignment="false" applyProtection="false">
      <alignment horizontal="general" vertical="bottom" textRotation="0" wrapText="false" indent="0" shrinkToFit="false"/>
      <protection locked="true" hidden="false"/>
    </xf>
    <xf numFmtId="177" fontId="27" fillId="8" borderId="0" xfId="0" applyFont="true" applyBorder="false" applyAlignment="true" applyProtection="false">
      <alignment horizontal="right" vertical="bottom" textRotation="0" wrapText="false" indent="0" shrinkToFit="false"/>
      <protection locked="true" hidden="false"/>
    </xf>
    <xf numFmtId="177" fontId="0" fillId="8" borderId="0" xfId="0" applyFont="false" applyBorder="false" applyAlignment="true" applyProtection="false">
      <alignment horizontal="right" vertical="bottom" textRotation="0" wrapText="false" indent="0" shrinkToFit="false"/>
      <protection locked="true" hidden="false"/>
    </xf>
    <xf numFmtId="177" fontId="35" fillId="3" borderId="0" xfId="0" applyFont="true" applyBorder="false" applyAlignment="true" applyProtection="false">
      <alignment horizontal="right" vertical="bottom" textRotation="0" wrapText="false" indent="0" shrinkToFit="false"/>
      <protection locked="true" hidden="false"/>
    </xf>
    <xf numFmtId="177" fontId="0" fillId="8" borderId="2" xfId="0" applyFont="false" applyBorder="true" applyAlignment="true" applyProtection="false">
      <alignment horizontal="right" vertical="bottom" textRotation="0" wrapText="false" indent="0" shrinkToFit="false"/>
      <protection locked="true" hidden="false"/>
    </xf>
    <xf numFmtId="177" fontId="27" fillId="3" borderId="0" xfId="0" applyFont="true" applyBorder="false" applyAlignment="true" applyProtection="false">
      <alignment horizontal="right" vertical="bottom" textRotation="0" wrapText="false" indent="0" shrinkToFit="false"/>
      <protection locked="true" hidden="false"/>
    </xf>
    <xf numFmtId="177" fontId="0" fillId="3" borderId="0" xfId="0" applyFont="fals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7" fontId="0" fillId="3" borderId="5" xfId="0" applyFont="true" applyBorder="true" applyAlignment="true" applyProtection="false">
      <alignment horizontal="left" vertical="bottom" textRotation="0" wrapText="false" indent="1" shrinkToFit="false"/>
      <protection locked="true" hidden="false"/>
    </xf>
    <xf numFmtId="177" fontId="27" fillId="3" borderId="5" xfId="34" applyFont="true" applyBorder="true" applyAlignment="false" applyProtection="false">
      <alignment horizontal="general" vertical="bottom" textRotation="0" wrapText="false" indent="0" shrinkToFit="false"/>
      <protection locked="true" hidden="false"/>
    </xf>
    <xf numFmtId="177" fontId="27" fillId="8" borderId="5" xfId="0" applyFont="true" applyBorder="true" applyAlignment="true" applyProtection="false">
      <alignment horizontal="right" vertical="bottom" textRotation="0" wrapText="false" indent="0" shrinkToFit="false"/>
      <protection locked="true" hidden="false"/>
    </xf>
    <xf numFmtId="177" fontId="0" fillId="8" borderId="5" xfId="0" applyFont="false" applyBorder="true" applyAlignment="true" applyProtection="false">
      <alignment horizontal="right" vertical="bottom" textRotation="0" wrapText="false" indent="0" shrinkToFit="false"/>
      <protection locked="true" hidden="false"/>
    </xf>
    <xf numFmtId="177" fontId="35" fillId="3" borderId="5" xfId="0" applyFont="true" applyBorder="true" applyAlignment="true" applyProtection="false">
      <alignment horizontal="right" vertical="bottom" textRotation="0" wrapText="false" indent="0" shrinkToFit="false"/>
      <protection locked="true" hidden="false"/>
    </xf>
    <xf numFmtId="177" fontId="0" fillId="8" borderId="6" xfId="0" applyFont="false" applyBorder="true" applyAlignment="true" applyProtection="false">
      <alignment horizontal="right" vertical="bottom" textRotation="0" wrapText="false" indent="0" shrinkToFit="false"/>
      <protection locked="true" hidden="false"/>
    </xf>
    <xf numFmtId="177" fontId="27" fillId="3" borderId="5" xfId="0" applyFont="true" applyBorder="true" applyAlignment="true" applyProtection="false">
      <alignment horizontal="right" vertical="bottom" textRotation="0" wrapText="false" indent="0" shrinkToFit="false"/>
      <protection locked="true" hidden="false"/>
    </xf>
    <xf numFmtId="177" fontId="30" fillId="3" borderId="3" xfId="0" applyFont="true" applyBorder="true" applyAlignment="true" applyProtection="false">
      <alignment horizontal="left" vertical="bottom" textRotation="0" wrapText="false" indent="0" shrinkToFit="false"/>
      <protection locked="true" hidden="false"/>
    </xf>
    <xf numFmtId="177" fontId="31" fillId="3" borderId="3" xfId="34" applyFont="true" applyBorder="true" applyAlignment="false" applyProtection="false">
      <alignment horizontal="general" vertical="bottom" textRotation="0" wrapText="false" indent="0" shrinkToFit="false"/>
      <protection locked="true" hidden="false"/>
    </xf>
    <xf numFmtId="177" fontId="31" fillId="8" borderId="3" xfId="0" applyFont="true" applyBorder="true" applyAlignment="true" applyProtection="false">
      <alignment horizontal="right" vertical="bottom" textRotation="0" wrapText="false" indent="0" shrinkToFit="false"/>
      <protection locked="true" hidden="false"/>
    </xf>
    <xf numFmtId="177" fontId="30" fillId="8" borderId="3" xfId="0" applyFont="true" applyBorder="true" applyAlignment="true" applyProtection="false">
      <alignment horizontal="right" vertical="bottom" textRotation="0" wrapText="false" indent="0" shrinkToFit="false"/>
      <protection locked="true" hidden="false"/>
    </xf>
    <xf numFmtId="177" fontId="30" fillId="3" borderId="3" xfId="0" applyFont="true" applyBorder="true" applyAlignment="true" applyProtection="false">
      <alignment horizontal="right" vertical="bottom" textRotation="0" wrapText="false" indent="0" shrinkToFit="false"/>
      <protection locked="true" hidden="false"/>
    </xf>
    <xf numFmtId="177" fontId="30" fillId="8" borderId="4" xfId="0" applyFont="true" applyBorder="true" applyAlignment="true" applyProtection="false">
      <alignment horizontal="right" vertical="bottom" textRotation="0" wrapText="false" indent="0" shrinkToFit="false"/>
      <protection locked="true" hidden="false"/>
    </xf>
    <xf numFmtId="177" fontId="31" fillId="3" borderId="3" xfId="0" applyFont="true" applyBorder="true" applyAlignment="true" applyProtection="false">
      <alignment horizontal="right"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4" fontId="27" fillId="3" borderId="0" xfId="0" applyFont="true" applyBorder="false" applyAlignment="true" applyProtection="false">
      <alignment horizontal="left" vertical="bottom" textRotation="0" wrapText="false" indent="0" shrinkToFit="false"/>
      <protection locked="true" hidden="false"/>
    </xf>
    <xf numFmtId="174" fontId="28" fillId="3" borderId="0" xfId="0" applyFont="true" applyBorder="false" applyAlignment="true" applyProtection="false">
      <alignment horizontal="left" vertical="bottom" textRotation="0" wrapText="false" indent="1" shrinkToFit="false"/>
      <protection locked="true" hidden="false"/>
    </xf>
    <xf numFmtId="174" fontId="28" fillId="3" borderId="0" xfId="34" applyFont="true" applyBorder="false" applyAlignment="false" applyProtection="false">
      <alignment horizontal="general" vertical="bottom" textRotation="0" wrapText="false" indent="0" shrinkToFit="false"/>
      <protection locked="true" hidden="false"/>
    </xf>
    <xf numFmtId="176" fontId="27" fillId="3" borderId="0" xfId="0" applyFont="true" applyBorder="false" applyAlignment="true" applyProtection="false">
      <alignment horizontal="left" vertical="bottom" textRotation="0" wrapText="false" indent="0" shrinkToFit="false"/>
      <protection locked="true" hidden="false"/>
    </xf>
    <xf numFmtId="176" fontId="27" fillId="3" borderId="0" xfId="0" applyFont="true" applyBorder="false" applyAlignment="true" applyProtection="false">
      <alignment horizontal="left" vertical="bottom" textRotation="0" wrapText="false" indent="4" shrinkToFit="false"/>
      <protection locked="true" hidden="false"/>
    </xf>
    <xf numFmtId="176" fontId="27" fillId="8" borderId="0" xfId="0" applyFont="true" applyBorder="false" applyAlignment="false" applyProtection="false">
      <alignment horizontal="general" vertical="bottom" textRotation="0" wrapText="false" indent="0" shrinkToFit="false"/>
      <protection locked="true" hidden="false"/>
    </xf>
    <xf numFmtId="176" fontId="27" fillId="3" borderId="0" xfId="0" applyFont="true" applyBorder="false" applyAlignment="false" applyProtection="false">
      <alignment horizontal="general" vertical="bottom" textRotation="0" wrapText="false" indent="0" shrinkToFit="false"/>
      <protection locked="true" hidden="false"/>
    </xf>
    <xf numFmtId="176" fontId="35" fillId="3" borderId="0" xfId="0" applyFont="true" applyBorder="false" applyAlignment="false" applyProtection="false">
      <alignment horizontal="general" vertical="bottom" textRotation="0" wrapText="false" indent="0" shrinkToFit="false"/>
      <protection locked="true" hidden="false"/>
    </xf>
    <xf numFmtId="176" fontId="35" fillId="8" borderId="0" xfId="0" applyFont="true" applyBorder="false" applyAlignment="false" applyProtection="false">
      <alignment horizontal="general" vertical="bottom" textRotation="0" wrapText="false" indent="0" shrinkToFit="false"/>
      <protection locked="true" hidden="false"/>
    </xf>
    <xf numFmtId="176" fontId="27" fillId="8" borderId="2" xfId="0" applyFont="true" applyBorder="true" applyAlignment="false" applyProtection="false">
      <alignment horizontal="general" vertical="bottom" textRotation="0" wrapText="false" indent="0" shrinkToFit="false"/>
      <protection locked="true" hidden="false"/>
    </xf>
    <xf numFmtId="174" fontId="34" fillId="9" borderId="0" xfId="0" applyFont="true" applyBorder="false" applyAlignment="false" applyProtection="false">
      <alignment horizontal="general" vertical="bottom" textRotation="0" wrapText="false" indent="0" shrinkToFit="false"/>
      <protection locked="true" hidden="false"/>
    </xf>
    <xf numFmtId="174" fontId="34" fillId="9" borderId="2" xfId="0" applyFont="true" applyBorder="true" applyAlignment="false" applyProtection="false">
      <alignment horizontal="general" vertical="bottom" textRotation="0" wrapText="false" indent="0" shrinkToFit="false"/>
      <protection locked="true" hidden="false"/>
    </xf>
    <xf numFmtId="174" fontId="30" fillId="3" borderId="0" xfId="0" applyFont="true" applyBorder="false" applyAlignment="true" applyProtection="false">
      <alignment horizontal="left" vertical="bottom" textRotation="0" wrapText="false" indent="0" shrinkToFit="false"/>
      <protection locked="true" hidden="false"/>
    </xf>
    <xf numFmtId="174" fontId="31" fillId="3" borderId="0" xfId="34" applyFont="true" applyBorder="false" applyAlignment="false" applyProtection="false">
      <alignment horizontal="general" vertical="bottom" textRotation="0" wrapText="false" indent="0" shrinkToFit="false"/>
      <protection locked="true" hidden="false"/>
    </xf>
    <xf numFmtId="174" fontId="31" fillId="8" borderId="0" xfId="0" applyFont="true" applyBorder="false" applyAlignment="true" applyProtection="false">
      <alignment horizontal="right" vertical="bottom" textRotation="0" wrapText="false" indent="0" shrinkToFit="false"/>
      <protection locked="true" hidden="false"/>
    </xf>
    <xf numFmtId="174" fontId="31" fillId="3" borderId="0" xfId="0" applyFont="true" applyBorder="false" applyAlignment="true" applyProtection="false">
      <alignment horizontal="right" vertical="bottom" textRotation="0" wrapText="false" indent="0" shrinkToFit="false"/>
      <protection locked="true" hidden="false"/>
    </xf>
    <xf numFmtId="174" fontId="31" fillId="8" borderId="2" xfId="0" applyFont="true" applyBorder="true" applyAlignment="true" applyProtection="false">
      <alignment horizontal="right" vertical="bottom" textRotation="0" wrapText="false" indent="0" shrinkToFit="false"/>
      <protection locked="true" hidden="false"/>
    </xf>
    <xf numFmtId="174" fontId="0" fillId="3" borderId="5" xfId="0" applyFont="true" applyBorder="true" applyAlignment="true" applyProtection="false">
      <alignment horizontal="left" vertical="bottom" textRotation="0" wrapText="false" indent="1" shrinkToFit="false"/>
      <protection locked="true" hidden="false"/>
    </xf>
    <xf numFmtId="174" fontId="27" fillId="3" borderId="5" xfId="34" applyFont="true" applyBorder="true" applyAlignment="false" applyProtection="false">
      <alignment horizontal="general" vertical="bottom" textRotation="0" wrapText="false" indent="0" shrinkToFit="false"/>
      <protection locked="true" hidden="false"/>
    </xf>
    <xf numFmtId="174" fontId="27" fillId="8" borderId="5" xfId="0" applyFont="true" applyBorder="true" applyAlignment="true" applyProtection="false">
      <alignment horizontal="right" vertical="bottom" textRotation="0" wrapText="false" indent="0" shrinkToFit="false"/>
      <protection locked="true" hidden="false"/>
    </xf>
    <xf numFmtId="174" fontId="27" fillId="3" borderId="5" xfId="0" applyFont="true" applyBorder="true" applyAlignment="true" applyProtection="false">
      <alignment horizontal="right" vertical="bottom" textRotation="0" wrapText="false" indent="0" shrinkToFit="false"/>
      <protection locked="true" hidden="false"/>
    </xf>
    <xf numFmtId="174" fontId="27" fillId="8" borderId="6" xfId="0" applyFont="true" applyBorder="true" applyAlignment="true" applyProtection="false">
      <alignment horizontal="right" vertical="bottom" textRotation="0" wrapText="false" indent="0" shrinkToFit="false"/>
      <protection locked="true" hidden="false"/>
    </xf>
    <xf numFmtId="175" fontId="27" fillId="3" borderId="0" xfId="0" applyFont="true" applyBorder="false" applyAlignment="true" applyProtection="false">
      <alignment horizontal="left" vertical="bottom" textRotation="0" wrapText="false" indent="0" shrinkToFit="false"/>
      <protection locked="true" hidden="false"/>
    </xf>
    <xf numFmtId="175" fontId="27" fillId="3" borderId="0" xfId="34" applyFont="true" applyBorder="false" applyAlignment="false" applyProtection="false">
      <alignment horizontal="general" vertical="bottom" textRotation="0" wrapText="false" indent="0" shrinkToFit="false"/>
      <protection locked="true" hidden="false"/>
    </xf>
    <xf numFmtId="175" fontId="27" fillId="8" borderId="0" xfId="0" applyFont="true" applyBorder="false" applyAlignment="true" applyProtection="false">
      <alignment horizontal="right" vertical="bottom" textRotation="0" wrapText="false" indent="0" shrinkToFit="false"/>
      <protection locked="true" hidden="false"/>
    </xf>
    <xf numFmtId="175" fontId="27" fillId="3" borderId="0" xfId="0" applyFont="true" applyBorder="false" applyAlignment="true" applyProtection="false">
      <alignment horizontal="right" vertical="bottom" textRotation="0" wrapText="false" indent="0" shrinkToFit="false"/>
      <protection locked="true" hidden="false"/>
    </xf>
    <xf numFmtId="175" fontId="27" fillId="8" borderId="2" xfId="0" applyFont="true" applyBorder="true" applyAlignment="true" applyProtection="false">
      <alignment horizontal="right" vertical="bottom" textRotation="0" wrapText="false" indent="0" shrinkToFit="false"/>
      <protection locked="true" hidden="false"/>
    </xf>
    <xf numFmtId="175" fontId="0" fillId="3"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6" fontId="27" fillId="3" borderId="0" xfId="0" applyFont="true" applyBorder="false" applyAlignment="true" applyProtection="false">
      <alignment horizontal="left" vertical="bottom" textRotation="0" wrapText="false" indent="1" shrinkToFit="false"/>
      <protection locked="true" hidden="false"/>
    </xf>
    <xf numFmtId="174" fontId="0" fillId="3" borderId="0" xfId="0" applyFont="true" applyBorder="false" applyAlignment="true" applyProtection="false">
      <alignment horizontal="left" vertical="bottom" textRotation="0" wrapText="false" indent="0" shrinkToFit="false"/>
      <protection locked="true" hidden="false"/>
    </xf>
    <xf numFmtId="175" fontId="36" fillId="3" borderId="0" xfId="0" applyFont="true" applyBorder="false" applyAlignment="true" applyProtection="false">
      <alignment horizontal="left" vertical="bottom" textRotation="0" wrapText="false" indent="1" shrinkToFit="false"/>
      <protection locked="true" hidden="false"/>
    </xf>
    <xf numFmtId="175" fontId="0" fillId="3" borderId="0" xfId="0" applyFont="true" applyBorder="false" applyAlignment="true" applyProtection="false">
      <alignment horizontal="left" vertical="bottom" textRotation="0" wrapText="false" indent="0" shrinkToFit="false"/>
      <protection locked="true" hidden="false"/>
    </xf>
    <xf numFmtId="176" fontId="0" fillId="3" borderId="0" xfId="0" applyFont="true" applyBorder="false" applyAlignment="true" applyProtection="false">
      <alignment horizontal="left" vertical="bottom" textRotation="0" wrapText="false" indent="1" shrinkToFit="false"/>
      <protection locked="true" hidden="false"/>
    </xf>
    <xf numFmtId="174" fontId="35" fillId="3" borderId="0" xfId="0" applyFont="true" applyBorder="false" applyAlignment="true" applyProtection="false">
      <alignment horizontal="right" vertical="bottom" textRotation="0" wrapText="false" indent="0" shrinkToFit="false"/>
      <protection locked="true" hidden="false"/>
    </xf>
    <xf numFmtId="174" fontId="30" fillId="3" borderId="3" xfId="0" applyFont="true" applyBorder="true" applyAlignment="true" applyProtection="false">
      <alignment horizontal="left" vertical="bottom" textRotation="0" wrapText="false" indent="0" shrinkToFit="false"/>
      <protection locked="true" hidden="false"/>
    </xf>
    <xf numFmtId="174" fontId="36" fillId="3" borderId="0" xfId="0" applyFont="true" applyBorder="false" applyAlignment="true" applyProtection="false">
      <alignment horizontal="left" vertical="bottom" textRotation="0" wrapText="false" indent="1" shrinkToFit="false"/>
      <protection locked="true" hidden="false"/>
    </xf>
    <xf numFmtId="174" fontId="28" fillId="8" borderId="0" xfId="0" applyFont="true" applyBorder="false" applyAlignment="true" applyProtection="false">
      <alignment horizontal="right" vertical="bottom" textRotation="0" wrapText="false" indent="0" shrinkToFit="false"/>
      <protection locked="true" hidden="false"/>
    </xf>
    <xf numFmtId="174" fontId="28" fillId="3" borderId="0" xfId="0" applyFont="true" applyBorder="false" applyAlignment="true" applyProtection="false">
      <alignment horizontal="right" vertical="bottom" textRotation="0" wrapText="false" indent="0" shrinkToFit="false"/>
      <protection locked="true" hidden="false"/>
    </xf>
    <xf numFmtId="174" fontId="28" fillId="8" borderId="2" xfId="0" applyFont="true" applyBorder="true" applyAlignment="true" applyProtection="false">
      <alignment horizontal="right" vertical="bottom" textRotation="0" wrapText="false" indent="0" shrinkToFit="false"/>
      <protection locked="true" hidden="false"/>
    </xf>
    <xf numFmtId="174" fontId="36" fillId="3" borderId="0" xfId="0" applyFont="true" applyBorder="false" applyAlignment="false" applyProtection="false">
      <alignment horizontal="general" vertical="bottom" textRotation="0" wrapText="false" indent="0" shrinkToFit="false"/>
      <protection locked="true" hidden="false"/>
    </xf>
    <xf numFmtId="174" fontId="36" fillId="0" borderId="0" xfId="0" applyFont="true" applyBorder="false" applyAlignment="false" applyProtection="false">
      <alignment horizontal="general" vertical="bottom" textRotation="0" wrapText="false" indent="0" shrinkToFit="false"/>
      <protection locked="true" hidden="false"/>
    </xf>
    <xf numFmtId="174" fontId="27" fillId="3" borderId="5" xfId="0" applyFont="true" applyBorder="true" applyAlignment="true" applyProtection="false">
      <alignment horizontal="left" vertical="bottom" textRotation="0" wrapText="false" indent="1" shrinkToFit="false"/>
      <protection locked="true" hidden="false"/>
    </xf>
    <xf numFmtId="174" fontId="31" fillId="3" borderId="0" xfId="0" applyFont="true" applyBorder="false" applyAlignment="true" applyProtection="false">
      <alignment horizontal="left" vertical="bottom" textRotation="0" wrapText="false" indent="0" shrinkToFit="false"/>
      <protection locked="true" hidden="false"/>
    </xf>
    <xf numFmtId="174" fontId="27" fillId="3" borderId="0" xfId="0" applyFont="true" applyBorder="false" applyAlignment="true" applyProtection="false">
      <alignment horizontal="left" vertical="bottom" textRotation="0" wrapText="false" indent="2" shrinkToFit="false"/>
      <protection locked="true" hidden="false"/>
    </xf>
    <xf numFmtId="174" fontId="27" fillId="3" borderId="0" xfId="0" applyFont="true" applyBorder="false" applyAlignment="true" applyProtection="false">
      <alignment horizontal="left" vertical="bottom" textRotation="0" wrapText="false" indent="3" shrinkToFit="false"/>
      <protection locked="true" hidden="false"/>
    </xf>
    <xf numFmtId="174" fontId="35" fillId="8" borderId="0" xfId="0" applyFont="true" applyBorder="false" applyAlignment="false" applyProtection="false">
      <alignment horizontal="general" vertical="bottom" textRotation="0" wrapText="false" indent="0" shrinkToFit="false"/>
      <protection locked="true" hidden="false"/>
    </xf>
    <xf numFmtId="174" fontId="27" fillId="3" borderId="5" xfId="0" applyFont="true" applyBorder="true" applyAlignment="true" applyProtection="false">
      <alignment horizontal="left" vertical="bottom" textRotation="0" wrapText="false" indent="2" shrinkToFit="false"/>
      <protection locked="true" hidden="false"/>
    </xf>
    <xf numFmtId="174" fontId="27" fillId="3" borderId="5" xfId="0" applyFont="true" applyBorder="true" applyAlignment="true" applyProtection="false">
      <alignment horizontal="left" vertical="bottom" textRotation="0" wrapText="false" indent="3" shrinkToFit="false"/>
      <protection locked="true" hidden="false"/>
    </xf>
    <xf numFmtId="174" fontId="35" fillId="8" borderId="5" xfId="0" applyFont="true" applyBorder="true" applyAlignment="false" applyProtection="false">
      <alignment horizontal="general" vertical="bottom" textRotation="0" wrapText="false" indent="0" shrinkToFit="false"/>
      <protection locked="true" hidden="false"/>
    </xf>
    <xf numFmtId="174" fontId="27" fillId="3" borderId="5" xfId="0" applyFont="true" applyBorder="true" applyAlignment="false" applyProtection="false">
      <alignment horizontal="general" vertical="bottom" textRotation="0" wrapText="false" indent="0" shrinkToFit="false"/>
      <protection locked="true" hidden="false"/>
    </xf>
    <xf numFmtId="174" fontId="27" fillId="8" borderId="6" xfId="0" applyFont="true" applyBorder="true" applyAlignment="false" applyProtection="false">
      <alignment horizontal="general" vertical="bottom" textRotation="0" wrapText="false" indent="0" shrinkToFit="false"/>
      <protection locked="true" hidden="false"/>
    </xf>
    <xf numFmtId="174" fontId="27" fillId="8" borderId="5" xfId="0" applyFont="true" applyBorder="true" applyAlignment="false" applyProtection="false">
      <alignment horizontal="general" vertical="bottom" textRotation="0" wrapText="false" indent="0" shrinkToFit="false"/>
      <protection locked="true" hidden="false"/>
    </xf>
    <xf numFmtId="174" fontId="0" fillId="8" borderId="0" xfId="0" applyFont="false" applyBorder="false" applyAlignment="false" applyProtection="false">
      <alignment horizontal="general" vertical="bottom" textRotation="0" wrapText="false" indent="0" shrinkToFit="false"/>
      <protection locked="true" hidden="false"/>
    </xf>
    <xf numFmtId="174" fontId="35" fillId="3" borderId="0" xfId="0" applyFont="true" applyBorder="false" applyAlignment="false" applyProtection="false">
      <alignment horizontal="general" vertical="bottom" textRotation="0" wrapText="false" indent="0" shrinkToFit="false"/>
      <protection locked="true" hidden="false"/>
    </xf>
    <xf numFmtId="174" fontId="0" fillId="8" borderId="2" xfId="0" applyFont="false" applyBorder="true" applyAlignment="false" applyProtection="false">
      <alignment horizontal="general" vertical="bottom" textRotation="0" wrapText="false" indent="0" shrinkToFit="false"/>
      <protection locked="true" hidden="false"/>
    </xf>
    <xf numFmtId="174" fontId="35" fillId="3" borderId="5" xfId="0" applyFont="true" applyBorder="true" applyAlignment="false" applyProtection="false">
      <alignment horizontal="general" vertical="bottom" textRotation="0" wrapText="false" indent="0" shrinkToFit="false"/>
      <protection locked="true" hidden="false"/>
    </xf>
    <xf numFmtId="174" fontId="31" fillId="3" borderId="0" xfId="0" applyFont="true" applyBorder="false" applyAlignment="true" applyProtection="false">
      <alignment horizontal="left" vertical="bottom" textRotation="0" wrapText="false" indent="3" shrinkToFit="false"/>
      <protection locked="true" hidden="false"/>
    </xf>
    <xf numFmtId="174" fontId="31" fillId="8" borderId="0" xfId="0" applyFont="true" applyBorder="false" applyAlignment="false" applyProtection="false">
      <alignment horizontal="general" vertical="bottom" textRotation="0" wrapText="false" indent="0" shrinkToFit="false"/>
      <protection locked="true" hidden="false"/>
    </xf>
    <xf numFmtId="174" fontId="31" fillId="3" borderId="0" xfId="0" applyFont="true" applyBorder="false" applyAlignment="false" applyProtection="false">
      <alignment horizontal="general" vertical="bottom" textRotation="0" wrapText="false" indent="0" shrinkToFit="false"/>
      <protection locked="true" hidden="false"/>
    </xf>
    <xf numFmtId="174" fontId="31" fillId="8" borderId="2" xfId="0" applyFont="true" applyBorder="true" applyAlignment="false" applyProtection="false">
      <alignment horizontal="general" vertical="bottom" textRotation="0" wrapText="false" indent="0" shrinkToFit="false"/>
      <protection locked="true" hidden="false"/>
    </xf>
    <xf numFmtId="174" fontId="0" fillId="3" borderId="0" xfId="0" applyFont="true" applyBorder="false" applyAlignment="true" applyProtection="false">
      <alignment horizontal="left" vertical="bottom" textRotation="0" wrapText="false" indent="1" shrinkToFit="false"/>
      <protection locked="true" hidden="false"/>
    </xf>
    <xf numFmtId="174" fontId="0" fillId="8" borderId="2" xfId="0" applyFont="false" applyBorder="true" applyAlignment="true" applyProtection="false">
      <alignment horizontal="right" vertical="bottom" textRotation="0" wrapText="false" indent="0" shrinkToFit="false"/>
      <protection locked="true" hidden="false"/>
    </xf>
    <xf numFmtId="174" fontId="30" fillId="8" borderId="3" xfId="0" applyFont="true" applyBorder="true" applyAlignment="true" applyProtection="false">
      <alignment horizontal="right" vertical="bottom" textRotation="0" wrapText="false" indent="0" shrinkToFit="false"/>
      <protection locked="true" hidden="false"/>
    </xf>
    <xf numFmtId="174" fontId="30" fillId="8" borderId="4" xfId="0" applyFont="true" applyBorder="true" applyAlignment="true" applyProtection="false">
      <alignment horizontal="right" vertical="bottom" textRotation="0" wrapText="false" indent="0" shrinkToFit="false"/>
      <protection locked="true" hidden="false"/>
    </xf>
    <xf numFmtId="177" fontId="27" fillId="3" borderId="0" xfId="0" applyFont="true" applyBorder="false" applyAlignment="true" applyProtection="false">
      <alignment horizontal="left" vertical="bottom" textRotation="0" wrapText="false" indent="1" shrinkToFit="false"/>
      <protection locked="true" hidden="false"/>
    </xf>
    <xf numFmtId="177" fontId="27" fillId="8" borderId="2" xfId="0" applyFont="true" applyBorder="true" applyAlignment="true" applyProtection="false">
      <alignment horizontal="right" vertical="bottom" textRotation="0" wrapText="false" indent="0" shrinkToFit="false"/>
      <protection locked="true" hidden="false"/>
    </xf>
    <xf numFmtId="177" fontId="27" fillId="3" borderId="5" xfId="0" applyFont="true" applyBorder="true" applyAlignment="true" applyProtection="false">
      <alignment horizontal="left" vertical="bottom" textRotation="0" wrapText="false" indent="1" shrinkToFit="false"/>
      <protection locked="true" hidden="false"/>
    </xf>
    <xf numFmtId="177" fontId="27" fillId="8" borderId="6" xfId="0" applyFont="true" applyBorder="true" applyAlignment="true" applyProtection="false">
      <alignment horizontal="right" vertical="bottom" textRotation="0" wrapText="false" indent="0" shrinkToFit="false"/>
      <protection locked="true" hidden="false"/>
    </xf>
    <xf numFmtId="177" fontId="31" fillId="3" borderId="0" xfId="0" applyFont="true" applyBorder="false" applyAlignment="true" applyProtection="false">
      <alignment horizontal="left" vertical="bottom" textRotation="0" wrapText="false" indent="0" shrinkToFit="false"/>
      <protection locked="true" hidden="false"/>
    </xf>
    <xf numFmtId="177" fontId="31" fillId="3" borderId="0" xfId="34" applyFont="true" applyBorder="false" applyAlignment="false" applyProtection="false">
      <alignment horizontal="general" vertical="bottom" textRotation="0" wrapText="false" indent="0" shrinkToFit="false"/>
      <protection locked="true" hidden="false"/>
    </xf>
    <xf numFmtId="177" fontId="31" fillId="8" borderId="0" xfId="0" applyFont="true" applyBorder="false" applyAlignment="true" applyProtection="false">
      <alignment horizontal="right" vertical="bottom" textRotation="0" wrapText="false" indent="0" shrinkToFit="false"/>
      <protection locked="true" hidden="false"/>
    </xf>
    <xf numFmtId="177" fontId="31" fillId="3" borderId="0" xfId="0" applyFont="true" applyBorder="false" applyAlignment="true" applyProtection="false">
      <alignment horizontal="right" vertical="bottom" textRotation="0" wrapText="false" indent="0" shrinkToFit="false"/>
      <protection locked="true" hidden="false"/>
    </xf>
    <xf numFmtId="177" fontId="31" fillId="8" borderId="2" xfId="0" applyFont="true" applyBorder="true" applyAlignment="true" applyProtection="false">
      <alignment horizontal="right" vertical="bottom" textRotation="0" wrapText="false" indent="0" shrinkToFit="false"/>
      <protection locked="true" hidden="false"/>
    </xf>
    <xf numFmtId="177" fontId="27" fillId="3" borderId="0" xfId="0" applyFont="true" applyBorder="false" applyAlignment="true" applyProtection="false">
      <alignment horizontal="left" vertical="bottom" textRotation="0" wrapText="false" indent="4" shrinkToFit="false"/>
      <protection locked="true" hidden="false"/>
    </xf>
    <xf numFmtId="177" fontId="27" fillId="8" borderId="0" xfId="0" applyFont="true" applyBorder="false" applyAlignment="false" applyProtection="false">
      <alignment horizontal="general" vertical="bottom" textRotation="0" wrapText="false" indent="0" shrinkToFit="false"/>
      <protection locked="true" hidden="false"/>
    </xf>
    <xf numFmtId="177" fontId="35" fillId="3" borderId="0" xfId="0" applyFont="true" applyBorder="false" applyAlignment="false" applyProtection="false">
      <alignment horizontal="general" vertical="bottom" textRotation="0" wrapText="false" indent="0" shrinkToFit="false"/>
      <protection locked="true" hidden="false"/>
    </xf>
    <xf numFmtId="177" fontId="35" fillId="8" borderId="0" xfId="0" applyFont="true" applyBorder="false" applyAlignment="false" applyProtection="false">
      <alignment horizontal="general" vertical="bottom" textRotation="0" wrapText="false" indent="0" shrinkToFit="false"/>
      <protection locked="true" hidden="false"/>
    </xf>
    <xf numFmtId="177" fontId="35" fillId="8" borderId="2" xfId="0" applyFont="true" applyBorder="true" applyAlignment="false" applyProtection="false">
      <alignment horizontal="general"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77" fontId="27" fillId="8" borderId="2" xfId="0" applyFont="true" applyBorder="true" applyAlignment="false" applyProtection="false">
      <alignment horizontal="general" vertical="bottom" textRotation="0" wrapText="false" indent="0" shrinkToFit="false"/>
      <protection locked="true" hidden="false"/>
    </xf>
    <xf numFmtId="177" fontId="31" fillId="3" borderId="3" xfId="0" applyFont="true" applyBorder="true" applyAlignment="true" applyProtection="false">
      <alignment horizontal="left" vertical="bottom" textRotation="0" wrapText="false" indent="4" shrinkToFit="false"/>
      <protection locked="true" hidden="false"/>
    </xf>
    <xf numFmtId="177" fontId="31" fillId="8" borderId="3" xfId="0" applyFont="true" applyBorder="true" applyAlignment="false" applyProtection="false">
      <alignment horizontal="general" vertical="bottom" textRotation="0" wrapText="false" indent="0" shrinkToFit="false"/>
      <protection locked="true" hidden="false"/>
    </xf>
    <xf numFmtId="177" fontId="30" fillId="3" borderId="3" xfId="0" applyFont="true" applyBorder="true" applyAlignment="false" applyProtection="false">
      <alignment horizontal="general" vertical="bottom" textRotation="0" wrapText="false" indent="0" shrinkToFit="false"/>
      <protection locked="true" hidden="false"/>
    </xf>
    <xf numFmtId="177" fontId="30" fillId="8" borderId="3" xfId="0" applyFont="true" applyBorder="true" applyAlignment="false" applyProtection="false">
      <alignment horizontal="general" vertical="bottom" textRotation="0" wrapText="false" indent="0" shrinkToFit="false"/>
      <protection locked="true" hidden="false"/>
    </xf>
    <xf numFmtId="177" fontId="30" fillId="8" borderId="4" xfId="0" applyFont="true" applyBorder="true" applyAlignment="false" applyProtection="false">
      <alignment horizontal="general" vertical="bottom" textRotation="0" wrapText="false" indent="0" shrinkToFit="false"/>
      <protection locked="true" hidden="false"/>
    </xf>
    <xf numFmtId="177" fontId="31" fillId="3" borderId="3" xfId="0" applyFont="true" applyBorder="true" applyAlignment="false" applyProtection="false">
      <alignment horizontal="general" vertical="bottom" textRotation="0" wrapText="false" indent="0" shrinkToFit="false"/>
      <protection locked="true" hidden="false"/>
    </xf>
    <xf numFmtId="176" fontId="0" fillId="8" borderId="0" xfId="0" applyFont="false" applyBorder="false" applyAlignment="true" applyProtection="false">
      <alignment horizontal="right" vertical="bottom" textRotation="0" wrapText="false" indent="0" shrinkToFit="false"/>
      <protection locked="true" hidden="false"/>
    </xf>
    <xf numFmtId="176" fontId="0" fillId="3" borderId="0" xfId="0" applyFont="false" applyBorder="false" applyAlignment="true" applyProtection="false">
      <alignment horizontal="right" vertical="bottom" textRotation="0" wrapText="false" indent="0" shrinkToFit="false"/>
      <protection locked="true" hidden="false"/>
    </xf>
    <xf numFmtId="176" fontId="0" fillId="3" borderId="0" xfId="0" applyFont="true" applyBorder="false" applyAlignment="true" applyProtection="false">
      <alignment horizontal="left" vertical="bottom" textRotation="0" wrapText="false" indent="2" shrinkToFit="false"/>
      <protection locked="true" hidden="false"/>
    </xf>
    <xf numFmtId="176" fontId="0" fillId="3" borderId="5" xfId="0" applyFont="true" applyBorder="true" applyAlignment="true" applyProtection="false">
      <alignment horizontal="left" vertical="bottom" textRotation="0" wrapText="false" indent="2" shrinkToFit="false"/>
      <protection locked="true" hidden="false"/>
    </xf>
    <xf numFmtId="176" fontId="0" fillId="8" borderId="5" xfId="0" applyFont="false" applyBorder="true" applyAlignment="true" applyProtection="false">
      <alignment horizontal="right" vertical="bottom" textRotation="0" wrapText="false" indent="0" shrinkToFit="false"/>
      <protection locked="true" hidden="false"/>
    </xf>
    <xf numFmtId="176" fontId="27" fillId="8" borderId="6" xfId="0" applyFont="true" applyBorder="true" applyAlignment="true" applyProtection="false">
      <alignment horizontal="right" vertical="bottom" textRotation="0" wrapText="false" indent="0" shrinkToFit="false"/>
      <protection locked="true" hidden="false"/>
    </xf>
    <xf numFmtId="176" fontId="0" fillId="3" borderId="3" xfId="0" applyFont="true" applyBorder="true" applyAlignment="true" applyProtection="false">
      <alignment horizontal="left" vertical="bottom" textRotation="0" wrapText="false" indent="1" shrinkToFit="false"/>
      <protection locked="true" hidden="false"/>
    </xf>
    <xf numFmtId="176" fontId="0" fillId="8" borderId="3" xfId="0" applyFont="false" applyBorder="true" applyAlignment="true" applyProtection="false">
      <alignment horizontal="right" vertical="bottom" textRotation="0" wrapText="false" indent="0" shrinkToFit="false"/>
      <protection locked="true" hidden="false"/>
    </xf>
    <xf numFmtId="176" fontId="0" fillId="3" borderId="3" xfId="0" applyFont="false" applyBorder="true" applyAlignment="true" applyProtection="false">
      <alignment horizontal="right" vertical="bottom" textRotation="0" wrapText="false" indent="0" shrinkToFit="false"/>
      <protection locked="true" hidden="false"/>
    </xf>
    <xf numFmtId="176" fontId="0" fillId="3" borderId="5" xfId="0" applyFont="true" applyBorder="true" applyAlignment="true" applyProtection="false">
      <alignment horizontal="left" vertical="bottom" textRotation="0" wrapText="false" indent="1" shrinkToFit="false"/>
      <protection locked="true" hidden="false"/>
    </xf>
    <xf numFmtId="176" fontId="0" fillId="3" borderId="5" xfId="0" applyFont="false" applyBorder="true" applyAlignment="true" applyProtection="false">
      <alignment horizontal="right" vertical="bottom" textRotation="0" wrapText="false" indent="0" shrinkToFit="false"/>
      <protection locked="true" hidden="false"/>
    </xf>
    <xf numFmtId="176" fontId="30" fillId="3" borderId="3" xfId="0" applyFont="true" applyBorder="true" applyAlignment="true" applyProtection="false">
      <alignment horizontal="left" vertical="bottom" textRotation="0" wrapText="false" indent="0" shrinkToFit="false"/>
      <protection locked="true" hidden="false"/>
    </xf>
    <xf numFmtId="176" fontId="30" fillId="8" borderId="3" xfId="0" applyFont="true" applyBorder="true" applyAlignment="true" applyProtection="false">
      <alignment horizontal="right" vertical="bottom" textRotation="0" wrapText="false" indent="0" shrinkToFit="false"/>
      <protection locked="true" hidden="false"/>
    </xf>
    <xf numFmtId="176" fontId="30" fillId="3" borderId="3" xfId="0" applyFont="true" applyBorder="true" applyAlignment="true" applyProtection="false">
      <alignment horizontal="right" vertical="bottom" textRotation="0" wrapText="false" indent="0" shrinkToFit="false"/>
      <protection locked="true" hidden="false"/>
    </xf>
    <xf numFmtId="176" fontId="33" fillId="3" borderId="3" xfId="0" applyFont="true" applyBorder="true" applyAlignment="true" applyProtection="false">
      <alignment horizontal="right" vertical="bottom" textRotation="0" wrapText="false" indent="0" shrinkToFit="false"/>
      <protection locked="true" hidden="false"/>
    </xf>
    <xf numFmtId="176" fontId="30" fillId="8" borderId="4" xfId="0" applyFont="true" applyBorder="true" applyAlignment="true" applyProtection="false">
      <alignment horizontal="right" vertical="bottom" textRotation="0" wrapText="false" indent="0" shrinkToFit="false"/>
      <protection locked="true" hidden="false"/>
    </xf>
    <xf numFmtId="176" fontId="0" fillId="8" borderId="2" xfId="0" applyFont="false" applyBorder="true" applyAlignment="true" applyProtection="false">
      <alignment horizontal="right" vertical="bottom" textRotation="0" wrapText="false" indent="0" shrinkToFit="false"/>
      <protection locked="true" hidden="false"/>
    </xf>
    <xf numFmtId="176" fontId="0" fillId="8" borderId="4" xfId="0" applyFont="false" applyBorder="true" applyAlignment="true" applyProtection="false">
      <alignment horizontal="right" vertical="bottom" textRotation="0" wrapText="false" indent="0" shrinkToFit="false"/>
      <protection locked="true" hidden="false"/>
    </xf>
    <xf numFmtId="176" fontId="0" fillId="8" borderId="6" xfId="0" applyFont="false" applyBorder="true" applyAlignment="true" applyProtection="false">
      <alignment horizontal="right" vertical="bottom" textRotation="0" wrapText="false" indent="0" shrinkToFit="false"/>
      <protection locked="true" hidden="false"/>
    </xf>
    <xf numFmtId="175" fontId="0" fillId="3" borderId="0" xfId="0" applyFont="true" applyBorder="false" applyAlignment="true" applyProtection="false">
      <alignment horizontal="left" vertical="bottom" textRotation="0" wrapText="false" indent="1" shrinkToFit="false"/>
      <protection locked="true" hidden="false"/>
    </xf>
    <xf numFmtId="175" fontId="0" fillId="3" borderId="0" xfId="0" applyFont="false" applyBorder="false" applyAlignment="true" applyProtection="false">
      <alignment horizontal="right" vertical="bottom" textRotation="0" wrapText="false" indent="0" shrinkToFit="false"/>
      <protection locked="true" hidden="false"/>
    </xf>
    <xf numFmtId="175" fontId="0" fillId="8" borderId="0" xfId="0" applyFont="false" applyBorder="false" applyAlignment="true" applyProtection="false">
      <alignment horizontal="right" vertical="bottom" textRotation="0" wrapText="false" indent="0" shrinkToFit="false"/>
      <protection locked="true" hidden="false"/>
    </xf>
    <xf numFmtId="175" fontId="0" fillId="3" borderId="5" xfId="0" applyFont="true" applyBorder="true" applyAlignment="true" applyProtection="false">
      <alignment horizontal="left" vertical="bottom" textRotation="0" wrapText="false" indent="1" shrinkToFit="false"/>
      <protection locked="true" hidden="false"/>
    </xf>
    <xf numFmtId="175" fontId="27" fillId="3" borderId="5" xfId="34" applyFont="true" applyBorder="true" applyAlignment="false" applyProtection="false">
      <alignment horizontal="general" vertical="bottom" textRotation="0" wrapText="false" indent="0" shrinkToFit="false"/>
      <protection locked="true" hidden="false"/>
    </xf>
    <xf numFmtId="175" fontId="27" fillId="8" borderId="5" xfId="0" applyFont="true" applyBorder="true" applyAlignment="true" applyProtection="false">
      <alignment horizontal="right" vertical="bottom" textRotation="0" wrapText="false" indent="0" shrinkToFit="false"/>
      <protection locked="true" hidden="false"/>
    </xf>
    <xf numFmtId="175" fontId="0" fillId="3" borderId="5" xfId="0" applyFont="false" applyBorder="true" applyAlignment="true" applyProtection="false">
      <alignment horizontal="right" vertical="bottom" textRotation="0" wrapText="false" indent="0" shrinkToFit="false"/>
      <protection locked="true" hidden="false"/>
    </xf>
    <xf numFmtId="175" fontId="0" fillId="8" borderId="5" xfId="0" applyFont="false" applyBorder="true" applyAlignment="true" applyProtection="false">
      <alignment horizontal="right" vertical="bottom" textRotation="0" wrapText="false" indent="0" shrinkToFit="false"/>
      <protection locked="true" hidden="false"/>
    </xf>
    <xf numFmtId="175" fontId="27" fillId="3" borderId="5" xfId="0" applyFont="true" applyBorder="true" applyAlignment="true" applyProtection="false">
      <alignment horizontal="right" vertical="bottom" textRotation="0" wrapText="false" indent="0" shrinkToFit="false"/>
      <protection locked="true" hidden="false"/>
    </xf>
    <xf numFmtId="175" fontId="27" fillId="8" borderId="6" xfId="0" applyFont="true" applyBorder="true" applyAlignment="true" applyProtection="false">
      <alignment horizontal="right" vertical="bottom" textRotation="0" wrapText="false" indent="0" shrinkToFit="false"/>
      <protection locked="true" hidden="false"/>
    </xf>
    <xf numFmtId="175" fontId="0" fillId="3" borderId="3" xfId="0" applyFont="true" applyBorder="true" applyAlignment="true" applyProtection="false">
      <alignment horizontal="left" vertical="bottom" textRotation="0" wrapText="false" indent="0" shrinkToFit="false"/>
      <protection locked="true" hidden="false"/>
    </xf>
    <xf numFmtId="175" fontId="27" fillId="3" borderId="3" xfId="34" applyFont="true" applyBorder="true" applyAlignment="false" applyProtection="false">
      <alignment horizontal="general" vertical="bottom" textRotation="0" wrapText="false" indent="0" shrinkToFit="false"/>
      <protection locked="true" hidden="false"/>
    </xf>
    <xf numFmtId="175" fontId="27" fillId="8" borderId="3" xfId="0" applyFont="true" applyBorder="true" applyAlignment="true" applyProtection="false">
      <alignment horizontal="right" vertical="bottom" textRotation="0" wrapText="false" indent="0" shrinkToFit="false"/>
      <protection locked="true" hidden="false"/>
    </xf>
    <xf numFmtId="175" fontId="0" fillId="3" borderId="3" xfId="0" applyFont="false" applyBorder="true" applyAlignment="true" applyProtection="false">
      <alignment horizontal="right" vertical="bottom" textRotation="0" wrapText="false" indent="0" shrinkToFit="false"/>
      <protection locked="true" hidden="false"/>
    </xf>
    <xf numFmtId="175" fontId="0" fillId="8" borderId="3" xfId="0" applyFont="false" applyBorder="true" applyAlignment="true" applyProtection="false">
      <alignment horizontal="right" vertical="bottom" textRotation="0" wrapText="false" indent="0" shrinkToFit="false"/>
      <protection locked="true" hidden="false"/>
    </xf>
    <xf numFmtId="175" fontId="0" fillId="8" borderId="4" xfId="0" applyFont="false" applyBorder="true" applyAlignment="true" applyProtection="false">
      <alignment horizontal="right" vertical="bottom" textRotation="0" wrapText="false" indent="0" shrinkToFit="false"/>
      <protection locked="true" hidden="false"/>
    </xf>
    <xf numFmtId="175" fontId="27" fillId="3" borderId="3" xfId="0" applyFont="true" applyBorder="true" applyAlignment="true" applyProtection="false">
      <alignment horizontal="right" vertical="bottom" textRotation="0" wrapText="false" indent="0" shrinkToFit="false"/>
      <protection locked="true" hidden="false"/>
    </xf>
    <xf numFmtId="175" fontId="0" fillId="8" borderId="2" xfId="0" applyFont="false" applyBorder="true" applyAlignment="true" applyProtection="false">
      <alignment horizontal="right" vertical="bottom" textRotation="0" wrapText="false" indent="0" shrinkToFit="false"/>
      <protection locked="true" hidden="false"/>
    </xf>
    <xf numFmtId="174" fontId="35" fillId="8" borderId="5" xfId="0" applyFont="true" applyBorder="true" applyAlignment="true" applyProtection="false">
      <alignment horizontal="right" vertical="bottom" textRotation="0" wrapText="false" indent="0" shrinkToFit="false"/>
      <protection locked="true" hidden="false"/>
    </xf>
    <xf numFmtId="176" fontId="36" fillId="3" borderId="0" xfId="0" applyFont="true" applyBorder="false" applyAlignment="true" applyProtection="false">
      <alignment horizontal="left" vertical="bottom" textRotation="0" wrapText="false" indent="1" shrinkToFit="false"/>
      <protection locked="true" hidden="false"/>
    </xf>
    <xf numFmtId="175" fontId="36" fillId="8" borderId="0" xfId="0" applyFont="true" applyBorder="false" applyAlignment="true" applyProtection="false">
      <alignment horizontal="right" vertical="bottom" textRotation="0" wrapText="false" indent="0" shrinkToFit="false"/>
      <protection locked="true" hidden="false"/>
    </xf>
    <xf numFmtId="175" fontId="36" fillId="3" borderId="0" xfId="0" applyFont="true" applyBorder="false" applyAlignment="true" applyProtection="false">
      <alignment horizontal="right" vertical="bottom" textRotation="0" wrapText="false" indent="0" shrinkToFit="false"/>
      <protection locked="true" hidden="false"/>
    </xf>
    <xf numFmtId="176" fontId="30" fillId="3" borderId="0" xfId="0" applyFont="true" applyBorder="false" applyAlignment="true" applyProtection="false">
      <alignment horizontal="left" vertical="bottom" textRotation="0" wrapText="false" indent="0" shrinkToFit="false"/>
      <protection locked="true" hidden="false"/>
    </xf>
    <xf numFmtId="176" fontId="30" fillId="8" borderId="0" xfId="0" applyFont="true" applyBorder="false" applyAlignment="true" applyProtection="false">
      <alignment horizontal="right" vertical="bottom" textRotation="0" wrapText="false" indent="0" shrinkToFit="false"/>
      <protection locked="true" hidden="false"/>
    </xf>
    <xf numFmtId="176" fontId="30" fillId="3" borderId="0" xfId="0" applyFont="true" applyBorder="false" applyAlignment="true" applyProtection="false">
      <alignment horizontal="right" vertical="bottom" textRotation="0" wrapText="false" indent="0" shrinkToFit="false"/>
      <protection locked="true" hidden="false"/>
    </xf>
    <xf numFmtId="176" fontId="33" fillId="8" borderId="0" xfId="0" applyFont="true" applyBorder="false" applyAlignment="true" applyProtection="false">
      <alignment horizontal="right" vertical="bottom" textRotation="0" wrapText="false" indent="0" shrinkToFit="false"/>
      <protection locked="true" hidden="false"/>
    </xf>
    <xf numFmtId="176" fontId="33" fillId="3" borderId="0" xfId="0" applyFont="true" applyBorder="false" applyAlignment="true" applyProtection="false">
      <alignment horizontal="right" vertical="bottom" textRotation="0" wrapText="false" indent="0" shrinkToFit="false"/>
      <protection locked="true" hidden="false"/>
    </xf>
    <xf numFmtId="176" fontId="33" fillId="8" borderId="2" xfId="0" applyFont="true" applyBorder="true" applyAlignment="true" applyProtection="false">
      <alignment horizontal="right" vertical="bottom" textRotation="0" wrapText="false" indent="0" shrinkToFit="false"/>
      <protection locked="true" hidden="false"/>
    </xf>
    <xf numFmtId="175" fontId="27" fillId="3" borderId="0" xfId="0" applyFont="true" applyBorder="false" applyAlignment="true" applyProtection="false">
      <alignment horizontal="left" vertical="bottom" textRotation="0" wrapText="false" indent="1" shrinkToFit="false"/>
      <protection locked="true" hidden="false"/>
    </xf>
    <xf numFmtId="175" fontId="0" fillId="3" borderId="0" xfId="0" applyFont="true" applyBorder="false" applyAlignment="true" applyProtection="false">
      <alignment horizontal="left" vertical="bottom" textRotation="0" wrapText="false" indent="2" shrinkToFit="false"/>
      <protection locked="true" hidden="false"/>
    </xf>
    <xf numFmtId="175" fontId="35" fillId="3" borderId="0" xfId="0" applyFont="true" applyBorder="false" applyAlignment="true" applyProtection="false">
      <alignment horizontal="right" vertical="bottom" textRotation="0" wrapText="false" indent="0" shrinkToFit="false"/>
      <protection locked="true" hidden="false"/>
    </xf>
    <xf numFmtId="175" fontId="0" fillId="3" borderId="5" xfId="0" applyFont="true" applyBorder="true" applyAlignment="true" applyProtection="false">
      <alignment horizontal="left" vertical="bottom" textRotation="0" wrapText="false" indent="2" shrinkToFit="false"/>
      <protection locked="true" hidden="false"/>
    </xf>
    <xf numFmtId="175" fontId="35" fillId="3" borderId="5" xfId="0" applyFont="true" applyBorder="true" applyAlignment="true" applyProtection="false">
      <alignment horizontal="right" vertical="bottom" textRotation="0" wrapText="false" indent="0" shrinkToFit="false"/>
      <protection locked="true" hidden="false"/>
    </xf>
    <xf numFmtId="175" fontId="0" fillId="8" borderId="6" xfId="0" applyFont="false" applyBorder="true" applyAlignment="true" applyProtection="false">
      <alignment horizontal="right" vertical="bottom" textRotation="0" wrapText="false" indent="0" shrinkToFit="false"/>
      <protection locked="true" hidden="false"/>
    </xf>
    <xf numFmtId="175" fontId="30" fillId="3" borderId="3" xfId="0" applyFont="true" applyBorder="true" applyAlignment="true" applyProtection="false">
      <alignment horizontal="left" vertical="bottom" textRotation="0" wrapText="false" indent="0" shrinkToFit="false"/>
      <protection locked="true" hidden="false"/>
    </xf>
    <xf numFmtId="175" fontId="31" fillId="3" borderId="3" xfId="34" applyFont="true" applyBorder="true" applyAlignment="false" applyProtection="false">
      <alignment horizontal="general" vertical="bottom" textRotation="0" wrapText="false" indent="0" shrinkToFit="false"/>
      <protection locked="true" hidden="false"/>
    </xf>
    <xf numFmtId="175" fontId="31" fillId="8" borderId="3" xfId="0" applyFont="true" applyBorder="true" applyAlignment="true" applyProtection="false">
      <alignment horizontal="right" vertical="bottom" textRotation="0" wrapText="false" indent="0" shrinkToFit="false"/>
      <protection locked="true" hidden="false"/>
    </xf>
    <xf numFmtId="175" fontId="30" fillId="3" borderId="3" xfId="0" applyFont="true" applyBorder="true" applyAlignment="true" applyProtection="false">
      <alignment horizontal="right" vertical="bottom" textRotation="0" wrapText="false" indent="0" shrinkToFit="false"/>
      <protection locked="true" hidden="false"/>
    </xf>
    <xf numFmtId="175" fontId="30" fillId="8" borderId="3" xfId="0" applyFont="true" applyBorder="true" applyAlignment="true" applyProtection="false">
      <alignment horizontal="right" vertical="bottom" textRotation="0" wrapText="false" indent="0" shrinkToFit="false"/>
      <protection locked="true" hidden="false"/>
    </xf>
    <xf numFmtId="175" fontId="30" fillId="8" borderId="4" xfId="0" applyFont="true" applyBorder="true" applyAlignment="true" applyProtection="false">
      <alignment horizontal="right" vertical="bottom" textRotation="0" wrapText="false" indent="0" shrinkToFit="false"/>
      <protection locked="true" hidden="false"/>
    </xf>
    <xf numFmtId="175" fontId="31" fillId="3" borderId="3" xfId="0" applyFont="true" applyBorder="true" applyAlignment="true" applyProtection="false">
      <alignment horizontal="right" vertical="bottom" textRotation="0" wrapText="false" indent="0" shrinkToFit="false"/>
      <protection locked="true" hidden="false"/>
    </xf>
    <xf numFmtId="176" fontId="0" fillId="3" borderId="0" xfId="0" applyFont="true" applyBorder="false" applyAlignment="true" applyProtection="false">
      <alignment horizontal="left" vertical="bottom" textRotation="0" wrapText="false" indent="0" shrinkToFit="false"/>
      <protection locked="true" hidden="false"/>
    </xf>
    <xf numFmtId="174" fontId="30" fillId="8" borderId="3" xfId="0" applyFont="true" applyBorder="true" applyAlignment="false" applyProtection="false">
      <alignment horizontal="general" vertical="bottom" textRotation="0" wrapText="false" indent="0" shrinkToFit="false"/>
      <protection locked="true" hidden="false"/>
    </xf>
    <xf numFmtId="175" fontId="0" fillId="8" borderId="0" xfId="0" applyFont="false" applyBorder="false" applyAlignment="false" applyProtection="false">
      <alignment horizontal="general" vertical="bottom" textRotation="0" wrapText="false" indent="0" shrinkToFit="false"/>
      <protection locked="true" hidden="false"/>
    </xf>
    <xf numFmtId="175" fontId="27" fillId="8" borderId="0" xfId="0" applyFont="true" applyBorder="false" applyAlignment="false" applyProtection="false">
      <alignment horizontal="general" vertical="bottom" textRotation="0" wrapText="false" indent="0" shrinkToFit="false"/>
      <protection locked="true" hidden="false"/>
    </xf>
    <xf numFmtId="175" fontId="0" fillId="8" borderId="5" xfId="0" applyFont="false" applyBorder="true" applyAlignment="false" applyProtection="false">
      <alignment horizontal="general" vertical="bottom" textRotation="0" wrapText="false" indent="0" shrinkToFit="false"/>
      <protection locked="true" hidden="false"/>
    </xf>
    <xf numFmtId="175" fontId="30" fillId="8" borderId="3" xfId="0" applyFont="true" applyBorder="true" applyAlignment="false" applyProtection="false">
      <alignment horizontal="general" vertical="bottom" textRotation="0" wrapText="false" indent="0" shrinkToFit="false"/>
      <protection locked="true" hidden="false"/>
    </xf>
    <xf numFmtId="175" fontId="31" fillId="8" borderId="4" xfId="0" applyFont="true" applyBorder="true" applyAlignment="true" applyProtection="false">
      <alignment horizontal="right" vertical="bottom" textRotation="0" wrapText="false" indent="0" shrinkToFit="false"/>
      <protection locked="true" hidden="false"/>
    </xf>
    <xf numFmtId="175" fontId="27" fillId="3" borderId="0" xfId="34" applyFont="true" applyBorder="false" applyAlignment="true" applyProtection="false">
      <alignment horizontal="left" vertical="bottom" textRotation="0" wrapText="false" indent="0" shrinkToFit="false"/>
      <protection locked="true" hidden="false"/>
    </xf>
    <xf numFmtId="176" fontId="35" fillId="8" borderId="0" xfId="0" applyFont="true" applyBorder="false" applyAlignment="true" applyProtection="false">
      <alignment horizontal="left" vertical="bottom" textRotation="0" wrapText="false" indent="0" shrinkToFit="false"/>
      <protection locked="true" hidden="false"/>
    </xf>
    <xf numFmtId="176" fontId="35" fillId="3" borderId="0" xfId="0" applyFont="true" applyBorder="false" applyAlignment="true" applyProtection="false">
      <alignment horizontal="left" vertical="bottom" textRotation="0" wrapText="false" indent="0" shrinkToFit="false"/>
      <protection locked="true" hidden="false"/>
    </xf>
    <xf numFmtId="176" fontId="0" fillId="8" borderId="0" xfId="0" applyFont="false" applyBorder="false" applyAlignment="true" applyProtection="false">
      <alignment horizontal="left" vertical="bottom" textRotation="0" wrapText="false" indent="0" shrinkToFit="false"/>
      <protection locked="true" hidden="false"/>
    </xf>
    <xf numFmtId="176" fontId="0" fillId="8" borderId="2" xfId="0" applyFont="false" applyBorder="true" applyAlignment="true" applyProtection="false">
      <alignment horizontal="left" vertical="bottom" textRotation="0" wrapText="false" indent="0" shrinkToFit="false"/>
      <protection locked="true" hidden="false"/>
    </xf>
    <xf numFmtId="176" fontId="27" fillId="8" borderId="0" xfId="0" applyFont="true" applyBorder="false" applyAlignment="true" applyProtection="false">
      <alignment horizontal="left" vertical="bottom" textRotation="0" wrapText="false" indent="0" shrinkToFit="false"/>
      <protection locked="true" hidden="false"/>
    </xf>
    <xf numFmtId="175" fontId="0" fillId="0" borderId="0" xfId="0" applyFont="false" applyBorder="false" applyAlignment="true" applyProtection="false">
      <alignment horizontal="left" vertical="bottom" textRotation="0" wrapText="false" indent="1" shrinkToFit="false"/>
      <protection locked="true" hidden="false"/>
    </xf>
    <xf numFmtId="175" fontId="35" fillId="8" borderId="0" xfId="0" applyFont="true" applyBorder="false" applyAlignment="true" applyProtection="false">
      <alignment horizontal="right" vertical="bottom" textRotation="0" wrapText="false" indent="0" shrinkToFit="false"/>
      <protection locked="true" hidden="false"/>
    </xf>
    <xf numFmtId="175" fontId="27" fillId="3" borderId="0" xfId="0" applyFont="true" applyBorder="false" applyAlignment="true" applyProtection="false">
      <alignment horizontal="left" vertical="bottom" textRotation="0" wrapText="false" indent="2" shrinkToFit="false"/>
      <protection locked="true" hidden="false"/>
    </xf>
    <xf numFmtId="175" fontId="27" fillId="3" borderId="3" xfId="0" applyFont="true" applyBorder="true" applyAlignment="true" applyProtection="false">
      <alignment horizontal="left" vertical="bottom" textRotation="0" wrapText="false" indent="1" shrinkToFit="false"/>
      <protection locked="true" hidden="false"/>
    </xf>
    <xf numFmtId="175" fontId="27" fillId="8" borderId="4" xfId="0" applyFont="true" applyBorder="true" applyAlignment="true" applyProtection="false">
      <alignment horizontal="right" vertical="bottom" textRotation="0" wrapText="false" indent="0" shrinkToFit="false"/>
      <protection locked="true" hidden="false"/>
    </xf>
    <xf numFmtId="175" fontId="31" fillId="3"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5" fontId="31" fillId="3" borderId="5" xfId="0" applyFont="true" applyBorder="true" applyAlignment="true" applyProtection="false">
      <alignment horizontal="left" vertical="bottom" textRotation="0" wrapText="false" indent="2" shrinkToFit="false"/>
      <protection locked="true" hidden="false"/>
    </xf>
    <xf numFmtId="175" fontId="31" fillId="3" borderId="5" xfId="34" applyFont="true" applyBorder="true" applyAlignment="false" applyProtection="false">
      <alignment horizontal="general" vertical="bottom" textRotation="0" wrapText="false" indent="0" shrinkToFit="false"/>
      <protection locked="true" hidden="false"/>
    </xf>
    <xf numFmtId="175" fontId="31" fillId="8" borderId="5" xfId="0" applyFont="true" applyBorder="true" applyAlignment="true" applyProtection="false">
      <alignment horizontal="right" vertical="bottom" textRotation="0" wrapText="false" indent="0" shrinkToFit="false"/>
      <protection locked="true" hidden="false"/>
    </xf>
    <xf numFmtId="175" fontId="31" fillId="3" borderId="5" xfId="0" applyFont="true" applyBorder="true" applyAlignment="true" applyProtection="false">
      <alignment horizontal="right" vertical="bottom" textRotation="0" wrapText="false" indent="0" shrinkToFit="false"/>
      <protection locked="true" hidden="false"/>
    </xf>
    <xf numFmtId="175" fontId="31" fillId="8" borderId="6" xfId="0" applyFont="true" applyBorder="true" applyAlignment="true" applyProtection="false">
      <alignment horizontal="right" vertical="bottom" textRotation="0" wrapText="false" indent="0" shrinkToFit="false"/>
      <protection locked="true" hidden="false"/>
    </xf>
    <xf numFmtId="175" fontId="31" fillId="3" borderId="0" xfId="0" applyFont="true" applyBorder="false" applyAlignment="true" applyProtection="false">
      <alignment horizontal="left" vertical="bottom" textRotation="0" wrapText="false" indent="1" shrinkToFit="false"/>
      <protection locked="true" hidden="false"/>
    </xf>
    <xf numFmtId="175" fontId="28" fillId="3" borderId="0" xfId="0" applyFont="true" applyBorder="false" applyAlignment="true" applyProtection="false">
      <alignment horizontal="left" vertical="bottom" textRotation="0" wrapText="false" indent="3" shrinkToFit="false"/>
      <protection locked="true" hidden="false"/>
    </xf>
    <xf numFmtId="175" fontId="28" fillId="0" borderId="0" xfId="0" applyFont="true" applyBorder="false" applyAlignment="false" applyProtection="false">
      <alignment horizontal="general" vertical="bottom" textRotation="0" wrapText="false" indent="0" shrinkToFit="false"/>
      <protection locked="true" hidden="false"/>
    </xf>
    <xf numFmtId="175" fontId="30" fillId="3" borderId="0" xfId="0" applyFont="true" applyBorder="false" applyAlignment="true" applyProtection="false">
      <alignment horizontal="left" vertical="bottom" textRotation="0" wrapText="false" indent="1" shrinkToFit="false"/>
      <protection locked="true" hidden="false"/>
    </xf>
    <xf numFmtId="175" fontId="30" fillId="8" borderId="0" xfId="0" applyFont="true" applyBorder="false" applyAlignment="true" applyProtection="false">
      <alignment horizontal="right" vertical="bottom" textRotation="0" wrapText="false" indent="0" shrinkToFit="false"/>
      <protection locked="true" hidden="false"/>
    </xf>
    <xf numFmtId="175" fontId="30" fillId="3" borderId="0" xfId="0" applyFont="true" applyBorder="false" applyAlignment="true" applyProtection="false">
      <alignment horizontal="right" vertical="bottom" textRotation="0" wrapText="false" indent="0" shrinkToFit="false"/>
      <protection locked="true" hidden="false"/>
    </xf>
    <xf numFmtId="175" fontId="30" fillId="8" borderId="2" xfId="0" applyFont="true" applyBorder="true" applyAlignment="true" applyProtection="false">
      <alignment horizontal="right" vertical="bottom" textRotation="0" wrapText="false" indent="0" shrinkToFit="false"/>
      <protection locked="true" hidden="false"/>
    </xf>
    <xf numFmtId="175" fontId="30" fillId="3" borderId="0" xfId="0" applyFont="true" applyBorder="false" applyAlignment="true" applyProtection="false">
      <alignment horizontal="left" vertical="bottom" textRotation="0" wrapText="false" indent="0" shrinkToFit="false"/>
      <protection locked="true" hidden="false"/>
    </xf>
    <xf numFmtId="175" fontId="28" fillId="8" borderId="0" xfId="0" applyFont="true" applyBorder="false" applyAlignment="true" applyProtection="false">
      <alignment horizontal="center" vertical="bottom" textRotation="0" wrapText="false" indent="0" shrinkToFit="false"/>
      <protection locked="true" hidden="false"/>
    </xf>
    <xf numFmtId="174" fontId="35" fillId="8" borderId="2" xfId="0" applyFont="true" applyBorder="true" applyAlignment="false" applyProtection="false">
      <alignment horizontal="general" vertical="bottom" textRotation="0" wrapText="false" indent="0" shrinkToFit="false"/>
      <protection locked="true" hidden="false"/>
    </xf>
    <xf numFmtId="174" fontId="0" fillId="3" borderId="5" xfId="0" applyFont="false" applyBorder="true" applyAlignment="false" applyProtection="false">
      <alignment horizontal="general" vertical="bottom" textRotation="0" wrapText="false" indent="0" shrinkToFit="false"/>
      <protection locked="true" hidden="false"/>
    </xf>
    <xf numFmtId="174" fontId="35" fillId="8" borderId="6" xfId="0" applyFont="true" applyBorder="true" applyAlignment="false" applyProtection="false">
      <alignment horizontal="general" vertical="bottom" textRotation="0" wrapText="false" indent="0" shrinkToFit="false"/>
      <protection locked="true" hidden="false"/>
    </xf>
    <xf numFmtId="174" fontId="31" fillId="3" borderId="3" xfId="0" applyFont="true" applyBorder="true" applyAlignment="true" applyProtection="false">
      <alignment horizontal="left" vertical="bottom" textRotation="0" wrapText="false" indent="3" shrinkToFit="false"/>
      <protection locked="true" hidden="false"/>
    </xf>
    <xf numFmtId="174" fontId="30" fillId="3" borderId="3" xfId="0" applyFont="true" applyBorder="true" applyAlignment="false" applyProtection="false">
      <alignment horizontal="general" vertical="bottom" textRotation="0" wrapText="false" indent="0" shrinkToFit="false"/>
      <protection locked="true" hidden="false"/>
    </xf>
    <xf numFmtId="174" fontId="30" fillId="8" borderId="4" xfId="0" applyFont="true" applyBorder="true" applyAlignment="false" applyProtection="false">
      <alignment horizontal="general" vertical="bottom" textRotation="0" wrapText="false" indent="0" shrinkToFit="false"/>
      <protection locked="true" hidden="false"/>
    </xf>
    <xf numFmtId="174" fontId="33" fillId="3" borderId="3" xfId="0" applyFont="true" applyBorder="true" applyAlignment="false" applyProtection="false">
      <alignment horizontal="general" vertical="bottom" textRotation="0" wrapText="false" indent="0" shrinkToFit="false"/>
      <protection locked="true" hidden="false"/>
    </xf>
    <xf numFmtId="174" fontId="33" fillId="8" borderId="3" xfId="0" applyFont="true" applyBorder="true" applyAlignment="false" applyProtection="false">
      <alignment horizontal="general" vertical="bottom" textRotation="0" wrapText="false" indent="0" shrinkToFit="false"/>
      <protection locked="true" hidden="false"/>
    </xf>
    <xf numFmtId="174" fontId="33" fillId="8" borderId="4" xfId="0" applyFont="true" applyBorder="true" applyAlignment="false" applyProtection="false">
      <alignment horizontal="general" vertical="bottom" textRotation="0" wrapText="false" indent="0" shrinkToFit="false"/>
      <protection locked="true" hidden="false"/>
    </xf>
    <xf numFmtId="174" fontId="30" fillId="8" borderId="0" xfId="0" applyFont="true" applyBorder="false" applyAlignment="false" applyProtection="false">
      <alignment horizontal="general" vertical="bottom" textRotation="0" wrapText="false" indent="0" shrinkToFit="false"/>
      <protection locked="true" hidden="false"/>
    </xf>
    <xf numFmtId="174" fontId="30" fillId="8" borderId="2" xfId="0" applyFont="true" applyBorder="true" applyAlignment="false" applyProtection="false">
      <alignment horizontal="general" vertical="bottom" textRotation="0" wrapText="false" indent="0" shrinkToFit="false"/>
      <protection locked="true" hidden="false"/>
    </xf>
    <xf numFmtId="174" fontId="0" fillId="3" borderId="0" xfId="0" applyFont="true" applyBorder="false" applyAlignment="true" applyProtection="false">
      <alignment horizontal="left" vertical="bottom" textRotation="0" wrapText="false" indent="2" shrinkToFit="false"/>
      <protection locked="true" hidden="false"/>
    </xf>
    <xf numFmtId="174" fontId="0" fillId="3" borderId="5" xfId="0" applyFont="true" applyBorder="true" applyAlignment="true" applyProtection="false">
      <alignment horizontal="left" vertical="bottom" textRotation="0" wrapText="false" indent="2" shrinkToFit="false"/>
      <protection locked="true" hidden="false"/>
    </xf>
    <xf numFmtId="174" fontId="0" fillId="8" borderId="5" xfId="0" applyFont="false" applyBorder="true" applyAlignment="false" applyProtection="false">
      <alignment horizontal="general" vertical="bottom" textRotation="0" wrapText="false" indent="0" shrinkToFit="false"/>
      <protection locked="true" hidden="false"/>
    </xf>
    <xf numFmtId="174" fontId="0" fillId="8" borderId="6" xfId="0" applyFont="false" applyBorder="true" applyAlignment="false" applyProtection="false">
      <alignment horizontal="general" vertical="bottom" textRotation="0" wrapText="false" indent="0" shrinkToFit="false"/>
      <protection locked="true" hidden="false"/>
    </xf>
    <xf numFmtId="174" fontId="30" fillId="3" borderId="7" xfId="0" applyFont="true" applyBorder="true" applyAlignment="true" applyProtection="false">
      <alignment horizontal="left" vertical="bottom" textRotation="0" wrapText="false" indent="0" shrinkToFit="false"/>
      <protection locked="true" hidden="false"/>
    </xf>
    <xf numFmtId="174" fontId="31" fillId="3" borderId="7" xfId="0" applyFont="true" applyBorder="true" applyAlignment="true" applyProtection="false">
      <alignment horizontal="left" vertical="bottom" textRotation="0" wrapText="false" indent="3" shrinkToFit="false"/>
      <protection locked="true" hidden="false"/>
    </xf>
    <xf numFmtId="174" fontId="30" fillId="8" borderId="7" xfId="0" applyFont="true" applyBorder="true" applyAlignment="false" applyProtection="false">
      <alignment horizontal="general" vertical="bottom" textRotation="0" wrapText="false" indent="0" shrinkToFit="false"/>
      <protection locked="true" hidden="false"/>
    </xf>
    <xf numFmtId="174" fontId="30" fillId="3" borderId="7" xfId="0" applyFont="true" applyBorder="true" applyAlignment="false" applyProtection="false">
      <alignment horizontal="general" vertical="bottom" textRotation="0" wrapText="false" indent="0" shrinkToFit="false"/>
      <protection locked="true" hidden="false"/>
    </xf>
    <xf numFmtId="174" fontId="30" fillId="8" borderId="8" xfId="0" applyFont="true" applyBorder="true" applyAlignment="false" applyProtection="false">
      <alignment horizontal="general" vertical="bottom" textRotation="0" wrapText="false" indent="0" shrinkToFit="false"/>
      <protection locked="true" hidden="false"/>
    </xf>
    <xf numFmtId="174" fontId="31" fillId="3" borderId="7" xfId="0" applyFont="true" applyBorder="true" applyAlignment="false" applyProtection="false">
      <alignment horizontal="general" vertical="bottom" textRotation="0" wrapText="false" indent="0" shrinkToFit="false"/>
      <protection locked="true" hidden="false"/>
    </xf>
    <xf numFmtId="174" fontId="31" fillId="8" borderId="7" xfId="0" applyFont="true" applyBorder="true" applyAlignment="false" applyProtection="false">
      <alignment horizontal="general" vertical="bottom" textRotation="0" wrapText="false" indent="0" shrinkToFit="false"/>
      <protection locked="true" hidden="false"/>
    </xf>
    <xf numFmtId="174" fontId="27" fillId="3" borderId="3" xfId="0" applyFont="true" applyBorder="true" applyAlignment="true" applyProtection="false">
      <alignment horizontal="left" vertical="bottom" textRotation="0" wrapText="false" indent="1" shrinkToFit="false"/>
      <protection locked="true" hidden="false"/>
    </xf>
    <xf numFmtId="174" fontId="27" fillId="8" borderId="3" xfId="0" applyFont="true" applyBorder="true" applyAlignment="false" applyProtection="false">
      <alignment horizontal="general" vertical="bottom" textRotation="0" wrapText="false" indent="0" shrinkToFit="false"/>
      <protection locked="true" hidden="false"/>
    </xf>
    <xf numFmtId="174" fontId="27" fillId="3" borderId="3" xfId="0" applyFont="true" applyBorder="true" applyAlignment="false" applyProtection="false">
      <alignment horizontal="general" vertical="bottom" textRotation="0" wrapText="false" indent="0" shrinkToFit="false"/>
      <protection locked="true" hidden="false"/>
    </xf>
    <xf numFmtId="174" fontId="27" fillId="8" borderId="4" xfId="0" applyFont="true" applyBorder="true" applyAlignment="false" applyProtection="false">
      <alignment horizontal="general" vertical="bottom" textRotation="0" wrapText="false" indent="0" shrinkToFit="false"/>
      <protection locked="true" hidden="false"/>
    </xf>
    <xf numFmtId="174" fontId="27" fillId="2" borderId="0" xfId="0" applyFont="true" applyBorder="false" applyAlignment="false" applyProtection="false">
      <alignment horizontal="general" vertical="bottom" textRotation="0" wrapText="false" indent="0" shrinkToFit="false"/>
      <protection locked="true" hidden="false"/>
    </xf>
    <xf numFmtId="174" fontId="27" fillId="2" borderId="0" xfId="0" applyFont="true" applyBorder="false" applyAlignment="true" applyProtection="false">
      <alignment horizontal="right" vertical="bottom" textRotation="0" wrapText="false" indent="0" shrinkToFit="false"/>
      <protection locked="true" hidden="false"/>
    </xf>
    <xf numFmtId="174" fontId="27" fillId="2" borderId="2" xfId="0" applyFont="true" applyBorder="true" applyAlignment="true" applyProtection="false">
      <alignment horizontal="right" vertical="bottom" textRotation="0" wrapText="false" indent="0" shrinkToFit="false"/>
      <protection locked="true" hidden="false"/>
    </xf>
    <xf numFmtId="174" fontId="28" fillId="3" borderId="0" xfId="0" applyFont="true" applyBorder="false" applyAlignment="true" applyProtection="false">
      <alignment horizontal="left" vertical="bottom" textRotation="0" wrapText="false" indent="3" shrinkToFit="false"/>
      <protection locked="true" hidden="false"/>
    </xf>
    <xf numFmtId="174" fontId="28" fillId="8" borderId="0" xfId="0" applyFont="true" applyBorder="false" applyAlignment="false" applyProtection="false">
      <alignment horizontal="general" vertical="bottom" textRotation="0" wrapText="false" indent="0" shrinkToFit="false"/>
      <protection locked="true" hidden="false"/>
    </xf>
    <xf numFmtId="174" fontId="28" fillId="3" borderId="0" xfId="0" applyFont="true" applyBorder="false" applyAlignment="false" applyProtection="false">
      <alignment horizontal="general" vertical="bottom" textRotation="0" wrapText="false" indent="0" shrinkToFit="false"/>
      <protection locked="true" hidden="false"/>
    </xf>
    <xf numFmtId="174" fontId="28" fillId="8" borderId="2" xfId="0" applyFont="true" applyBorder="true" applyAlignment="false" applyProtection="false">
      <alignment horizontal="general" vertical="bottom" textRotation="0" wrapText="false" indent="0" shrinkToFit="false"/>
      <protection locked="true" hidden="false"/>
    </xf>
    <xf numFmtId="174" fontId="28" fillId="0" borderId="0" xfId="0" applyFont="true" applyBorder="false" applyAlignment="false" applyProtection="false">
      <alignment horizontal="general" vertical="bottom" textRotation="0" wrapText="false" indent="0" shrinkToFit="false"/>
      <protection locked="true" hidden="false"/>
    </xf>
    <xf numFmtId="174" fontId="37" fillId="3" borderId="0" xfId="0" applyFont="true" applyBorder="false" applyAlignment="true" applyProtection="false">
      <alignment horizontal="left" vertical="bottom" textRotation="0" wrapText="false" indent="1" shrinkToFit="false"/>
      <protection locked="true" hidden="false"/>
    </xf>
    <xf numFmtId="174" fontId="27" fillId="3" borderId="7" xfId="0" applyFont="true" applyBorder="true" applyAlignment="true" applyProtection="false">
      <alignment horizontal="left" vertical="bottom" textRotation="0" wrapText="false" indent="1" shrinkToFit="false"/>
      <protection locked="true" hidden="false"/>
    </xf>
    <xf numFmtId="174" fontId="27" fillId="3" borderId="7" xfId="0" applyFont="true" applyBorder="true" applyAlignment="true" applyProtection="false">
      <alignment horizontal="left" vertical="bottom" textRotation="0" wrapText="false" indent="3" shrinkToFit="false"/>
      <protection locked="true" hidden="false"/>
    </xf>
    <xf numFmtId="174" fontId="27" fillId="8" borderId="7" xfId="0" applyFont="true" applyBorder="true" applyAlignment="false" applyProtection="false">
      <alignment horizontal="general" vertical="bottom" textRotation="0" wrapText="false" indent="0" shrinkToFit="false"/>
      <protection locked="true" hidden="false"/>
    </xf>
    <xf numFmtId="174" fontId="27" fillId="3" borderId="7" xfId="0" applyFont="true" applyBorder="true" applyAlignment="false" applyProtection="false">
      <alignment horizontal="general" vertical="bottom" textRotation="0" wrapText="false" indent="0" shrinkToFit="false"/>
      <protection locked="true" hidden="false"/>
    </xf>
    <xf numFmtId="174" fontId="27" fillId="8" borderId="8" xfId="0" applyFont="true" applyBorder="true" applyAlignment="false" applyProtection="false">
      <alignment horizontal="general" vertical="bottom" textRotation="0" wrapText="false" indent="0" shrinkToFit="false"/>
      <protection locked="true" hidden="false"/>
    </xf>
    <xf numFmtId="174" fontId="0" fillId="3" borderId="3" xfId="0" applyFont="true" applyBorder="true" applyAlignment="true" applyProtection="false">
      <alignment horizontal="left" vertical="bottom" textRotation="0" wrapText="false" indent="1" shrinkToFit="false"/>
      <protection locked="true" hidden="false"/>
    </xf>
    <xf numFmtId="174" fontId="27" fillId="3" borderId="3" xfId="0" applyFont="true" applyBorder="true" applyAlignment="true" applyProtection="false">
      <alignment horizontal="left" vertical="bottom" textRotation="0" wrapText="false" indent="3" shrinkToFit="false"/>
      <protection locked="true" hidden="false"/>
    </xf>
    <xf numFmtId="174" fontId="37" fillId="3" borderId="3" xfId="0" applyFont="true" applyBorder="true" applyAlignment="true" applyProtection="false">
      <alignment horizontal="left" vertical="bottom" textRotation="0" wrapText="false" indent="1" shrinkToFit="false"/>
      <protection locked="true" hidden="false"/>
    </xf>
    <xf numFmtId="175" fontId="31" fillId="3" borderId="0" xfId="0" applyFont="true" applyBorder="false" applyAlignment="true" applyProtection="false">
      <alignment horizontal="left" vertical="bottom" textRotation="0" wrapText="false" indent="3" shrinkToFit="false"/>
      <protection locked="true" hidden="false"/>
    </xf>
    <xf numFmtId="175" fontId="31" fillId="8" borderId="0" xfId="0" applyFont="true" applyBorder="false" applyAlignment="false" applyProtection="false">
      <alignment horizontal="general" vertical="bottom" textRotation="0" wrapText="false" indent="0" shrinkToFit="false"/>
      <protection locked="true" hidden="false"/>
    </xf>
    <xf numFmtId="175" fontId="31" fillId="8" borderId="2" xfId="0" applyFont="true" applyBorder="true" applyAlignment="false" applyProtection="false">
      <alignment horizontal="general" vertical="bottom"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5" fontId="33" fillId="8" borderId="0" xfId="0" applyFont="true" applyBorder="false" applyAlignment="false" applyProtection="false">
      <alignment horizontal="general" vertical="bottom" textRotation="0" wrapText="false" indent="0" shrinkToFit="false"/>
      <protection locked="true" hidden="false"/>
    </xf>
    <xf numFmtId="187" fontId="29" fillId="3" borderId="0" xfId="34" applyFont="true" applyBorder="false" applyAlignment="false" applyProtection="false">
      <alignment horizontal="general" vertical="bottom" textRotation="0" wrapText="false" indent="0" shrinkToFit="false"/>
      <protection locked="true" hidden="false"/>
    </xf>
    <xf numFmtId="187" fontId="31" fillId="3" borderId="0" xfId="0" applyFont="true" applyBorder="false" applyAlignment="true" applyProtection="false">
      <alignment horizontal="left" vertical="bottom" textRotation="0" wrapText="false" indent="3" shrinkToFit="false"/>
      <protection locked="true" hidden="false"/>
    </xf>
    <xf numFmtId="187" fontId="30" fillId="8" borderId="0" xfId="0" applyFont="true" applyBorder="false" applyAlignment="false" applyProtection="false">
      <alignment horizontal="general" vertical="bottom" textRotation="0" wrapText="false" indent="0" shrinkToFit="false"/>
      <protection locked="true" hidden="false"/>
    </xf>
    <xf numFmtId="187" fontId="30" fillId="3" borderId="0" xfId="0" applyFont="true" applyBorder="false" applyAlignment="false" applyProtection="false">
      <alignment horizontal="general" vertical="bottom" textRotation="0" wrapText="false" indent="0" shrinkToFit="false"/>
      <protection locked="true" hidden="false"/>
    </xf>
    <xf numFmtId="187" fontId="30" fillId="8" borderId="2" xfId="0" applyFont="true" applyBorder="true" applyAlignment="false" applyProtection="false">
      <alignment horizontal="general" vertical="bottom" textRotation="0" wrapText="false" indent="0" shrinkToFit="false"/>
      <protection locked="true" hidden="false"/>
    </xf>
    <xf numFmtId="187" fontId="31" fillId="3" borderId="0" xfId="0" applyFont="true" applyBorder="false" applyAlignment="false" applyProtection="false">
      <alignment horizontal="general" vertical="bottom" textRotation="0" wrapText="false" indent="0" shrinkToFit="false"/>
      <protection locked="true" hidden="false"/>
    </xf>
    <xf numFmtId="187" fontId="31" fillId="8" borderId="0" xfId="0" applyFont="true" applyBorder="false" applyAlignment="false" applyProtection="false">
      <alignment horizontal="general" vertical="bottom" textRotation="0" wrapText="false" indent="0" shrinkToFit="false"/>
      <protection locked="true" hidden="false"/>
    </xf>
    <xf numFmtId="187" fontId="30" fillId="0" borderId="0" xfId="0" applyFont="true" applyBorder="false" applyAlignment="false" applyProtection="false">
      <alignment horizontal="general" vertical="bottom" textRotation="0" wrapText="false" indent="0" shrinkToFit="false"/>
      <protection locked="true" hidden="false"/>
    </xf>
    <xf numFmtId="187" fontId="28" fillId="3" borderId="0" xfId="0" applyFont="true" applyBorder="false" applyAlignment="true" applyProtection="false">
      <alignment horizontal="left" vertical="bottom" textRotation="0" wrapText="false" indent="1" shrinkToFit="false"/>
      <protection locked="true" hidden="false"/>
    </xf>
    <xf numFmtId="187" fontId="28" fillId="3" borderId="0" xfId="0" applyFont="true" applyBorder="false" applyAlignment="true" applyProtection="false">
      <alignment horizontal="left" vertical="bottom" textRotation="0" wrapText="false" indent="3" shrinkToFit="false"/>
      <protection locked="true" hidden="false"/>
    </xf>
    <xf numFmtId="187" fontId="28" fillId="8" borderId="0" xfId="0" applyFont="true" applyBorder="false" applyAlignment="false" applyProtection="false">
      <alignment horizontal="general" vertical="bottom" textRotation="0" wrapText="false" indent="0" shrinkToFit="false"/>
      <protection locked="true" hidden="false"/>
    </xf>
    <xf numFmtId="187" fontId="28" fillId="3" borderId="0" xfId="0" applyFont="true" applyBorder="false" applyAlignment="false" applyProtection="false">
      <alignment horizontal="general" vertical="bottom" textRotation="0" wrapText="false" indent="0" shrinkToFit="false"/>
      <protection locked="true" hidden="false"/>
    </xf>
    <xf numFmtId="187" fontId="28" fillId="8" borderId="2" xfId="0" applyFont="true" applyBorder="true" applyAlignment="false" applyProtection="false">
      <alignment horizontal="general" vertical="bottom" textRotation="0" wrapText="false" indent="0" shrinkToFit="false"/>
      <protection locked="true" hidden="false"/>
    </xf>
    <xf numFmtId="187" fontId="28" fillId="3" borderId="0" xfId="0" applyFont="true" applyBorder="false" applyAlignment="true" applyProtection="false">
      <alignment horizontal="right" vertical="bottom" textRotation="0" wrapText="false" indent="0" shrinkToFit="false"/>
      <protection locked="true" hidden="false"/>
    </xf>
    <xf numFmtId="187" fontId="28" fillId="8" borderId="0" xfId="0" applyFont="true" applyBorder="false" applyAlignment="true" applyProtection="false">
      <alignment horizontal="right" vertical="bottom" textRotation="0" wrapText="false" indent="0" shrinkToFit="false"/>
      <protection locked="true" hidden="false"/>
    </xf>
    <xf numFmtId="187" fontId="28" fillId="0" borderId="0" xfId="0" applyFont="true" applyBorder="false" applyAlignment="false" applyProtection="false">
      <alignment horizontal="general" vertical="bottom" textRotation="0" wrapText="false" indent="0" shrinkToFit="false"/>
      <protection locked="true" hidden="false"/>
    </xf>
    <xf numFmtId="175" fontId="32" fillId="3" borderId="0" xfId="0" applyFont="true" applyBorder="false" applyAlignment="false" applyProtection="false">
      <alignment horizontal="general" vertical="bottom" textRotation="0" wrapText="false" indent="0" shrinkToFit="false"/>
      <protection locked="true" hidden="false"/>
    </xf>
    <xf numFmtId="175" fontId="32" fillId="8" borderId="0" xfId="0" applyFont="true" applyBorder="false" applyAlignment="false" applyProtection="false">
      <alignment horizontal="general" vertical="bottom" textRotation="0" wrapText="false" indent="0" shrinkToFit="false"/>
      <protection locked="true" hidden="false"/>
    </xf>
    <xf numFmtId="174" fontId="36" fillId="3" borderId="5" xfId="0" applyFont="true" applyBorder="true" applyAlignment="true" applyProtection="false">
      <alignment horizontal="left" vertical="bottom" textRotation="0" wrapText="false" indent="1" shrinkToFit="false"/>
      <protection locked="true" hidden="false"/>
    </xf>
    <xf numFmtId="174" fontId="28" fillId="3" borderId="5" xfId="0" applyFont="true" applyBorder="true" applyAlignment="true" applyProtection="false">
      <alignment horizontal="left" vertical="bottom" textRotation="0" wrapText="false" indent="3" shrinkToFit="false"/>
      <protection locked="true" hidden="false"/>
    </xf>
    <xf numFmtId="175" fontId="36" fillId="8" borderId="0" xfId="0" applyFont="true" applyBorder="false" applyAlignment="false" applyProtection="false">
      <alignment horizontal="general" vertical="bottom" textRotation="0" wrapText="false" indent="0" shrinkToFit="false"/>
      <protection locked="true" hidden="false"/>
    </xf>
    <xf numFmtId="175" fontId="36" fillId="8" borderId="2" xfId="0" applyFont="true" applyBorder="true" applyAlignment="false" applyProtection="false">
      <alignment horizontal="general" vertical="bottom" textRotation="0" wrapText="false" indent="0" shrinkToFit="false"/>
      <protection locked="true" hidden="false"/>
    </xf>
    <xf numFmtId="188" fontId="27" fillId="3" borderId="0" xfId="0" applyFont="true" applyBorder="false" applyAlignment="true" applyProtection="false">
      <alignment horizontal="left" vertical="bottom" textRotation="0" wrapText="false" indent="3" shrinkToFit="false"/>
      <protection locked="true" hidden="false"/>
    </xf>
    <xf numFmtId="188" fontId="27" fillId="8" borderId="0" xfId="0" applyFont="true" applyBorder="false" applyAlignment="false" applyProtection="false">
      <alignment horizontal="general" vertical="bottom" textRotation="0" wrapText="false" indent="0" shrinkToFit="false"/>
      <protection locked="true" hidden="false"/>
    </xf>
    <xf numFmtId="188" fontId="27" fillId="3" borderId="0" xfId="0" applyFont="true" applyBorder="false" applyAlignment="false" applyProtection="false">
      <alignment horizontal="general" vertical="bottom" textRotation="0" wrapText="false" indent="0" shrinkToFit="false"/>
      <protection locked="true" hidden="false"/>
    </xf>
    <xf numFmtId="188" fontId="27" fillId="8" borderId="2" xfId="0" applyFont="true" applyBorder="true" applyAlignment="false" applyProtection="false">
      <alignment horizontal="general" vertical="bottom" textRotation="0" wrapText="false" indent="0" shrinkToFit="false"/>
      <protection locked="true" hidden="false"/>
    </xf>
    <xf numFmtId="188" fontId="0" fillId="3" borderId="0" xfId="0" applyFont="false" applyBorder="false" applyAlignment="false" applyProtection="false">
      <alignment horizontal="general" vertical="bottom" textRotation="0" wrapText="false" indent="0" shrinkToFit="false"/>
      <protection locked="true" hidden="false"/>
    </xf>
    <xf numFmtId="188" fontId="0" fillId="0" borderId="0" xfId="0" applyFont="false" applyBorder="false" applyAlignment="false" applyProtection="false">
      <alignment horizontal="general" vertical="bottom" textRotation="0" wrapText="false" indent="0" shrinkToFit="false"/>
      <protection locked="true" hidden="false"/>
    </xf>
    <xf numFmtId="189" fontId="36" fillId="3" borderId="0" xfId="0" applyFont="true" applyBorder="false" applyAlignment="true" applyProtection="false">
      <alignment horizontal="left" vertical="bottom" textRotation="0" wrapText="false" indent="1" shrinkToFit="false"/>
      <protection locked="true" hidden="false"/>
    </xf>
    <xf numFmtId="189" fontId="28" fillId="3" borderId="0" xfId="0" applyFont="true" applyBorder="false" applyAlignment="true" applyProtection="false">
      <alignment horizontal="left" vertical="bottom" textRotation="0" wrapText="false" indent="3" shrinkToFit="false"/>
      <protection locked="true" hidden="false"/>
    </xf>
    <xf numFmtId="189" fontId="28" fillId="8" borderId="0" xfId="0" applyFont="true" applyBorder="false" applyAlignment="false" applyProtection="false">
      <alignment horizontal="general" vertical="bottom" textRotation="0" wrapText="false" indent="0" shrinkToFit="false"/>
      <protection locked="true" hidden="false"/>
    </xf>
    <xf numFmtId="189" fontId="28" fillId="3" borderId="0" xfId="0" applyFont="true" applyBorder="false" applyAlignment="false" applyProtection="false">
      <alignment horizontal="general" vertical="bottom" textRotation="0" wrapText="false" indent="0" shrinkToFit="false"/>
      <protection locked="true" hidden="false"/>
    </xf>
    <xf numFmtId="189" fontId="28" fillId="8" borderId="2" xfId="0" applyFont="true" applyBorder="true" applyAlignment="false" applyProtection="false">
      <alignment horizontal="general" vertical="bottom" textRotation="0" wrapText="false" indent="0" shrinkToFit="false"/>
      <protection locked="true" hidden="false"/>
    </xf>
    <xf numFmtId="189" fontId="32" fillId="3" borderId="0" xfId="0" applyFont="true" applyBorder="false" applyAlignment="false" applyProtection="false">
      <alignment horizontal="general" vertical="bottom" textRotation="0" wrapText="false" indent="0" shrinkToFit="false"/>
      <protection locked="true" hidden="false"/>
    </xf>
    <xf numFmtId="189" fontId="32" fillId="8" borderId="0" xfId="0" applyFont="true" applyBorder="false" applyAlignment="false" applyProtection="false">
      <alignment horizontal="general" vertical="bottom" textRotation="0" wrapText="false" indent="0" shrinkToFit="false"/>
      <protection locked="true" hidden="false"/>
    </xf>
    <xf numFmtId="189" fontId="0" fillId="3" borderId="0" xfId="0" applyFont="false" applyBorder="false" applyAlignment="false" applyProtection="false">
      <alignment horizontal="general" vertical="bottom" textRotation="0" wrapText="false" indent="0" shrinkToFit="false"/>
      <protection locked="true" hidden="false"/>
    </xf>
    <xf numFmtId="189" fontId="0" fillId="0" borderId="0" xfId="0" applyFont="false" applyBorder="false" applyAlignment="false" applyProtection="false">
      <alignment horizontal="general" vertical="bottom" textRotation="0" wrapText="false" indent="0" shrinkToFit="false"/>
      <protection locked="true" hidden="false"/>
    </xf>
    <xf numFmtId="187" fontId="31" fillId="3" borderId="0" xfId="0" applyFont="true" applyBorder="false" applyAlignment="true" applyProtection="false">
      <alignment horizontal="left" vertical="bottom" textRotation="0" wrapText="false" indent="0" shrinkToFit="false"/>
      <protection locked="true" hidden="false"/>
    </xf>
    <xf numFmtId="187" fontId="31" fillId="8" borderId="0" xfId="34" applyFont="true" applyBorder="false" applyAlignment="true" applyProtection="false">
      <alignment horizontal="right" vertical="bottom" textRotation="0" wrapText="false" indent="1" shrinkToFit="false"/>
      <protection locked="true" hidden="false"/>
    </xf>
    <xf numFmtId="187" fontId="31" fillId="8" borderId="0" xfId="34" applyFont="true" applyBorder="false" applyAlignment="false" applyProtection="false">
      <alignment horizontal="general" vertical="bottom" textRotation="0" wrapText="false" indent="0" shrinkToFit="false"/>
      <protection locked="true" hidden="false"/>
    </xf>
    <xf numFmtId="187" fontId="31" fillId="3" borderId="0" xfId="34" applyFont="true" applyBorder="false" applyAlignment="false" applyProtection="false">
      <alignment horizontal="general" vertical="bottom" textRotation="0" wrapText="false" indent="0" shrinkToFit="false"/>
      <protection locked="true" hidden="false"/>
    </xf>
    <xf numFmtId="187" fontId="31" fillId="8" borderId="2" xfId="34" applyFont="true" applyBorder="true" applyAlignment="false" applyProtection="false">
      <alignment horizontal="general" vertical="bottom" textRotation="0" wrapText="false" indent="0" shrinkToFit="false"/>
      <protection locked="true" hidden="false"/>
    </xf>
    <xf numFmtId="187" fontId="28" fillId="3" borderId="0" xfId="34" applyFont="true" applyBorder="false" applyAlignment="false" applyProtection="false">
      <alignment horizontal="general" vertical="bottom" textRotation="0" wrapText="false" indent="0" shrinkToFit="false"/>
      <protection locked="true" hidden="false"/>
    </xf>
    <xf numFmtId="174" fontId="33" fillId="3" borderId="0" xfId="0" applyFont="true" applyBorder="false" applyAlignment="false" applyProtection="false">
      <alignment horizontal="general" vertical="bottom" textRotation="0" wrapText="false" indent="0" shrinkToFit="false"/>
      <protection locked="true" hidden="false"/>
    </xf>
    <xf numFmtId="174" fontId="33" fillId="8" borderId="0" xfId="0" applyFont="true" applyBorder="false" applyAlignment="false" applyProtection="false">
      <alignment horizontal="general" vertical="bottom" textRotation="0" wrapText="false" indent="0" shrinkToFit="false"/>
      <protection locked="true" hidden="false"/>
    </xf>
    <xf numFmtId="187" fontId="5" fillId="3" borderId="0" xfId="34" applyFont="true" applyBorder="false" applyAlignment="false" applyProtection="false">
      <alignment horizontal="general" vertical="bottom" textRotation="0" wrapText="false" indent="0" shrinkToFit="false"/>
      <protection locked="true" hidden="false"/>
    </xf>
    <xf numFmtId="187" fontId="27" fillId="3" borderId="0" xfId="0" applyFont="true" applyBorder="false" applyAlignment="true" applyProtection="false">
      <alignment horizontal="left" vertical="bottom" textRotation="0" wrapText="false" indent="3" shrinkToFit="false"/>
      <protection locked="true" hidden="false"/>
    </xf>
    <xf numFmtId="187" fontId="35" fillId="8" borderId="0" xfId="0" applyFont="true" applyBorder="false" applyAlignment="false" applyProtection="false">
      <alignment horizontal="general" vertical="bottom" textRotation="0" wrapText="false" indent="0" shrinkToFit="false"/>
      <protection locked="true" hidden="false"/>
    </xf>
    <xf numFmtId="187" fontId="35" fillId="3" borderId="0" xfId="0" applyFont="true" applyBorder="false" applyAlignment="false" applyProtection="false">
      <alignment horizontal="general" vertical="bottom" textRotation="0" wrapText="false" indent="0" shrinkToFit="false"/>
      <protection locked="true" hidden="false"/>
    </xf>
    <xf numFmtId="187" fontId="0" fillId="8" borderId="0" xfId="0" applyFont="false" applyBorder="false" applyAlignment="false" applyProtection="false">
      <alignment horizontal="general" vertical="bottom" textRotation="0" wrapText="false" indent="0" shrinkToFit="false"/>
      <protection locked="true" hidden="false"/>
    </xf>
    <xf numFmtId="187" fontId="0" fillId="8" borderId="2" xfId="0" applyFont="false" applyBorder="true" applyAlignment="false" applyProtection="false">
      <alignment horizontal="general" vertical="bottom" textRotation="0" wrapText="false" indent="0" shrinkToFit="false"/>
      <protection locked="true" hidden="false"/>
    </xf>
    <xf numFmtId="187" fontId="27" fillId="8" borderId="0" xfId="0" applyFont="true" applyBorder="false" applyAlignment="false" applyProtection="false">
      <alignment horizontal="general" vertical="bottom" textRotation="0" wrapText="false" indent="0" shrinkToFit="false"/>
      <protection locked="true" hidden="false"/>
    </xf>
    <xf numFmtId="187" fontId="0" fillId="3" borderId="0" xfId="0" applyFont="false" applyBorder="false" applyAlignment="false" applyProtection="false">
      <alignment horizontal="general"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87" fontId="27" fillId="3" borderId="0" xfId="34" applyFont="true" applyBorder="false" applyAlignment="false" applyProtection="false">
      <alignment horizontal="general" vertical="bottom" textRotation="0" wrapText="false" indent="0" shrinkToFit="false"/>
      <protection locked="true" hidden="false"/>
    </xf>
    <xf numFmtId="187" fontId="27" fillId="3" borderId="0" xfId="0" applyFont="true" applyBorder="false" applyAlignment="false" applyProtection="false">
      <alignment horizontal="general" vertical="bottom" textRotation="0" wrapText="false" indent="0" shrinkToFit="false"/>
      <protection locked="true" hidden="false"/>
    </xf>
    <xf numFmtId="187" fontId="27" fillId="8" borderId="2" xfId="0" applyFont="true" applyBorder="true" applyAlignment="false" applyProtection="false">
      <alignment horizontal="general" vertical="bottom" textRotation="0" wrapText="false" indent="0" shrinkToFit="false"/>
      <protection locked="true" hidden="false"/>
    </xf>
    <xf numFmtId="187" fontId="31" fillId="8" borderId="2" xfId="0" applyFont="true" applyBorder="true" applyAlignment="false" applyProtection="false">
      <alignment horizontal="general" vertical="bottom" textRotation="0" wrapText="false" indent="0" shrinkToFit="false"/>
      <protection locked="true" hidden="false"/>
    </xf>
    <xf numFmtId="187" fontId="33" fillId="3" borderId="0" xfId="0" applyFont="true" applyBorder="false" applyAlignment="false" applyProtection="false">
      <alignment horizontal="general" vertical="bottom" textRotation="0" wrapText="false" indent="0" shrinkToFit="false"/>
      <protection locked="true" hidden="false"/>
    </xf>
    <xf numFmtId="187" fontId="33" fillId="8" borderId="0" xfId="0" applyFont="true" applyBorder="false" applyAlignment="false" applyProtection="false">
      <alignment horizontal="general" vertical="bottom" textRotation="0" wrapText="false" indent="0" shrinkToFit="false"/>
      <protection locked="true" hidden="false"/>
    </xf>
    <xf numFmtId="175" fontId="28" fillId="3" borderId="0" xfId="34" applyFont="true" applyBorder="false" applyAlignment="true" applyProtection="false">
      <alignment horizontal="left" vertical="bottom" textRotation="0" wrapText="false" indent="1" shrinkToFit="false"/>
      <protection locked="true" hidden="false"/>
    </xf>
    <xf numFmtId="175" fontId="33" fillId="3" borderId="0" xfId="0" applyFont="true" applyBorder="false" applyAlignment="true" applyProtection="false">
      <alignment horizontal="right" vertical="bottom" textRotation="0" wrapText="false" indent="0" shrinkToFit="false"/>
      <protection locked="true" hidden="false"/>
    </xf>
    <xf numFmtId="175" fontId="33" fillId="8" borderId="0" xfId="0" applyFont="true" applyBorder="false" applyAlignment="true" applyProtection="false">
      <alignment horizontal="right" vertical="bottom" textRotation="0" wrapText="false" indent="0" shrinkToFit="false"/>
      <protection locked="true" hidden="false"/>
    </xf>
    <xf numFmtId="190" fontId="31" fillId="8" borderId="0" xfId="0" applyFont="true" applyBorder="false" applyAlignment="true" applyProtection="false">
      <alignment horizontal="right" vertical="bottom" textRotation="0" wrapText="false" indent="0" shrinkToFit="false"/>
      <protection locked="true" hidden="false"/>
    </xf>
    <xf numFmtId="190" fontId="31" fillId="3" borderId="0" xfId="0" applyFont="true" applyBorder="false" applyAlignment="true" applyProtection="false">
      <alignment horizontal="right" vertical="bottom" textRotation="0" wrapText="false" indent="0" shrinkToFit="false"/>
      <protection locked="true" hidden="false"/>
    </xf>
    <xf numFmtId="190" fontId="31" fillId="8" borderId="2" xfId="0" applyFont="true" applyBorder="true" applyAlignment="true" applyProtection="false">
      <alignment horizontal="right" vertical="bottom" textRotation="0" wrapText="false" indent="0" shrinkToFit="false"/>
      <protection locked="true" hidden="false"/>
    </xf>
    <xf numFmtId="190" fontId="29" fillId="3" borderId="0" xfId="0" applyFont="true" applyBorder="false" applyAlignment="false" applyProtection="false">
      <alignment horizontal="general" vertical="bottom" textRotation="0" wrapText="false" indent="0" shrinkToFit="false"/>
      <protection locked="true" hidden="false"/>
    </xf>
    <xf numFmtId="190" fontId="31" fillId="3" borderId="0" xfId="0" applyFont="true" applyBorder="false" applyAlignment="true" applyProtection="false">
      <alignment horizontal="left" vertical="bottom" textRotation="0" wrapText="false" indent="3" shrinkToFit="false"/>
      <protection locked="true" hidden="false"/>
    </xf>
    <xf numFmtId="190" fontId="30" fillId="8" borderId="0" xfId="0" applyFont="true" applyBorder="false" applyAlignment="true" applyProtection="false">
      <alignment horizontal="right" vertical="bottom" textRotation="0" wrapText="false" indent="0" shrinkToFit="false"/>
      <protection locked="true" hidden="false"/>
    </xf>
    <xf numFmtId="190" fontId="31" fillId="3" borderId="0" xfId="0" applyFont="true" applyBorder="false" applyAlignment="false" applyProtection="false">
      <alignment horizontal="general" vertical="bottom" textRotation="0" wrapText="false" indent="0" shrinkToFit="false"/>
      <protection locked="true" hidden="false"/>
    </xf>
    <xf numFmtId="190" fontId="30" fillId="8" borderId="2" xfId="0" applyFont="true" applyBorder="true" applyAlignment="true" applyProtection="false">
      <alignment horizontal="right" vertical="bottom" textRotation="0" wrapText="false" indent="0" shrinkToFit="false"/>
      <protection locked="true" hidden="false"/>
    </xf>
    <xf numFmtId="190" fontId="30" fillId="3" borderId="0" xfId="0" applyFont="true" applyBorder="false" applyAlignment="false" applyProtection="false">
      <alignment horizontal="general" vertical="bottom" textRotation="0" wrapText="false" indent="0" shrinkToFit="false"/>
      <protection locked="true" hidden="false"/>
    </xf>
    <xf numFmtId="190" fontId="30" fillId="0" borderId="0" xfId="0" applyFont="true" applyBorder="false" applyAlignment="false" applyProtection="false">
      <alignment horizontal="general" vertical="bottom" textRotation="0" wrapText="false" indent="0" shrinkToFit="false"/>
      <protection locked="true" hidden="false"/>
    </xf>
    <xf numFmtId="191" fontId="30" fillId="3" borderId="0" xfId="0" applyFont="true" applyBorder="false" applyAlignment="true" applyProtection="false">
      <alignment horizontal="left" vertical="bottom" textRotation="0" wrapText="false" indent="0" shrinkToFit="false"/>
      <protection locked="true" hidden="false"/>
    </xf>
    <xf numFmtId="187" fontId="33" fillId="3" borderId="0" xfId="0" applyFont="true" applyBorder="false" applyAlignment="true" applyProtection="false">
      <alignment horizontal="left" vertical="bottom" textRotation="0" wrapText="false" indent="0" shrinkToFit="false"/>
      <protection locked="true" hidden="false"/>
    </xf>
    <xf numFmtId="187" fontId="30" fillId="8" borderId="0" xfId="0" applyFont="true" applyBorder="false" applyAlignment="true" applyProtection="false">
      <alignment horizontal="right" vertical="bottom" textRotation="0" wrapText="false" indent="0" shrinkToFit="false"/>
      <protection locked="true" hidden="false"/>
    </xf>
    <xf numFmtId="187" fontId="30" fillId="3" borderId="0" xfId="0" applyFont="true" applyBorder="false" applyAlignment="true" applyProtection="false">
      <alignment horizontal="right" vertical="bottom" textRotation="0" wrapText="false" indent="0" shrinkToFit="false"/>
      <protection locked="true" hidden="false"/>
    </xf>
    <xf numFmtId="187" fontId="30" fillId="8" borderId="2" xfId="0" applyFont="true" applyBorder="true" applyAlignment="true" applyProtection="false">
      <alignment horizontal="right" vertical="bottom" textRotation="0" wrapText="false" indent="0" shrinkToFit="false"/>
      <protection locked="true" hidden="false"/>
    </xf>
    <xf numFmtId="187" fontId="31" fillId="3" borderId="0" xfId="0" applyFont="true" applyBorder="false" applyAlignment="true" applyProtection="false">
      <alignment horizontal="right" vertical="bottom" textRotation="0" wrapText="false" indent="0" shrinkToFit="false"/>
      <protection locked="true" hidden="false"/>
    </xf>
    <xf numFmtId="190" fontId="27" fillId="3" borderId="0" xfId="0" applyFont="true" applyBorder="false" applyAlignment="false" applyProtection="false">
      <alignment horizontal="general" vertical="bottom" textRotation="0" wrapText="false" indent="0" shrinkToFit="false"/>
      <protection locked="true" hidden="false"/>
    </xf>
    <xf numFmtId="190" fontId="27" fillId="3" borderId="0" xfId="0" applyFont="true" applyBorder="false" applyAlignment="true" applyProtection="false">
      <alignment horizontal="left" vertical="bottom" textRotation="0" wrapText="false" indent="3" shrinkToFit="false"/>
      <protection locked="true" hidden="false"/>
    </xf>
    <xf numFmtId="190" fontId="27" fillId="8" borderId="0" xfId="0" applyFont="true" applyBorder="false" applyAlignment="true" applyProtection="false">
      <alignment horizontal="right" vertical="bottom" textRotation="0" wrapText="false" indent="0" shrinkToFit="false"/>
      <protection locked="true" hidden="false"/>
    </xf>
    <xf numFmtId="190" fontId="27" fillId="3" borderId="0" xfId="0" applyFont="true" applyBorder="false" applyAlignment="true" applyProtection="false">
      <alignment horizontal="right" vertical="bottom" textRotation="0" wrapText="false" indent="0" shrinkToFit="false"/>
      <protection locked="true" hidden="false"/>
    </xf>
    <xf numFmtId="190" fontId="27" fillId="8" borderId="2" xfId="0" applyFont="true" applyBorder="true" applyAlignment="true" applyProtection="false">
      <alignment horizontal="right" vertical="bottom" textRotation="0" wrapText="false" indent="0" shrinkToFit="false"/>
      <protection locked="true" hidden="false"/>
    </xf>
    <xf numFmtId="190" fontId="0" fillId="3" borderId="0" xfId="0" applyFont="false" applyBorder="false" applyAlignment="false" applyProtection="false">
      <alignment horizontal="general" vertical="bottom" textRotation="0" wrapText="false" indent="0" shrinkToFit="false"/>
      <protection locked="true" hidden="false"/>
    </xf>
    <xf numFmtId="190" fontId="0" fillId="0" borderId="0" xfId="0" applyFont="false" applyBorder="false" applyAlignment="false" applyProtection="false">
      <alignment horizontal="general" vertical="bottom" textRotation="0" wrapText="false" indent="0" shrinkToFit="false"/>
      <protection locked="true" hidden="false"/>
    </xf>
    <xf numFmtId="190" fontId="5" fillId="3" borderId="0" xfId="0" applyFont="true" applyBorder="false" applyAlignment="false" applyProtection="false">
      <alignment horizontal="general" vertical="bottom" textRotation="0" wrapText="false" indent="0" shrinkToFit="false"/>
      <protection locked="true" hidden="false"/>
    </xf>
    <xf numFmtId="190" fontId="0" fillId="8" borderId="0" xfId="0" applyFont="false" applyBorder="false" applyAlignment="true" applyProtection="false">
      <alignment horizontal="right" vertical="bottom" textRotation="0" wrapText="false" indent="0" shrinkToFit="false"/>
      <protection locked="true" hidden="false"/>
    </xf>
    <xf numFmtId="190" fontId="0" fillId="8" borderId="2" xfId="0" applyFont="false" applyBorder="true" applyAlignment="true" applyProtection="false">
      <alignment horizontal="right" vertical="bottom" textRotation="0" wrapText="false" indent="0" shrinkToFit="false"/>
      <protection locked="true" hidden="false"/>
    </xf>
    <xf numFmtId="173" fontId="0" fillId="3" borderId="0" xfId="0" applyFont="false" applyBorder="false" applyAlignment="true" applyProtection="false">
      <alignment horizontal="left" vertical="bottom" textRotation="0" wrapText="false" indent="1" shrinkToFit="false"/>
      <protection locked="true" hidden="false"/>
    </xf>
    <xf numFmtId="173" fontId="27" fillId="3" borderId="0" xfId="34" applyFont="true" applyBorder="false" applyAlignment="false" applyProtection="false">
      <alignment horizontal="general" vertical="bottom" textRotation="0" wrapText="false" indent="0" shrinkToFit="false"/>
      <protection locked="true" hidden="false"/>
    </xf>
    <xf numFmtId="173" fontId="0" fillId="8" borderId="0" xfId="0" applyFont="false" applyBorder="false" applyAlignment="true" applyProtection="false">
      <alignment horizontal="right" vertical="bottom" textRotation="0" wrapText="false" indent="0" shrinkToFit="false"/>
      <protection locked="true" hidden="false"/>
    </xf>
    <xf numFmtId="173" fontId="0" fillId="3" borderId="0" xfId="0" applyFont="false" applyBorder="false" applyAlignment="true" applyProtection="false">
      <alignment horizontal="right" vertical="bottom" textRotation="0" wrapText="false" indent="0" shrinkToFit="false"/>
      <protection locked="true" hidden="false"/>
    </xf>
    <xf numFmtId="173" fontId="0" fillId="8" borderId="2" xfId="0" applyFont="false" applyBorder="true" applyAlignment="true" applyProtection="false">
      <alignment horizontal="right" vertical="bottom" textRotation="0" wrapText="false" indent="0" shrinkToFit="false"/>
      <protection locked="true" hidden="false"/>
    </xf>
    <xf numFmtId="173" fontId="27" fillId="3" borderId="0" xfId="0" applyFont="true" applyBorder="false" applyAlignment="true" applyProtection="false">
      <alignment horizontal="right" vertical="bottom" textRotation="0" wrapText="false" indent="0" shrinkToFit="false"/>
      <protection locked="true" hidden="false"/>
    </xf>
    <xf numFmtId="173" fontId="27" fillId="8" borderId="0" xfId="0" applyFont="true" applyBorder="false" applyAlignment="true" applyProtection="false">
      <alignment horizontal="right" vertical="bottom" textRotation="0" wrapText="false" indent="0" shrinkToFit="false"/>
      <protection locked="true" hidden="false"/>
    </xf>
    <xf numFmtId="173" fontId="0" fillId="3" borderId="0" xfId="0" applyFont="false" applyBorder="false" applyAlignment="false" applyProtection="false">
      <alignment horizontal="general" vertical="bottom" textRotation="0" wrapText="false" indent="0" shrinkToFit="false"/>
      <protection locked="true" hidden="false"/>
    </xf>
    <xf numFmtId="192" fontId="0" fillId="3" borderId="0" xfId="0" applyFont="false" applyBorder="false" applyAlignment="true" applyProtection="false">
      <alignment horizontal="left" vertical="bottom" textRotation="0" wrapText="false" indent="1" shrinkToFit="false"/>
      <protection locked="true" hidden="false"/>
    </xf>
    <xf numFmtId="192" fontId="27" fillId="3" borderId="0" xfId="34" applyFont="true" applyBorder="false" applyAlignment="false" applyProtection="false">
      <alignment horizontal="general" vertical="bottom" textRotation="0" wrapText="false" indent="0" shrinkToFit="false"/>
      <protection locked="true" hidden="false"/>
    </xf>
    <xf numFmtId="192" fontId="0" fillId="8" borderId="0" xfId="0" applyFont="false" applyBorder="false" applyAlignment="true" applyProtection="false">
      <alignment horizontal="right" vertical="bottom" textRotation="0" wrapText="false" indent="0" shrinkToFit="false"/>
      <protection locked="true" hidden="false"/>
    </xf>
    <xf numFmtId="192" fontId="0" fillId="3" borderId="0" xfId="0" applyFont="false" applyBorder="false" applyAlignment="true" applyProtection="false">
      <alignment horizontal="right" vertical="bottom" textRotation="0" wrapText="false" indent="0" shrinkToFit="false"/>
      <protection locked="true" hidden="false"/>
    </xf>
    <xf numFmtId="192" fontId="0" fillId="8" borderId="2" xfId="0" applyFont="false" applyBorder="true" applyAlignment="true" applyProtection="false">
      <alignment horizontal="right" vertical="bottom" textRotation="0" wrapText="false" indent="0" shrinkToFit="false"/>
      <protection locked="true" hidden="false"/>
    </xf>
    <xf numFmtId="192" fontId="27" fillId="3" borderId="0" xfId="0" applyFont="true" applyBorder="false" applyAlignment="true" applyProtection="false">
      <alignment horizontal="right" vertical="bottom" textRotation="0" wrapText="false" indent="0" shrinkToFit="false"/>
      <protection locked="true" hidden="false"/>
    </xf>
    <xf numFmtId="192" fontId="27" fillId="8" borderId="0" xfId="0" applyFont="true" applyBorder="false" applyAlignment="true" applyProtection="false">
      <alignment horizontal="right" vertical="bottom" textRotation="0" wrapText="false" indent="0" shrinkToFit="false"/>
      <protection locked="true" hidden="false"/>
    </xf>
    <xf numFmtId="192" fontId="0" fillId="3" borderId="0" xfId="0" applyFont="false" applyBorder="false" applyAlignment="false" applyProtection="false">
      <alignment horizontal="general" vertical="bottom" textRotation="0" wrapText="false" indent="0" shrinkToFit="false"/>
      <protection locked="true" hidden="false"/>
    </xf>
    <xf numFmtId="192" fontId="0" fillId="0" borderId="0" xfId="0" applyFont="false" applyBorder="false" applyAlignment="false" applyProtection="false">
      <alignment horizontal="general" vertical="bottom" textRotation="0" wrapText="false" indent="0" shrinkToFit="false"/>
      <protection locked="true" hidden="false"/>
    </xf>
    <xf numFmtId="193" fontId="0" fillId="3" borderId="0" xfId="0" applyFont="false" applyBorder="false" applyAlignment="true" applyProtection="false">
      <alignment horizontal="left" vertical="bottom" textRotation="0" wrapText="false" indent="1" shrinkToFit="false"/>
      <protection locked="true" hidden="false"/>
    </xf>
    <xf numFmtId="193" fontId="27" fillId="3" borderId="0" xfId="34" applyFont="true" applyBorder="false" applyAlignment="false" applyProtection="false">
      <alignment horizontal="general" vertical="bottom" textRotation="0" wrapText="false" indent="0" shrinkToFit="false"/>
      <protection locked="true" hidden="false"/>
    </xf>
    <xf numFmtId="193" fontId="0" fillId="3" borderId="0" xfId="0" applyFont="false" applyBorder="false" applyAlignment="false" applyProtection="false">
      <alignment horizontal="general" vertical="bottom" textRotation="0" wrapText="false" indent="0" shrinkToFit="false"/>
      <protection locked="true" hidden="false"/>
    </xf>
    <xf numFmtId="193" fontId="30" fillId="0" borderId="0" xfId="0" applyFont="true" applyBorder="false" applyAlignment="false" applyProtection="false">
      <alignment horizontal="general" vertical="bottom" textRotation="0" wrapText="false" indent="0" shrinkToFit="false"/>
      <protection locked="true" hidden="false"/>
    </xf>
    <xf numFmtId="174" fontId="30" fillId="3" borderId="0" xfId="0" applyFont="true" applyBorder="false" applyAlignment="true" applyProtection="false">
      <alignment horizontal="left" vertical="bottom" textRotation="0" wrapText="false" indent="1" shrinkToFit="false"/>
      <protection locked="true" hidden="false"/>
    </xf>
    <xf numFmtId="176" fontId="0" fillId="8" borderId="0" xfId="0" applyFont="false" applyBorder="false" applyAlignment="false" applyProtection="false">
      <alignment horizontal="general" vertical="bottom" textRotation="0" wrapText="false" indent="0" shrinkToFit="false"/>
      <protection locked="true" hidden="false"/>
    </xf>
    <xf numFmtId="176" fontId="0" fillId="8" borderId="2" xfId="0" applyFont="false" applyBorder="true" applyAlignment="false" applyProtection="false">
      <alignment horizontal="general" vertical="bottom" textRotation="0" wrapText="false" indent="0" shrinkToFit="false"/>
      <protection locked="true" hidden="false"/>
    </xf>
    <xf numFmtId="174" fontId="0" fillId="3" borderId="7" xfId="0" applyFont="true" applyBorder="true" applyAlignment="true" applyProtection="false">
      <alignment horizontal="left" vertical="bottom" textRotation="0" wrapText="false" indent="1" shrinkToFit="false"/>
      <protection locked="true" hidden="false"/>
    </xf>
    <xf numFmtId="174" fontId="0" fillId="8" borderId="7" xfId="0" applyFont="false" applyBorder="true" applyAlignment="false" applyProtection="false">
      <alignment horizontal="general" vertical="bottom" textRotation="0" wrapText="false" indent="0" shrinkToFit="false"/>
      <protection locked="true" hidden="false"/>
    </xf>
    <xf numFmtId="174" fontId="35" fillId="3" borderId="7" xfId="0" applyFont="true" applyBorder="true" applyAlignment="false" applyProtection="false">
      <alignment horizontal="general" vertical="bottom" textRotation="0" wrapText="false" indent="0" shrinkToFit="false"/>
      <protection locked="true" hidden="false"/>
    </xf>
    <xf numFmtId="174" fontId="0" fillId="3" borderId="7" xfId="0" applyFont="false" applyBorder="true" applyAlignment="false" applyProtection="false">
      <alignment horizontal="general" vertical="bottom" textRotation="0" wrapText="false" indent="0" shrinkToFit="false"/>
      <protection locked="true" hidden="false"/>
    </xf>
    <xf numFmtId="174" fontId="35" fillId="8" borderId="7" xfId="0" applyFont="true" applyBorder="true" applyAlignment="false" applyProtection="false">
      <alignment horizontal="general" vertical="bottom" textRotation="0" wrapText="false" indent="0" shrinkToFit="false"/>
      <protection locked="true" hidden="false"/>
    </xf>
    <xf numFmtId="174" fontId="35" fillId="8" borderId="8" xfId="0" applyFont="true" applyBorder="true" applyAlignment="false" applyProtection="false">
      <alignment horizontal="general" vertical="bottom" textRotation="0" wrapText="false" indent="0" shrinkToFit="false"/>
      <protection locked="true" hidden="false"/>
    </xf>
    <xf numFmtId="176" fontId="31" fillId="3" borderId="0" xfId="0" applyFont="true" applyBorder="false" applyAlignment="true" applyProtection="false">
      <alignment horizontal="left" vertical="bottom" textRotation="0" wrapText="false" indent="3" shrinkToFit="false"/>
      <protection locked="true" hidden="false"/>
    </xf>
    <xf numFmtId="176" fontId="31" fillId="8" borderId="0" xfId="0" applyFont="true" applyBorder="false" applyAlignment="false" applyProtection="false">
      <alignment horizontal="general" vertical="bottom" textRotation="0" wrapText="false" indent="0" shrinkToFit="false"/>
      <protection locked="true" hidden="false"/>
    </xf>
    <xf numFmtId="176" fontId="31" fillId="3" borderId="0" xfId="0" applyFont="true" applyBorder="false" applyAlignment="false" applyProtection="false">
      <alignment horizontal="general" vertical="bottom" textRotation="0" wrapText="false" indent="0" shrinkToFit="false"/>
      <protection locked="true" hidden="false"/>
    </xf>
    <xf numFmtId="176" fontId="31" fillId="8" borderId="2" xfId="0" applyFont="true" applyBorder="true" applyAlignment="false" applyProtection="false">
      <alignment horizontal="general" vertical="bottom" textRotation="0" wrapText="false" indent="0" shrinkToFit="false"/>
      <protection locked="true" hidden="false"/>
    </xf>
    <xf numFmtId="174" fontId="0" fillId="8" borderId="8" xfId="0" applyFont="false" applyBorder="true" applyAlignment="false" applyProtection="false">
      <alignment horizontal="general" vertical="bottom" textRotation="0" wrapText="false" indent="0" shrinkToFit="false"/>
      <protection locked="true" hidden="false"/>
    </xf>
    <xf numFmtId="174" fontId="34" fillId="9" borderId="0" xfId="0" applyFont="true" applyBorder="false" applyAlignment="true" applyProtection="false">
      <alignment horizontal="left" vertical="bottom" textRotation="0" wrapText="false" indent="0" shrinkToFit="false"/>
      <protection locked="true" hidden="false"/>
    </xf>
    <xf numFmtId="174" fontId="34" fillId="9" borderId="0" xfId="0" applyFont="true" applyBorder="false" applyAlignment="true" applyProtection="false">
      <alignment horizontal="left" vertical="bottom" textRotation="0" wrapText="false" indent="3" shrinkToFit="false"/>
      <protection locked="true" hidden="false"/>
    </xf>
    <xf numFmtId="174" fontId="34" fillId="9" borderId="0" xfId="0" applyFont="true" applyBorder="false" applyAlignment="true" applyProtection="false">
      <alignment horizontal="right" vertical="bottom" textRotation="0" wrapText="false" indent="0" shrinkToFit="false"/>
      <protection locked="true" hidden="false"/>
    </xf>
    <xf numFmtId="174" fontId="34" fillId="9" borderId="2" xfId="0" applyFont="true" applyBorder="true" applyAlignment="true" applyProtection="false">
      <alignment horizontal="right" vertical="bottom" textRotation="0" wrapText="false" indent="0" shrinkToFit="false"/>
      <protection locked="true" hidden="false"/>
    </xf>
    <xf numFmtId="174" fontId="28" fillId="3" borderId="0" xfId="0" applyFont="true" applyBorder="false" applyAlignment="true" applyProtection="false">
      <alignment horizontal="left" vertical="bottom" textRotation="0" wrapText="false" indent="0" shrinkToFit="false"/>
      <protection locked="true" hidden="false"/>
    </xf>
    <xf numFmtId="175" fontId="30" fillId="8" borderId="0" xfId="0" applyFont="true" applyBorder="false" applyAlignment="false" applyProtection="false">
      <alignment horizontal="general" vertical="bottom" textRotation="0" wrapText="false" indent="0" shrinkToFit="false"/>
      <protection locked="true" hidden="false"/>
    </xf>
    <xf numFmtId="175" fontId="30" fillId="8" borderId="2" xfId="0" applyFont="true" applyBorder="true" applyAlignment="false" applyProtection="false">
      <alignment horizontal="general" vertical="bottom" textRotation="0" wrapText="false" indent="0" shrinkToFit="false"/>
      <protection locked="true" hidden="false"/>
    </xf>
    <xf numFmtId="175" fontId="33" fillId="8" borderId="2" xfId="0" applyFont="true" applyBorder="true" applyAlignment="false" applyProtection="false">
      <alignment horizontal="general" vertical="bottom" textRotation="0" wrapText="false" indent="0" shrinkToFit="false"/>
      <protection locked="true" hidden="false"/>
    </xf>
    <xf numFmtId="178" fontId="31" fillId="8" borderId="0" xfId="0" applyFont="true" applyBorder="false" applyAlignment="false" applyProtection="false">
      <alignment horizontal="general" vertical="bottom" textRotation="0" wrapText="false" indent="0" shrinkToFit="false"/>
      <protection locked="true" hidden="false"/>
    </xf>
    <xf numFmtId="178" fontId="31" fillId="3" borderId="0" xfId="0" applyFont="true" applyBorder="false" applyAlignment="false" applyProtection="false">
      <alignment horizontal="general" vertical="bottom" textRotation="0" wrapText="false" indent="0" shrinkToFit="false"/>
      <protection locked="true" hidden="false"/>
    </xf>
    <xf numFmtId="178" fontId="31" fillId="8" borderId="2" xfId="0" applyFont="true" applyBorder="true" applyAlignment="false" applyProtection="false">
      <alignment horizontal="general" vertical="bottom" textRotation="0" wrapText="false" indent="0" shrinkToFit="false"/>
      <protection locked="true" hidden="false"/>
    </xf>
    <xf numFmtId="175" fontId="38" fillId="3" borderId="0" xfId="0" applyFont="true" applyBorder="false" applyAlignment="true" applyProtection="false">
      <alignment horizontal="left" vertical="bottom" textRotation="0" wrapText="false" indent="0" shrinkToFit="false"/>
      <protection locked="true" hidden="false"/>
    </xf>
    <xf numFmtId="175" fontId="37" fillId="3" borderId="0" xfId="0" applyFont="true" applyBorder="false" applyAlignment="true" applyProtection="false">
      <alignment horizontal="left" vertical="bottom" textRotation="0" wrapText="false" indent="3" shrinkToFit="false"/>
      <protection locked="true" hidden="false"/>
    </xf>
    <xf numFmtId="175" fontId="38" fillId="8" borderId="0" xfId="0" applyFont="true" applyBorder="false" applyAlignment="false" applyProtection="false">
      <alignment horizontal="general" vertical="bottom" textRotation="0" wrapText="false" indent="0" shrinkToFit="false"/>
      <protection locked="true" hidden="false"/>
    </xf>
    <xf numFmtId="175" fontId="38" fillId="8" borderId="2" xfId="0" applyFont="true" applyBorder="true" applyAlignment="false" applyProtection="false">
      <alignment horizontal="general" vertical="bottom" textRotation="0" wrapText="false" indent="0" shrinkToFit="false"/>
      <protection locked="true" hidden="false"/>
    </xf>
    <xf numFmtId="175" fontId="39" fillId="3" borderId="0" xfId="0" applyFont="true" applyBorder="false" applyAlignment="false" applyProtection="false">
      <alignment horizontal="general" vertical="bottom" textRotation="0" wrapText="false" indent="0" shrinkToFit="false"/>
      <protection locked="true" hidden="false"/>
    </xf>
    <xf numFmtId="175" fontId="39" fillId="8" borderId="0" xfId="0" applyFont="true" applyBorder="false" applyAlignment="false" applyProtection="false">
      <alignment horizontal="general" vertical="bottom" textRotation="0" wrapText="false" indent="0" shrinkToFit="false"/>
      <protection locked="true" hidden="false"/>
    </xf>
    <xf numFmtId="174" fontId="0" fillId="8" borderId="3" xfId="0" applyFont="false" applyBorder="true" applyAlignment="false" applyProtection="false">
      <alignment horizontal="general" vertical="bottom" textRotation="0" wrapText="false" indent="0" shrinkToFit="false"/>
      <protection locked="true" hidden="false"/>
    </xf>
    <xf numFmtId="174" fontId="0" fillId="3" borderId="3" xfId="0" applyFont="false" applyBorder="true" applyAlignment="false" applyProtection="false">
      <alignment horizontal="general" vertical="bottom" textRotation="0" wrapText="false" indent="0" shrinkToFit="false"/>
      <protection locked="true" hidden="false"/>
    </xf>
    <xf numFmtId="174" fontId="0" fillId="8" borderId="4" xfId="0" applyFont="false" applyBorder="true" applyAlignment="false" applyProtection="false">
      <alignment horizontal="general" vertical="bottom" textRotation="0" wrapText="false" indent="0" shrinkToFit="false"/>
      <protection locked="true" hidden="false"/>
    </xf>
    <xf numFmtId="174" fontId="29" fillId="3" borderId="0" xfId="0" applyFont="true" applyBorder="false" applyAlignment="false" applyProtection="false">
      <alignment horizontal="general" vertical="bottom" textRotation="0" wrapText="false" indent="0" shrinkToFit="false"/>
      <protection locked="true" hidden="false"/>
    </xf>
    <xf numFmtId="174" fontId="27" fillId="3" borderId="2" xfId="0" applyFont="true" applyBorder="true" applyAlignment="true" applyProtection="false">
      <alignment horizontal="right" vertical="bottom" textRotation="0" wrapText="false" indent="0" shrinkToFit="false"/>
      <protection locked="true" hidden="false"/>
    </xf>
    <xf numFmtId="174" fontId="31" fillId="3" borderId="9" xfId="0" applyFont="true" applyBorder="true" applyAlignment="false" applyProtection="false">
      <alignment horizontal="general" vertical="bottom" textRotation="0" wrapText="false" indent="0" shrinkToFit="false"/>
      <protection locked="true" hidden="false"/>
    </xf>
    <xf numFmtId="176" fontId="27" fillId="3" borderId="10" xfId="0" applyFont="true" applyBorder="true" applyAlignment="false" applyProtection="false">
      <alignment horizontal="general" vertical="bottom" textRotation="0" wrapText="false" indent="0" shrinkToFit="false"/>
      <protection locked="true" hidden="false"/>
    </xf>
    <xf numFmtId="176" fontId="27" fillId="3" borderId="2" xfId="0" applyFont="true" applyBorder="true" applyAlignment="false" applyProtection="false">
      <alignment horizontal="general" vertical="bottom" textRotation="0" wrapText="false" indent="0" shrinkToFit="false"/>
      <protection locked="true" hidden="false"/>
    </xf>
    <xf numFmtId="194" fontId="27" fillId="3" borderId="11" xfId="0" applyFont="true" applyBorder="true" applyAlignment="true" applyProtection="false">
      <alignment horizontal="left" vertical="bottom" textRotation="0" wrapText="false" indent="1" shrinkToFit="false"/>
      <protection locked="true" hidden="false"/>
    </xf>
    <xf numFmtId="195" fontId="27" fillId="3" borderId="11" xfId="0" applyFont="true" applyBorder="true" applyAlignment="true" applyProtection="false">
      <alignment horizontal="left" vertical="bottom" textRotation="0" wrapText="false" indent="1" shrinkToFit="false"/>
      <protection locked="true" hidden="false"/>
    </xf>
    <xf numFmtId="196" fontId="27" fillId="3" borderId="11" xfId="0" applyFont="true" applyBorder="true" applyAlignment="true" applyProtection="false">
      <alignment horizontal="left" vertical="bottom" textRotation="0" wrapText="false" indent="1" shrinkToFit="false"/>
      <protection locked="true" hidden="false"/>
    </xf>
    <xf numFmtId="197" fontId="27" fillId="3" borderId="11" xfId="0" applyFont="true" applyBorder="true" applyAlignment="true" applyProtection="false">
      <alignment horizontal="left" vertical="bottom" textRotation="0" wrapText="false" indent="1" shrinkToFit="false"/>
      <protection locked="true" hidden="false"/>
    </xf>
    <xf numFmtId="198" fontId="27" fillId="3" borderId="12" xfId="0" applyFont="true" applyBorder="true" applyAlignment="true" applyProtection="false">
      <alignment horizontal="left" vertical="bottom" textRotation="0" wrapText="false" indent="1" shrinkToFit="false"/>
      <protection locked="true" hidden="false"/>
    </xf>
    <xf numFmtId="176" fontId="27" fillId="3" borderId="5" xfId="0" applyFont="true" applyBorder="true" applyAlignment="false" applyProtection="false">
      <alignment horizontal="general" vertical="bottom" textRotation="0" wrapText="false" indent="0" shrinkToFit="false"/>
      <protection locked="true" hidden="false"/>
    </xf>
    <xf numFmtId="174" fontId="31" fillId="3" borderId="13" xfId="0" applyFont="true" applyBorder="true" applyAlignment="false" applyProtection="false">
      <alignment horizontal="general" vertical="bottom" textRotation="0" wrapText="false" indent="0" shrinkToFit="false"/>
      <protection locked="true" hidden="false"/>
    </xf>
    <xf numFmtId="164" fontId="27" fillId="3" borderId="14" xfId="0" applyFont="true" applyBorder="true" applyAlignment="false" applyProtection="false">
      <alignment horizontal="general" vertical="bottom" textRotation="0" wrapText="false" indent="0" shrinkToFit="false"/>
      <protection locked="true" hidden="false"/>
    </xf>
    <xf numFmtId="164" fontId="27" fillId="3" borderId="2" xfId="0" applyFont="true" applyBorder="true" applyAlignment="false" applyProtection="false">
      <alignment horizontal="general" vertical="bottom" textRotation="0" wrapText="false" indent="0" shrinkToFit="false"/>
      <protection locked="true" hidden="false"/>
    </xf>
    <xf numFmtId="174" fontId="27" fillId="3" borderId="10" xfId="0" applyFont="true" applyBorder="true" applyAlignment="true" applyProtection="false">
      <alignment horizontal="left" vertical="bottom" textRotation="0" wrapText="false" indent="1" shrinkToFit="false"/>
      <protection locked="true" hidden="false"/>
    </xf>
    <xf numFmtId="176" fontId="35" fillId="3" borderId="15" xfId="0" applyFont="true" applyBorder="true" applyAlignment="false" applyProtection="false">
      <alignment horizontal="general" vertical="bottom" textRotation="0" wrapText="false" indent="0" shrinkToFit="false"/>
      <protection locked="true" hidden="false"/>
    </xf>
    <xf numFmtId="174" fontId="27" fillId="3" borderId="16" xfId="0" applyFont="true" applyBorder="true" applyAlignment="true" applyProtection="false">
      <alignment horizontal="left" vertical="bottom" textRotation="0" wrapText="false" indent="1" shrinkToFit="false"/>
      <protection locked="true" hidden="false"/>
    </xf>
    <xf numFmtId="176" fontId="35" fillId="3" borderId="17" xfId="0" applyFont="true" applyBorder="true" applyAlignment="false" applyProtection="false">
      <alignment horizontal="general" vertical="bottom" textRotation="0" wrapText="false" indent="0" shrinkToFit="false"/>
      <protection locked="true" hidden="false"/>
    </xf>
    <xf numFmtId="176" fontId="27" fillId="3" borderId="3" xfId="0" applyFont="true" applyBorder="true" applyAlignment="false" applyProtection="false">
      <alignment horizontal="general" vertical="bottom" textRotation="0" wrapText="false" indent="0" shrinkToFit="false"/>
      <protection locked="true" hidden="false"/>
    </xf>
    <xf numFmtId="174" fontId="29" fillId="3" borderId="14" xfId="0" applyFont="true" applyBorder="true" applyAlignment="true" applyProtection="false">
      <alignment horizontal="left" vertical="bottom" textRotation="0" wrapText="false" indent="0" shrinkToFit="false"/>
      <protection locked="true" hidden="false"/>
    </xf>
    <xf numFmtId="174" fontId="5" fillId="3" borderId="15" xfId="0" applyFont="true" applyBorder="true" applyAlignment="true" applyProtection="false">
      <alignment horizontal="left" vertical="bottom" textRotation="0" wrapText="false" indent="1" shrinkToFit="false"/>
      <protection locked="true" hidden="false"/>
    </xf>
    <xf numFmtId="174" fontId="27" fillId="3" borderId="17" xfId="0" applyFont="true" applyBorder="true" applyAlignment="true" applyProtection="false">
      <alignment horizontal="left" vertical="bottom" textRotation="0" wrapText="false" indent="1" shrinkToFit="false"/>
      <protection locked="true" hidden="false"/>
    </xf>
    <xf numFmtId="174" fontId="31" fillId="3" borderId="14" xfId="0" applyFont="true" applyBorder="true" applyAlignment="true" applyProtection="false">
      <alignment horizontal="left" vertical="bottom" textRotation="0" wrapText="false" indent="0" shrinkToFit="false"/>
      <protection locked="true" hidden="false"/>
    </xf>
    <xf numFmtId="174" fontId="27" fillId="3" borderId="15" xfId="0" applyFont="true" applyBorder="true" applyAlignment="true" applyProtection="false">
      <alignment horizontal="left" vertical="bottom" textRotation="0" wrapText="false" indent="1" shrinkToFit="false"/>
      <protection locked="true" hidden="false"/>
    </xf>
    <xf numFmtId="176" fontId="27" fillId="3" borderId="6" xfId="0" applyFont="true" applyBorder="true" applyAlignment="false" applyProtection="false">
      <alignment horizontal="general" vertical="bottom" textRotation="0" wrapText="false" indent="0" shrinkToFit="false"/>
      <protection locked="true" hidden="false"/>
    </xf>
    <xf numFmtId="176" fontId="27" fillId="3" borderId="4" xfId="0" applyFont="true" applyBorder="true" applyAlignment="false" applyProtection="false">
      <alignment horizontal="general" vertical="bottom" textRotation="0" wrapText="false" indent="0" shrinkToFit="false"/>
      <protection locked="true" hidden="false"/>
    </xf>
    <xf numFmtId="176" fontId="27" fillId="3" borderId="14" xfId="0" applyFont="true" applyBorder="true" applyAlignment="false" applyProtection="false">
      <alignment horizontal="general" vertical="bottom" textRotation="0" wrapText="false" indent="0" shrinkToFit="false"/>
      <protection locked="true" hidden="false"/>
    </xf>
    <xf numFmtId="199" fontId="31" fillId="3" borderId="0" xfId="0" applyFont="true" applyBorder="false" applyAlignment="true" applyProtection="false">
      <alignment horizontal="right" vertical="bottom" textRotation="0" wrapText="false" indent="0" shrinkToFit="false"/>
      <protection locked="true" hidden="false"/>
    </xf>
    <xf numFmtId="199" fontId="33" fillId="3" borderId="0" xfId="0" applyFont="true" applyBorder="false" applyAlignment="true" applyProtection="false">
      <alignment horizontal="right" vertical="bottom" textRotation="0" wrapText="false" indent="0" shrinkToFit="false"/>
      <protection locked="true" hidden="false"/>
    </xf>
    <xf numFmtId="199" fontId="33" fillId="3" borderId="2" xfId="0" applyFont="true" applyBorder="true" applyAlignment="true" applyProtection="false">
      <alignment horizontal="right" vertical="bottom" textRotation="0" wrapText="false" indent="0" shrinkToFit="false"/>
      <protection locked="true" hidden="false"/>
    </xf>
    <xf numFmtId="199" fontId="31" fillId="3" borderId="15" xfId="0" applyFont="true" applyBorder="true" applyAlignment="true" applyProtection="false">
      <alignment horizontal="right" vertical="bottom" textRotation="0" wrapText="false" indent="0" shrinkToFit="false"/>
      <protection locked="true" hidden="false"/>
    </xf>
    <xf numFmtId="164" fontId="31" fillId="3" borderId="0" xfId="0" applyFont="true" applyBorder="false" applyAlignment="true" applyProtection="false">
      <alignment horizontal="right" vertical="bottom" textRotation="0" wrapText="false" indent="0" shrinkToFit="false"/>
      <protection locked="true" hidden="false"/>
    </xf>
    <xf numFmtId="164" fontId="31" fillId="3" borderId="2" xfId="0" applyFont="true" applyBorder="true" applyAlignment="true" applyProtection="false">
      <alignment horizontal="right" vertical="bottom" textRotation="0" wrapText="false" indent="0" shrinkToFit="false"/>
      <protection locked="true" hidden="false"/>
    </xf>
    <xf numFmtId="164" fontId="31" fillId="3" borderId="15" xfId="0" applyFont="true" applyBorder="true" applyAlignment="true" applyProtection="false">
      <alignment horizontal="right" vertical="bottom" textRotation="0" wrapText="false" indent="0" shrinkToFit="false"/>
      <protection locked="true" hidden="false"/>
    </xf>
    <xf numFmtId="174" fontId="31" fillId="3" borderId="5" xfId="0" applyFont="true" applyBorder="true" applyAlignment="true" applyProtection="false">
      <alignment horizontal="left" vertical="bottom" textRotation="0" wrapText="false" indent="0" shrinkToFit="false"/>
      <protection locked="true" hidden="false"/>
    </xf>
    <xf numFmtId="176" fontId="27" fillId="3" borderId="17" xfId="0" applyFont="true" applyBorder="true" applyAlignment="false" applyProtection="false">
      <alignment horizontal="general" vertical="bottom" textRotation="0" wrapText="false" indent="0" shrinkToFit="false"/>
      <protection locked="true" hidden="false"/>
    </xf>
    <xf numFmtId="199" fontId="31" fillId="3" borderId="2" xfId="0" applyFont="true" applyBorder="true" applyAlignment="true" applyProtection="false">
      <alignment horizontal="right" vertical="bottom" textRotation="0" wrapText="false" indent="0" shrinkToFit="false"/>
      <protection locked="true" hidden="false"/>
    </xf>
    <xf numFmtId="174" fontId="31" fillId="3" borderId="4" xfId="0" applyFont="true" applyBorder="true" applyAlignment="false" applyProtection="false">
      <alignment horizontal="general" vertical="bottom" textRotation="0" wrapText="false" indent="0" shrinkToFit="false"/>
      <protection locked="true" hidden="false"/>
    </xf>
    <xf numFmtId="174" fontId="31" fillId="3" borderId="14" xfId="0" applyFont="true" applyBorder="true" applyAlignment="false" applyProtection="false">
      <alignment horizontal="general" vertical="bottom" textRotation="0" wrapText="false" indent="0" shrinkToFit="false"/>
      <protection locked="true" hidden="false"/>
    </xf>
    <xf numFmtId="174" fontId="0" fillId="3" borderId="10" xfId="0" applyFont="false" applyBorder="true" applyAlignment="false" applyProtection="false">
      <alignment horizontal="general" vertical="bottom" textRotation="0" wrapText="false" indent="0" shrinkToFit="false"/>
      <protection locked="true" hidden="false"/>
    </xf>
    <xf numFmtId="174" fontId="31" fillId="3" borderId="10" xfId="0" applyFont="true" applyBorder="true" applyAlignment="false" applyProtection="false">
      <alignment horizontal="general" vertical="bottom" textRotation="0" wrapText="false" indent="0" shrinkToFit="false"/>
      <protection locked="true" hidden="false"/>
    </xf>
    <xf numFmtId="174" fontId="31" fillId="3" borderId="2" xfId="0" applyFont="true" applyBorder="true" applyAlignment="false" applyProtection="false">
      <alignment horizontal="general" vertical="bottom" textRotation="0" wrapText="false" indent="0" shrinkToFit="false"/>
      <protection locked="true" hidden="false"/>
    </xf>
    <xf numFmtId="174" fontId="31" fillId="3" borderId="15" xfId="0" applyFont="true" applyBorder="true" applyAlignment="false" applyProtection="false">
      <alignment horizontal="general" vertical="bottom" textRotation="0" wrapText="false" indent="0" shrinkToFit="false"/>
      <protection locked="true" hidden="false"/>
    </xf>
    <xf numFmtId="175" fontId="27" fillId="3" borderId="0" xfId="0" applyFont="true" applyBorder="false" applyAlignment="false" applyProtection="false">
      <alignment horizontal="general" vertical="bottom" textRotation="0" wrapText="false" indent="0" shrinkToFit="false"/>
      <protection locked="true" hidden="false"/>
    </xf>
    <xf numFmtId="175" fontId="27" fillId="3" borderId="15" xfId="0" applyFont="true" applyBorder="true" applyAlignment="false" applyProtection="false">
      <alignment horizontal="general" vertical="bottom" textRotation="0" wrapText="false" indent="0" shrinkToFit="false"/>
      <protection locked="true" hidden="false"/>
    </xf>
    <xf numFmtId="174" fontId="27" fillId="3" borderId="15" xfId="0" applyFont="true" applyBorder="true" applyAlignment="false" applyProtection="false">
      <alignment horizontal="general" vertical="bottom" textRotation="0" wrapText="false" indent="0" shrinkToFit="false"/>
      <protection locked="true" hidden="false"/>
    </xf>
    <xf numFmtId="200" fontId="27" fillId="3" borderId="10" xfId="0" applyFont="true" applyBorder="true" applyAlignment="true" applyProtection="false">
      <alignment horizontal="left" vertical="bottom" textRotation="0" wrapText="false" indent="1" shrinkToFit="false"/>
      <protection locked="true" hidden="false"/>
    </xf>
    <xf numFmtId="200" fontId="27" fillId="3" borderId="0" xfId="0" applyFont="true" applyBorder="false" applyAlignment="false" applyProtection="false">
      <alignment horizontal="general" vertical="bottom" textRotation="0" wrapText="false" indent="0" shrinkToFit="false"/>
      <protection locked="true" hidden="false"/>
    </xf>
    <xf numFmtId="200" fontId="27" fillId="3" borderId="0" xfId="34" applyFont="true" applyBorder="false" applyAlignment="false" applyProtection="false">
      <alignment horizontal="general" vertical="bottom" textRotation="0" wrapText="false" indent="0" shrinkToFit="false"/>
      <protection locked="true" hidden="false"/>
    </xf>
    <xf numFmtId="200" fontId="27" fillId="3" borderId="2" xfId="0" applyFont="true" applyBorder="true" applyAlignment="false" applyProtection="false">
      <alignment horizontal="general" vertical="bottom" textRotation="0" wrapText="false" indent="0" shrinkToFit="false"/>
      <protection locked="true" hidden="false"/>
    </xf>
    <xf numFmtId="200" fontId="27" fillId="3" borderId="15" xfId="0" applyFont="true" applyBorder="true" applyAlignment="false" applyProtection="false">
      <alignment horizontal="general" vertical="bottom" textRotation="0" wrapText="false" indent="0" shrinkToFit="false"/>
      <protection locked="true" hidden="false"/>
    </xf>
    <xf numFmtId="200" fontId="0" fillId="3" borderId="10" xfId="0" applyFont="false" applyBorder="true" applyAlignment="false" applyProtection="false">
      <alignment horizontal="general" vertical="bottom" textRotation="0" wrapText="false" indent="0" shrinkToFit="false"/>
      <protection locked="true" hidden="false"/>
    </xf>
    <xf numFmtId="200" fontId="0" fillId="0" borderId="0" xfId="0" applyFont="false" applyBorder="false" applyAlignment="false" applyProtection="false">
      <alignment horizontal="general" vertical="bottom" textRotation="0" wrapText="false" indent="0" shrinkToFit="false"/>
      <protection locked="true" hidden="false"/>
    </xf>
    <xf numFmtId="174" fontId="27" fillId="3" borderId="6" xfId="0" applyFont="true" applyBorder="true" applyAlignment="false" applyProtection="false">
      <alignment horizontal="general" vertical="bottom" textRotation="0" wrapText="false" indent="0" shrinkToFit="false"/>
      <protection locked="true" hidden="false"/>
    </xf>
    <xf numFmtId="174" fontId="27" fillId="3" borderId="17" xfId="0" applyFont="true" applyBorder="true" applyAlignment="false" applyProtection="false">
      <alignment horizontal="general" vertical="bottom" textRotation="0" wrapText="false" indent="0" shrinkToFit="false"/>
      <protection locked="true" hidden="false"/>
    </xf>
    <xf numFmtId="174" fontId="27" fillId="3" borderId="8" xfId="0" applyFont="true" applyBorder="true" applyAlignment="false" applyProtection="false">
      <alignment horizontal="general" vertical="bottom" textRotation="0" wrapText="false" indent="0" shrinkToFit="false"/>
      <protection locked="true" hidden="false"/>
    </xf>
    <xf numFmtId="201" fontId="31" fillId="3" borderId="13" xfId="0" applyFont="true" applyBorder="true" applyAlignment="true" applyProtection="false">
      <alignment horizontal="left" vertical="bottom" textRotation="0" wrapText="false" indent="0" shrinkToFit="false"/>
      <protection locked="true" hidden="false"/>
    </xf>
    <xf numFmtId="174" fontId="27" fillId="3" borderId="4" xfId="0" applyFont="true" applyBorder="true" applyAlignment="false" applyProtection="false">
      <alignment horizontal="general" vertical="bottom" textRotation="0" wrapText="false" indent="0" shrinkToFit="false"/>
      <protection locked="true" hidden="false"/>
    </xf>
    <xf numFmtId="174" fontId="27" fillId="3" borderId="14" xfId="0" applyFont="true" applyBorder="true" applyAlignment="false" applyProtection="false">
      <alignment horizontal="general" vertical="bottom" textRotation="0" wrapText="false" indent="0" shrinkToFit="false"/>
      <protection locked="true" hidden="false"/>
    </xf>
    <xf numFmtId="201" fontId="27" fillId="3" borderId="10" xfId="0" applyFont="true" applyBorder="true" applyAlignment="true" applyProtection="false">
      <alignment horizontal="left" vertical="bottom" textRotation="0" wrapText="false" indent="0" shrinkToFit="false"/>
      <protection locked="true" hidden="false"/>
    </xf>
    <xf numFmtId="184" fontId="27" fillId="3" borderId="0" xfId="0" applyFont="true" applyBorder="false" applyAlignment="false" applyProtection="false">
      <alignment horizontal="general" vertical="bottom" textRotation="0" wrapText="false" indent="0" shrinkToFit="false"/>
      <protection locked="true" hidden="false"/>
    </xf>
    <xf numFmtId="184" fontId="27" fillId="3" borderId="2" xfId="0" applyFont="true" applyBorder="true" applyAlignment="false" applyProtection="false">
      <alignment horizontal="general" vertical="bottom" textRotation="0" wrapText="false" indent="0" shrinkToFit="false"/>
      <protection locked="true" hidden="false"/>
    </xf>
    <xf numFmtId="184" fontId="27" fillId="3" borderId="15" xfId="0" applyFont="true" applyBorder="true" applyAlignment="false" applyProtection="false">
      <alignment horizontal="general" vertical="bottom" textRotation="0" wrapText="false" indent="0" shrinkToFit="false"/>
      <protection locked="true" hidden="false"/>
    </xf>
    <xf numFmtId="173" fontId="27" fillId="3" borderId="10" xfId="0" applyFont="true" applyBorder="true" applyAlignment="true" applyProtection="false">
      <alignment horizontal="left" vertical="bottom" textRotation="0" wrapText="false" indent="1" shrinkToFit="false"/>
      <protection locked="true" hidden="false"/>
    </xf>
    <xf numFmtId="173" fontId="27" fillId="3" borderId="0" xfId="0" applyFont="true" applyBorder="false" applyAlignment="false" applyProtection="false">
      <alignment horizontal="general" vertical="bottom" textRotation="0" wrapText="false" indent="0" shrinkToFit="false"/>
      <protection locked="true" hidden="false"/>
    </xf>
    <xf numFmtId="173" fontId="27" fillId="3" borderId="2" xfId="0" applyFont="true" applyBorder="true" applyAlignment="false" applyProtection="false">
      <alignment horizontal="general" vertical="bottom" textRotation="0" wrapText="false" indent="0" shrinkToFit="false"/>
      <protection locked="true" hidden="false"/>
    </xf>
    <xf numFmtId="173" fontId="27" fillId="3" borderId="15" xfId="0" applyFont="true" applyBorder="true" applyAlignment="false" applyProtection="false">
      <alignment horizontal="general" vertical="bottom" textRotation="0" wrapText="false" indent="0" shrinkToFit="false"/>
      <protection locked="true" hidden="false"/>
    </xf>
    <xf numFmtId="173" fontId="0" fillId="3" borderId="10" xfId="0" applyFont="false" applyBorder="true" applyAlignment="false" applyProtection="false">
      <alignment horizontal="general" vertical="bottom" textRotation="0" wrapText="false" indent="0" shrinkToFit="false"/>
      <protection locked="true" hidden="false"/>
    </xf>
    <xf numFmtId="173" fontId="27" fillId="3" borderId="10" xfId="0" applyFont="true" applyBorder="true" applyAlignment="true" applyProtection="false">
      <alignment horizontal="left" vertical="bottom" textRotation="0" wrapText="false" indent="2" shrinkToFit="false"/>
      <protection locked="true" hidden="false"/>
    </xf>
    <xf numFmtId="173" fontId="35" fillId="3" borderId="0" xfId="0" applyFont="true" applyBorder="false" applyAlignment="false" applyProtection="false">
      <alignment horizontal="general" vertical="bottom" textRotation="0" wrapText="false" indent="0" shrinkToFit="false"/>
      <protection locked="true" hidden="false"/>
    </xf>
    <xf numFmtId="173" fontId="35" fillId="3" borderId="2" xfId="0" applyFont="true" applyBorder="true" applyAlignment="false" applyProtection="false">
      <alignment horizontal="general" vertical="bottom" textRotation="0" wrapText="false" indent="0" shrinkToFit="false"/>
      <protection locked="true" hidden="false"/>
    </xf>
    <xf numFmtId="192" fontId="27" fillId="3" borderId="10" xfId="0" applyFont="true" applyBorder="true" applyAlignment="true" applyProtection="false">
      <alignment horizontal="left" vertical="bottom" textRotation="0" wrapText="false" indent="1" shrinkToFit="false"/>
      <protection locked="true" hidden="false"/>
    </xf>
    <xf numFmtId="192" fontId="27" fillId="3" borderId="0" xfId="0" applyFont="true" applyBorder="false" applyAlignment="false" applyProtection="false">
      <alignment horizontal="general" vertical="bottom" textRotation="0" wrapText="false" indent="0" shrinkToFit="false"/>
      <protection locked="true" hidden="false"/>
    </xf>
    <xf numFmtId="192" fontId="27" fillId="3" borderId="2" xfId="0" applyFont="true" applyBorder="true" applyAlignment="false" applyProtection="false">
      <alignment horizontal="general" vertical="bottom" textRotation="0" wrapText="false" indent="0" shrinkToFit="false"/>
      <protection locked="true" hidden="false"/>
    </xf>
    <xf numFmtId="192" fontId="27" fillId="3" borderId="15" xfId="0" applyFont="true" applyBorder="true" applyAlignment="false" applyProtection="false">
      <alignment horizontal="general" vertical="bottom" textRotation="0" wrapText="false" indent="0" shrinkToFit="false"/>
      <protection locked="true" hidden="false"/>
    </xf>
    <xf numFmtId="192" fontId="0" fillId="3" borderId="10" xfId="0" applyFont="false" applyBorder="true" applyAlignment="false" applyProtection="false">
      <alignment horizontal="general" vertical="bottom" textRotation="0" wrapText="false" indent="0" shrinkToFit="false"/>
      <protection locked="true" hidden="false"/>
    </xf>
    <xf numFmtId="192" fontId="27" fillId="3" borderId="10" xfId="0" applyFont="true" applyBorder="true" applyAlignment="true" applyProtection="false">
      <alignment horizontal="left" vertical="bottom" textRotation="0" wrapText="false" indent="2" shrinkToFit="false"/>
      <protection locked="true" hidden="false"/>
    </xf>
    <xf numFmtId="192" fontId="35" fillId="3" borderId="0" xfId="0" applyFont="true" applyBorder="false" applyAlignment="false" applyProtection="false">
      <alignment horizontal="general" vertical="bottom" textRotation="0" wrapText="false" indent="0" shrinkToFit="false"/>
      <protection locked="true" hidden="false"/>
    </xf>
    <xf numFmtId="192" fontId="35" fillId="3" borderId="2" xfId="0" applyFont="true" applyBorder="true" applyAlignment="false" applyProtection="false">
      <alignment horizontal="general" vertical="bottom" textRotation="0" wrapText="false" indent="0" shrinkToFit="false"/>
      <protection locked="true" hidden="false"/>
    </xf>
    <xf numFmtId="192" fontId="27" fillId="3" borderId="5" xfId="0" applyFont="true" applyBorder="true" applyAlignment="false" applyProtection="false">
      <alignment horizontal="general" vertical="bottom" textRotation="0" wrapText="false" indent="0" shrinkToFit="false"/>
      <protection locked="true" hidden="false"/>
    </xf>
    <xf numFmtId="192" fontId="27" fillId="3" borderId="6" xfId="0" applyFont="true" applyBorder="true" applyAlignment="false" applyProtection="false">
      <alignment horizontal="general" vertical="bottom" textRotation="0" wrapText="false" indent="0" shrinkToFit="false"/>
      <protection locked="true" hidden="false"/>
    </xf>
    <xf numFmtId="192" fontId="27" fillId="3" borderId="17" xfId="0" applyFont="true" applyBorder="true" applyAlignment="false" applyProtection="false">
      <alignment horizontal="general" vertical="bottom" textRotation="0" wrapText="false" indent="0" shrinkToFit="false"/>
      <protection locked="true" hidden="false"/>
    </xf>
    <xf numFmtId="193" fontId="27" fillId="3" borderId="0" xfId="0" applyFont="true" applyBorder="false" applyAlignment="false" applyProtection="false">
      <alignment horizontal="general" vertical="bottom" textRotation="0" wrapText="false" indent="0" shrinkToFit="false"/>
      <protection locked="true" hidden="false"/>
    </xf>
    <xf numFmtId="193" fontId="27" fillId="3" borderId="2" xfId="0" applyFont="true" applyBorder="true" applyAlignment="false" applyProtection="false">
      <alignment horizontal="general" vertical="bottom" textRotation="0" wrapText="false" indent="0" shrinkToFit="false"/>
      <protection locked="true" hidden="false"/>
    </xf>
    <xf numFmtId="193" fontId="0" fillId="0" borderId="0" xfId="0" applyFont="false" applyBorder="false" applyAlignment="false" applyProtection="false">
      <alignment horizontal="general" vertical="bottom" textRotation="0" wrapText="false" indent="0" shrinkToFit="false"/>
      <protection locked="true" hidden="false"/>
    </xf>
    <xf numFmtId="172" fontId="2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93" fontId="35" fillId="3" borderId="0" xfId="0" applyFont="true" applyBorder="false" applyAlignment="false" applyProtection="false">
      <alignment horizontal="general" vertical="bottom" textRotation="0" wrapText="false" indent="0" shrinkToFit="false"/>
      <protection locked="true" hidden="false"/>
    </xf>
    <xf numFmtId="176" fontId="0" fillId="3" borderId="5" xfId="0" applyFont="false" applyBorder="true" applyAlignment="false" applyProtection="false">
      <alignment horizontal="general" vertical="bottom" textRotation="0" wrapText="false" indent="0" shrinkToFit="false"/>
      <protection locked="true" hidden="false"/>
    </xf>
    <xf numFmtId="164" fontId="27" fillId="3" borderId="3" xfId="0" applyFont="true" applyBorder="true" applyAlignment="false" applyProtection="false">
      <alignment horizontal="general" vertical="bottom" textRotation="0" wrapText="false" indent="0" shrinkToFit="false"/>
      <protection locked="true" hidden="false"/>
    </xf>
    <xf numFmtId="176" fontId="34" fillId="9" borderId="0" xfId="0" applyFont="true" applyBorder="false" applyAlignment="false" applyProtection="false">
      <alignment horizontal="general" vertical="bottom" textRotation="0" wrapText="false" indent="0" shrinkToFit="false"/>
      <protection locked="true" hidden="false"/>
    </xf>
    <xf numFmtId="164" fontId="40" fillId="9"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4" fillId="3" borderId="0" xfId="0" applyFont="true" applyBorder="false" applyAlignment="false" applyProtection="false">
      <alignment horizontal="general" vertical="bottom" textRotation="0" wrapText="false" indent="0" shrinkToFit="false"/>
      <protection locked="true" hidden="false"/>
    </xf>
    <xf numFmtId="180" fontId="45" fillId="3" borderId="0" xfId="0" applyFont="true" applyBorder="false" applyAlignment="true" applyProtection="false">
      <alignment horizontal="left" vertical="bottom" textRotation="0" wrapText="false" indent="0" shrinkToFit="false"/>
      <protection locked="true" hidden="false"/>
    </xf>
    <xf numFmtId="164" fontId="27" fillId="3" borderId="0" xfId="0" applyFont="true" applyBorder="false" applyAlignment="true" applyProtection="false">
      <alignment horizontal="left" vertical="bottom" textRotation="0" wrapText="false" indent="0" shrinkToFit="false"/>
      <protection locked="true" hidden="false"/>
    </xf>
    <xf numFmtId="164" fontId="31" fillId="3" borderId="0" xfId="0" applyFont="true" applyBorder="false" applyAlignment="false" applyProtection="false">
      <alignment horizontal="general" vertical="bottom" textRotation="0" wrapText="false" indent="0" shrinkToFit="false"/>
      <protection locked="true" hidden="false"/>
    </xf>
    <xf numFmtId="164" fontId="34" fillId="9" borderId="0" xfId="0" applyFont="true" applyBorder="false" applyAlignment="true" applyProtection="false">
      <alignment horizontal="left" vertical="bottom" textRotation="0" wrapText="false" indent="0" shrinkToFit="false"/>
      <protection locked="true" hidden="false"/>
    </xf>
    <xf numFmtId="164" fontId="34" fillId="3" borderId="0" xfId="0" applyFont="true" applyBorder="false" applyAlignment="true" applyProtection="false">
      <alignment horizontal="left" vertical="bottom" textRotation="0" wrapText="false" indent="0" shrinkToFit="false"/>
      <protection locked="true" hidden="false"/>
    </xf>
    <xf numFmtId="164" fontId="34" fillId="9" borderId="0"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left"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4" fontId="34" fillId="9" borderId="0" xfId="0" applyFont="true" applyBorder="false" applyAlignment="true" applyProtection="false">
      <alignment horizontal="center" vertical="bottom" textRotation="0" wrapText="false" indent="0" shrinkToFit="false"/>
      <protection locked="true" hidden="false"/>
    </xf>
    <xf numFmtId="175" fontId="34" fillId="9" borderId="0" xfId="0" applyFont="true" applyBorder="false" applyAlignment="true" applyProtection="false">
      <alignment horizontal="center"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4" fontId="31" fillId="8" borderId="0" xfId="0" applyFont="true" applyBorder="false" applyAlignment="false" applyProtection="false">
      <alignment horizontal="general"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74" fontId="31" fillId="8" borderId="0" xfId="0" applyFont="true" applyBorder="false" applyAlignment="true" applyProtection="false">
      <alignment horizontal="center" vertical="bottom" textRotation="0" wrapText="false" indent="0" shrinkToFit="false"/>
      <protection locked="true" hidden="false"/>
    </xf>
    <xf numFmtId="175" fontId="31" fillId="8" borderId="0" xfId="0" applyFont="true" applyBorder="false" applyAlignment="true" applyProtection="false">
      <alignment horizontal="center" vertical="bottom" textRotation="0" wrapText="false" indent="0" shrinkToFit="false"/>
      <protection locked="true" hidden="false"/>
    </xf>
    <xf numFmtId="170" fontId="27" fillId="8" borderId="0" xfId="0" applyFont="true" applyBorder="false" applyAlignment="true" applyProtection="false">
      <alignment horizontal="left" vertical="bottom" textRotation="0" wrapText="false" indent="0" shrinkToFit="false"/>
      <protection locked="true" hidden="false"/>
    </xf>
    <xf numFmtId="164" fontId="47" fillId="8" borderId="0" xfId="0" applyFont="true" applyBorder="false" applyAlignment="false" applyProtection="false">
      <alignment horizontal="general" vertical="bottom" textRotation="0" wrapText="false" indent="0" shrinkToFit="false"/>
      <protection locked="true" hidden="false"/>
    </xf>
    <xf numFmtId="174" fontId="31" fillId="3" borderId="0" xfId="0" applyFont="true" applyBorder="false" applyAlignment="true" applyProtection="false">
      <alignment horizontal="center" vertical="bottom" textRotation="0" wrapText="false" indent="0" shrinkToFit="false"/>
      <protection locked="true" hidden="false"/>
    </xf>
    <xf numFmtId="175" fontId="31" fillId="3" borderId="0" xfId="0" applyFont="true" applyBorder="false" applyAlignment="true" applyProtection="false">
      <alignment horizontal="center" vertical="bottom" textRotation="0" wrapText="false" indent="0" shrinkToFit="false"/>
      <protection locked="true" hidden="false"/>
    </xf>
    <xf numFmtId="170" fontId="27" fillId="3" borderId="0" xfId="0" applyFont="true" applyBorder="false" applyAlignment="true" applyProtection="false">
      <alignment horizontal="left" vertical="bottom" textRotation="0" wrapText="false" indent="0" shrinkToFit="false"/>
      <protection locked="true" hidden="false"/>
    </xf>
    <xf numFmtId="164" fontId="47" fillId="3" borderId="0" xfId="0" applyFont="true" applyBorder="false" applyAlignment="false" applyProtection="false">
      <alignment horizontal="general" vertical="bottom" textRotation="0" wrapText="false" indent="0" shrinkToFit="false"/>
      <protection locked="true" hidden="false"/>
    </xf>
    <xf numFmtId="176" fontId="31" fillId="8" borderId="0" xfId="0" applyFont="true" applyBorder="false" applyAlignment="true" applyProtection="false">
      <alignment horizontal="center" vertical="bottom" textRotation="0" wrapText="false" indent="0" shrinkToFit="false"/>
      <protection locked="true" hidden="false"/>
    </xf>
    <xf numFmtId="174" fontId="27" fillId="3" borderId="0" xfId="0" applyFont="true" applyBorder="false" applyAlignment="true" applyProtection="false">
      <alignment horizontal="center" vertical="bottom" textRotation="0" wrapText="false" indent="0" shrinkToFit="false"/>
      <protection locked="true" hidden="false"/>
    </xf>
    <xf numFmtId="175" fontId="27" fillId="3" borderId="0" xfId="0" applyFont="true" applyBorder="false" applyAlignment="true" applyProtection="false">
      <alignment horizontal="center" vertical="bottom" textRotation="0" wrapText="false" indent="0" shrinkToFit="false"/>
      <protection locked="true" hidden="false"/>
    </xf>
    <xf numFmtId="164" fontId="48" fillId="3" borderId="0" xfId="0" applyFont="true" applyBorder="false" applyAlignment="false" applyProtection="false">
      <alignment horizontal="general" vertical="bottom" textRotation="0" wrapText="false" indent="0" shrinkToFit="false"/>
      <protection locked="true" hidden="false"/>
    </xf>
    <xf numFmtId="184" fontId="37" fillId="8" borderId="0" xfId="0" applyFont="true" applyBorder="false" applyAlignment="true" applyProtection="false">
      <alignment horizontal="center" vertical="bottom" textRotation="0" wrapText="false" indent="0" shrinkToFit="false"/>
      <protection locked="true" hidden="false"/>
    </xf>
    <xf numFmtId="184" fontId="37" fillId="3" borderId="0" xfId="0" applyFont="true" applyBorder="false" applyAlignment="true" applyProtection="false">
      <alignment horizontal="center" vertical="bottom" textRotation="0" wrapText="false" indent="0" shrinkToFit="false"/>
      <protection locked="true" hidden="false"/>
    </xf>
    <xf numFmtId="184" fontId="37" fillId="8" borderId="2" xfId="0" applyFont="true" applyBorder="true" applyAlignment="true" applyProtection="false">
      <alignment horizontal="center" vertical="bottom" textRotation="0" wrapText="false" indent="0" shrinkToFit="false"/>
      <protection locked="true" hidden="false"/>
    </xf>
    <xf numFmtId="174" fontId="37" fillId="3" borderId="0" xfId="0" applyFont="true" applyBorder="false" applyAlignment="true" applyProtection="false">
      <alignment horizontal="center" vertical="bottom" textRotation="0" wrapText="false" indent="0" shrinkToFit="false"/>
      <protection locked="true" hidden="false"/>
    </xf>
    <xf numFmtId="174" fontId="31" fillId="8" borderId="2" xfId="0" applyFont="true" applyBorder="true" applyAlignment="true" applyProtection="false">
      <alignment horizontal="center" vertical="bottom" textRotation="0" wrapText="false" indent="0" shrinkToFit="false"/>
      <protection locked="true" hidden="false"/>
    </xf>
    <xf numFmtId="187" fontId="31" fillId="3" borderId="0" xfId="0" applyFont="true" applyBorder="false" applyAlignment="true" applyProtection="false">
      <alignment horizontal="left" vertical="bottom" textRotation="0" wrapText="false" indent="1" shrinkToFit="false"/>
      <protection locked="true" hidden="false"/>
    </xf>
    <xf numFmtId="187" fontId="31" fillId="8" borderId="0" xfId="0" applyFont="true" applyBorder="false" applyAlignment="true" applyProtection="false">
      <alignment horizontal="right" vertical="bottom" textRotation="0" wrapText="false" indent="0" shrinkToFit="false"/>
      <protection locked="true" hidden="false"/>
    </xf>
    <xf numFmtId="187" fontId="31" fillId="8" borderId="2" xfId="0" applyFont="true" applyBorder="true" applyAlignment="true" applyProtection="false">
      <alignment horizontal="right" vertical="bottom" textRotation="0" wrapText="false" indent="0" shrinkToFit="false"/>
      <protection locked="true" hidden="false"/>
    </xf>
    <xf numFmtId="187" fontId="27" fillId="3" borderId="5" xfId="0" applyFont="true" applyBorder="true" applyAlignment="true" applyProtection="false">
      <alignment horizontal="left" vertical="bottom" textRotation="0" wrapText="false" indent="0" shrinkToFit="false"/>
      <protection locked="true" hidden="false"/>
    </xf>
    <xf numFmtId="174" fontId="40" fillId="9" borderId="0" xfId="0" applyFont="true" applyBorder="false" applyAlignment="false" applyProtection="false">
      <alignment horizontal="general" vertical="bottom" textRotation="0" wrapText="false" indent="0" shrinkToFit="false"/>
      <protection locked="true" hidden="false"/>
    </xf>
    <xf numFmtId="174" fontId="40" fillId="9" borderId="2" xfId="0" applyFont="true" applyBorder="true" applyAlignment="false" applyProtection="false">
      <alignment horizontal="general" vertical="bottom" textRotation="0" wrapText="false" indent="0" shrinkToFit="false"/>
      <protection locked="true" hidden="false"/>
    </xf>
    <xf numFmtId="175" fontId="27" fillId="3" borderId="5" xfId="0" applyFont="true" applyBorder="true" applyAlignment="true" applyProtection="false">
      <alignment horizontal="left" vertical="bottom" textRotation="0" wrapText="false" indent="2" shrinkToFit="false"/>
      <protection locked="true" hidden="false"/>
    </xf>
    <xf numFmtId="175" fontId="27" fillId="3" borderId="5" xfId="0" applyFont="true" applyBorder="true" applyAlignment="false" applyProtection="false">
      <alignment horizontal="general" vertical="bottom" textRotation="0" wrapText="false" indent="0" shrinkToFit="false"/>
      <protection locked="true" hidden="false"/>
    </xf>
    <xf numFmtId="175" fontId="27" fillId="3" borderId="5" xfId="0" applyFont="true" applyBorder="true" applyAlignment="true" applyProtection="false">
      <alignment horizontal="left" vertical="bottom" textRotation="0" wrapText="false" indent="1" shrinkToFit="false"/>
      <protection locked="true" hidden="false"/>
    </xf>
    <xf numFmtId="175" fontId="40" fillId="9" borderId="0" xfId="0" applyFont="true" applyBorder="false" applyAlignment="false" applyProtection="false">
      <alignment horizontal="general" vertical="bottom" textRotation="0" wrapText="false" indent="0" shrinkToFit="false"/>
      <protection locked="true" hidden="false"/>
    </xf>
    <xf numFmtId="175" fontId="40" fillId="9" borderId="2" xfId="0" applyFont="true" applyBorder="true" applyAlignment="false" applyProtection="false">
      <alignment horizontal="general" vertical="bottom" textRotation="0" wrapText="false" indent="0" shrinkToFit="false"/>
      <protection locked="true" hidden="false"/>
    </xf>
    <xf numFmtId="175" fontId="27" fillId="8" borderId="2" xfId="0" applyFont="true" applyBorder="true" applyAlignment="false" applyProtection="false">
      <alignment horizontal="general" vertical="bottom" textRotation="0" wrapText="false" indent="0" shrinkToFit="false"/>
      <protection locked="true" hidden="false"/>
    </xf>
    <xf numFmtId="175" fontId="27" fillId="8" borderId="5" xfId="0" applyFont="true" applyBorder="true" applyAlignment="false" applyProtection="false">
      <alignment horizontal="general" vertical="bottom" textRotation="0" wrapText="false" indent="0" shrinkToFit="false"/>
      <protection locked="true" hidden="false"/>
    </xf>
    <xf numFmtId="200" fontId="31" fillId="3" borderId="0" xfId="0" applyFont="true" applyBorder="false" applyAlignment="false" applyProtection="false">
      <alignment horizontal="general" vertical="bottom" textRotation="0" wrapText="false" indent="0" shrinkToFit="false"/>
      <protection locked="true" hidden="false"/>
    </xf>
    <xf numFmtId="202" fontId="31" fillId="3" borderId="0" xfId="0" applyFont="true" applyBorder="false" applyAlignment="true" applyProtection="false">
      <alignment horizontal="left" vertical="bottom" textRotation="0" wrapText="false" indent="0" shrinkToFit="false"/>
      <protection locked="true" hidden="false"/>
    </xf>
    <xf numFmtId="202" fontId="31" fillId="3" borderId="0" xfId="0" applyFont="true" applyBorder="false" applyAlignment="false" applyProtection="false">
      <alignment horizontal="general" vertical="bottom" textRotation="0" wrapText="false" indent="0" shrinkToFit="false"/>
      <protection locked="true" hidden="false"/>
    </xf>
    <xf numFmtId="202" fontId="31" fillId="8" borderId="0" xfId="0" applyFont="true" applyBorder="false" applyAlignment="true" applyProtection="false">
      <alignment horizontal="right" vertical="bottom" textRotation="0" wrapText="false" indent="0" shrinkToFit="false"/>
      <protection locked="true" hidden="false"/>
    </xf>
    <xf numFmtId="202" fontId="31" fillId="3" borderId="0" xfId="0" applyFont="true" applyBorder="false" applyAlignment="true" applyProtection="false">
      <alignment horizontal="right" vertical="bottom" textRotation="0" wrapText="false" indent="0" shrinkToFit="false"/>
      <protection locked="true" hidden="false"/>
    </xf>
    <xf numFmtId="202" fontId="31" fillId="8" borderId="2" xfId="0" applyFont="true" applyBorder="true" applyAlignment="true" applyProtection="false">
      <alignment horizontal="right" vertical="bottom" textRotation="0" wrapText="false" indent="0" shrinkToFit="false"/>
      <protection locked="true" hidden="false"/>
    </xf>
    <xf numFmtId="202" fontId="30" fillId="0" borderId="0" xfId="0" applyFont="true" applyBorder="false" applyAlignment="false" applyProtection="false">
      <alignment horizontal="general" vertical="bottom" textRotation="0" wrapText="false" indent="0" shrinkToFit="false"/>
      <protection locked="true" hidden="false"/>
    </xf>
    <xf numFmtId="200" fontId="31" fillId="3" borderId="0" xfId="0" applyFont="true" applyBorder="false" applyAlignment="true" applyProtection="false">
      <alignment horizontal="left" vertical="bottom" textRotation="0" wrapText="false" indent="3" shrinkToFit="false"/>
      <protection locked="true" hidden="false"/>
    </xf>
    <xf numFmtId="200" fontId="31" fillId="8" borderId="0" xfId="0" applyFont="true" applyBorder="false" applyAlignment="false" applyProtection="false">
      <alignment horizontal="general" vertical="bottom" textRotation="0" wrapText="false" indent="0" shrinkToFit="false"/>
      <protection locked="true" hidden="false"/>
    </xf>
    <xf numFmtId="200" fontId="31" fillId="8" borderId="2" xfId="0" applyFont="true" applyBorder="true" applyAlignment="false" applyProtection="false">
      <alignment horizontal="general" vertical="bottom" textRotation="0" wrapText="false" indent="0" shrinkToFit="false"/>
      <protection locked="true" hidden="false"/>
    </xf>
    <xf numFmtId="200" fontId="30" fillId="0" borderId="0" xfId="0" applyFont="true" applyBorder="false" applyAlignment="false" applyProtection="false">
      <alignment horizontal="general" vertical="bottom" textRotation="0" wrapText="false" indent="0" shrinkToFit="false"/>
      <protection locked="true" hidden="false"/>
    </xf>
    <xf numFmtId="203" fontId="31" fillId="3" borderId="0" xfId="0" applyFont="true" applyBorder="false" applyAlignment="true" applyProtection="false">
      <alignment horizontal="left" vertical="bottom" textRotation="0" wrapText="false" indent="0" shrinkToFit="false"/>
      <protection locked="true" hidden="false"/>
    </xf>
    <xf numFmtId="203" fontId="31" fillId="3" borderId="0" xfId="0" applyFont="true" applyBorder="false" applyAlignment="false" applyProtection="false">
      <alignment horizontal="general" vertical="bottom" textRotation="0" wrapText="false" indent="0" shrinkToFit="false"/>
      <protection locked="true" hidden="false"/>
    </xf>
    <xf numFmtId="203" fontId="31" fillId="8" borderId="0" xfId="0" applyFont="true" applyBorder="false" applyAlignment="true" applyProtection="false">
      <alignment horizontal="right" vertical="bottom" textRotation="0" wrapText="false" indent="0" shrinkToFit="false"/>
      <protection locked="true" hidden="false"/>
    </xf>
    <xf numFmtId="203" fontId="31" fillId="3" borderId="0" xfId="0" applyFont="true" applyBorder="false" applyAlignment="true" applyProtection="false">
      <alignment horizontal="right" vertical="bottom" textRotation="0" wrapText="false" indent="0" shrinkToFit="false"/>
      <protection locked="true" hidden="false"/>
    </xf>
    <xf numFmtId="203" fontId="31" fillId="8" borderId="2" xfId="0" applyFont="true" applyBorder="true" applyAlignment="true" applyProtection="false">
      <alignment horizontal="right" vertical="bottom" textRotation="0" wrapText="false" indent="0" shrinkToFit="false"/>
      <protection locked="true" hidden="false"/>
    </xf>
    <xf numFmtId="203" fontId="30"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204" fontId="11" fillId="3" borderId="0" xfId="0" applyFont="true" applyBorder="false" applyAlignment="true" applyProtection="false">
      <alignment horizontal="center" vertical="center" textRotation="0" wrapText="false" indent="0" shrinkToFit="false"/>
      <protection locked="true" hidden="false"/>
    </xf>
    <xf numFmtId="170" fontId="8" fillId="3" borderId="0" xfId="0" applyFont="true" applyBorder="false" applyAlignment="true" applyProtection="false">
      <alignment horizontal="center" vertical="center" textRotation="0" wrapText="false" indent="0" shrinkToFit="false"/>
      <protection locked="true" hidden="false"/>
    </xf>
    <xf numFmtId="205" fontId="29" fillId="3" borderId="0" xfId="0" applyFont="true" applyBorder="false" applyAlignment="true" applyProtection="false">
      <alignment horizontal="right" vertical="bottom" textRotation="0" wrapText="false" indent="0" shrinkToFit="false"/>
      <protection locked="true" hidden="false"/>
    </xf>
    <xf numFmtId="206" fontId="29" fillId="3" borderId="0" xfId="0" applyFont="true" applyBorder="false" applyAlignment="true" applyProtection="false">
      <alignment horizontal="right" vertical="bottom" textRotation="0" wrapText="false" indent="0" shrinkToFit="false"/>
      <protection locked="true" hidden="false"/>
    </xf>
    <xf numFmtId="164" fontId="31" fillId="3" borderId="1" xfId="0" applyFont="true" applyBorder="true" applyAlignment="true" applyProtection="false">
      <alignment horizontal="center" vertical="bottom" textRotation="0" wrapText="false" indent="0" shrinkToFit="false"/>
      <protection locked="true" hidden="false"/>
    </xf>
    <xf numFmtId="164" fontId="31" fillId="3" borderId="9" xfId="0" applyFont="true" applyBorder="true" applyAlignment="true" applyProtection="false">
      <alignment horizontal="left" vertical="bottom" textRotation="0" wrapText="false" indent="0" shrinkToFit="false"/>
      <protection locked="true" hidden="false"/>
    </xf>
    <xf numFmtId="170" fontId="0" fillId="3"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0" fillId="3" borderId="12" xfId="0" applyFont="true" applyBorder="true" applyAlignment="true" applyProtection="false">
      <alignment horizontal="left"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3" borderId="12" xfId="0" applyFont="true" applyBorder="true" applyAlignment="false" applyProtection="false">
      <alignment horizontal="general" vertical="bottom" textRotation="0" wrapText="fals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4" fontId="0" fillId="3" borderId="16" xfId="0" applyFont="true" applyBorder="true" applyAlignment="true" applyProtection="false">
      <alignment horizontal="left" vertical="bottom" textRotation="0" wrapText="fals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7" fillId="3" borderId="17" xfId="0" applyFont="true" applyBorder="true" applyAlignment="false" applyProtection="false">
      <alignment horizontal="general" vertical="bottom" textRotation="0" wrapText="false" indent="0" shrinkToFit="false"/>
      <protection locked="true" hidden="false"/>
    </xf>
    <xf numFmtId="170" fontId="0" fillId="3" borderId="12" xfId="0" applyFont="true" applyBorder="true" applyAlignment="true" applyProtection="false">
      <alignment horizontal="center" vertical="bottom" textRotation="0" wrapText="false" indent="0" shrinkToFit="false"/>
      <protection locked="true" hidden="false"/>
    </xf>
    <xf numFmtId="164" fontId="0" fillId="3" borderId="12" xfId="0" applyFont="true" applyBorder="true" applyAlignment="true" applyProtection="false">
      <alignment horizontal="center" vertical="bottom"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7" fillId="3" borderId="12" xfId="0" applyFont="true" applyBorder="true" applyAlignment="true" applyProtection="false">
      <alignment horizontal="left"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2" xfId="23"/>
    <cellStyle name="Currency 2 2" xfId="24"/>
    <cellStyle name="Currency 2 3" xfId="25"/>
    <cellStyle name="Currency [0]" xfId="26"/>
    <cellStyle name="Good 1" xfId="27"/>
    <cellStyle name="Hyperlink 2" xfId="28"/>
    <cellStyle name="Hyperlink 3" xfId="29"/>
    <cellStyle name="Normal 2" xfId="30"/>
    <cellStyle name="Normal 2 2" xfId="31"/>
    <cellStyle name="Normal 3" xfId="32"/>
    <cellStyle name="Normal 3 2" xfId="33"/>
    <cellStyle name="Normal 4" xfId="34"/>
    <cellStyle name="Percent" xfId="35"/>
    <cellStyle name="Percent 2" xfId="36"/>
    <cellStyle name="Percent 2 2" xfId="37"/>
  </cellStyles>
  <dxfs count="6">
    <dxf>
      <font>
        <color rgb="FFF2F2F2"/>
      </font>
      <fill>
        <patternFill>
          <bgColor rgb="FFF2F2F2"/>
        </patternFill>
      </fill>
    </dxf>
    <dxf>
      <fill>
        <patternFill>
          <bgColor rgb="FFFFC7CE"/>
        </patternFill>
      </fill>
    </dxf>
    <dxf>
      <fill>
        <patternFill>
          <bgColor rgb="FFC6EFCE"/>
        </patternFill>
      </fill>
    </dxf>
    <dxf>
      <fill>
        <patternFill patternType="solid">
          <fgColor rgb="FFFFFFFF"/>
          <bgColor rgb="FF000000"/>
        </patternFill>
      </fill>
    </dxf>
    <dxf>
      <fill>
        <patternFill patternType="solid">
          <fgColor rgb="FFF2F2F2"/>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7F00"/>
      <rgbColor rgb="FF000080"/>
      <rgbColor rgb="FF808000"/>
      <rgbColor rgb="FF800080"/>
      <rgbColor rgb="FF008080"/>
      <rgbColor rgb="FFC0C0C0"/>
      <rgbColor rgb="FF808080"/>
      <rgbColor rgb="FF9999FF"/>
      <rgbColor rgb="FF993366"/>
      <rgbColor rgb="FFF5F5F5"/>
      <rgbColor rgb="FFD0F9F2"/>
      <rgbColor rgb="FF660066"/>
      <rgbColor rgb="FFFF8080"/>
      <rgbColor rgb="FF0070C0"/>
      <rgbColor rgb="FFECEDF0"/>
      <rgbColor rgb="FF000080"/>
      <rgbColor rgb="FFFF00FF"/>
      <rgbColor rgb="FFFFFF00"/>
      <rgbColor rgb="FF00FFFF"/>
      <rgbColor rgb="FF800080"/>
      <rgbColor rgb="FF800000"/>
      <rgbColor rgb="FF008080"/>
      <rgbColor rgb="FF0000FC"/>
      <rgbColor rgb="FF00CCFF"/>
      <rgbColor rgb="FFDDEBF7"/>
      <rgbColor rgb="FFC6EFCE"/>
      <rgbColor rgb="FFF2F2F2"/>
      <rgbColor rgb="FF99CCFF"/>
      <rgbColor rgb="FFFF99CC"/>
      <rgbColor rgb="FFCC99FF"/>
      <rgbColor rgb="FFFFC7CE"/>
      <rgbColor rgb="FF3366FF"/>
      <rgbColor rgb="FF33CCCC"/>
      <rgbColor rgb="FF99CC00"/>
      <rgbColor rgb="FFFFCC00"/>
      <rgbColor rgb="FFFF9900"/>
      <rgbColor rgb="FFD04B35"/>
      <rgbColor rgb="FF666699"/>
      <rgbColor rgb="FF969696"/>
      <rgbColor rgb="FF003366"/>
      <rgbColor rgb="FF00B050"/>
      <rgbColor rgb="FF0061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5</xdr:col>
      <xdr:colOff>180720</xdr:colOff>
      <xdr:row>6</xdr:row>
      <xdr:rowOff>18720</xdr:rowOff>
    </xdr:to>
    <xdr:pic>
      <xdr:nvPicPr>
        <xdr:cNvPr id="0" name="CanalystByASLogo" descr=""/>
        <xdr:cNvPicPr/>
      </xdr:nvPicPr>
      <xdr:blipFill>
        <a:blip r:embed="rId1"/>
        <a:stretch/>
      </xdr:blipFill>
      <xdr:spPr>
        <a:xfrm>
          <a:off x="946080" y="190440"/>
          <a:ext cx="2255400" cy="1018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3</xdr:col>
      <xdr:colOff>1257120</xdr:colOff>
      <xdr:row>6</xdr:row>
      <xdr:rowOff>142560</xdr:rowOff>
    </xdr:to>
    <xdr:pic>
      <xdr:nvPicPr>
        <xdr:cNvPr id="1" name="CanalystByASLogo" descr=""/>
        <xdr:cNvPicPr/>
      </xdr:nvPicPr>
      <xdr:blipFill>
        <a:blip r:embed="rId1"/>
        <a:stretch/>
      </xdr:blipFill>
      <xdr:spPr>
        <a:xfrm>
          <a:off x="996840" y="190440"/>
          <a:ext cx="2364840" cy="1095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support@canalyst.com?subject=Canalyst%20Support:%20ASML%20Holdings%20N.V.%20ASML%20US&amp;body=Model%20Version:%20Q2-2019.20" TargetMode="External"/><Relationship Id="rId2" Type="http://schemas.openxmlformats.org/officeDocument/2006/relationships/hyperlink" Target="mailto:support@canalyst.com?subject=Canalyst%20Support:%20ASML%20Holdings%20N.V.%20ASML%20US&amp;body=Model%20Version:%20Q2-2019.20" TargetMode="External"/><Relationship Id="rId3" Type="http://schemas.openxmlformats.org/officeDocument/2006/relationships/hyperlink" Target="mailto:support@canalyst.com?subject=Canalyst%20Support:%20ASML%20Holdings%20N.V.%20ASML%20US&amp;body=Model%20Version:%20Q2-2019.20" TargetMode="External"/><Relationship Id="rId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asml.com/en/investors" TargetMode="Externa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ourbrand.asml.com/m/3136300aa4999bc1/original/2026_01_28_Presentation-Investor-Relations-Q4-2025.pdf" TargetMode="External"/><Relationship Id="rId3" Type="http://schemas.openxmlformats.org/officeDocument/2006/relationships/hyperlink" Target="https://ourbrand.asml.com/m/3136300aa4999bc1/original/2026_01_28_Presentation-Investor-Relations-Q4-2025.pdf" TargetMode="External"/><Relationship Id="rId4" Type="http://schemas.openxmlformats.org/officeDocument/2006/relationships/hyperlink" Target="https://ourbrand.asml.com/m/3136300aa4999bc1/original/2026_01_28_Presentation-Investor-Relations-Q4-2025.pdf" TargetMode="External"/><Relationship Id="rId5" Type="http://schemas.openxmlformats.org/officeDocument/2006/relationships/hyperlink" Target="https://ourbrand.asml.com/m/3136300aa4999bc1/original/2026_01_28_Presentation-Investor-Relations-Q4-2025.pdf" TargetMode="External"/><Relationship Id="rId6" Type="http://schemas.openxmlformats.org/officeDocument/2006/relationships/hyperlink" Target="https://ourbrand.asml.com/m/3136300aa4999bc1/original/2026_01_28_Presentation-Investor-Relations-Q4-2025.pdf" TargetMode="External"/><Relationship Id="rId7" Type="http://schemas.openxmlformats.org/officeDocument/2006/relationships/hyperlink" Target="https://ourbrand.asml.com/m/3136300aa4999bc1/original/2026_01_28_Presentation-Investor-Relations-Q4-2025.pdf" TargetMode="External"/><Relationship Id="rId8" Type="http://schemas.openxmlformats.org/officeDocument/2006/relationships/hyperlink" Target="https://ourbrand.asml.com/m/3136300aa4999bc1/original/2026_01_28_Presentation-Investor-Relations-Q4-2025.pdf" TargetMode="External"/><Relationship Id="rId9" Type="http://schemas.openxmlformats.org/officeDocument/2006/relationships/hyperlink" Target="https://ourbrand.asml.com/m/3136300aa4999bc1/original/2026_01_28_Presentation-Investor-Relations-Q4-2025.pdf" TargetMode="External"/><Relationship Id="rId10" Type="http://schemas.openxmlformats.org/officeDocument/2006/relationships/hyperlink" Target="https://ourbrand.asml.com/m/4beae8fbfeefabee/original/2025_10_15_Presentation-Investor-Relations-Q3-2025.pdf" TargetMode="External"/><Relationship Id="rId11" Type="http://schemas.openxmlformats.org/officeDocument/2006/relationships/hyperlink" Target="https://ourbrand.asml.com/m/4beae8fbfeefabee/original/2025_10_15_Presentation-Investor-Relations-Q3-2025.pdf" TargetMode="External"/><Relationship Id="rId12" Type="http://schemas.openxmlformats.org/officeDocument/2006/relationships/hyperlink" Target="https://ourbrand.asml.com/m/4beae8fbfeefabee/original/2025_10_15_Presentation-Investor-Relations-Q3-2025.pdf" TargetMode="External"/><Relationship Id="rId13" Type="http://schemas.openxmlformats.org/officeDocument/2006/relationships/hyperlink" Target="https://ourbrand.asml.com/m/4beae8fbfeefabee/original/2025_10_15_Presentation-Investor-Relations-Q3-2025.pdf" TargetMode="External"/><Relationship Id="rId14" Type="http://schemas.openxmlformats.org/officeDocument/2006/relationships/hyperlink" Target="https://ourbrand.asml.com/m/4beae8fbfeefabee/original/2025_10_15_Presentation-Investor-Relations-Q3-2025.pdf" TargetMode="External"/><Relationship Id="rId15" Type="http://schemas.openxmlformats.org/officeDocument/2006/relationships/hyperlink" Target="https://ourbrand.asml.com/m/4beae8fbfeefabee/original/2025_10_15_Presentation-Investor-Relations-Q3-2025.pdf" TargetMode="External"/><Relationship Id="rId16" Type="http://schemas.openxmlformats.org/officeDocument/2006/relationships/hyperlink" Target="https://ourbrand.asml.com/m/4beae8fbfeefabee/original/2025_10_15_Presentation-Investor-Relations-Q3-2025.pdf" TargetMode="External"/><Relationship Id="rId17" Type="http://schemas.openxmlformats.org/officeDocument/2006/relationships/hyperlink" Target="https://ourbrand.asml.com/m/4beae8fbfeefabee/original/2025_10_15_Presentation-Investor-Relations-Q3-2025.pdf" TargetMode="External"/><Relationship Id="rId18" Type="http://schemas.openxmlformats.org/officeDocument/2006/relationships/hyperlink" Target="https://ourbrand.asml.com/m/39670b708ea03976/original/2025_07_16_Presentation-Investor-Relations-Q2-2025.pdf" TargetMode="External"/><Relationship Id="rId19" Type="http://schemas.openxmlformats.org/officeDocument/2006/relationships/hyperlink" Target="https://ourbrand.asml.com/m/39670b708ea03976/original/2025_07_16_Presentation-Investor-Relations-Q2-2025.pdf" TargetMode="External"/><Relationship Id="rId20" Type="http://schemas.openxmlformats.org/officeDocument/2006/relationships/hyperlink" Target="https://ourbrand.asml.com/m/39670b708ea03976/original/2025_07_16_Presentation-Investor-Relations-Q2-2025.pdf" TargetMode="External"/><Relationship Id="rId21" Type="http://schemas.openxmlformats.org/officeDocument/2006/relationships/hyperlink" Target="https://ourbrand.asml.com/m/39670b708ea03976/original/2025_07_16_Presentation-Investor-Relations-Q2-2025.pdf" TargetMode="External"/><Relationship Id="rId22" Type="http://schemas.openxmlformats.org/officeDocument/2006/relationships/hyperlink" Target="https://ourbrand.asml.com/m/39670b708ea03976/original/2025_07_16_Presentation-Investor-Relations-Q2-2025.pdf" TargetMode="External"/><Relationship Id="rId23" Type="http://schemas.openxmlformats.org/officeDocument/2006/relationships/hyperlink" Target="https://ourbrand.asml.com/m/39670b708ea03976/original/2025_07_16_Presentation-Investor-Relations-Q2-2025.pdf" TargetMode="External"/><Relationship Id="rId24" Type="http://schemas.openxmlformats.org/officeDocument/2006/relationships/hyperlink" Target="https://ourbrand.asml.com/m/39670b708ea03976/original/2025_07_16_Presentation-Investor-Relations-Q2-2025.pdf" TargetMode="External"/><Relationship Id="rId25" Type="http://schemas.openxmlformats.org/officeDocument/2006/relationships/hyperlink" Target="https://ourbrand.asml.com/m/39670b708ea03976/original/2025_07_16_Presentation-Investor-Relations-Q2-2025.pdf" TargetMode="External"/><Relationship Id="rId26" Type="http://schemas.openxmlformats.org/officeDocument/2006/relationships/hyperlink" Target="https://ourbrand.asml.com/m/4911d1a455422b3f/original/Presentation-Investor-Relations-Q1-2025.pdf" TargetMode="External"/><Relationship Id="rId27" Type="http://schemas.openxmlformats.org/officeDocument/2006/relationships/hyperlink" Target="https://ourbrand.asml.com/m/4911d1a455422b3f/original/Presentation-Investor-Relations-Q1-2025.pdf" TargetMode="External"/><Relationship Id="rId28" Type="http://schemas.openxmlformats.org/officeDocument/2006/relationships/hyperlink" Target="https://ourbrand.asml.com/m/4911d1a455422b3f/original/Presentation-Investor-Relations-Q1-2025.pdf" TargetMode="External"/><Relationship Id="rId29" Type="http://schemas.openxmlformats.org/officeDocument/2006/relationships/hyperlink" Target="https://ourbrand.asml.com/m/4911d1a455422b3f/original/Presentation-Investor-Relations-Q1-2025.pdf" TargetMode="External"/><Relationship Id="rId30" Type="http://schemas.openxmlformats.org/officeDocument/2006/relationships/hyperlink" Target="https://ourbrand.asml.com/m/4911d1a455422b3f/original/Presentation-Investor-Relations-Q1-2025.pdf" TargetMode="External"/><Relationship Id="rId31" Type="http://schemas.openxmlformats.org/officeDocument/2006/relationships/hyperlink" Target="https://ourbrand.asml.com/m/4911d1a455422b3f/original/Presentation-Investor-Relations-Q1-2025.pdf" TargetMode="External"/><Relationship Id="rId32" Type="http://schemas.openxmlformats.org/officeDocument/2006/relationships/hyperlink" Target="https://ourbrand.asml.com/m/4911d1a455422b3f/original/Presentation-Investor-Relations-Q1-2025.pdf" TargetMode="External"/><Relationship Id="rId33" Type="http://schemas.openxmlformats.org/officeDocument/2006/relationships/hyperlink" Target="https://ourbrand.asml.com/m/4911d1a455422b3f/original/Presentation-Investor-Relations-Q1-2025.pdf" TargetMode="External"/><Relationship Id="rId34" Type="http://schemas.openxmlformats.org/officeDocument/2006/relationships/hyperlink" Target="https://ourbrand.asml.com/m/62a213cac2117ee6/original/2025_01_29-Presentation-Investor-Relations-Q4-FY-2024.pdf" TargetMode="External"/><Relationship Id="rId35" Type="http://schemas.openxmlformats.org/officeDocument/2006/relationships/hyperlink" Target="https://ourbrand.asml.com/m/62a213cac2117ee6/original/2025_01_29-Presentation-Investor-Relations-Q4-FY-2024.pdf" TargetMode="External"/><Relationship Id="rId36" Type="http://schemas.openxmlformats.org/officeDocument/2006/relationships/hyperlink" Target="https://ourbrand.asml.com/m/62a213cac2117ee6/original/2025_01_29-Presentation-Investor-Relations-Q4-FY-2024.pdf" TargetMode="External"/><Relationship Id="rId37" Type="http://schemas.openxmlformats.org/officeDocument/2006/relationships/hyperlink" Target="https://ourbrand.asml.com/m/47f7fb0b4fabfc6d/original/Presentation-Investor-Relations-Q2-2024.pdf" TargetMode="External"/><Relationship Id="rId38" Type="http://schemas.openxmlformats.org/officeDocument/2006/relationships/hyperlink" Target="https://ourbrand.asml.com/m/47f7fb0b4fabfc6d/original/Presentation-Investor-Relations-Q2-2024.pdf" TargetMode="External"/><Relationship Id="rId39" Type="http://schemas.openxmlformats.org/officeDocument/2006/relationships/hyperlink" Target="https://ourbrand.asml.com/m/47f7fb0b4fabfc6d/original/Presentation-Investor-Relations-Q2-2024.pdf" TargetMode="External"/><Relationship Id="rId40" Type="http://schemas.openxmlformats.org/officeDocument/2006/relationships/hyperlink" Target="https://ourbrand.asml.com/m/47f7fb0b4fabfc6d/original/Presentation-Investor-Relations-Q2-2024.pdf" TargetMode="External"/><Relationship Id="rId41" Type="http://schemas.openxmlformats.org/officeDocument/2006/relationships/hyperlink" Target="https://ourbrand.asml.com/m/47f7fb0b4fabfc6d/original/Presentation-Investor-Relations-Q2-2024.pdf" TargetMode="External"/><Relationship Id="rId42" Type="http://schemas.openxmlformats.org/officeDocument/2006/relationships/hyperlink" Target="https://ourbrand.asml.com/m/47f7fb0b4fabfc6d/original/Presentation-Investor-Relations-Q2-2024.pdf" TargetMode="External"/><Relationship Id="rId43" Type="http://schemas.openxmlformats.org/officeDocument/2006/relationships/hyperlink" Target="https://ourbrand.asml.com/m/47f7fb0b4fabfc6d/original/Presentation-Investor-Relations-Q2-2024.pdf" TargetMode="External"/><Relationship Id="rId44" Type="http://schemas.openxmlformats.org/officeDocument/2006/relationships/hyperlink" Target="https://ourbrand.asml.com/m/47f7fb0b4fabfc6d/original/Presentation-Investor-Relations-Q2-2024.pdf" TargetMode="External"/><Relationship Id="rId45" Type="http://schemas.openxmlformats.org/officeDocument/2006/relationships/hyperlink" Target="https://ourbrand.asml.com/m/47f7fb0b4fabfc6d/original/Presentation-Investor-Relations-Q2-2024.pdf" TargetMode="External"/><Relationship Id="rId46" Type="http://schemas.openxmlformats.org/officeDocument/2006/relationships/hyperlink" Target="https://ourbrand.asml.com/m/47f7fb0b4fabfc6d/original/Presentation-Investor-Relations-Q2-2024.pdf" TargetMode="External"/><Relationship Id="rId47" Type="http://schemas.openxmlformats.org/officeDocument/2006/relationships/hyperlink" Target="https://ourbrand.asml.com/m/47f7fb0b4fabfc6d/original/Presentation-Investor-Relations-Q2-2024.pdf" TargetMode="External"/><Relationship Id="rId48" Type="http://schemas.openxmlformats.org/officeDocument/2006/relationships/hyperlink" Target="https://ourbrand.asml.com/m/47f7fb0b4fabfc6d/original/Presentation-Investor-Relations-Q2-2024.pdf" TargetMode="External"/><Relationship Id="rId49" Type="http://schemas.openxmlformats.org/officeDocument/2006/relationships/hyperlink" Target="https://ourbrand.asml.com/m/47f7fb0b4fabfc6d/original/Presentation-Investor-Relations-Q2-2024.pdf" TargetMode="External"/><Relationship Id="rId50" Type="http://schemas.openxmlformats.org/officeDocument/2006/relationships/hyperlink" Target="https://ourbrand.asml.com/m/47f7fb0b4fabfc6d/original/Presentation-Investor-Relations-Q2-2024.pdf" TargetMode="External"/><Relationship Id="rId51" Type="http://schemas.openxmlformats.org/officeDocument/2006/relationships/hyperlink" Target="https://ourbrand.asml.com/m/47f7fb0b4fabfc6d/original/Presentation-Investor-Relations-Q2-2024.pdf" TargetMode="External"/><Relationship Id="rId52" Type="http://schemas.openxmlformats.org/officeDocument/2006/relationships/hyperlink" Target="https://ourbrand.asml.com/m/47f7fb0b4fabfc6d/original/Presentation-Investor-Relations-Q2-2024.pdf" TargetMode="External"/><Relationship Id="rId53" Type="http://schemas.openxmlformats.org/officeDocument/2006/relationships/hyperlink" Target="https://ourbrand.asml.com/m/47f7fb0b4fabfc6d/original/Presentation-Investor-Relations-Q2-2024.pdf" TargetMode="External"/><Relationship Id="rId54" Type="http://schemas.openxmlformats.org/officeDocument/2006/relationships/hyperlink" Target="https://ourbrand.asml.com/m/47f7fb0b4fabfc6d/original/Presentation-Investor-Relations-Q2-2024.pdf" TargetMode="External"/><Relationship Id="rId55" Type="http://schemas.openxmlformats.org/officeDocument/2006/relationships/hyperlink" Target="https://ourbrand.asml.com/m/47f7fb0b4fabfc6d/original/Presentation-Investor-Relations-Q2-2024.pdf" TargetMode="External"/><Relationship Id="rId56" Type="http://schemas.openxmlformats.org/officeDocument/2006/relationships/hyperlink" Target="https://ourbrand.asml.com/m/47f7fb0b4fabfc6d/original/Presentation-Investor-Relations-Q2-2024.pdf" TargetMode="External"/><Relationship Id="rId57" Type="http://schemas.openxmlformats.org/officeDocument/2006/relationships/hyperlink" Target="https://www.asml.com/-/media/asml/files/investors/financial-results/q-results/2024/q1/presentation-investor-relations-q1-2024-r3t11w.pdf?rev=22b67381b6af4a71be23673a9719f9d3" TargetMode="External"/><Relationship Id="rId58" Type="http://schemas.openxmlformats.org/officeDocument/2006/relationships/hyperlink" Target="https://www.asml.com/-/media/asml/files/investors/financial-results/q-results/2024/q1/presentation-investor-relations-q1-2024-r3t11w.pdf?rev=22b67381b6af4a71be23673a9719f9d3" TargetMode="External"/><Relationship Id="rId59" Type="http://schemas.openxmlformats.org/officeDocument/2006/relationships/hyperlink" Target="https://www.asml.com/-/media/asml/files/investors/financial-results/q-results/2024/q1/presentation-investor-relations-q1-2024-r3t11w.pdf?rev=22b67381b6af4a71be23673a9719f9d3" TargetMode="External"/><Relationship Id="rId60" Type="http://schemas.openxmlformats.org/officeDocument/2006/relationships/hyperlink" Target="https://www.asml.com/-/media/asml/files/investors/financial-results/q-results/2024/q1/presentation-investor-relations-q1-2024-r3t11w.pdf?rev=22b67381b6af4a71be23673a9719f9d3" TargetMode="External"/><Relationship Id="rId61" Type="http://schemas.openxmlformats.org/officeDocument/2006/relationships/hyperlink" Target="https://www.asml.com/-/media/asml/files/investors/financial-results/q-results/2024/q1/presentation-investor-relations-q1-2024-r3t11w.pdf?rev=22b67381b6af4a71be23673a9719f9d3" TargetMode="External"/><Relationship Id="rId62" Type="http://schemas.openxmlformats.org/officeDocument/2006/relationships/hyperlink" Target="https://www.asml.com/-/media/asml/files/investors/financial-results/q-results/2024/q1/presentation-investor-relations-q1-2024-r3t11w.pdf?rev=22b67381b6af4a71be23673a9719f9d3" TargetMode="External"/><Relationship Id="rId63" Type="http://schemas.openxmlformats.org/officeDocument/2006/relationships/hyperlink" Target="https://www.asml.com/-/media/asml/files/investors/financial-results/q-results/2024/q1/presentation-investor-relations-q1-2024-r3t11w.pdf?rev=22b67381b6af4a71be23673a9719f9d3" TargetMode="External"/><Relationship Id="rId64" Type="http://schemas.openxmlformats.org/officeDocument/2006/relationships/hyperlink" Target="https://www.asml.com/-/media/asml/files/investors/financial-results/q-results/2023/q4/presentation-investor-relations-q4-2023-m1ttie.pdf?rev=d95dae6ecb0f4abdaf87785af87eaa54" TargetMode="External"/><Relationship Id="rId65" Type="http://schemas.openxmlformats.org/officeDocument/2006/relationships/hyperlink" Target="https://www.asml.com/-/media/asml/files/investors/financial-results/q-results/2023/q4/presentation-investor-relations-q4-2023-m1ttie.pdf?rev=d95dae6ecb0f4abdaf87785af87eaa54" TargetMode="External"/><Relationship Id="rId66" Type="http://schemas.openxmlformats.org/officeDocument/2006/relationships/hyperlink" Target="https://www.asml.com/-/media/asml/files/investors/financial-results/q-results/2023/q4/presentation-investor-relations-q4-2023-m1ttie.pdf?rev=d95dae6ecb0f4abdaf87785af87eaa54" TargetMode="External"/><Relationship Id="rId67" Type="http://schemas.openxmlformats.org/officeDocument/2006/relationships/hyperlink" Target="https://www.asml.com/-/media/asml/files/investors/financial-results/q-results/2023/q4/presentation-investor-relations-q4-2023-m1ttie.pdf?rev=d95dae6ecb0f4abdaf87785af87eaa54" TargetMode="External"/><Relationship Id="rId68" Type="http://schemas.openxmlformats.org/officeDocument/2006/relationships/hyperlink" Target="https://www.asml.com/-/media/asml/files/investors/financial-results/q-results/2023/q4/presentation-investor-relations-q4-2023-m1ttie.pdf?rev=d95dae6ecb0f4abdaf87785af87eaa54" TargetMode="External"/><Relationship Id="rId69" Type="http://schemas.openxmlformats.org/officeDocument/2006/relationships/hyperlink" Target="https://www.asml.com/-/media/asml/files/investors/financial-results/q-results/2023/q4/presentation-investor-relations-q4-2023-m1ttie.pdf?rev=d95dae6ecb0f4abdaf87785af87eaa54" TargetMode="External"/><Relationship Id="rId70" Type="http://schemas.openxmlformats.org/officeDocument/2006/relationships/hyperlink" Target="https://www.asml.com/-/media/asml/files/investors/financial-results/q-results/2023/q4/presentation-investor-relations-q4-2023-m1ttie.pdf?rev=d95dae6ecb0f4abdaf87785af87eaa54" TargetMode="External"/><Relationship Id="rId71" Type="http://schemas.openxmlformats.org/officeDocument/2006/relationships/hyperlink" Target="https://www.asml.com/-/media/asml/files/investors/financial-results/q-results/2023/q3/presentation-investor-relations-q3-2023-il1kie.pdf?rev=ac1b3cad68c24da6be4397be61f59028" TargetMode="External"/><Relationship Id="rId72" Type="http://schemas.openxmlformats.org/officeDocument/2006/relationships/hyperlink" Target="https://www.asml.com/-/media/asml/files/investors/financial-results/q-results/2023/q3/presentation-investor-relations-q3-2023-il1kie.pdf?rev=ac1b3cad68c24da6be4397be61f59028" TargetMode="External"/><Relationship Id="rId73" Type="http://schemas.openxmlformats.org/officeDocument/2006/relationships/hyperlink" Target="https://www.asml.com/-/media/asml/files/investors/financial-results/q-results/2023/q3/presentation-investor-relations-q3-2023-il1kie.pdf?rev=ac1b3cad68c24da6be4397be61f59028" TargetMode="External"/><Relationship Id="rId74" Type="http://schemas.openxmlformats.org/officeDocument/2006/relationships/hyperlink" Target="https://www.asml.com/-/media/asml/files/investors/financial-results/q-results/2023/q3/presentation-investor-relations-q3-2023-il1kie.pdf?rev=ac1b3cad68c24da6be4397be61f59028" TargetMode="External"/><Relationship Id="rId75" Type="http://schemas.openxmlformats.org/officeDocument/2006/relationships/hyperlink" Target="https://www.asml.com/-/media/asml/files/investors/financial-results/q-results/2023/q3/presentation-investor-relations-q3-2023-il1kie.pdf?rev=ac1b3cad68c24da6be4397be61f59028" TargetMode="External"/><Relationship Id="rId76" Type="http://schemas.openxmlformats.org/officeDocument/2006/relationships/hyperlink" Target="https://www.asml.com/-/media/asml/files/investors/financial-results/q-results/2023/q3/presentation-investor-relations-q3-2023-il1kie.pdf?rev=ac1b3cad68c24da6be4397be61f59028" TargetMode="External"/><Relationship Id="rId77" Type="http://schemas.openxmlformats.org/officeDocument/2006/relationships/hyperlink" Target="https://www.asml.com/-/media/asml/files/investors/financial-results/q-results/2023/q3/presentation-investor-relations-q3-2023-il1kie.pdf?rev=ac1b3cad68c24da6be4397be61f59028" TargetMode="External"/><Relationship Id="rId78" Type="http://schemas.openxmlformats.org/officeDocument/2006/relationships/hyperlink" Target="https://www.asml.com/-/media/asml/files/investors/financial-results/q-results/2023/q2/presentation-investor-relations-q2-2023-t3eel1.pdf?rev=085bcf476d61462e9f3b42101dab7b07" TargetMode="External"/><Relationship Id="rId79" Type="http://schemas.openxmlformats.org/officeDocument/2006/relationships/hyperlink" Target="https://www.asml.com/-/media/asml/files/investors/financial-results/q-results/2023/q2/presentation-investor-relations-q2-2023-t3eel1.pdf?rev=085bcf476d61462e9f3b42101dab7b07" TargetMode="External"/><Relationship Id="rId80" Type="http://schemas.openxmlformats.org/officeDocument/2006/relationships/hyperlink" Target="https://www.asml.com/-/media/asml/files/investors/financial-results/q-results/2023/q2/presentation-investor-relations-q2-2023-t3eel1.pdf?rev=085bcf476d61462e9f3b42101dab7b07" TargetMode="External"/><Relationship Id="rId81" Type="http://schemas.openxmlformats.org/officeDocument/2006/relationships/hyperlink" Target="https://www.asml.com/-/media/asml/files/investors/financial-results/q-results/2023/q2/presentation-investor-relations-q2-2023-t3eel1.pdf?rev=085bcf476d61462e9f3b42101dab7b07" TargetMode="External"/><Relationship Id="rId82" Type="http://schemas.openxmlformats.org/officeDocument/2006/relationships/hyperlink" Target="https://www.asml.com/-/media/asml/files/investors/financial-results/q-results/2023/q2/presentation-investor-relations-q2-2023-t3eel1.pdf?rev=085bcf476d61462e9f3b42101dab7b07" TargetMode="External"/><Relationship Id="rId83" Type="http://schemas.openxmlformats.org/officeDocument/2006/relationships/hyperlink" Target="https://www.asml.com/-/media/asml/files/investors/financial-results/q-results/2023/q2/presentation-investor-relations-q2-2023-t3eel1.pdf?rev=085bcf476d61462e9f3b42101dab7b07" TargetMode="External"/><Relationship Id="rId84" Type="http://schemas.openxmlformats.org/officeDocument/2006/relationships/hyperlink" Target="https://www.asml.com/-/media/asml/files/investors/financial-results/q-results/2023/q2/presentation-investor-relations-q2-2023-t3eel1.pdf?rev=085bcf476d61462e9f3b42101dab7b07" TargetMode="External"/><Relationship Id="rId85" Type="http://schemas.openxmlformats.org/officeDocument/2006/relationships/hyperlink" Target="https://www.asml.com/-/media/asml/files/investors/financial-results/q-results/2023/q1/presentation-investor-relations-q1-2023-mnft67.pdf?rev=1bb9b6e0db1d48f6814977c927d07ff0" TargetMode="External"/><Relationship Id="rId86" Type="http://schemas.openxmlformats.org/officeDocument/2006/relationships/hyperlink" Target="https://www.asml.com/-/media/asml/files/investors/financial-results/q-results/2023/q1/presentation-investor-relations-q1-2023-mnft67.pdf?rev=1bb9b6e0db1d48f6814977c927d07ff0" TargetMode="External"/><Relationship Id="rId87" Type="http://schemas.openxmlformats.org/officeDocument/2006/relationships/hyperlink" Target="https://www.asml.com/-/media/asml/files/investors/financial-results/q-results/2023/q1/presentation-investor-relations-q1-2023-mnft67.pdf?rev=1bb9b6e0db1d48f6814977c927d07ff0" TargetMode="External"/><Relationship Id="rId88" Type="http://schemas.openxmlformats.org/officeDocument/2006/relationships/hyperlink" Target="https://www.asml.com/-/media/asml/files/investors/financial-results/q-results/2023/q1/presentation-investor-relations-q1-2023-mnft67.pdf?rev=1bb9b6e0db1d48f6814977c927d07ff0" TargetMode="External"/><Relationship Id="rId89" Type="http://schemas.openxmlformats.org/officeDocument/2006/relationships/hyperlink" Target="https://www.asml.com/-/media/asml/files/investors/financial-results/q-results/2023/q1/presentation-investor-relations-q1-2023-mnft67.pdf?rev=1bb9b6e0db1d48f6814977c927d07ff0" TargetMode="External"/><Relationship Id="rId90" Type="http://schemas.openxmlformats.org/officeDocument/2006/relationships/hyperlink" Target="https://www.asml.com/-/media/asml/files/investors/financial-results/q-results/2023/q1/presentation-investor-relations-q1-2023-mnft67.pdf?rev=1bb9b6e0db1d48f6814977c927d07ff0" TargetMode="External"/><Relationship Id="rId91" Type="http://schemas.openxmlformats.org/officeDocument/2006/relationships/hyperlink" Target="https://www.asml.com/-/media/asml/files/investors/financial-results/q-results/2023/q1/presentation-investor-relations-q1-2023-mnft67.pdf?rev=1bb9b6e0db1d48f6814977c927d07ff0" TargetMode="External"/><Relationship Id="rId92" Type="http://schemas.openxmlformats.org/officeDocument/2006/relationships/hyperlink" Target="https://www.asml.com/-/media/asml/files/investors/financial-results/q-results/2022/q4/presentation-investor-relations-q4-2022-gt4d78.pdf?rev=c39850f27c3148b78e5c80f0f30a8925" TargetMode="External"/><Relationship Id="rId93" Type="http://schemas.openxmlformats.org/officeDocument/2006/relationships/hyperlink" Target="https://www.asml.com/-/media/asml/files/investors/financial-results/q-results/2022/q4/presentation-investor-relations-q4-2022-gt4d78.pdf?rev=c39850f27c3148b78e5c80f0f30a8925" TargetMode="External"/><Relationship Id="rId94" Type="http://schemas.openxmlformats.org/officeDocument/2006/relationships/hyperlink" Target="https://www.asml.com/-/media/asml/files/investors/financial-results/q-results/2022/q4/presentation-investor-relations-q4-2022-gt4d78.pdf?rev=c39850f27c3148b78e5c80f0f30a8925" TargetMode="External"/><Relationship Id="rId95" Type="http://schemas.openxmlformats.org/officeDocument/2006/relationships/hyperlink" Target="https://www.asml.com/-/media/asml/files/investors/financial-results/q-results/2022/q4/presentation-investor-relations-q4-2022-gt4d78.pdf?rev=c39850f27c3148b78e5c80f0f30a8925" TargetMode="External"/><Relationship Id="rId96" Type="http://schemas.openxmlformats.org/officeDocument/2006/relationships/hyperlink" Target="https://www.asml.com/-/media/asml/files/investors/financial-results/q-results/2022/q4/presentation-investor-relations-q4-2022-gt4d78.pdf?rev=c39850f27c3148b78e5c80f0f30a8925" TargetMode="External"/><Relationship Id="rId97" Type="http://schemas.openxmlformats.org/officeDocument/2006/relationships/hyperlink" Target="https://www.asml.com/-/media/asml/files/investors/financial-results/q-results/2022/q4/presentation-investor-relations-q4-2022-gt4d78.pdf?rev=c39850f27c3148b78e5c80f0f30a8925" TargetMode="External"/><Relationship Id="rId98" Type="http://schemas.openxmlformats.org/officeDocument/2006/relationships/hyperlink" Target="https://www.asml.com/-/media/asml/files/investors/financial-results/q-results/2022/q4/presentation-investor-relations-q4-2022-gt4d78.pdf?rev=c39850f27c3148b78e5c80f0f30a8925" TargetMode="External"/><Relationship Id="rId99" Type="http://schemas.openxmlformats.org/officeDocument/2006/relationships/hyperlink" Target="https://www.asml.com/en/investors/financial-results/q3-2022" TargetMode="External"/><Relationship Id="rId100" Type="http://schemas.openxmlformats.org/officeDocument/2006/relationships/hyperlink" Target="https://www.asml.com/en/investors/financial-results/q3-2022" TargetMode="External"/><Relationship Id="rId101" Type="http://schemas.openxmlformats.org/officeDocument/2006/relationships/hyperlink" Target="https://www.asml.com/en/investors/financial-results/q3-2022" TargetMode="External"/><Relationship Id="rId102" Type="http://schemas.openxmlformats.org/officeDocument/2006/relationships/hyperlink" Target="https://www.asml.com/en/investors/financial-results/q3-2022" TargetMode="External"/><Relationship Id="rId103" Type="http://schemas.openxmlformats.org/officeDocument/2006/relationships/hyperlink" Target="https://www.asml.com/en/investors/financial-results/q3-2022" TargetMode="External"/><Relationship Id="rId104" Type="http://schemas.openxmlformats.org/officeDocument/2006/relationships/hyperlink" Target="https://www.asml.com/en/investors/financial-results/q3-2022" TargetMode="External"/><Relationship Id="rId105" Type="http://schemas.openxmlformats.org/officeDocument/2006/relationships/hyperlink" Target="https://www.asml.com/en/investors/financial-results/q3-2022" TargetMode="External"/><Relationship Id="rId106" Type="http://schemas.openxmlformats.org/officeDocument/2006/relationships/hyperlink" Target="https://www.asml.com/en/investors/financial-results/q3-2022" TargetMode="External"/><Relationship Id="rId107" Type="http://schemas.openxmlformats.org/officeDocument/2006/relationships/hyperlink" Target="https://www.asml.com/-/media/asml/files/investors/financial-results/q-results/2022/q2/q2-presentation-fgt6e2.pdf?rev=51fe9c6eb49b43bda69c5002f6e845df" TargetMode="External"/><Relationship Id="rId108" Type="http://schemas.openxmlformats.org/officeDocument/2006/relationships/hyperlink" Target="https://www.asml.com/-/media/asml/files/investors/financial-results/q-results/2022/q2/q2-presentation-fgt6e2.pdf?rev=51fe9c6eb49b43bda69c5002f6e845df" TargetMode="External"/><Relationship Id="rId109" Type="http://schemas.openxmlformats.org/officeDocument/2006/relationships/hyperlink" Target="https://www.asml.com/-/media/asml/files/investors/financial-results/q-results/2022/q2/q2-presentation-fgt6e2.pdf?rev=51fe9c6eb49b43bda69c5002f6e845df" TargetMode="External"/><Relationship Id="rId110" Type="http://schemas.openxmlformats.org/officeDocument/2006/relationships/hyperlink" Target="https://www.asml.com/-/media/asml/files/investors/financial-results/q-results/2022/q2/q2-presentation-fgt6e2.pdf?rev=51fe9c6eb49b43bda69c5002f6e845df" TargetMode="External"/><Relationship Id="rId111" Type="http://schemas.openxmlformats.org/officeDocument/2006/relationships/hyperlink" Target="https://www.asml.com/-/media/asml/files/investors/financial-results/q-results/2022/q2/q2-presentation-fgt6e2.pdf?rev=51fe9c6eb49b43bda69c5002f6e845df" TargetMode="External"/><Relationship Id="rId112" Type="http://schemas.openxmlformats.org/officeDocument/2006/relationships/hyperlink" Target="https://www.asml.com/-/media/asml/files/investors/financial-results/q-results/2022/q2/q2-presentation-fgt6e2.pdf?rev=51fe9c6eb49b43bda69c5002f6e845df" TargetMode="External"/><Relationship Id="rId113" Type="http://schemas.openxmlformats.org/officeDocument/2006/relationships/hyperlink" Target="https://www.asml.com/-/media/asml/files/investors/financial-results/q-results/2022/q2/q2-presentation-fgt6e2.pdf?rev=51fe9c6eb49b43bda69c5002f6e845df" TargetMode="External"/><Relationship Id="rId114" Type="http://schemas.openxmlformats.org/officeDocument/2006/relationships/hyperlink" Target="https://www.asml.com/-/media/asml/files/investors/financial-results/q-results/2022/q2/q2-presentation-fgt6e2.pdf?rev=51fe9c6eb49b43bda69c5002f6e845df" TargetMode="External"/><Relationship Id="rId115" Type="http://schemas.openxmlformats.org/officeDocument/2006/relationships/hyperlink" Target="https://www.asml.com/-/media/asml/files/investors/financial-results/q-results/2022/q1/q1-presentation-9kf4w7.pdf?rev=40f5916e006041e7a5c4ee34de82793a" TargetMode="External"/><Relationship Id="rId116" Type="http://schemas.openxmlformats.org/officeDocument/2006/relationships/hyperlink" Target="https://www.asml.com/-/media/asml/files/investors/financial-results/q-results/2022/q1/q1-presentation-9kf4w7.pdf?rev=40f5916e006041e7a5c4ee34de82793a" TargetMode="External"/><Relationship Id="rId117" Type="http://schemas.openxmlformats.org/officeDocument/2006/relationships/hyperlink" Target="https://www.asml.com/-/media/asml/files/investors/financial-results/q-results/2022/q1/q1-presentation-9kf4w7.pdf?rev=40f5916e006041e7a5c4ee34de82793a" TargetMode="External"/><Relationship Id="rId118" Type="http://schemas.openxmlformats.org/officeDocument/2006/relationships/hyperlink" Target="https://www.asml.com/-/media/asml/files/investors/financial-results/q-results/2022/q1/q1-presentation-9kf4w7.pdf?rev=40f5916e006041e7a5c4ee34de82793a" TargetMode="External"/><Relationship Id="rId119" Type="http://schemas.openxmlformats.org/officeDocument/2006/relationships/hyperlink" Target="https://www.asml.com/-/media/asml/files/investors/financial-results/q-results/2022/q1/q1-presentation-9kf4w7.pdf?rev=40f5916e006041e7a5c4ee34de82793a" TargetMode="External"/><Relationship Id="rId120" Type="http://schemas.openxmlformats.org/officeDocument/2006/relationships/hyperlink" Target="https://www.asml.com/-/media/asml/files/investors/financial-results/q-results/2022/q1/q1-presentation-9kf4w7.pdf?rev=40f5916e006041e7a5c4ee34de82793a" TargetMode="External"/><Relationship Id="rId121" Type="http://schemas.openxmlformats.org/officeDocument/2006/relationships/hyperlink" Target="https://www.asml.com/-/media/asml/files/investors/financial-results/q-results/2022/q1/q1-presentation-9kf4w7.pdf?rev=40f5916e006041e7a5c4ee34de82793a" TargetMode="External"/><Relationship Id="rId122" Type="http://schemas.openxmlformats.org/officeDocument/2006/relationships/hyperlink" Target="https://www.asml.com/en/investors/financial-results/q4-2021" TargetMode="External"/><Relationship Id="rId123" Type="http://schemas.openxmlformats.org/officeDocument/2006/relationships/hyperlink" Target="https://www.asml.com/en/investors/financial-results/q4-2021" TargetMode="External"/><Relationship Id="rId124" Type="http://schemas.openxmlformats.org/officeDocument/2006/relationships/hyperlink" Target="https://www.asml.com/en/investors/financial-results/q4-2021" TargetMode="External"/><Relationship Id="rId125" Type="http://schemas.openxmlformats.org/officeDocument/2006/relationships/hyperlink" Target="https://www.asml.com/en/investors/financial-results/q4-2021" TargetMode="External"/><Relationship Id="rId126" Type="http://schemas.openxmlformats.org/officeDocument/2006/relationships/hyperlink" Target="https://www.asml.com/en/investors/financial-results/q4-2021" TargetMode="External"/><Relationship Id="rId127" Type="http://schemas.openxmlformats.org/officeDocument/2006/relationships/hyperlink" Target="https://www.asml.com/en/investors/financial-results/q4-2021" TargetMode="External"/><Relationship Id="rId128" Type="http://schemas.openxmlformats.org/officeDocument/2006/relationships/hyperlink" Target="https://www.asml.com/en/investors/financial-results/q4-2021" TargetMode="External"/><Relationship Id="rId129" Type="http://schemas.openxmlformats.org/officeDocument/2006/relationships/hyperlink" Target="https://www.asml.com/en/investors/financial-results/q3-2021" TargetMode="External"/><Relationship Id="rId130" Type="http://schemas.openxmlformats.org/officeDocument/2006/relationships/hyperlink" Target="https://www.asml.com/en/investors/financial-results/q3-2021" TargetMode="External"/><Relationship Id="rId131" Type="http://schemas.openxmlformats.org/officeDocument/2006/relationships/hyperlink" Target="https://www.asml.com/en/investors/financial-results/q3-2021" TargetMode="External"/><Relationship Id="rId132" Type="http://schemas.openxmlformats.org/officeDocument/2006/relationships/hyperlink" Target="https://www.asml.com/en/investors/financial-results/q3-2021" TargetMode="External"/><Relationship Id="rId133" Type="http://schemas.openxmlformats.org/officeDocument/2006/relationships/hyperlink" Target="https://www.asml.com/en/investors/financial-results/q3-2021" TargetMode="External"/><Relationship Id="rId134" Type="http://schemas.openxmlformats.org/officeDocument/2006/relationships/hyperlink" Target="https://www.asml.com/en/investors/financial-results/q3-2021" TargetMode="External"/><Relationship Id="rId135" Type="http://schemas.openxmlformats.org/officeDocument/2006/relationships/hyperlink" Target="https://www.asml.com/en/investors/financial-results/q3-2021" TargetMode="External"/><Relationship Id="rId136" Type="http://schemas.openxmlformats.org/officeDocument/2006/relationships/hyperlink" Target="../../../../../Desktop/Q1%202021/Q2%20presentation%20hdjyur.pdf" TargetMode="External"/><Relationship Id="rId137" Type="http://schemas.openxmlformats.org/officeDocument/2006/relationships/hyperlink" Target="../../../../../Desktop/Q1%202021/Q2%20presentation%20hdjyur.pdf" TargetMode="External"/><Relationship Id="rId138" Type="http://schemas.openxmlformats.org/officeDocument/2006/relationships/hyperlink" Target="../../../../../Desktop/Q1%202021/Q2%20presentation%20hdjyur.pdf" TargetMode="External"/><Relationship Id="rId139" Type="http://schemas.openxmlformats.org/officeDocument/2006/relationships/hyperlink" Target="../../../../../Desktop/Q1%202021/Q2%20presentation%20hdjyur.pdf" TargetMode="External"/><Relationship Id="rId140" Type="http://schemas.openxmlformats.org/officeDocument/2006/relationships/hyperlink" Target="../../../../../Desktop/Q1%202021/Q2%20presentation%20hdjyur.pdf" TargetMode="External"/><Relationship Id="rId141" Type="http://schemas.openxmlformats.org/officeDocument/2006/relationships/hyperlink" Target="../../../../../Desktop/Q1%202021/Q2%20presentation%20hdjyur.pdf" TargetMode="External"/><Relationship Id="rId142" Type="http://schemas.openxmlformats.org/officeDocument/2006/relationships/hyperlink" Target="../../../../../Desktop/Q1%202021/Q2%20presentation%20hdjyur.pdf" TargetMode="External"/><Relationship Id="rId143" Type="http://schemas.openxmlformats.org/officeDocument/2006/relationships/hyperlink" Target="../../../../../Desktop/Q1%202021/Q2%20presentation%20hdjyur.pdf" TargetMode="External"/><Relationship Id="rId144" Type="http://schemas.openxmlformats.org/officeDocument/2006/relationships/hyperlink" Target="https://www.asml.com/en/investors/financial-results/q1-2021" TargetMode="External"/><Relationship Id="rId145" Type="http://schemas.openxmlformats.org/officeDocument/2006/relationships/hyperlink" Target="https://www.asml.com/en/investors/financial-results/q1-2021" TargetMode="External"/><Relationship Id="rId146" Type="http://schemas.openxmlformats.org/officeDocument/2006/relationships/hyperlink" Target="https://www.asml.com/en/investors/financial-results/q1-2021" TargetMode="External"/><Relationship Id="rId147" Type="http://schemas.openxmlformats.org/officeDocument/2006/relationships/hyperlink" Target="https://www.asml.com/en/investors/financial-results/q1-2021" TargetMode="External"/><Relationship Id="rId148" Type="http://schemas.openxmlformats.org/officeDocument/2006/relationships/hyperlink" Target="https://www.asml.com/en/investors/financial-results/q1-2021" TargetMode="External"/><Relationship Id="rId149" Type="http://schemas.openxmlformats.org/officeDocument/2006/relationships/hyperlink" Target="https://www.asml.com/en/investors/financial-results/q1-2021" TargetMode="External"/><Relationship Id="rId150" Type="http://schemas.openxmlformats.org/officeDocument/2006/relationships/hyperlink" Target="https://www.asml.com/en/investors/financial-results/q1-2021" TargetMode="External"/><Relationship Id="rId151" Type="http://schemas.openxmlformats.org/officeDocument/2006/relationships/hyperlink" Target="https://www.asml.com/en/investors/financial-results/q1-2021" TargetMode="External"/><Relationship Id="rId152" Type="http://schemas.openxmlformats.org/officeDocument/2006/relationships/hyperlink" Target="https://www.asml.com/en/investors/financial-results/q4-2020" TargetMode="External"/><Relationship Id="rId153" Type="http://schemas.openxmlformats.org/officeDocument/2006/relationships/hyperlink" Target="https://www.asml.com/en/investors/financial-results/q4-2020" TargetMode="External"/><Relationship Id="rId154" Type="http://schemas.openxmlformats.org/officeDocument/2006/relationships/hyperlink" Target="https://www.asml.com/en/investors/financial-results/q4-2020" TargetMode="External"/><Relationship Id="rId155" Type="http://schemas.openxmlformats.org/officeDocument/2006/relationships/hyperlink" Target="https://www.asml.com/en/investors/financial-results/q4-2020" TargetMode="External"/><Relationship Id="rId156" Type="http://schemas.openxmlformats.org/officeDocument/2006/relationships/hyperlink" Target="https://www.asml.com/en/investors/financial-results/q4-2020" TargetMode="External"/><Relationship Id="rId157" Type="http://schemas.openxmlformats.org/officeDocument/2006/relationships/hyperlink" Target="https://www.asml.com/en/investors/financial-results/q4-2020" TargetMode="External"/><Relationship Id="rId158" Type="http://schemas.openxmlformats.org/officeDocument/2006/relationships/hyperlink" Target="https://www.asml.com/en/investors/financial-results/q3-2020" TargetMode="External"/><Relationship Id="rId159" Type="http://schemas.openxmlformats.org/officeDocument/2006/relationships/hyperlink" Target="https://www.asml.com/en/investors/financial-results/q3-2020" TargetMode="External"/><Relationship Id="rId160" Type="http://schemas.openxmlformats.org/officeDocument/2006/relationships/hyperlink" Target="https://www.asml.com/en/investors/financial-results/q3-2020" TargetMode="External"/><Relationship Id="rId161" Type="http://schemas.openxmlformats.org/officeDocument/2006/relationships/hyperlink" Target="https://www.asml.com/en/investors/financial-results/q3-2020" TargetMode="External"/><Relationship Id="rId162" Type="http://schemas.openxmlformats.org/officeDocument/2006/relationships/hyperlink" Target="https://www.asml.com/en/investors/financial-results/q3-2020" TargetMode="External"/><Relationship Id="rId163" Type="http://schemas.openxmlformats.org/officeDocument/2006/relationships/hyperlink" Target="https://www.asml.com/en/investors/financial-results/q3-2020" TargetMode="External"/><Relationship Id="rId164" Type="http://schemas.openxmlformats.org/officeDocument/2006/relationships/hyperlink" Target="https://www.asml.com/en/investors/financial-results/q3-2020" TargetMode="External"/><Relationship Id="rId165" Type="http://schemas.openxmlformats.org/officeDocument/2006/relationships/hyperlink" Target="https://www.asml.com/-/media/asml/files/investors/financial-results/q-results/2020/q2/2020-07-15-q2-presentation-final.pdf" TargetMode="External"/><Relationship Id="rId166" Type="http://schemas.openxmlformats.org/officeDocument/2006/relationships/hyperlink" Target="https://www.asml.com/-/media/asml/files/investors/financial-results/q-results/2020/q2/2020-07-15-q2-presentation-final.pdf" TargetMode="External"/><Relationship Id="rId167" Type="http://schemas.openxmlformats.org/officeDocument/2006/relationships/hyperlink" Target="https://www.asml.com/-/media/asml/files/investors/financial-results/q-results/2020/q2/2020-07-15-q2-presentation-final.pdf" TargetMode="External"/><Relationship Id="rId168" Type="http://schemas.openxmlformats.org/officeDocument/2006/relationships/hyperlink" Target="https://www.asml.com/-/media/asml/files/investors/financial-results/q-results/2020/q2/2020-07-15-q2-presentation-final.pdf" TargetMode="External"/><Relationship Id="rId169" Type="http://schemas.openxmlformats.org/officeDocument/2006/relationships/hyperlink" Target="https://www.asml.com/-/media/asml/files/investors/financial-results/q-results/2020/q2/2020-07-15-q2-presentation-final.pdf" TargetMode="External"/><Relationship Id="rId170" Type="http://schemas.openxmlformats.org/officeDocument/2006/relationships/hyperlink" Target="https://www.asml.com/-/media/asml/files/investors/financial-results/q-results/2020/q2/2020-07-15-q2-presentation-final.pdf" TargetMode="External"/><Relationship Id="rId171" Type="http://schemas.openxmlformats.org/officeDocument/2006/relationships/hyperlink" Target="https://www.asml.com/en/news/press-releases/2020/asml-updates-the-market" TargetMode="External"/><Relationship Id="rId172" Type="http://schemas.openxmlformats.org/officeDocument/2006/relationships/hyperlink" Target="https://www.asml.com/en/news/press-releases/2020/asml-updates-the-market" TargetMode="External"/><Relationship Id="rId173" Type="http://schemas.openxmlformats.org/officeDocument/2006/relationships/hyperlink" Target="https://www.asml.com/en/investors/financial-results/q4-2019" TargetMode="External"/><Relationship Id="rId174" Type="http://schemas.openxmlformats.org/officeDocument/2006/relationships/hyperlink" Target="https://www.asml.com/en/investors/financial-results/q4-2019" TargetMode="External"/><Relationship Id="rId175" Type="http://schemas.openxmlformats.org/officeDocument/2006/relationships/hyperlink" Target="https://www.asml.com/en/investors/financial-results/q4-2019" TargetMode="External"/><Relationship Id="rId176" Type="http://schemas.openxmlformats.org/officeDocument/2006/relationships/hyperlink" Target="https://www.asml.com/en/investors/financial-results/q4-2019" TargetMode="External"/><Relationship Id="rId177" Type="http://schemas.openxmlformats.org/officeDocument/2006/relationships/hyperlink" Target="https://www.asml.com/-/media/asml/files/investors/financial-results/q-results/2019/q4/2020-01-22-q4-presentation.pdf" TargetMode="External"/><Relationship Id="rId178" Type="http://schemas.openxmlformats.org/officeDocument/2006/relationships/hyperlink" Target="https://www.asml.com/-/media/asml/files/investors/financial-results/q-results/2019/q4/2020-01-22-q4-presentation.pdf" TargetMode="External"/><Relationship Id="rId179" Type="http://schemas.openxmlformats.org/officeDocument/2006/relationships/hyperlink" Target="https://www.asml.com/-/media/asml/files/investors/financial-results/q-results/2019/q4/2020-01-22-q4-presentation.pdf" TargetMode="External"/><Relationship Id="rId180" Type="http://schemas.openxmlformats.org/officeDocument/2006/relationships/hyperlink" Target="https://www.asml.com/-/media/asml/files/investors/financial-results/q-results/2019/q4/2020-01-22-q4-presentation.pdf" TargetMode="External"/><Relationship Id="rId181" Type="http://schemas.openxmlformats.org/officeDocument/2006/relationships/hyperlink" Target="https://www.asml.com/-/media/asml/files/investors/financial-results/q-results/2019/q4/2020-01-22-q4-presentation.pdf" TargetMode="External"/><Relationship Id="rId182" Type="http://schemas.openxmlformats.org/officeDocument/2006/relationships/hyperlink" Target="https://www.asml.com/-/media/asml/files/investors/financial-results/q-results/2019/q4/2020-01-22-q4-presentation.pdf" TargetMode="External"/><Relationship Id="rId183" Type="http://schemas.openxmlformats.org/officeDocument/2006/relationships/hyperlink" Target="https://www.asml.com/-/media/asml/files/investors/financial-results/q-results/2019/q3/2019-10-16-q3-presentation.pdf" TargetMode="External"/><Relationship Id="rId184" Type="http://schemas.openxmlformats.org/officeDocument/2006/relationships/hyperlink" Target="https://www.asml.com/-/media/asml/files/investors/financial-results/q-results/2019/q3/2019-10-16-q3-presentation.pdf" TargetMode="External"/><Relationship Id="rId185" Type="http://schemas.openxmlformats.org/officeDocument/2006/relationships/hyperlink" Target="https://www.asml.com/-/media/asml/files/investors/financial-results/q-results/2019/q3/2019-10-16-q3-presentation.pdf" TargetMode="External"/><Relationship Id="rId186" Type="http://schemas.openxmlformats.org/officeDocument/2006/relationships/hyperlink" Target="https://www.asml.com/-/media/asml/files/investors/financial-results/q-results/2019/q2/2019-07-17-q2-presentation.pdf" TargetMode="External"/><Relationship Id="rId187" Type="http://schemas.openxmlformats.org/officeDocument/2006/relationships/hyperlink" Target="https://www.asml.com/-/media/asml/files/investors/financial-results/q-results/2019/q3/2019-10-16-q3-presentation.pdf" TargetMode="External"/><Relationship Id="rId188" Type="http://schemas.openxmlformats.org/officeDocument/2006/relationships/hyperlink" Target="https://www.asml.com/-/media/asml/files/investors/financial-results/q-results/2019/q3/2019-10-16-q3-presentation.pdf" TargetMode="External"/><Relationship Id="rId189" Type="http://schemas.openxmlformats.org/officeDocument/2006/relationships/hyperlink" Target="https://www.asml.com/-/media/asml/files/investors/financial-results/q-results/2019/q3/2019-10-16-q3-presentation.pdf" TargetMode="External"/><Relationship Id="rId190" Type="http://schemas.openxmlformats.org/officeDocument/2006/relationships/hyperlink" Target="https://www.asml.com/-/media/asml/files/investors/financial-results/q-results/2019/q3/2019-10-16-q3-presentation.pdf" TargetMode="External"/><Relationship Id="rId191" Type="http://schemas.openxmlformats.org/officeDocument/2006/relationships/hyperlink" Target="https://www.asml.com/-/media/asml/files/investors/financial-results/q-results/2019/q2/2019-07-17-q2-presentation.pdf" TargetMode="External"/><Relationship Id="rId192" Type="http://schemas.openxmlformats.org/officeDocument/2006/relationships/hyperlink" Target="https://www.asml.com/-/media/asml/files/investors/financial-results/q-results/2019/q2/2019-07-17-q2-presentation.pdf" TargetMode="External"/><Relationship Id="rId193" Type="http://schemas.openxmlformats.org/officeDocument/2006/relationships/hyperlink" Target="https://www.asml.com/-/media/asml/files/investors/financial-results/q-results/2019/q2/2019-07-17-q2-presentation.pdf" TargetMode="External"/><Relationship Id="rId194" Type="http://schemas.openxmlformats.org/officeDocument/2006/relationships/hyperlink" Target="https://www.asml.com/-/media/asml/files/investors/financial-results/q-results/2019/q2/2019-07-17-q2-presentation.pdf" TargetMode="External"/><Relationship Id="rId195" Type="http://schemas.openxmlformats.org/officeDocument/2006/relationships/hyperlink" Target="https://www.asml.com/-/media/asml/files/investors/financial-results/q-results/2019/q2/2019-07-17-q2-presentation.pdf" TargetMode="External"/><Relationship Id="rId196" Type="http://schemas.openxmlformats.org/officeDocument/2006/relationships/hyperlink" Target="https://www.asml.com/-/media/asml/files/investors/financial-results/q-results/2019/q2/2019-07-17-q2-presentation.pdf" TargetMode="External"/><Relationship Id="rId197" Type="http://schemas.openxmlformats.org/officeDocument/2006/relationships/hyperlink" Target="https://www.asml.com/-/media/asml/files/investors/financial-results/q-results/2019/q2/2019-07-17-q2-presentation.pdf" TargetMode="External"/><Relationship Id="rId198" Type="http://schemas.openxmlformats.org/officeDocument/2006/relationships/hyperlink" Target="https://www.asml.com/-/media/asml/files/investors/financial-results/q-results/2019/q2/2019-07-17-q2-presentation.pdf" TargetMode="External"/><Relationship Id="rId199" Type="http://schemas.openxmlformats.org/officeDocument/2006/relationships/hyperlink" Target="https://www.asml.com/-/media/asml/files/investors/financial-results/q-results/2019/q2/2019-07-17-q2-presentation.pdf" TargetMode="External"/><Relationship Id="rId200" Type="http://schemas.openxmlformats.org/officeDocument/2006/relationships/hyperlink" Target="https://staticwww.asml.com/doclib/investor/financial_results/2019/asml_20190417_transcript_video_2019_Q1_TyFHYPOyD0.pdf" TargetMode="External"/><Relationship Id="rId201" Type="http://schemas.openxmlformats.org/officeDocument/2006/relationships/hyperlink" Target="https://staticwww.asml.com/doclib/investor/financial_results/2019/asml_20190417_Presentation_2019_Q1_16wnKawzT2.pdf" TargetMode="External"/><Relationship Id="rId202" Type="http://schemas.openxmlformats.org/officeDocument/2006/relationships/hyperlink" Target="https://staticwww.asml.com/doclib/investor/financial_results/2019/asml_20190417_Presentation_2019_Q1_16wnKawzT2.pdf" TargetMode="External"/><Relationship Id="rId203" Type="http://schemas.openxmlformats.org/officeDocument/2006/relationships/hyperlink" Target="https://staticwww.asml.com/doclib/investor/financial_results/2019/asml_20190417_Presentation_2019_Q1_16wnKawzT2.pdf" TargetMode="External"/><Relationship Id="rId204" Type="http://schemas.openxmlformats.org/officeDocument/2006/relationships/hyperlink" Target="https://staticwww.asml.com/doclib/investor/financial_results/2019/asml_20190417_Presentation_2019_Q1_16wnKawzT2.pdf" TargetMode="External"/><Relationship Id="rId205" Type="http://schemas.openxmlformats.org/officeDocument/2006/relationships/hyperlink" Target="https://staticwww.asml.com/doclib/investor/financial_results/2019/asml_20190417_Presentation_2019_Q1_16wnKawzT2.pdf" TargetMode="External"/><Relationship Id="rId206" Type="http://schemas.openxmlformats.org/officeDocument/2006/relationships/hyperlink" Target="https://staticwww.asml.com/doclib/investor/financial_results/2019/asml_20190123_Presentation_2018_Q4_81315f89404p04.pdf" TargetMode="External"/><Relationship Id="rId207" Type="http://schemas.openxmlformats.org/officeDocument/2006/relationships/hyperlink" Target="https://www.asml.com/press/press-releases/asml-reports-eur-28-billion-sales-in-q3-expects-eur-3-billion-sales-in-q4-asml-sees-further-growth-for-2019/en/s5869?rid=57686" TargetMode="External"/><Relationship Id="rId208" Type="http://schemas.openxmlformats.org/officeDocument/2006/relationships/hyperlink" Target="https://www.asml.com/press/press-releases/asml-reports-eur-28-billion-sales-in-q3-expects-eur-3-billion-sales-in-q4-asml-sees-further-growth-for-2019/en/s5869?rid=57686" TargetMode="External"/><Relationship Id="rId209" Type="http://schemas.openxmlformats.org/officeDocument/2006/relationships/hyperlink" Target="https://staticwww.asml.com/doclib/investor/financial_results/2019/asml_20190123_Presentation_2018_Q4_81315f89404p04.pdf" TargetMode="External"/><Relationship Id="rId210" Type="http://schemas.openxmlformats.org/officeDocument/2006/relationships/hyperlink" Target="https://www.asml.com/press/press-releases/asml-reports-eur-28-billion-sales-in-q3-expects-eur-3-billion-sales-in-q4-asml-sees-further-growth-for-2019/en/s5869?rid=57686" TargetMode="External"/><Relationship Id="rId211" Type="http://schemas.openxmlformats.org/officeDocument/2006/relationships/hyperlink" Target="https://www.asml.com/press/press-releases/asml-reports-eur-28-billion-sales-in-q3-expects-eur-3-billion-sales-in-q4-asml-sees-further-growth-for-2019/en/s5869?rid=57686" TargetMode="External"/><Relationship Id="rId212" Type="http://schemas.openxmlformats.org/officeDocument/2006/relationships/hyperlink" Target="https://www.asml.com/press/press-releases/asml-reports-eur-28-billion-sales-in-q3-expects-eur-3-billion-sales-in-q4-asml-sees-further-growth-for-2019/en/s5869?rid=57686" TargetMode="External"/><Relationship Id="rId213" Type="http://schemas.openxmlformats.org/officeDocument/2006/relationships/hyperlink" Target="https://www.asml.com/press/press-releases/asml-reports-eur-28-billion-sales-in-q3-expects-eur-3-billion-sales-in-q4-asml-sees-further-growth-for-2019/en/s5869?rid=57686" TargetMode="External"/><Relationship Id="rId214" Type="http://schemas.openxmlformats.org/officeDocument/2006/relationships/hyperlink" Target="https://www.asml.com/press/press-releases/asml-reports-eur-28-billion-sales-in-q3-expects-eur-3-billion-sales-in-q4-asml-sees-further-growth-for-2019/en/s5869?rid=57686" TargetMode="External"/><Relationship Id="rId215" Type="http://schemas.openxmlformats.org/officeDocument/2006/relationships/hyperlink" Target="https://www.asml.com/press/press-releases/asml-reports-eur-28-billion-sales-in-q3-expects-eur-3-billion-sales-in-q4-asml-sees-further-growth-for-2019/en/s5869?rid=57686" TargetMode="External"/><Relationship Id="rId216" Type="http://schemas.openxmlformats.org/officeDocument/2006/relationships/hyperlink" Target="https://www.asml.com/press/press-releases/asml-reports-eur-28-billion-sales-in-q3-expects-eur-3-billion-sales-in-q4-asml-sees-further-growth-for-2019/en/s5869?rid=57686" TargetMode="External"/><Relationship Id="rId217" Type="http://schemas.openxmlformats.org/officeDocument/2006/relationships/hyperlink" Target="https://www.asml.com/press/press-releases/asml-reports-eur-28-billion-sales-in-q3-expects-eur-3-billion-sales-in-q4-asml-sees-further-growth-for-2019/en/s5869?rid=57686" TargetMode="External"/><Relationship Id="rId218" Type="http://schemas.openxmlformats.org/officeDocument/2006/relationships/hyperlink" Target="https://www.asml.com/press/press-releases/asml-reports-eur-28-billion-sales-in-q3-expects-eur-3-billion-sales-in-q4-asml-sees-further-growth-for-2019/en/s5869?rid=57686" TargetMode="External"/><Relationship Id="rId219"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220"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221"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222"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223"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224" Type="http://schemas.openxmlformats.org/officeDocument/2006/relationships/hyperlink" Target="https://www.asml.com/press/press-releases/strong-duv-demand-drives-solid-q1-results-and-confirms-positive-outlook-for-2018-multiple-euv-orders-including-highna-demonstrate-further-adoption-of-euv-technology/en/s5869?rid=56995" TargetMode="External"/><Relationship Id="rId225" Type="http://schemas.openxmlformats.org/officeDocument/2006/relationships/hyperlink" Target="https://www.asml.com/press/press-releases/strong-duv-demand-drives-solid-q1-results-and-confirms-positive-outlook-for-2018-multiple-euv-orders-including-highna-demonstrate-further-adoption-of-euv-technology/en/s5869?rid=56995" TargetMode="External"/><Relationship Id="rId226" Type="http://schemas.openxmlformats.org/officeDocument/2006/relationships/hyperlink" Target="https://www.asml.com/press/press-releases/strong-duv-demand-drives-solid-q1-results-and-confirms-positive-outlook-for-2018-multiple-euv-orders-including-highna-demonstrate-further-adoption-of-euv-technology/en/s5869?rid=56995" TargetMode="External"/><Relationship Id="rId227" Type="http://schemas.openxmlformats.org/officeDocument/2006/relationships/hyperlink" Target="https://www.asml.com/press/press-releases/strong-duv-demand-drives-solid-q1-results-and-confirms-positive-outlook-for-2018-multiple-euv-orders-including-highna-demonstrate-further-adoption-of-euv-technology/en/s5869?rid=56995" TargetMode="External"/><Relationship Id="rId228" Type="http://schemas.openxmlformats.org/officeDocument/2006/relationships/hyperlink" Target="https://www.asml.com/press/press-releases/strong-duv-demand-drives-solid-q1-results-and-confirms-positive-outlook-for-2018-multiple-euv-orders-including-highna-demonstrate-further-adoption-of-euv-technology/en/s5869?rid=56995" TargetMode="External"/><Relationship Id="rId229" Type="http://schemas.openxmlformats.org/officeDocument/2006/relationships/drawing" Target="../drawings/drawing2.xml"/><Relationship Id="rId230"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hyperlink" Target="https://ourbrand.asml.com/m/c416bb685db46ca0/original/ASML-Press-Release-Q4-and-full-year-2025-financial-results.pdf" TargetMode="External"/><Relationship Id="rId2" Type="http://schemas.openxmlformats.org/officeDocument/2006/relationships/hyperlink" Target="https://ourbrand.asml.com/m/24dbdeb42f3d2ead/original/Financial-statements-US-GAAP-Q3-2025.pdf" TargetMode="External"/><Relationship Id="rId3" Type="http://schemas.openxmlformats.org/officeDocument/2006/relationships/hyperlink" Target="https://ourbrand.asml.com/m/5d9a736eed425266/original/Press-Release-Quarterly-Results-Q2-2025.pdf" TargetMode="External"/><Relationship Id="rId4" Type="http://schemas.openxmlformats.org/officeDocument/2006/relationships/hyperlink" Target="https://ourbrand.asml.com/m/303a5535a607f9a0/original/Press-Release-Quarterly-Results-Q1-2025.pdf" TargetMode="External"/><Relationship Id="rId5" Type="http://schemas.openxmlformats.org/officeDocument/2006/relationships/hyperlink" Target="https://www.asml.com/en/investors/financial-results/q4-2024" TargetMode="External"/><Relationship Id="rId6" Type="http://schemas.openxmlformats.org/officeDocument/2006/relationships/hyperlink" Target="https://www.asml.com/en/investors/financial-results/q4-2024" TargetMode="External"/><Relationship Id="rId7" Type="http://schemas.openxmlformats.org/officeDocument/2006/relationships/hyperlink" Target="https://www.asml.com/en/investors/financial-results/q3-2024-572fba47762609d4" TargetMode="External"/><Relationship Id="rId8" Type="http://schemas.openxmlformats.org/officeDocument/2006/relationships/hyperlink" Target="https://ourbrand.asml.com/m/21ccbe5b3a53a758/original/Press-Release-Quarterly-Results-Q2-2024.pdf" TargetMode="External"/><Relationship Id="rId9" Type="http://schemas.openxmlformats.org/officeDocument/2006/relationships/hyperlink" Target="https://www.asml.com/en/news/press-releases/2024/q1-2024-financial-results" TargetMode="External"/><Relationship Id="rId10" Type="http://schemas.openxmlformats.org/officeDocument/2006/relationships/hyperlink" Target="https://www.asml.com/-/media/asml/files/investors/financial-results/q-results/2023/q4/press-release-financial-results-q4-fy-2023-b8w26d.pdf?rev=bff1cfbc9bfe4fd8b1b56ce292998a68" TargetMode="External"/><Relationship Id="rId11" Type="http://schemas.openxmlformats.org/officeDocument/2006/relationships/hyperlink" Target="https://www.asml.com/-/media/asml/files/investors/financial-results/q-results/2023/q4/press-release-financial-results-q4-fy-2023-b8w26d.pdf?rev=bff1cfbc9bfe4fd8b1b56ce292998a68" TargetMode="External"/><Relationship Id="rId12" Type="http://schemas.openxmlformats.org/officeDocument/2006/relationships/hyperlink" Target="../../../../../Downloads/Press%20Release%20ASML%20Quarterly%20Results%20Q3%202023%20ap61le.pdf" TargetMode="External"/><Relationship Id="rId13" Type="http://schemas.openxmlformats.org/officeDocument/2006/relationships/hyperlink" Target="https://www.asml.com/en/news/press-releases/2023/q2-2023-financial-results" TargetMode="External"/><Relationship Id="rId14" Type="http://schemas.openxmlformats.org/officeDocument/2006/relationships/hyperlink" Target="https://www.asml.com/en/news/press-releases/2023/q1-2023-financial-results" TargetMode="External"/><Relationship Id="rId15" Type="http://schemas.openxmlformats.org/officeDocument/2006/relationships/hyperlink" Target="https://www.asml.com/en/news/press-releases/2023/q4-2022-financial-results" TargetMode="External"/><Relationship Id="rId16" Type="http://schemas.openxmlformats.org/officeDocument/2006/relationships/hyperlink" Target="https://www.asml.com/en/news/press-releases/2023/q4-2022-financial-results" TargetMode="External"/><Relationship Id="rId17" Type="http://schemas.openxmlformats.org/officeDocument/2006/relationships/hyperlink" Target="https://www.asml.com/en/news/press-releases/2022/q3-2022-financial-results" TargetMode="External"/><Relationship Id="rId18" Type="http://schemas.openxmlformats.org/officeDocument/2006/relationships/hyperlink" Target="https://www.asml.com/en/news/press-releases/2022/q2-2022-financial-results" TargetMode="External"/><Relationship Id="rId19" Type="http://schemas.openxmlformats.org/officeDocument/2006/relationships/hyperlink" Target="https://www.asml.com/-/media/asml/files/investors/financial-results/q-results/2022/q1/press-release-asml-quarterly-results-q1-2022-95sg2e.pdf?rev=da4a362ca0cb4b87977b4560f3b3f8ea" TargetMode="External"/><Relationship Id="rId20" Type="http://schemas.openxmlformats.org/officeDocument/2006/relationships/hyperlink" Target="https://www.asml.com/en/news/press-releases/2022/q4-and-full-year-2021-financial-results" TargetMode="External"/><Relationship Id="rId21" Type="http://schemas.openxmlformats.org/officeDocument/2006/relationships/hyperlink" Target="https://www.asml.com/en/news/press-releases/2022/q4-and-full-year-2021-financial-results" TargetMode="External"/><Relationship Id="rId22" Type="http://schemas.openxmlformats.org/officeDocument/2006/relationships/hyperlink" Target="https://www.asml.com/en/news/press-releases/2021/q3-2021-financial-results" TargetMode="External"/><Relationship Id="rId23" Type="http://schemas.openxmlformats.org/officeDocument/2006/relationships/hyperlink" Target="https://www.asml.com/en/news/press-releases/2021/q2-2021-financial-results" TargetMode="External"/><Relationship Id="rId24" Type="http://schemas.openxmlformats.org/officeDocument/2006/relationships/hyperlink" Target="https://www.asml.com/en/investors/financial-results/q1-2021" TargetMode="External"/><Relationship Id="rId25" Type="http://schemas.openxmlformats.org/officeDocument/2006/relationships/hyperlink" Target="https://www.asml.com/en/news/press-releases/2021/asml-reports-eur-14dot0-billion-net-sales-and-eur3dot6-billion-net-income-in-2020" TargetMode="External"/><Relationship Id="rId26" Type="http://schemas.openxmlformats.org/officeDocument/2006/relationships/hyperlink" Target="https://www.asml.com/en/investors/financial-results/q3-2020" TargetMode="External"/><Relationship Id="rId27" Type="http://schemas.openxmlformats.org/officeDocument/2006/relationships/hyperlink" Target="https://www.asml.com/en/news/press-releases/2020/q2-2020-financial-results" TargetMode="External"/><Relationship Id="rId28" Type="http://schemas.openxmlformats.org/officeDocument/2006/relationships/hyperlink" Target="https://www.asml.com/en/news/press-releases/2020/asml-reports-2dot4-billion-euro-net-sales-at-45dot1-percent-gross-margin-in-q1-2020" TargetMode="External"/><Relationship Id="rId29" Type="http://schemas.openxmlformats.org/officeDocument/2006/relationships/hyperlink" Target="https://www.asml.com/en/news/press-releases/2020/q4--and-full-year-2019-financial-results" TargetMode="External"/><Relationship Id="rId30" Type="http://schemas.openxmlformats.org/officeDocument/2006/relationships/hyperlink" Target="https://www.asml.com/en/news/press-releases/2020/q4--and-full-year-2019-financial-results" TargetMode="External"/><Relationship Id="rId31" Type="http://schemas.openxmlformats.org/officeDocument/2006/relationships/hyperlink" Target="https://www.asml.com/-/media/asml/files/investors/financial-results/q-results/2019/q3/press-release-quarterly-results-q3-2019.pdf" TargetMode="External"/><Relationship Id="rId32" Type="http://schemas.openxmlformats.org/officeDocument/2006/relationships/hyperlink" Target="https://www.asml.com/en/news/press-releases/asml-reports-eur-2dot6-billion-sales-at-43dot0-percent-gross-margin-in-q2" TargetMode="External"/><Relationship Id="rId33" Type="http://schemas.openxmlformats.org/officeDocument/2006/relationships/hyperlink" Target="https://www.asml.com/press/press-releases/asml-reports-eur-22-billion-sales-at-416-gross-margin-in-q1-2019-view-unchanged/en/s5869?rid=58697" TargetMode="External"/><Relationship Id="rId34" Type="http://schemas.openxmlformats.org/officeDocument/2006/relationships/hyperlink" Target="https://www.asml.com/press/press-releases/asml-reports-eur-109-billion-net-sales-and-eur-26-billion-net-income-in-2018-asml-expects-sales-growth-in-2019-despite-challenging-environment-and-proposes-to-raise-dividend-by-50/en/s5869?rid=58038" TargetMode="External"/><Relationship Id="rId35" Type="http://schemas.openxmlformats.org/officeDocument/2006/relationships/hyperlink" Target="https://www.asml.com/press/press-releases/asml-reports-eur-28-billion-sales-in-q3-expects-eur-3-billion-sales-in-q4-asml-sees-further-growth-for-2019/en/s5869?rid=57686" TargetMode="External"/><Relationship Id="rId36" Type="http://schemas.openxmlformats.org/officeDocument/2006/relationships/hyperlink" Target="https://www.asml.com/press/press-releases/earnings-growth-continues-driven-by-strong-sales-across-full-product-portfolio-continued-euv-progress-enables-asml-roadmap-acceleration/en/s5869?rid=57342" TargetMode="External"/><Relationship Id="rId37"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true" zeroHeight="false" outlineLevelRow="0" outlineLevelCol="0"/>
  <cols>
    <col collapsed="false" customWidth="true" hidden="false" outlineLevel="0" max="1" min="1" style="1" width="5.71"/>
    <col collapsed="false" customWidth="true" hidden="false" outlineLevel="0" max="2" min="2" style="1" width="7.71"/>
    <col collapsed="false" customWidth="true" hidden="false" outlineLevel="0" max="3" min="3" style="1" width="10.29"/>
    <col collapsed="false" customWidth="true" hidden="false" outlineLevel="0" max="4" min="4" style="1" width="13.71"/>
    <col collapsed="false" customWidth="true" hidden="false" outlineLevel="0" max="5" min="5" style="1" width="5.43"/>
    <col collapsed="false" customWidth="true" hidden="false" outlineLevel="0" max="6" min="6" style="1" width="13.71"/>
    <col collapsed="false" customWidth="true" hidden="false" outlineLevel="0" max="7" min="7" style="1" width="6.71"/>
    <col collapsed="false" customWidth="true" hidden="false" outlineLevel="0" max="8" min="8" style="1" width="31.71"/>
    <col collapsed="false" customWidth="false" hidden="false" outlineLevel="0" max="15" min="9" style="1" width="8.71"/>
    <col collapsed="false" customWidth="true" hidden="false" outlineLevel="0" max="16" min="16" style="1" width="45.71"/>
    <col collapsed="false" customWidth="false" hidden="false" outlineLevel="0" max="16384" min="17" style="1" width="8.71"/>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c r="U1" s="2"/>
      <c r="V1" s="2"/>
      <c r="W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row>
    <row r="4" customFormat="false" ht="15" hidden="false" customHeight="true" outlineLevel="0" collapsed="false">
      <c r="A4" s="2"/>
      <c r="B4" s="2"/>
      <c r="C4" s="2"/>
      <c r="D4" s="2"/>
      <c r="E4" s="2"/>
      <c r="F4" s="2"/>
      <c r="G4" s="2"/>
      <c r="H4" s="2"/>
      <c r="I4" s="2"/>
      <c r="J4" s="2"/>
      <c r="K4" s="2"/>
      <c r="L4" s="2"/>
      <c r="M4" s="2"/>
      <c r="N4" s="2"/>
      <c r="O4" s="2"/>
      <c r="P4" s="2"/>
      <c r="Q4" s="2"/>
      <c r="R4" s="2"/>
      <c r="S4" s="2"/>
      <c r="T4" s="2"/>
      <c r="U4" s="2"/>
      <c r="V4" s="2"/>
      <c r="W4" s="2"/>
    </row>
    <row r="5" customFormat="false" ht="15" hidden="false" customHeight="true" outlineLevel="0" collapsed="false">
      <c r="A5" s="2"/>
      <c r="B5" s="2"/>
      <c r="C5" s="2"/>
      <c r="D5" s="2"/>
      <c r="E5" s="2"/>
      <c r="F5" s="2"/>
      <c r="G5" s="2"/>
      <c r="H5" s="2"/>
      <c r="I5" s="2"/>
      <c r="J5" s="2"/>
      <c r="K5" s="2"/>
      <c r="L5" s="2"/>
      <c r="M5" s="2"/>
      <c r="N5" s="2"/>
      <c r="O5" s="2"/>
      <c r="P5" s="2"/>
      <c r="Q5" s="2"/>
      <c r="R5" s="2"/>
      <c r="S5" s="2"/>
      <c r="T5" s="2"/>
      <c r="U5" s="2"/>
      <c r="V5" s="2"/>
      <c r="W5" s="2"/>
    </row>
    <row r="6" customFormat="false" ht="18.75" hidden="false" customHeight="true" outlineLevel="0" collapsed="false">
      <c r="A6" s="2"/>
      <c r="B6" s="2"/>
      <c r="C6" s="2"/>
      <c r="D6" s="2"/>
      <c r="E6" s="2"/>
      <c r="F6" s="2"/>
      <c r="G6" s="2"/>
      <c r="H6" s="2"/>
      <c r="I6" s="2"/>
      <c r="J6" s="2"/>
      <c r="K6" s="2"/>
      <c r="L6" s="2"/>
      <c r="M6" s="3" t="s">
        <v>0</v>
      </c>
      <c r="N6" s="2"/>
      <c r="O6" s="2"/>
      <c r="P6" s="2"/>
      <c r="Q6" s="2"/>
      <c r="R6" s="2"/>
      <c r="S6" s="2"/>
      <c r="T6" s="2"/>
      <c r="U6" s="2"/>
      <c r="V6" s="2"/>
      <c r="W6" s="2"/>
    </row>
    <row r="7" customFormat="false" ht="18.75" hidden="false" customHeight="true" outlineLevel="0" collapsed="false">
      <c r="A7" s="2"/>
      <c r="B7" s="2"/>
      <c r="C7" s="2"/>
      <c r="D7" s="2"/>
      <c r="E7" s="2"/>
      <c r="F7" s="2"/>
      <c r="G7" s="2"/>
      <c r="H7" s="2"/>
      <c r="I7" s="2"/>
      <c r="J7" s="2"/>
      <c r="K7" s="2"/>
      <c r="L7" s="2"/>
      <c r="M7" s="4" t="s">
        <v>1</v>
      </c>
      <c r="N7" s="4" t="s">
        <v>2</v>
      </c>
      <c r="O7" s="4" t="s">
        <v>2</v>
      </c>
      <c r="P7" s="2"/>
      <c r="Q7" s="2"/>
      <c r="R7" s="2"/>
      <c r="S7" s="2"/>
      <c r="T7" s="2"/>
      <c r="U7" s="2"/>
      <c r="V7" s="2"/>
      <c r="W7" s="2"/>
    </row>
    <row r="8" customFormat="false" ht="28.5" hidden="false" customHeight="true" outlineLevel="0" collapsed="false">
      <c r="A8" s="2"/>
      <c r="B8" s="2"/>
      <c r="C8" s="2"/>
      <c r="D8" s="2"/>
      <c r="E8" s="2"/>
      <c r="F8" s="5"/>
      <c r="G8" s="5"/>
      <c r="H8" s="5"/>
      <c r="I8" s="5"/>
      <c r="J8" s="5"/>
      <c r="K8" s="5"/>
      <c r="L8" s="2"/>
      <c r="M8" s="2"/>
      <c r="N8" s="2"/>
      <c r="O8" s="2"/>
      <c r="P8" s="2"/>
      <c r="Q8" s="2"/>
      <c r="R8" s="2"/>
      <c r="S8" s="2"/>
      <c r="T8" s="2"/>
      <c r="U8" s="2"/>
      <c r="V8" s="2"/>
      <c r="W8" s="2"/>
    </row>
    <row r="9" customFormat="false" ht="18.75" hidden="false" customHeight="true" outlineLevel="0" collapsed="false">
      <c r="A9" s="2"/>
      <c r="B9" s="2"/>
      <c r="C9" s="6" t="s">
        <v>3</v>
      </c>
      <c r="D9" s="7"/>
      <c r="E9" s="7"/>
      <c r="F9" s="7"/>
      <c r="G9" s="7"/>
      <c r="H9" s="8" t="str">
        <f aca="false">Model!A1</f>
        <v>ASML Holdings N.V.</v>
      </c>
      <c r="I9" s="7"/>
      <c r="J9" s="7"/>
      <c r="K9" s="7"/>
      <c r="L9" s="7"/>
      <c r="M9" s="9"/>
      <c r="N9" s="7"/>
      <c r="O9" s="7"/>
      <c r="Q9" s="2"/>
      <c r="R9" s="2"/>
      <c r="S9" s="2"/>
      <c r="T9" s="2"/>
      <c r="U9" s="2"/>
      <c r="V9" s="2"/>
      <c r="W9" s="2"/>
    </row>
    <row r="10" customFormat="false" ht="18.75" hidden="false" customHeight="true" outlineLevel="0" collapsed="false">
      <c r="A10" s="2"/>
      <c r="B10" s="2"/>
      <c r="C10" s="10"/>
      <c r="D10" s="2"/>
      <c r="E10" s="2"/>
      <c r="F10" s="2"/>
      <c r="G10" s="2"/>
      <c r="H10" s="2"/>
      <c r="I10" s="2"/>
      <c r="J10" s="2"/>
      <c r="K10" s="2"/>
      <c r="L10" s="2"/>
      <c r="M10" s="11"/>
      <c r="N10" s="2"/>
      <c r="O10" s="2"/>
      <c r="Q10" s="2"/>
      <c r="R10" s="2"/>
      <c r="S10" s="2"/>
      <c r="T10" s="2"/>
      <c r="U10" s="2"/>
      <c r="V10" s="2"/>
      <c r="W10" s="2"/>
    </row>
    <row r="11" customFormat="false" ht="18.75" hidden="false" customHeight="true" outlineLevel="0" collapsed="false">
      <c r="A11" s="2"/>
      <c r="B11" s="2"/>
      <c r="C11" s="6" t="s">
        <v>4</v>
      </c>
      <c r="D11" s="2"/>
      <c r="E11" s="2"/>
      <c r="F11" s="2"/>
      <c r="G11" s="2"/>
      <c r="H11" s="12" t="n">
        <f aca="true">OFFSET('Update Log'!$C$10,1,0,1,1)</f>
        <v>46049</v>
      </c>
      <c r="I11" s="2"/>
      <c r="J11" s="2"/>
      <c r="K11" s="2"/>
      <c r="L11" s="2"/>
      <c r="M11" s="2"/>
      <c r="N11" s="2"/>
      <c r="O11" s="2"/>
      <c r="Q11" s="2"/>
      <c r="R11" s="2"/>
      <c r="S11" s="2"/>
      <c r="T11" s="2"/>
      <c r="U11" s="2"/>
      <c r="V11" s="2"/>
      <c r="W11" s="2"/>
    </row>
    <row r="12" customFormat="false" ht="18.75" hidden="false" customHeight="true" outlineLevel="0" collapsed="false">
      <c r="A12" s="2"/>
      <c r="B12" s="2"/>
      <c r="C12" s="2"/>
      <c r="D12" s="2"/>
      <c r="E12" s="2"/>
      <c r="F12" s="2"/>
      <c r="G12" s="2"/>
      <c r="H12" s="13"/>
      <c r="I12" s="2"/>
      <c r="J12" s="2"/>
      <c r="K12" s="2"/>
      <c r="L12" s="2"/>
      <c r="M12" s="6" t="s">
        <v>5</v>
      </c>
      <c r="N12" s="2"/>
      <c r="O12" s="2"/>
      <c r="Q12" s="2"/>
      <c r="R12" s="2"/>
      <c r="S12" s="2"/>
      <c r="T12" s="2"/>
      <c r="U12" s="2"/>
      <c r="V12" s="2"/>
      <c r="W12" s="2"/>
    </row>
    <row r="13" customFormat="false" ht="18.75" hidden="false" customHeight="true" outlineLevel="0" collapsed="false">
      <c r="A13" s="2"/>
      <c r="B13" s="2"/>
      <c r="C13" s="6" t="s">
        <v>6</v>
      </c>
      <c r="D13" s="2"/>
      <c r="E13" s="2"/>
      <c r="F13" s="2"/>
      <c r="G13" s="2"/>
      <c r="H13" s="14" t="str">
        <f aca="true">OFFSET('Update Log'!$E$10,1,0,1,1)</f>
        <v>Initial (Press Release)</v>
      </c>
      <c r="I13" s="2"/>
      <c r="J13" s="2"/>
      <c r="K13" s="2"/>
      <c r="L13" s="2"/>
      <c r="M13" s="15"/>
      <c r="N13" s="15"/>
      <c r="O13" s="15"/>
      <c r="P13" s="15"/>
      <c r="Q13" s="2"/>
      <c r="R13" s="2"/>
      <c r="S13" s="2"/>
      <c r="T13" s="2"/>
      <c r="U13" s="2"/>
      <c r="V13" s="2"/>
      <c r="W13" s="2"/>
    </row>
    <row r="14" customFormat="false" ht="15" hidden="false" customHeight="true" outlineLevel="0" collapsed="false">
      <c r="A14" s="2"/>
      <c r="B14" s="2"/>
      <c r="C14" s="2"/>
      <c r="D14" s="2"/>
      <c r="E14" s="2"/>
      <c r="F14" s="2"/>
      <c r="G14" s="2"/>
      <c r="H14" s="2"/>
      <c r="I14" s="2"/>
      <c r="J14" s="2"/>
      <c r="K14" s="2"/>
      <c r="L14" s="2"/>
      <c r="M14" s="15"/>
      <c r="N14" s="15"/>
      <c r="O14" s="15"/>
      <c r="P14" s="15"/>
      <c r="Q14" s="2"/>
      <c r="R14" s="2"/>
      <c r="S14" s="2"/>
      <c r="T14" s="2"/>
      <c r="U14" s="2"/>
      <c r="V14" s="2"/>
      <c r="W14" s="2"/>
    </row>
    <row r="15" customFormat="false" ht="18.75" hidden="false" customHeight="true" outlineLevel="0" collapsed="false">
      <c r="A15" s="2"/>
      <c r="B15" s="2"/>
      <c r="C15" s="6" t="s">
        <v>7</v>
      </c>
      <c r="D15" s="7"/>
      <c r="E15" s="7"/>
      <c r="F15" s="7"/>
      <c r="G15" s="7"/>
      <c r="H15" s="16" t="s">
        <v>8</v>
      </c>
      <c r="I15" s="2"/>
      <c r="J15" s="17"/>
      <c r="K15" s="2"/>
      <c r="L15" s="2"/>
      <c r="M15" s="15"/>
      <c r="N15" s="15"/>
      <c r="O15" s="15"/>
      <c r="P15" s="15"/>
      <c r="Q15" s="2"/>
      <c r="R15" s="2"/>
      <c r="S15" s="2"/>
      <c r="T15" s="2"/>
      <c r="U15" s="2"/>
      <c r="V15" s="2"/>
      <c r="W15" s="2"/>
    </row>
    <row r="16" customFormat="false" ht="15" hidden="false" customHeight="true" outlineLevel="0" collapsed="false">
      <c r="A16" s="2"/>
      <c r="B16" s="2"/>
      <c r="C16" s="7"/>
      <c r="D16" s="18"/>
      <c r="E16" s="18"/>
      <c r="F16" s="18"/>
      <c r="G16" s="18"/>
      <c r="H16" s="19" t="n">
        <f aca="false">IF(FP.DataSourceName="Bloomberg",1,IF(FP.DataSourceName="Capital IQ",2,IF(FP.DataSourceName="FactSet",3,IF(FP.DataSourceName="Refinitiv",4))))</f>
        <v>1</v>
      </c>
      <c r="I16" s="20"/>
      <c r="J16" s="17"/>
      <c r="K16" s="2"/>
      <c r="L16" s="2"/>
      <c r="M16" s="15"/>
      <c r="N16" s="15"/>
      <c r="O16" s="15"/>
      <c r="P16" s="15"/>
      <c r="Q16" s="2"/>
      <c r="R16" s="2"/>
      <c r="S16" s="2"/>
      <c r="T16" s="2"/>
      <c r="U16" s="2"/>
      <c r="V16" s="2"/>
      <c r="W16" s="2"/>
    </row>
    <row r="17" s="21" customFormat="true" ht="18.75" hidden="false" customHeight="true" outlineLevel="0" collapsed="false">
      <c r="A17" s="18"/>
      <c r="B17" s="18"/>
      <c r="C17" s="10"/>
      <c r="D17" s="18"/>
      <c r="E17" s="18"/>
      <c r="F17" s="18"/>
      <c r="G17" s="18"/>
      <c r="H17" s="18"/>
      <c r="I17" s="20"/>
      <c r="J17" s="17"/>
      <c r="K17" s="2"/>
      <c r="L17" s="2"/>
      <c r="M17" s="15"/>
      <c r="N17" s="15"/>
      <c r="O17" s="15"/>
      <c r="P17" s="15"/>
      <c r="Q17" s="18"/>
      <c r="R17" s="18"/>
      <c r="S17" s="18"/>
      <c r="T17" s="18"/>
      <c r="U17" s="18"/>
      <c r="V17" s="18"/>
      <c r="W17" s="2"/>
    </row>
    <row r="18" s="21" customFormat="true" ht="18.75" hidden="false" customHeight="true" outlineLevel="0" collapsed="false">
      <c r="A18" s="18"/>
      <c r="B18" s="18"/>
      <c r="C18" s="6" t="s">
        <v>9</v>
      </c>
      <c r="D18" s="7"/>
      <c r="E18" s="7"/>
      <c r="F18" s="7"/>
      <c r="G18" s="7"/>
      <c r="H18" s="16" t="s">
        <v>10</v>
      </c>
      <c r="I18" s="17"/>
      <c r="J18" s="17"/>
      <c r="K18" s="2"/>
      <c r="L18" s="2"/>
      <c r="M18" s="15"/>
      <c r="N18" s="15"/>
      <c r="O18" s="15"/>
      <c r="P18" s="15"/>
      <c r="Q18" s="18"/>
      <c r="R18" s="18"/>
      <c r="S18" s="18"/>
      <c r="T18" s="18"/>
      <c r="U18" s="18"/>
      <c r="V18" s="18"/>
      <c r="W18" s="2"/>
    </row>
    <row r="19" s="21" customFormat="true" ht="15" hidden="false" customHeight="true" outlineLevel="0" collapsed="false">
      <c r="A19" s="18"/>
      <c r="B19" s="18"/>
      <c r="C19" s="7"/>
      <c r="D19" s="18"/>
      <c r="E19" s="18"/>
      <c r="F19" s="18"/>
      <c r="G19" s="18"/>
      <c r="H19" s="18"/>
      <c r="I19" s="20"/>
      <c r="J19" s="17"/>
      <c r="K19" s="2"/>
      <c r="L19" s="2"/>
      <c r="M19" s="15"/>
      <c r="N19" s="15"/>
      <c r="O19" s="15"/>
      <c r="P19" s="15"/>
      <c r="Q19" s="18"/>
      <c r="R19" s="18"/>
      <c r="S19" s="18"/>
      <c r="T19" s="18"/>
      <c r="U19" s="18"/>
      <c r="V19" s="18"/>
      <c r="W19" s="2"/>
    </row>
    <row r="20" s="21" customFormat="true" ht="18.75" hidden="false" customHeight="true" outlineLevel="0" collapsed="false">
      <c r="A20" s="18"/>
      <c r="B20" s="18"/>
      <c r="C20" s="22" t="s">
        <v>11</v>
      </c>
      <c r="D20" s="18"/>
      <c r="E20" s="18"/>
      <c r="F20" s="23" t="n">
        <v>46049</v>
      </c>
      <c r="G20" s="18"/>
      <c r="H20" s="24" t="n">
        <v>1217.6</v>
      </c>
      <c r="I20" s="20"/>
      <c r="J20" s="17"/>
      <c r="K20" s="2"/>
      <c r="L20" s="2"/>
      <c r="M20" s="15"/>
      <c r="N20" s="15"/>
      <c r="O20" s="15"/>
      <c r="P20" s="15"/>
      <c r="Q20" s="18"/>
      <c r="R20" s="18"/>
      <c r="S20" s="18"/>
      <c r="T20" s="18"/>
      <c r="U20" s="18"/>
      <c r="V20" s="18"/>
      <c r="W20" s="2"/>
    </row>
    <row r="21" s="21" customFormat="true" ht="15" hidden="false" customHeight="true" outlineLevel="0" collapsed="false">
      <c r="A21" s="18"/>
      <c r="B21" s="18"/>
      <c r="C21" s="18"/>
      <c r="D21" s="2"/>
      <c r="E21" s="2"/>
      <c r="F21" s="2"/>
      <c r="G21" s="2"/>
      <c r="H21" s="2"/>
      <c r="I21" s="2"/>
      <c r="J21" s="2"/>
      <c r="K21" s="2"/>
      <c r="L21" s="2"/>
      <c r="M21" s="2"/>
      <c r="N21" s="18"/>
      <c r="O21" s="18"/>
      <c r="P21" s="18"/>
      <c r="Q21" s="18"/>
      <c r="R21" s="18"/>
      <c r="S21" s="18"/>
      <c r="T21" s="18"/>
      <c r="U21" s="18"/>
      <c r="V21" s="18"/>
      <c r="W21" s="18"/>
    </row>
    <row r="22" customFormat="false" ht="15.75" hidden="false" customHeight="true" outlineLevel="0" collapsed="false">
      <c r="A22" s="2"/>
      <c r="B22" s="2"/>
      <c r="C22" s="25" t="s">
        <v>12</v>
      </c>
      <c r="D22" s="25"/>
      <c r="E22" s="25"/>
      <c r="F22" s="25"/>
      <c r="G22" s="25"/>
      <c r="H22" s="25"/>
      <c r="I22" s="25"/>
      <c r="J22" s="25"/>
      <c r="K22" s="25"/>
      <c r="L22" s="25"/>
      <c r="M22" s="25"/>
      <c r="N22" s="25"/>
      <c r="O22" s="25"/>
      <c r="P22" s="25"/>
      <c r="Q22" s="2"/>
      <c r="R22" s="2"/>
      <c r="S22" s="2"/>
      <c r="T22" s="2"/>
      <c r="U22" s="2"/>
      <c r="V22" s="2"/>
      <c r="W22" s="2"/>
    </row>
    <row r="23" customFormat="false" ht="15.75" hidden="false" customHeight="true" outlineLevel="0" collapsed="false">
      <c r="A23" s="2"/>
      <c r="B23" s="2"/>
      <c r="C23" s="25"/>
      <c r="D23" s="25"/>
      <c r="E23" s="25"/>
      <c r="F23" s="25"/>
      <c r="G23" s="25"/>
      <c r="H23" s="25"/>
      <c r="I23" s="25"/>
      <c r="J23" s="25"/>
      <c r="K23" s="25"/>
      <c r="L23" s="25"/>
      <c r="M23" s="25"/>
      <c r="N23" s="25"/>
      <c r="O23" s="25"/>
      <c r="P23" s="25"/>
      <c r="Q23" s="2"/>
      <c r="R23" s="2"/>
      <c r="S23" s="2"/>
      <c r="T23" s="2"/>
      <c r="U23" s="2"/>
      <c r="V23" s="2"/>
      <c r="W23" s="2"/>
    </row>
    <row r="24" customFormat="false" ht="15.75" hidden="false" customHeight="true" outlineLevel="0" collapsed="false">
      <c r="A24" s="2"/>
      <c r="B24" s="2"/>
      <c r="C24" s="25"/>
      <c r="D24" s="25"/>
      <c r="E24" s="25"/>
      <c r="F24" s="25"/>
      <c r="G24" s="25"/>
      <c r="H24" s="25"/>
      <c r="I24" s="25"/>
      <c r="J24" s="25"/>
      <c r="K24" s="25"/>
      <c r="L24" s="25"/>
      <c r="M24" s="25"/>
      <c r="N24" s="25"/>
      <c r="O24" s="25"/>
      <c r="P24" s="25"/>
      <c r="Q24" s="2"/>
      <c r="R24" s="2"/>
      <c r="S24" s="2"/>
      <c r="T24" s="2"/>
      <c r="U24" s="2"/>
      <c r="V24" s="2"/>
      <c r="W24" s="2"/>
    </row>
    <row r="25" customFormat="false" ht="15.75" hidden="false" customHeight="true" outlineLevel="0" collapsed="false">
      <c r="A25" s="2"/>
      <c r="B25" s="2"/>
      <c r="C25" s="25"/>
      <c r="D25" s="25"/>
      <c r="E25" s="25"/>
      <c r="F25" s="25"/>
      <c r="G25" s="25"/>
      <c r="H25" s="25"/>
      <c r="I25" s="25"/>
      <c r="J25" s="25"/>
      <c r="K25" s="25"/>
      <c r="L25" s="25"/>
      <c r="M25" s="25"/>
      <c r="N25" s="25"/>
      <c r="O25" s="25"/>
      <c r="P25" s="25"/>
      <c r="Q25" s="2"/>
      <c r="R25" s="2"/>
      <c r="S25" s="2"/>
      <c r="T25" s="2"/>
      <c r="U25" s="2"/>
      <c r="V25" s="2"/>
      <c r="W25" s="2"/>
    </row>
    <row r="26" customFormat="false" ht="15.75" hidden="false" customHeight="true" outlineLevel="0" collapsed="false">
      <c r="A26" s="2"/>
      <c r="B26" s="2"/>
      <c r="C26" s="25"/>
      <c r="D26" s="25"/>
      <c r="E26" s="25"/>
      <c r="F26" s="25"/>
      <c r="G26" s="25"/>
      <c r="H26" s="25"/>
      <c r="I26" s="25"/>
      <c r="J26" s="25"/>
      <c r="K26" s="25"/>
      <c r="L26" s="25"/>
      <c r="M26" s="25"/>
      <c r="N26" s="25"/>
      <c r="O26" s="25"/>
      <c r="P26" s="25"/>
      <c r="Q26" s="2"/>
      <c r="R26" s="2"/>
      <c r="S26" s="2"/>
      <c r="T26" s="2"/>
      <c r="U26" s="2"/>
      <c r="V26" s="2"/>
      <c r="W26" s="2"/>
    </row>
    <row r="27" customFormat="false" ht="15.75" hidden="false" customHeight="true" outlineLevel="0" collapsed="false">
      <c r="A27" s="2"/>
      <c r="B27" s="2"/>
      <c r="C27" s="25"/>
      <c r="D27" s="25"/>
      <c r="E27" s="25"/>
      <c r="F27" s="25"/>
      <c r="G27" s="25"/>
      <c r="H27" s="25"/>
      <c r="I27" s="25"/>
      <c r="J27" s="25"/>
      <c r="K27" s="25"/>
      <c r="L27" s="25"/>
      <c r="M27" s="25"/>
      <c r="N27" s="25"/>
      <c r="O27" s="25"/>
      <c r="P27" s="25"/>
      <c r="Q27" s="2"/>
      <c r="R27" s="2"/>
      <c r="S27" s="2"/>
      <c r="T27" s="2"/>
      <c r="U27" s="2"/>
      <c r="V27" s="2"/>
      <c r="W27" s="2"/>
    </row>
    <row r="28" customFormat="false" ht="15.75" hidden="false" customHeight="true" outlineLevel="0" collapsed="false">
      <c r="A28" s="2"/>
      <c r="B28" s="2"/>
      <c r="C28" s="25"/>
      <c r="D28" s="25"/>
      <c r="E28" s="25"/>
      <c r="F28" s="25"/>
      <c r="G28" s="25"/>
      <c r="H28" s="25"/>
      <c r="I28" s="25"/>
      <c r="J28" s="25"/>
      <c r="K28" s="25"/>
      <c r="L28" s="25"/>
      <c r="M28" s="25"/>
      <c r="N28" s="25"/>
      <c r="O28" s="25"/>
      <c r="P28" s="25"/>
      <c r="Q28" s="2"/>
      <c r="R28" s="2"/>
      <c r="S28" s="2"/>
      <c r="T28" s="2"/>
      <c r="U28" s="2"/>
      <c r="V28" s="2"/>
      <c r="W28" s="2"/>
    </row>
    <row r="29" customFormat="false" ht="15.75" hidden="false" customHeight="true" outlineLevel="0" collapsed="false">
      <c r="A29" s="2"/>
      <c r="B29" s="2"/>
      <c r="C29" s="25"/>
      <c r="D29" s="25"/>
      <c r="E29" s="25"/>
      <c r="F29" s="25"/>
      <c r="G29" s="25"/>
      <c r="H29" s="25"/>
      <c r="I29" s="25"/>
      <c r="J29" s="25"/>
      <c r="K29" s="25"/>
      <c r="L29" s="25"/>
      <c r="M29" s="25"/>
      <c r="N29" s="25"/>
      <c r="O29" s="25"/>
      <c r="P29" s="25"/>
      <c r="Q29" s="2"/>
      <c r="R29" s="2"/>
      <c r="S29" s="2"/>
      <c r="T29" s="2"/>
      <c r="U29" s="2"/>
      <c r="V29" s="2"/>
      <c r="W29" s="2"/>
    </row>
    <row r="30" customFormat="false" ht="15.75" hidden="false" customHeight="true" outlineLevel="0" collapsed="false">
      <c r="A30" s="2"/>
      <c r="B30" s="2"/>
      <c r="C30" s="25"/>
      <c r="D30" s="25"/>
      <c r="E30" s="25"/>
      <c r="F30" s="25"/>
      <c r="G30" s="25"/>
      <c r="H30" s="25"/>
      <c r="I30" s="25"/>
      <c r="J30" s="25"/>
      <c r="K30" s="25"/>
      <c r="L30" s="25"/>
      <c r="M30" s="25"/>
      <c r="N30" s="25"/>
      <c r="O30" s="25"/>
      <c r="P30" s="25"/>
      <c r="Q30" s="2"/>
      <c r="R30" s="2"/>
      <c r="S30" s="2"/>
      <c r="T30" s="2"/>
      <c r="U30" s="2"/>
      <c r="V30" s="2"/>
      <c r="W30" s="2"/>
    </row>
    <row r="31" customFormat="false" ht="15.75" hidden="false" customHeight="true" outlineLevel="0" collapsed="false">
      <c r="A31" s="2"/>
      <c r="B31" s="2"/>
      <c r="C31" s="25"/>
      <c r="D31" s="25"/>
      <c r="E31" s="25"/>
      <c r="F31" s="25"/>
      <c r="G31" s="25"/>
      <c r="H31" s="25"/>
      <c r="I31" s="25"/>
      <c r="J31" s="25"/>
      <c r="K31" s="25"/>
      <c r="L31" s="25"/>
      <c r="M31" s="25"/>
      <c r="N31" s="25"/>
      <c r="O31" s="25"/>
      <c r="P31" s="25"/>
      <c r="Q31" s="2"/>
      <c r="R31" s="2"/>
      <c r="S31" s="2"/>
      <c r="T31" s="2"/>
      <c r="U31" s="2"/>
      <c r="V31" s="2"/>
      <c r="W31" s="2"/>
    </row>
    <row r="32" customFormat="false" ht="15.75" hidden="false" customHeight="true" outlineLevel="0" collapsed="false">
      <c r="A32" s="2"/>
      <c r="B32" s="2"/>
      <c r="C32" s="25"/>
      <c r="D32" s="25"/>
      <c r="E32" s="25"/>
      <c r="F32" s="25"/>
      <c r="G32" s="25"/>
      <c r="H32" s="25"/>
      <c r="I32" s="25"/>
      <c r="J32" s="25"/>
      <c r="K32" s="25"/>
      <c r="L32" s="25"/>
      <c r="M32" s="25"/>
      <c r="N32" s="25"/>
      <c r="O32" s="25"/>
      <c r="P32" s="25"/>
      <c r="Q32" s="2"/>
      <c r="R32" s="2"/>
      <c r="S32" s="2"/>
      <c r="T32" s="2"/>
      <c r="U32" s="2"/>
      <c r="V32" s="2"/>
      <c r="W32" s="2"/>
    </row>
    <row r="33" customFormat="false" ht="15.75" hidden="false" customHeight="true" outlineLevel="0" collapsed="false">
      <c r="A33" s="2"/>
      <c r="B33" s="2"/>
      <c r="C33" s="25"/>
      <c r="D33" s="25"/>
      <c r="E33" s="25"/>
      <c r="F33" s="25"/>
      <c r="G33" s="25"/>
      <c r="H33" s="25"/>
      <c r="I33" s="25"/>
      <c r="J33" s="25"/>
      <c r="K33" s="25"/>
      <c r="L33" s="25"/>
      <c r="M33" s="25"/>
      <c r="N33" s="25"/>
      <c r="O33" s="25"/>
      <c r="P33" s="25"/>
      <c r="Q33" s="2"/>
      <c r="R33" s="2"/>
      <c r="S33" s="2"/>
      <c r="T33" s="2"/>
      <c r="U33" s="2"/>
      <c r="V33" s="2"/>
      <c r="W33" s="2"/>
    </row>
    <row r="34" customFormat="false" ht="15.75" hidden="false" customHeight="true" outlineLevel="0" collapsed="false">
      <c r="A34" s="2"/>
      <c r="B34" s="2"/>
      <c r="C34" s="25"/>
      <c r="D34" s="25"/>
      <c r="E34" s="25"/>
      <c r="F34" s="25"/>
      <c r="G34" s="25"/>
      <c r="H34" s="25"/>
      <c r="I34" s="25"/>
      <c r="J34" s="25"/>
      <c r="K34" s="25"/>
      <c r="L34" s="25"/>
      <c r="M34" s="25"/>
      <c r="N34" s="25"/>
      <c r="O34" s="25"/>
      <c r="P34" s="25"/>
      <c r="Q34" s="2"/>
      <c r="R34" s="2"/>
      <c r="S34" s="2"/>
      <c r="T34" s="2"/>
      <c r="U34" s="2"/>
      <c r="V34" s="2"/>
      <c r="W34" s="2"/>
    </row>
    <row r="35" customFormat="false" ht="15.75" hidden="false" customHeight="true" outlineLevel="0" collapsed="false">
      <c r="A35" s="2"/>
      <c r="B35" s="2"/>
      <c r="C35" s="25"/>
      <c r="D35" s="25"/>
      <c r="E35" s="25"/>
      <c r="F35" s="25"/>
      <c r="G35" s="25"/>
      <c r="H35" s="25"/>
      <c r="I35" s="25"/>
      <c r="J35" s="25"/>
      <c r="K35" s="25"/>
      <c r="L35" s="25"/>
      <c r="M35" s="25"/>
      <c r="N35" s="25"/>
      <c r="O35" s="25"/>
      <c r="P35" s="25"/>
      <c r="Q35" s="2"/>
      <c r="R35" s="2"/>
      <c r="S35" s="2"/>
      <c r="T35" s="2"/>
      <c r="U35" s="2"/>
      <c r="V35" s="2"/>
      <c r="W35" s="2"/>
    </row>
    <row r="36" customFormat="false" ht="15.75" hidden="false" customHeight="true" outlineLevel="0" collapsed="false">
      <c r="A36" s="2"/>
      <c r="B36" s="2"/>
      <c r="C36" s="25"/>
      <c r="D36" s="25"/>
      <c r="E36" s="25"/>
      <c r="F36" s="25"/>
      <c r="G36" s="25"/>
      <c r="H36" s="25"/>
      <c r="I36" s="25"/>
      <c r="J36" s="25"/>
      <c r="K36" s="25"/>
      <c r="L36" s="25"/>
      <c r="M36" s="25"/>
      <c r="N36" s="25"/>
      <c r="O36" s="25"/>
      <c r="P36" s="25"/>
      <c r="Q36" s="2"/>
      <c r="R36" s="2"/>
      <c r="S36" s="2"/>
      <c r="T36" s="2"/>
      <c r="U36" s="2"/>
      <c r="V36" s="2"/>
      <c r="W36" s="2"/>
    </row>
    <row r="37" customFormat="false" ht="15.75" hidden="false" customHeight="true" outlineLevel="0" collapsed="false">
      <c r="A37" s="2"/>
      <c r="B37" s="2"/>
      <c r="C37" s="25"/>
      <c r="D37" s="25"/>
      <c r="E37" s="25"/>
      <c r="F37" s="25"/>
      <c r="G37" s="25"/>
      <c r="H37" s="25"/>
      <c r="I37" s="25"/>
      <c r="J37" s="25"/>
      <c r="K37" s="25"/>
      <c r="L37" s="25"/>
      <c r="M37" s="25"/>
      <c r="N37" s="25"/>
      <c r="O37" s="25"/>
      <c r="P37" s="25"/>
      <c r="Q37" s="2"/>
      <c r="R37" s="2"/>
      <c r="S37" s="2"/>
      <c r="T37" s="2"/>
      <c r="U37" s="2"/>
      <c r="V37" s="2"/>
      <c r="W37" s="2"/>
    </row>
    <row r="38" customFormat="false" ht="15.75" hidden="false" customHeight="true" outlineLevel="0" collapsed="false">
      <c r="A38" s="2"/>
      <c r="B38" s="2"/>
      <c r="C38" s="25"/>
      <c r="D38" s="25"/>
      <c r="E38" s="25"/>
      <c r="F38" s="25"/>
      <c r="G38" s="25"/>
      <c r="H38" s="25"/>
      <c r="I38" s="25"/>
      <c r="J38" s="25"/>
      <c r="K38" s="25"/>
      <c r="L38" s="25"/>
      <c r="M38" s="25"/>
      <c r="N38" s="25"/>
      <c r="O38" s="25"/>
      <c r="P38" s="25"/>
      <c r="Q38" s="2"/>
      <c r="R38" s="2"/>
      <c r="S38" s="2"/>
      <c r="T38" s="2"/>
      <c r="U38" s="2"/>
      <c r="V38" s="2"/>
      <c r="W38" s="2"/>
    </row>
    <row r="39" customFormat="false" ht="15.75" hidden="false" customHeight="true" outlineLevel="0" collapsed="false">
      <c r="A39" s="2"/>
      <c r="B39" s="2"/>
      <c r="C39" s="25"/>
      <c r="D39" s="25"/>
      <c r="E39" s="25"/>
      <c r="F39" s="25"/>
      <c r="G39" s="25"/>
      <c r="H39" s="25"/>
      <c r="I39" s="25"/>
      <c r="J39" s="25"/>
      <c r="K39" s="25"/>
      <c r="L39" s="25"/>
      <c r="M39" s="25"/>
      <c r="N39" s="25"/>
      <c r="O39" s="25"/>
      <c r="P39" s="25"/>
      <c r="Q39" s="2"/>
      <c r="R39" s="2"/>
      <c r="S39" s="2"/>
      <c r="T39" s="2"/>
      <c r="U39" s="2"/>
      <c r="V39" s="2"/>
      <c r="W39" s="2"/>
    </row>
    <row r="40" customFormat="false" ht="15.75" hidden="false" customHeight="true" outlineLevel="0" collapsed="false">
      <c r="A40" s="2"/>
      <c r="B40" s="2"/>
      <c r="C40" s="25"/>
      <c r="D40" s="25"/>
      <c r="E40" s="25"/>
      <c r="F40" s="25"/>
      <c r="G40" s="25"/>
      <c r="H40" s="25"/>
      <c r="I40" s="25"/>
      <c r="J40" s="25"/>
      <c r="K40" s="25"/>
      <c r="L40" s="25"/>
      <c r="M40" s="25"/>
      <c r="N40" s="25"/>
      <c r="O40" s="25"/>
      <c r="P40" s="25"/>
      <c r="Q40" s="2"/>
      <c r="R40" s="2"/>
      <c r="S40" s="2"/>
      <c r="T40" s="2"/>
      <c r="U40" s="2"/>
      <c r="V40" s="2"/>
      <c r="W40" s="2"/>
    </row>
    <row r="41" customFormat="false" ht="15.75" hidden="false" customHeight="true" outlineLevel="0" collapsed="false">
      <c r="A41" s="2"/>
      <c r="B41" s="2"/>
      <c r="C41" s="25"/>
      <c r="D41" s="25"/>
      <c r="E41" s="25"/>
      <c r="F41" s="25"/>
      <c r="G41" s="25"/>
      <c r="H41" s="25"/>
      <c r="I41" s="25"/>
      <c r="J41" s="25"/>
      <c r="K41" s="25"/>
      <c r="L41" s="25"/>
      <c r="M41" s="25"/>
      <c r="N41" s="25"/>
      <c r="O41" s="25"/>
      <c r="P41" s="25"/>
      <c r="Q41" s="2"/>
      <c r="R41" s="2"/>
      <c r="S41" s="2"/>
      <c r="T41" s="2"/>
      <c r="U41" s="2"/>
      <c r="V41" s="2"/>
      <c r="W41" s="2"/>
    </row>
    <row r="42" customFormat="false" ht="1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row>
    <row r="43" customFormat="false" ht="1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row>
    <row r="44" customFormat="false" ht="1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row>
    <row r="45" customFormat="false" ht="1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row>
    <row r="46" customFormat="false" ht="1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row>
    <row r="47" customFormat="false" ht="1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row>
    <row r="48" customFormat="false" ht="1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row>
    <row r="49" customFormat="false" ht="1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row>
    <row r="50" customFormat="false" ht="1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row>
    <row r="51" customFormat="false" ht="1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row>
    <row r="52" customFormat="false" ht="1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row>
    <row r="53" customFormat="false" ht="1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row>
    <row r="54" customFormat="false" ht="1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row>
    <row r="55" customFormat="false" ht="1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row>
    <row r="56" customFormat="false" ht="1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row>
    <row r="57" customFormat="false" ht="1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row>
  </sheetData>
  <mergeCells count="3">
    <mergeCell ref="F8:K8"/>
    <mergeCell ref="M13:P20"/>
    <mergeCell ref="C22:P41"/>
  </mergeCells>
  <conditionalFormatting sqref="C20:H20">
    <cfRule type="expression" priority="2" aboveAverage="0" equalAverage="0" bottom="0" percent="0" rank="0" text="" dxfId="0">
      <formula>AND(FP.RealTimeToggle="ON",MO.RealTime="ON")</formula>
    </cfRule>
  </conditionalFormatting>
  <dataValidations count="3">
    <dataValidation allowBlank="true" errorStyle="stop" operator="between" showDropDown="false" showErrorMessage="true" showInputMessage="true" sqref="H18" type="list">
      <formula1>"ON,OFF"</formula1>
      <formula2>0</formula2>
    </dataValidation>
    <dataValidation allowBlank="true" errorStyle="stop" operator="between" showDropDown="false" showErrorMessage="true" showInputMessage="true" sqref="H16" type="none">
      <formula1>0</formula1>
      <formula2>0</formula2>
    </dataValidation>
    <dataValidation allowBlank="true" errorStyle="stop" operator="between" showDropDown="false" showErrorMessage="true" showInputMessage="true" sqref="H15" type="list">
      <formula1>"Bloomberg,Capital IQ,FactSet,Refinitiv"</formula1>
      <formula2>0</formula2>
    </dataValidation>
  </dataValidations>
  <hyperlinks>
    <hyperlink ref="M7" r:id="rId1" display="modelsupport@alpha-sense.com"/>
    <hyperlink ref="N7" r:id="rId2" display="mailto:support@canalyst.com?subject=Canalyst%20Support:%20ASML%20Holdings%20N.V.%20ASML%20US&amp;body=Model%20Version:%20Q2-2019.20"/>
    <hyperlink ref="O7" r:id="rId3" display="mailto:support@canalyst.com?subject=Canalyst%20Support:%20ASML%20Holdings%20N.V.%20ASML%20US&amp;body=Model%20Version:%20Q2-2019.20"/>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40"/>
    <col collapsed="false" customWidth="true" hidden="false" outlineLevel="0" max="6" min="3" style="0" width="14"/>
  </cols>
  <sheetData>
    <row r="1" customFormat="false" ht="15" hidden="false" customHeight="false" outlineLevel="0" collapsed="false">
      <c r="B1" s="26" t="s">
        <v>13</v>
      </c>
    </row>
    <row r="2" customFormat="false" ht="15" hidden="false" customHeight="false" outlineLevel="0" collapsed="false">
      <c r="B2" s="26" t="s">
        <v>14</v>
      </c>
    </row>
    <row r="3" customFormat="false" ht="15" hidden="false" customHeight="false" outlineLevel="0" collapsed="false">
      <c r="B3" s="26" t="s">
        <v>11</v>
      </c>
      <c r="C3" s="27" t="n">
        <f aca="false">'Front Page'!H20</f>
        <v>1217.6</v>
      </c>
    </row>
    <row r="5" customFormat="false" ht="15" hidden="false" customHeight="false" outlineLevel="0" collapsed="false">
      <c r="B5" s="28" t="s">
        <v>15</v>
      </c>
    </row>
    <row r="6" customFormat="false" ht="15" hidden="false" customHeight="false" outlineLevel="0" collapsed="false">
      <c r="B6" s="26" t="s">
        <v>16</v>
      </c>
      <c r="C6" s="28" t="s">
        <v>17</v>
      </c>
      <c r="D6" s="28" t="s">
        <v>18</v>
      </c>
      <c r="E6" s="28" t="s">
        <v>19</v>
      </c>
      <c r="F6" s="28" t="s">
        <v>20</v>
      </c>
    </row>
    <row r="7" customFormat="false" ht="15" hidden="false" customHeight="false" outlineLevel="0" collapsed="false">
      <c r="B7" s="26" t="s">
        <v>21</v>
      </c>
      <c r="C7" s="29" t="n">
        <f aca="false">Model!C329</f>
        <v>1596.063</v>
      </c>
      <c r="D7" s="29" t="n">
        <f aca="false">Model!D329</f>
        <v>4507.938</v>
      </c>
      <c r="E7" s="29" t="n">
        <f aca="false">Model!E329</f>
        <v>5651.035</v>
      </c>
      <c r="F7" s="29" t="n">
        <f aca="false">Model!F329</f>
        <v>4731.555</v>
      </c>
    </row>
    <row r="8" customFormat="false" ht="15" hidden="false" customHeight="false" outlineLevel="0" collapsed="false">
      <c r="B8" s="26" t="s">
        <v>22</v>
      </c>
      <c r="D8" s="30" t="n">
        <f aca="false">IFERROR(D7/C7-1,"-")</f>
        <v>1.82441106648046</v>
      </c>
      <c r="E8" s="30" t="n">
        <f aca="false">IFERROR(E7/D7-1,"-")</f>
        <v>0.253574250577537</v>
      </c>
      <c r="F8" s="30" t="n">
        <f aca="false">IFERROR(F7/E7-1,"-")</f>
        <v>-0.162710016837623</v>
      </c>
    </row>
    <row r="9" customFormat="false" ht="15" hidden="false" customHeight="false" outlineLevel="0" collapsed="false">
      <c r="B9" s="26" t="s">
        <v>23</v>
      </c>
      <c r="C9" s="29" t="n">
        <f aca="false">Model!C332</f>
        <v>1137.671</v>
      </c>
      <c r="D9" s="29" t="n">
        <f aca="false">Model!D332</f>
        <v>2552.768</v>
      </c>
      <c r="E9" s="29" t="n">
        <f aca="false">Model!E332</f>
        <v>3201.645</v>
      </c>
      <c r="F9" s="29" t="n">
        <f aca="false">Model!F332</f>
        <v>2726.298</v>
      </c>
    </row>
    <row r="10" customFormat="false" ht="15" hidden="false" customHeight="false" outlineLevel="0" collapsed="false">
      <c r="B10" s="26" t="s">
        <v>24</v>
      </c>
      <c r="C10" s="29" t="n">
        <f aca="false">Model!C333</f>
        <v>458.392</v>
      </c>
      <c r="D10" s="29" t="n">
        <f aca="false">Model!D333</f>
        <v>1955.17</v>
      </c>
      <c r="E10" s="29" t="n">
        <f aca="false">Model!E333</f>
        <v>2449.39</v>
      </c>
      <c r="F10" s="29" t="n">
        <f aca="false">Model!F333</f>
        <v>2005.257</v>
      </c>
    </row>
    <row r="11" customFormat="false" ht="15" hidden="false" customHeight="false" outlineLevel="0" collapsed="false">
      <c r="B11" s="26" t="s">
        <v>25</v>
      </c>
      <c r="C11" s="30" t="n">
        <f aca="false">IFERROR(C10/C7,"-")</f>
        <v>0.287201695672414</v>
      </c>
      <c r="D11" s="30" t="n">
        <f aca="false">IFERROR(D10/D7,"-")</f>
        <v>0.433717145178128</v>
      </c>
      <c r="E11" s="30" t="n">
        <f aca="false">IFERROR(E10/E7,"-")</f>
        <v>0.433440953736793</v>
      </c>
      <c r="F11" s="30" t="n">
        <f aca="false">IFERROR(F10/F7,"-")</f>
        <v>0.423805070426107</v>
      </c>
    </row>
    <row r="12" customFormat="false" ht="15" hidden="false" customHeight="false" outlineLevel="0" collapsed="false">
      <c r="B12" s="26" t="s">
        <v>26</v>
      </c>
      <c r="C12" s="29" t="n">
        <f aca="false">Model!C335</f>
        <v>466.761</v>
      </c>
      <c r="D12" s="29" t="n">
        <f aca="false">Model!D335</f>
        <v>523.426</v>
      </c>
      <c r="E12" s="29" t="n">
        <f aca="false">Model!E335</f>
        <v>590.27</v>
      </c>
      <c r="F12" s="29" t="n">
        <f aca="false">Model!F335</f>
        <v>589.182</v>
      </c>
    </row>
    <row r="13" customFormat="false" ht="15" hidden="false" customHeight="false" outlineLevel="0" collapsed="false">
      <c r="B13" s="26" t="s">
        <v>27</v>
      </c>
      <c r="C13" s="30" t="n">
        <f aca="false">IFERROR(C12/C7,"-")</f>
        <v>0.292445223026911</v>
      </c>
      <c r="D13" s="30" t="n">
        <f aca="false">IFERROR(D12/D7,"-")</f>
        <v>0.116112067202344</v>
      </c>
      <c r="E13" s="30" t="n">
        <f aca="false">IFERROR(E12/E7,"-")</f>
        <v>0.104453431981929</v>
      </c>
      <c r="F13" s="30" t="n">
        <f aca="false">IFERROR(F12/F7,"-")</f>
        <v>0.12452185380916</v>
      </c>
    </row>
    <row r="14" customFormat="false" ht="15" hidden="false" customHeight="false" outlineLevel="0" collapsed="false">
      <c r="B14" s="26" t="s">
        <v>28</v>
      </c>
      <c r="C14" s="29" t="n">
        <f aca="false">Model!C336</f>
        <v>154.756</v>
      </c>
      <c r="D14" s="29" t="n">
        <f aca="false">Model!D336</f>
        <v>181.045</v>
      </c>
      <c r="E14" s="29" t="n">
        <f aca="false">Model!E336</f>
        <v>217.904</v>
      </c>
      <c r="F14" s="29" t="n">
        <f aca="false">Model!F336</f>
        <v>259.301</v>
      </c>
    </row>
    <row r="15" customFormat="false" ht="15" hidden="false" customHeight="false" outlineLevel="0" collapsed="false">
      <c r="B15" s="26" t="s">
        <v>29</v>
      </c>
      <c r="C15" s="30" t="n">
        <f aca="false">IFERROR(C14/C7,"-")</f>
        <v>0.0969610848694569</v>
      </c>
      <c r="D15" s="30" t="n">
        <f aca="false">IFERROR(D14/D7,"-")</f>
        <v>0.0401613775522201</v>
      </c>
      <c r="E15" s="30" t="n">
        <f aca="false">IFERROR(E14/E7,"-")</f>
        <v>0.0385600159970696</v>
      </c>
      <c r="F15" s="30" t="n">
        <f aca="false">IFERROR(F14/F7,"-")</f>
        <v>0.0548024909358551</v>
      </c>
    </row>
    <row r="16" customFormat="false" ht="15" hidden="false" customHeight="false" outlineLevel="0" collapsed="false">
      <c r="B16" s="26" t="s">
        <v>30</v>
      </c>
      <c r="C16" s="29" t="n">
        <f aca="false">Model!C337</f>
        <v>-0</v>
      </c>
      <c r="D16" s="29" t="n">
        <f aca="false">Model!D337</f>
        <v>-0</v>
      </c>
      <c r="E16" s="29" t="n">
        <f aca="false">Model!E337</f>
        <v>-0</v>
      </c>
      <c r="F16" s="29" t="n">
        <f aca="false">Model!F337</f>
        <v>-0</v>
      </c>
    </row>
    <row r="17" customFormat="false" ht="15" hidden="false" customHeight="false" outlineLevel="0" collapsed="false">
      <c r="B17" s="26" t="s">
        <v>31</v>
      </c>
      <c r="C17" s="29" t="n">
        <f aca="false">Model!C338</f>
        <v>-163.125</v>
      </c>
      <c r="D17" s="29" t="n">
        <f aca="false">Model!D338</f>
        <v>1250.699</v>
      </c>
      <c r="E17" s="29" t="n">
        <f aca="false">Model!E338</f>
        <v>1641.216</v>
      </c>
      <c r="F17" s="29" t="n">
        <f aca="false">Model!F338</f>
        <v>1156.774</v>
      </c>
    </row>
    <row r="18" customFormat="false" ht="15" hidden="false" customHeight="false" outlineLevel="0" collapsed="false">
      <c r="B18" s="26" t="s">
        <v>32</v>
      </c>
      <c r="C18" s="30" t="n">
        <f aca="false">IFERROR(C17/C7,"-")</f>
        <v>-0.102204612223954</v>
      </c>
      <c r="D18" s="30" t="n">
        <f aca="false">IFERROR(D17/D7,"-")</f>
        <v>0.277443700423564</v>
      </c>
      <c r="E18" s="30" t="n">
        <f aca="false">IFERROR(E17/E7,"-")</f>
        <v>0.290427505757795</v>
      </c>
      <c r="F18" s="30" t="n">
        <f aca="false">IFERROR(F17/F7,"-")</f>
        <v>0.244480725681092</v>
      </c>
    </row>
    <row r="19" customFormat="false" ht="15" hidden="false" customHeight="false" outlineLevel="0" collapsed="false">
      <c r="B19" s="26" t="s">
        <v>33</v>
      </c>
      <c r="C19" s="29" t="n">
        <f aca="false">Model!C348</f>
        <v>8.425</v>
      </c>
      <c r="D19" s="29" t="n">
        <f aca="false">Model!D348</f>
        <v>8.176</v>
      </c>
      <c r="E19" s="29" t="n">
        <f aca="false">Model!E348</f>
        <v>-7.419</v>
      </c>
      <c r="F19" s="29" t="n">
        <f aca="false">Model!F348</f>
        <v>6.196</v>
      </c>
    </row>
    <row r="20" customFormat="false" ht="15" hidden="false" customHeight="false" outlineLevel="0" collapsed="false">
      <c r="B20" s="26" t="s">
        <v>34</v>
      </c>
      <c r="C20" s="29" t="n">
        <f aca="false">Model!C349</f>
        <v>-0</v>
      </c>
      <c r="D20" s="29" t="n">
        <f aca="false">Model!D349</f>
        <v>-0</v>
      </c>
      <c r="E20" s="29" t="n">
        <f aca="false">Model!E349</f>
        <v>-0</v>
      </c>
      <c r="F20" s="29" t="n">
        <f aca="false">Model!F349</f>
        <v>-0</v>
      </c>
    </row>
    <row r="21" customFormat="false" ht="15" hidden="false" customHeight="false" outlineLevel="0" collapsed="false">
      <c r="B21" s="26" t="s">
        <v>35</v>
      </c>
      <c r="C21" s="30" t="n">
        <f aca="false">C17+C19+C20</f>
        <v>-154.7</v>
      </c>
      <c r="D21" s="30" t="n">
        <f aca="false">D17+D19+D20</f>
        <v>1258.875</v>
      </c>
      <c r="E21" s="30" t="n">
        <f aca="false">E17+E19+E20</f>
        <v>1633.797</v>
      </c>
      <c r="F21" s="30" t="n">
        <f aca="false">F17+F19+F20</f>
        <v>1162.97</v>
      </c>
    </row>
    <row r="22" customFormat="false" ht="15" hidden="false" customHeight="false" outlineLevel="0" collapsed="false">
      <c r="B22" s="26" t="s">
        <v>36</v>
      </c>
      <c r="C22" s="29" t="n">
        <f aca="false">Model!C354</f>
        <v>28.798</v>
      </c>
      <c r="D22" s="29" t="n">
        <f aca="false">Model!D354</f>
        <v>192.65</v>
      </c>
      <c r="E22" s="29" t="n">
        <f aca="false">Model!E354</f>
        <v>118.425</v>
      </c>
      <c r="F22" s="29" t="n">
        <f aca="false">Model!F354</f>
        <v>76.636</v>
      </c>
    </row>
    <row r="23" customFormat="false" ht="15" hidden="false" customHeight="false" outlineLevel="0" collapsed="false">
      <c r="B23" s="26" t="s">
        <v>37</v>
      </c>
      <c r="C23" s="30" t="n">
        <f aca="false">IFERROR(C22/C21,"-")</f>
        <v>-0.186153846153846</v>
      </c>
      <c r="D23" s="30" t="n">
        <f aca="false">IFERROR(D22/D21,"-")</f>
        <v>0.15303346241684</v>
      </c>
      <c r="E23" s="30" t="n">
        <f aca="false">IFERROR(E22/E21,"-")</f>
        <v>0.0724845253112841</v>
      </c>
      <c r="F23" s="30" t="n">
        <f aca="false">IFERROR(F22/F21,"-")</f>
        <v>0.0658967987136383</v>
      </c>
    </row>
    <row r="24" customFormat="false" ht="15" hidden="false" customHeight="false" outlineLevel="0" collapsed="false">
      <c r="B24" s="26" t="s">
        <v>38</v>
      </c>
      <c r="C24" s="29" t="n">
        <f aca="false">Model!C365</f>
        <v>-150.925</v>
      </c>
      <c r="D24" s="29" t="n">
        <f aca="false">Model!D365</f>
        <v>1021.82</v>
      </c>
      <c r="E24" s="29" t="n">
        <f aca="false">Model!E365</f>
        <v>1466.96</v>
      </c>
      <c r="F24" s="29" t="n">
        <f aca="false">Model!F365</f>
        <v>1146.316</v>
      </c>
    </row>
    <row r="25" customFormat="false" ht="15" hidden="false" customHeight="false" outlineLevel="0" collapsed="false">
      <c r="B25" s="26" t="s">
        <v>39</v>
      </c>
      <c r="C25" s="29" t="n">
        <f aca="false">Model!C394</f>
        <v>433.638976</v>
      </c>
      <c r="D25" s="29" t="n">
        <f aca="false">Model!D394</f>
        <v>440.420972</v>
      </c>
      <c r="E25" s="29" t="n">
        <f aca="false">Model!E394</f>
        <v>417.104257</v>
      </c>
      <c r="F25" s="29" t="n">
        <f aca="false">Model!F394</f>
        <v>410.055221</v>
      </c>
    </row>
    <row r="26" customFormat="false" ht="15" hidden="false" customHeight="false" outlineLevel="0" collapsed="false">
      <c r="B26" s="26" t="s">
        <v>40</v>
      </c>
      <c r="C26" s="30" t="n">
        <f aca="false">IFERROR(C24/C25,"-")</f>
        <v>-0.348042976653464</v>
      </c>
      <c r="D26" s="30" t="n">
        <f aca="false">IFERROR(D24/D25,"-")</f>
        <v>2.32009841711171</v>
      </c>
      <c r="E26" s="30" t="n">
        <f aca="false">IFERROR(E24/E25,"-")</f>
        <v>3.5170103766167</v>
      </c>
      <c r="F26" s="30" t="n">
        <f aca="false">IFERROR(F24/F25,"-")</f>
        <v>2.79551616780902</v>
      </c>
    </row>
    <row r="27" customFormat="false" ht="15" hidden="false" customHeight="false" outlineLevel="0" collapsed="false">
      <c r="B27" s="26" t="s">
        <v>41</v>
      </c>
      <c r="D27" s="30" t="n">
        <f aca="false">IFERROR(D26/C26-1,"-")</f>
        <v>-7.66612623366269</v>
      </c>
      <c r="E27" s="30" t="n">
        <f aca="false">IFERROR(E26/D26-1,"-")</f>
        <v>0.515888442782108</v>
      </c>
      <c r="F27" s="30" t="n">
        <f aca="false">IFERROR(F26/E26-1,"-")</f>
        <v>-0.205144179728507</v>
      </c>
    </row>
    <row r="29" customFormat="false" ht="15" hidden="false" customHeight="false" outlineLevel="0" collapsed="false">
      <c r="B29" s="28" t="s">
        <v>42</v>
      </c>
    </row>
    <row r="30" customFormat="false" ht="15" hidden="false" customHeight="false" outlineLevel="0" collapsed="false">
      <c r="B30" s="26" t="s">
        <v>43</v>
      </c>
      <c r="C30" s="28" t="s">
        <v>17</v>
      </c>
      <c r="D30" s="28" t="s">
        <v>18</v>
      </c>
      <c r="E30" s="28" t="s">
        <v>19</v>
      </c>
      <c r="F30" s="28" t="s">
        <v>20</v>
      </c>
    </row>
    <row r="31" customFormat="false" ht="15" hidden="false" customHeight="false" outlineLevel="0" collapsed="false">
      <c r="B31" s="26" t="s">
        <v>44</v>
      </c>
      <c r="C31" s="29" t="n">
        <f aca="false">Model!C338</f>
        <v>-163.125</v>
      </c>
      <c r="D31" s="29" t="n">
        <f aca="false">Model!D338</f>
        <v>1250.699</v>
      </c>
      <c r="E31" s="29" t="n">
        <f aca="false">Model!E338</f>
        <v>1641.216</v>
      </c>
      <c r="F31" s="29" t="n">
        <f aca="false">Model!F338</f>
        <v>1156.774</v>
      </c>
    </row>
    <row r="32" customFormat="false" ht="15" hidden="false" customHeight="false" outlineLevel="0" collapsed="false">
      <c r="B32" s="26" t="s">
        <v>32</v>
      </c>
      <c r="C32" s="30" t="n">
        <f aca="false">IFERROR(C31/C7,"-")</f>
        <v>-0.102204612223954</v>
      </c>
      <c r="D32" s="30" t="n">
        <f aca="false">IFERROR(D31/D7,"-")</f>
        <v>0.277443700423564</v>
      </c>
      <c r="E32" s="30" t="n">
        <f aca="false">IFERROR(E31/E7,"-")</f>
        <v>0.290427505757795</v>
      </c>
      <c r="F32" s="30" t="n">
        <f aca="false">IFERROR(F31/F7,"-")</f>
        <v>0.244480725681092</v>
      </c>
    </row>
    <row r="33" customFormat="false" ht="15" hidden="false" customHeight="false" outlineLevel="0" collapsed="false">
      <c r="B33" s="26" t="s">
        <v>45</v>
      </c>
      <c r="C33" s="29" t="n">
        <f aca="false">Model!C107</f>
        <v>131.1</v>
      </c>
      <c r="D33" s="29" t="n">
        <f aca="false">Model!D107</f>
        <v>144.6</v>
      </c>
      <c r="E33" s="29" t="n">
        <f aca="false">Model!E107</f>
        <v>158</v>
      </c>
      <c r="F33" s="29" t="n">
        <f aca="false">Model!F107</f>
        <v>179.3</v>
      </c>
    </row>
    <row r="34" customFormat="false" ht="15" hidden="false" customHeight="false" outlineLevel="0" collapsed="false">
      <c r="B34" s="26" t="s">
        <v>46</v>
      </c>
      <c r="C34" s="29" t="n">
        <f aca="false">Model!C111</f>
        <v>8.8</v>
      </c>
      <c r="D34" s="29" t="n">
        <f aca="false">Model!D111</f>
        <v>5.5</v>
      </c>
      <c r="E34" s="29" t="n">
        <f aca="false">Model!E111</f>
        <v>5.3</v>
      </c>
      <c r="F34" s="29" t="n">
        <f aca="false">Model!F111</f>
        <v>6.1</v>
      </c>
    </row>
    <row r="35" customFormat="false" ht="15" hidden="false" customHeight="false" outlineLevel="0" collapsed="false">
      <c r="B35" s="26" t="s">
        <v>47</v>
      </c>
      <c r="C35" s="30" t="n">
        <f aca="false">C33+C34</f>
        <v>139.9</v>
      </c>
      <c r="D35" s="30" t="n">
        <f aca="false">D33+D34</f>
        <v>150.1</v>
      </c>
      <c r="E35" s="30" t="n">
        <f aca="false">E33+E34</f>
        <v>163.3</v>
      </c>
      <c r="F35" s="30" t="n">
        <f aca="false">F33+F34</f>
        <v>185.4</v>
      </c>
    </row>
    <row r="36" customFormat="false" ht="15" hidden="false" customHeight="false" outlineLevel="0" collapsed="false">
      <c r="B36" s="26" t="s">
        <v>48</v>
      </c>
      <c r="C36" s="29" t="n">
        <f aca="false">Model!C344</f>
        <v>-8.10000000000022</v>
      </c>
      <c r="D36" s="29" t="n">
        <f aca="false">Model!D344</f>
        <v>1414.252</v>
      </c>
      <c r="E36" s="29" t="n">
        <f aca="false">Model!E344</f>
        <v>1818.831</v>
      </c>
      <c r="F36" s="29" t="n">
        <f aca="false">Model!F344</f>
        <v>1362.108</v>
      </c>
    </row>
    <row r="37" customFormat="false" ht="15" hidden="false" customHeight="false" outlineLevel="0" collapsed="false">
      <c r="B37" s="26" t="s">
        <v>49</v>
      </c>
      <c r="C37" s="30" t="n">
        <f aca="false">IFERROR(C36/C7,"-")</f>
        <v>-0.00507498764146542</v>
      </c>
      <c r="D37" s="30" t="n">
        <f aca="false">IFERROR(D36/D7,"-")</f>
        <v>0.313724811654464</v>
      </c>
      <c r="E37" s="30" t="n">
        <f aca="false">IFERROR(E36/E7,"-")</f>
        <v>0.321858031316387</v>
      </c>
      <c r="F37" s="30" t="n">
        <f aca="false">IFERROR(F36/F7,"-")</f>
        <v>0.287877452549955</v>
      </c>
    </row>
    <row r="38" customFormat="false" ht="15" hidden="false" customHeight="false" outlineLevel="0" collapsed="false">
      <c r="B38" s="26" t="s">
        <v>50</v>
      </c>
      <c r="D38" s="30" t="n">
        <f aca="false">IFERROR(D36/C36-1,"-")</f>
        <v>-175.599012345674</v>
      </c>
      <c r="E38" s="30" t="n">
        <f aca="false">IFERROR(E36/D36-1,"-")</f>
        <v>0.286072779108674</v>
      </c>
      <c r="F38" s="30" t="n">
        <f aca="false">IFERROR(F36/E36-1,"-")</f>
        <v>-0.251107991891495</v>
      </c>
    </row>
    <row r="40" customFormat="false" ht="15" hidden="false" customHeight="false" outlineLevel="0" collapsed="false">
      <c r="B40" s="28" t="s">
        <v>51</v>
      </c>
    </row>
    <row r="41" customFormat="false" ht="15" hidden="false" customHeight="false" outlineLevel="0" collapsed="false">
      <c r="B41" s="26" t="s">
        <v>52</v>
      </c>
      <c r="C41" s="29" t="n">
        <f aca="false">Model!C343</f>
        <v>13.394</v>
      </c>
      <c r="D41" s="29" t="n">
        <f aca="false">Model!D343</f>
        <v>12.109</v>
      </c>
      <c r="E41" s="29" t="n">
        <f aca="false">Model!E343</f>
        <v>12.43</v>
      </c>
      <c r="F41" s="29" t="n">
        <f aca="false">Model!F343</f>
        <v>18.714</v>
      </c>
    </row>
    <row r="42" customFormat="false" ht="15" hidden="false" customHeight="false" outlineLevel="0" collapsed="false">
      <c r="B42" s="26" t="s">
        <v>53</v>
      </c>
      <c r="C42" s="30" t="n">
        <f aca="false">IFERROR(C41/C7,"-")</f>
        <v>0.00839189931725753</v>
      </c>
      <c r="D42" s="30" t="n">
        <f aca="false">IFERROR(D41/D7,"-")</f>
        <v>0.00268615051937272</v>
      </c>
      <c r="E42" s="30" t="n">
        <f aca="false">IFERROR(E41/E7,"-")</f>
        <v>0.00219959706496244</v>
      </c>
      <c r="F42" s="30" t="n">
        <f aca="false">IFERROR(F41/F7,"-")</f>
        <v>0.00395514793762304</v>
      </c>
    </row>
    <row r="43" customFormat="false" ht="15" hidden="false" customHeight="false" outlineLevel="0" collapsed="false">
      <c r="B43" s="26" t="s">
        <v>54</v>
      </c>
      <c r="C43" s="29" t="n">
        <f aca="false">Model!C403</f>
        <v>-104.959</v>
      </c>
      <c r="D43" s="29" t="n">
        <f aca="false">Model!D403</f>
        <v>-128.728</v>
      </c>
      <c r="E43" s="29" t="n">
        <f aca="false">Model!E403</f>
        <v>-300.898</v>
      </c>
      <c r="F43" s="29" t="n">
        <f aca="false">Model!F403</f>
        <v>-179.536</v>
      </c>
    </row>
    <row r="44" customFormat="false" ht="15" hidden="false" customHeight="false" outlineLevel="0" collapsed="false">
      <c r="B44" s="26" t="s">
        <v>55</v>
      </c>
      <c r="C44" s="29" t="n">
        <f aca="false">Model!C326</f>
        <v>-5.76500000000004</v>
      </c>
      <c r="D44" s="29" t="n">
        <f aca="false">Model!D326</f>
        <v>811.32</v>
      </c>
      <c r="E44" s="29" t="n">
        <f aca="false">Model!E326</f>
        <v>1769.542</v>
      </c>
      <c r="F44" s="29" t="n">
        <f aca="false">Model!F326</f>
        <v>523.942</v>
      </c>
    </row>
    <row r="45" customFormat="false" ht="15" hidden="false" customHeight="false" outlineLevel="0" collapsed="false">
      <c r="B45" s="26" t="s">
        <v>56</v>
      </c>
      <c r="C45" s="30" t="n">
        <f aca="false">IFERROR(C44/C7,"-")</f>
        <v>-0.00361201280901822</v>
      </c>
      <c r="D45" s="30" t="n">
        <f aca="false">IFERROR(D44/D7,"-")</f>
        <v>0.179975855923484</v>
      </c>
      <c r="E45" s="30" t="n">
        <f aca="false">IFERROR(E44/E7,"-")</f>
        <v>0.313135912270938</v>
      </c>
      <c r="F45" s="30" t="n">
        <f aca="false">IFERROR(F44/F7,"-")</f>
        <v>0.110733574902965</v>
      </c>
    </row>
    <row r="47" customFormat="false" ht="15" hidden="false" customHeight="false" outlineLevel="0" collapsed="false">
      <c r="B47" s="28" t="s">
        <v>57</v>
      </c>
    </row>
    <row r="49" customFormat="false" ht="15" hidden="false" customHeight="false" outlineLevel="0" collapsed="false">
      <c r="B49" s="26" t="s">
        <v>58</v>
      </c>
      <c r="C49" s="27" t="n">
        <f aca="false">'Front Page'!H20</f>
        <v>1217.6</v>
      </c>
    </row>
    <row r="50" customFormat="false" ht="15" hidden="false" customHeight="false" outlineLevel="0" collapsed="false">
      <c r="B50" s="26" t="s">
        <v>39</v>
      </c>
      <c r="C50" s="29" t="n">
        <f aca="false">Model!D394</f>
        <v>440.420972</v>
      </c>
    </row>
    <row r="51" customFormat="false" ht="15" hidden="false" customHeight="false" outlineLevel="0" collapsed="false">
      <c r="B51" s="26" t="s">
        <v>59</v>
      </c>
      <c r="C51" s="30" t="n">
        <f aca="false">C49*C50</f>
        <v>536256.5755072</v>
      </c>
    </row>
    <row r="52" customFormat="false" ht="15" hidden="false" customHeight="false" outlineLevel="0" collapsed="false">
      <c r="B52" s="26" t="s">
        <v>60</v>
      </c>
      <c r="C52" s="29" t="n">
        <f aca="false">Model!D430</f>
        <v>710.06</v>
      </c>
    </row>
    <row r="53" customFormat="false" ht="15" hidden="false" customHeight="false" outlineLevel="0" collapsed="false">
      <c r="B53" s="26" t="s">
        <v>61</v>
      </c>
      <c r="C53" s="31" t="n">
        <v>0</v>
      </c>
    </row>
    <row r="54" customFormat="false" ht="15" hidden="false" customHeight="false" outlineLevel="0" collapsed="false">
      <c r="B54" s="26" t="s">
        <v>62</v>
      </c>
      <c r="C54" s="32" t="n">
        <f aca="false">-Model!D427</f>
        <v>-1949.834</v>
      </c>
    </row>
    <row r="55" customFormat="false" ht="15" hidden="false" customHeight="false" outlineLevel="0" collapsed="false">
      <c r="B55" s="26" t="s">
        <v>63</v>
      </c>
      <c r="C55" s="30" t="n">
        <f aca="false">SUM(C51:C54)</f>
        <v>535016.8015072</v>
      </c>
    </row>
    <row r="57" customFormat="false" ht="15" hidden="false" customHeight="false" outlineLevel="0" collapsed="false">
      <c r="B57" s="28" t="s">
        <v>64</v>
      </c>
    </row>
    <row r="58" customFormat="false" ht="15" hidden="false" customHeight="false" outlineLevel="0" collapsed="false">
      <c r="B58" s="26" t="s">
        <v>65</v>
      </c>
      <c r="C58" s="28" t="s">
        <v>17</v>
      </c>
      <c r="D58" s="28" t="s">
        <v>18</v>
      </c>
      <c r="E58" s="28" t="s">
        <v>19</v>
      </c>
      <c r="F58" s="28" t="s">
        <v>20</v>
      </c>
    </row>
    <row r="59" customFormat="false" ht="15" hidden="false" customHeight="false" outlineLevel="0" collapsed="false">
      <c r="B59" s="26" t="s">
        <v>66</v>
      </c>
      <c r="C59" s="30" t="str">
        <f aca="false">IFERROR(IF(C26&lt;=0,"NM",C51/C26),"NM")</f>
        <v>NM</v>
      </c>
      <c r="D59" s="30" t="n">
        <f aca="false">IFERROR(IF(D26&lt;=0,"NM",C51/D26),"NM")</f>
        <v>231135.270621315</v>
      </c>
      <c r="E59" s="30" t="n">
        <f aca="false">IFERROR(IF(E26&lt;=0,"NM",C51/E26),"NM")</f>
        <v>152475.118945503</v>
      </c>
      <c r="F59" s="30" t="n">
        <f aca="false">IFERROR(IF(F26&lt;=0,"NM",C51/F26),"NM")</f>
        <v>191827.39190791</v>
      </c>
    </row>
    <row r="60" customFormat="false" ht="15" hidden="false" customHeight="false" outlineLevel="0" collapsed="false">
      <c r="B60" s="26" t="s">
        <v>67</v>
      </c>
      <c r="C60" s="30" t="n">
        <f aca="false">IFERROR(IF(C7&lt;=0,"NM",C55/C7),"NM")</f>
        <v>335.210327854978</v>
      </c>
      <c r="D60" s="30" t="n">
        <f aca="false">IFERROR(IF(D7&lt;=0,"NM",C55/D7),"NM")</f>
        <v>118.683265277207</v>
      </c>
      <c r="E60" s="30" t="n">
        <f aca="false">IFERROR(IF(E7&lt;=0,"NM",C55/E7),"NM")</f>
        <v>94.675895921225</v>
      </c>
      <c r="F60" s="30" t="n">
        <f aca="false">IFERROR(IF(F7&lt;=0,"NM",C55/F7),"NM")</f>
        <v>113.074201083407</v>
      </c>
    </row>
    <row r="61" customFormat="false" ht="15" hidden="false" customHeight="false" outlineLevel="0" collapsed="false">
      <c r="B61" s="26" t="s">
        <v>68</v>
      </c>
      <c r="C61" s="30" t="str">
        <f aca="false">IFERROR(IF(C36&lt;=0,"NM",C55/C36),"NM")</f>
        <v>NM</v>
      </c>
      <c r="D61" s="30" t="n">
        <f aca="false">IFERROR(IF(D36&lt;=0,"NM",C55/D36),"NM")</f>
        <v>378.303726285839</v>
      </c>
      <c r="E61" s="30" t="n">
        <f aca="false">IFERROR(IF(E36&lt;=0,"NM",C55/E36),"NM")</f>
        <v>294.154213067184</v>
      </c>
      <c r="F61" s="30" t="n">
        <f aca="false">IFERROR(IF(F36&lt;=0,"NM",C55/F36),"NM")</f>
        <v>392.785888862851</v>
      </c>
    </row>
    <row r="63" customFormat="false" ht="15" hidden="false" customHeight="false" outlineLevel="0" collapsed="false">
      <c r="B63" s="28" t="s">
        <v>69</v>
      </c>
    </row>
    <row r="64" customFormat="false" ht="15" hidden="false" customHeight="false" outlineLevel="0" collapsed="false">
      <c r="B64" s="26" t="s">
        <v>70</v>
      </c>
      <c r="C64" s="28" t="s">
        <v>71</v>
      </c>
      <c r="D64" s="28" t="s">
        <v>72</v>
      </c>
      <c r="E64" s="28" t="s">
        <v>73</v>
      </c>
    </row>
    <row r="65" customFormat="false" ht="15" hidden="false" customHeight="false" outlineLevel="0" collapsed="false">
      <c r="B65" s="26" t="s">
        <v>74</v>
      </c>
      <c r="C65" s="31" t="n">
        <v>30</v>
      </c>
      <c r="D65" s="30" t="n">
        <f aca="false">IFERROR(E26/E25,"-")</f>
        <v>0.00843196950784586</v>
      </c>
      <c r="E65" s="30" t="n">
        <f aca="false">IFERROR(C65*D65,"N/A")</f>
        <v>0.252959085235376</v>
      </c>
    </row>
    <row r="66" customFormat="false" ht="15" hidden="false" customHeight="false" outlineLevel="0" collapsed="false">
      <c r="B66" s="26" t="s">
        <v>75</v>
      </c>
      <c r="C66" s="31" t="n">
        <v>6.5</v>
      </c>
      <c r="D66" s="33" t="n">
        <f aca="false">E7</f>
        <v>5651.035</v>
      </c>
      <c r="E66" s="30" t="n">
        <f aca="false">IFERROR((C66*D66-(C52+C53)+ABS(C54))/C50,"N/A")</f>
        <v>86.2163791328266</v>
      </c>
    </row>
    <row r="67" customFormat="false" ht="15" hidden="false" customHeight="false" outlineLevel="0" collapsed="false">
      <c r="B67" s="26" t="s">
        <v>76</v>
      </c>
      <c r="C67" s="31" t="n">
        <v>28</v>
      </c>
      <c r="D67" s="33" t="n">
        <f aca="false">E36</f>
        <v>1818.831</v>
      </c>
      <c r="E67" s="30" t="n">
        <f aca="false">IFERROR((C67*D67-(C52+C53)+ABS(C54))/C50,"N/A")</f>
        <v>118.448133300973</v>
      </c>
    </row>
    <row r="68" customFormat="false" ht="15" hidden="false" customHeight="false" outlineLevel="0" collapsed="false">
      <c r="B68" s="26" t="s">
        <v>77</v>
      </c>
      <c r="C68" s="31" t="n">
        <v>40</v>
      </c>
      <c r="D68" s="30" t="n">
        <f aca="false">IFERROR(E44/E25,"-")</f>
        <v>4.24244531265956</v>
      </c>
      <c r="E68" s="30" t="n">
        <f aca="false">IFERROR(C68*D68,"N/A")</f>
        <v>169.697812506383</v>
      </c>
    </row>
    <row r="70" customFormat="false" ht="15" hidden="false" customHeight="false" outlineLevel="0" collapsed="false">
      <c r="B70" s="28" t="s">
        <v>78</v>
      </c>
    </row>
    <row r="71" customFormat="false" ht="15" hidden="false" customHeight="false" outlineLevel="0" collapsed="false">
      <c r="B71" s="26" t="s">
        <v>66</v>
      </c>
      <c r="C71" s="30" t="n">
        <f aca="false">F65</f>
        <v>0</v>
      </c>
      <c r="D71" s="30" t="n">
        <f aca="false">IFERROR(C71/C49-1,"N/A")</f>
        <v>-1</v>
      </c>
      <c r="E71" s="31" t="n">
        <v>0.3</v>
      </c>
    </row>
    <row r="72" customFormat="false" ht="15" hidden="false" customHeight="false" outlineLevel="0" collapsed="false">
      <c r="B72" s="26" t="s">
        <v>67</v>
      </c>
      <c r="C72" s="30" t="n">
        <f aca="false">F66</f>
        <v>0</v>
      </c>
      <c r="D72" s="30" t="n">
        <f aca="false">IFERROR(C72/C49-1,"N/A")</f>
        <v>-1</v>
      </c>
      <c r="E72" s="31" t="n">
        <v>0.1</v>
      </c>
    </row>
    <row r="73" customFormat="false" ht="15" hidden="false" customHeight="false" outlineLevel="0" collapsed="false">
      <c r="B73" s="26" t="s">
        <v>79</v>
      </c>
      <c r="C73" s="30" t="n">
        <f aca="false">F67</f>
        <v>0</v>
      </c>
      <c r="D73" s="30" t="n">
        <f aca="false">IFERROR(C73/C49-1,"N/A")</f>
        <v>-1</v>
      </c>
      <c r="E73" s="31" t="n">
        <v>0.35</v>
      </c>
    </row>
    <row r="74" customFormat="false" ht="15" hidden="false" customHeight="false" outlineLevel="0" collapsed="false">
      <c r="B74" s="26" t="s">
        <v>80</v>
      </c>
      <c r="C74" s="30" t="n">
        <f aca="false">F68</f>
        <v>0</v>
      </c>
      <c r="D74" s="30" t="n">
        <f aca="false">IFERROR(C74/C49-1,"N/A")</f>
        <v>-1</v>
      </c>
      <c r="E74" s="31" t="n">
        <v>0.25</v>
      </c>
    </row>
    <row r="75" customFormat="false" ht="15" hidden="false" customHeight="false" outlineLevel="0" collapsed="false">
      <c r="B75" s="26" t="s">
        <v>81</v>
      </c>
      <c r="C75" s="30" t="n">
        <f aca="false">C71*E71+C72*E72+C73*E73+C74*E74</f>
        <v>0</v>
      </c>
      <c r="D75" s="30" t="n">
        <f aca="false">IFERROR(C75/C49-1,"N/A")</f>
        <v>-1</v>
      </c>
      <c r="E75" s="30" t="n">
        <f aca="false">SUM(E71:E74)</f>
        <v>1</v>
      </c>
    </row>
    <row r="76" customFormat="false" ht="15" hidden="false" customHeight="false" outlineLevel="0" collapsed="false">
      <c r="B76" s="26" t="s">
        <v>82</v>
      </c>
      <c r="C76" s="34" t="n">
        <f aca="false">C49</f>
        <v>1217.6</v>
      </c>
    </row>
    <row r="78" customFormat="false" ht="15" hidden="false" customHeight="false" outlineLevel="0" collapsed="false">
      <c r="B78" s="28" t="s">
        <v>83</v>
      </c>
    </row>
    <row r="79" customFormat="false" ht="15" hidden="false" customHeight="false" outlineLevel="0" collapsed="false">
      <c r="B79" s="26" t="s">
        <v>43</v>
      </c>
      <c r="C79" s="28" t="s">
        <v>17</v>
      </c>
      <c r="D79" s="28" t="s">
        <v>18</v>
      </c>
      <c r="E79" s="28" t="s">
        <v>19</v>
      </c>
      <c r="F79" s="28" t="s">
        <v>20</v>
      </c>
    </row>
    <row r="80" customFormat="false" ht="15" hidden="false" customHeight="false" outlineLevel="0" collapsed="false">
      <c r="B80" s="26" t="s">
        <v>84</v>
      </c>
      <c r="C80" s="29" t="n">
        <f aca="false">Model!C61</f>
        <v>0</v>
      </c>
      <c r="D80" s="29" t="n">
        <f aca="false">Model!D61</f>
        <v>0</v>
      </c>
      <c r="E80" s="29" t="n">
        <f aca="false">Model!E61</f>
        <v>119.3</v>
      </c>
      <c r="F80" s="29" t="n">
        <f aca="false">Model!F61</f>
        <v>43.7</v>
      </c>
    </row>
    <row r="81" customFormat="false" ht="15" hidden="false" customHeight="false" outlineLevel="0" collapsed="false">
      <c r="B81" s="26" t="s">
        <v>85</v>
      </c>
      <c r="C81" s="29" t="n">
        <f aca="false">Model!C63</f>
        <v>0</v>
      </c>
      <c r="D81" s="29" t="n">
        <f aca="false">Model!D63</f>
        <v>0</v>
      </c>
      <c r="E81" s="29" t="n">
        <f aca="false">Model!E63</f>
        <v>4764.613</v>
      </c>
      <c r="F81" s="29" t="n">
        <f aca="false">Model!F63</f>
        <v>3757.932</v>
      </c>
    </row>
    <row r="82" customFormat="false" ht="15" hidden="false" customHeight="false" outlineLevel="0" collapsed="false">
      <c r="B82" s="26" t="s">
        <v>86</v>
      </c>
      <c r="C82" s="35" t="n">
        <f aca="false">Model!C64</f>
        <v>0</v>
      </c>
      <c r="D82" s="35" t="n">
        <f aca="false">Model!D64</f>
        <v>0</v>
      </c>
      <c r="E82" s="35" t="n">
        <f aca="false">Model!E64</f>
        <v>0</v>
      </c>
      <c r="F82" s="35" t="n">
        <f aca="false">Model!F64</f>
        <v>-0.211282847106365</v>
      </c>
    </row>
    <row r="83" customFormat="false" ht="15" hidden="false" customHeight="false" outlineLevel="0" collapsed="false">
      <c r="B83" s="26" t="s">
        <v>87</v>
      </c>
      <c r="C83" s="36" t="n">
        <f aca="false">Model!C66</f>
        <v>0</v>
      </c>
      <c r="D83" s="36" t="n">
        <f aca="false">Model!D66</f>
        <v>0</v>
      </c>
      <c r="E83" s="36" t="n">
        <f aca="false">Model!E66</f>
        <v>0</v>
      </c>
      <c r="F83" s="36" t="n">
        <f aca="false">Model!F66</f>
        <v>0</v>
      </c>
    </row>
    <row r="84" customFormat="false" ht="15" hidden="false" customHeight="false" outlineLevel="0" collapsed="false">
      <c r="B84" s="26" t="s">
        <v>88</v>
      </c>
      <c r="C84" s="36" t="n">
        <f aca="false">Model!C154</f>
        <v>421</v>
      </c>
      <c r="D84" s="36" t="n">
        <f aca="false">Model!D154</f>
        <v>613</v>
      </c>
      <c r="E84" s="36" t="n">
        <f aca="false">Model!E154</f>
        <v>767</v>
      </c>
      <c r="F84" s="36" t="n">
        <f aca="false">Model!F154</f>
        <v>930</v>
      </c>
    </row>
    <row r="85" customFormat="false" ht="15" hidden="false" customHeight="false" outlineLevel="0" collapsed="false">
      <c r="B85" s="26" t="s">
        <v>89</v>
      </c>
      <c r="C85" s="29" t="n">
        <f aca="false">Model!C166</f>
        <v>993.26</v>
      </c>
      <c r="D85" s="29" t="n">
        <f aca="false">Model!D166</f>
        <v>3704.29</v>
      </c>
      <c r="E85" s="29" t="n">
        <f aca="false">Model!E166</f>
        <v>4780.72</v>
      </c>
      <c r="F85" s="29" t="n">
        <f aca="false">Model!F166</f>
        <v>3620.26</v>
      </c>
    </row>
    <row r="86" customFormat="false" ht="15" hidden="false" customHeight="false" outlineLevel="0" collapsed="false">
      <c r="B86" s="26" t="s">
        <v>21</v>
      </c>
      <c r="C86" s="33" t="n">
        <f aca="false">C7</f>
        <v>1596.063</v>
      </c>
      <c r="D86" s="33" t="n">
        <f aca="false">D7</f>
        <v>4507.938</v>
      </c>
      <c r="E86" s="33" t="n">
        <f aca="false">E7</f>
        <v>5651.035</v>
      </c>
      <c r="F86" s="33" t="n">
        <f aca="false">F7</f>
        <v>4731.555</v>
      </c>
    </row>
    <row r="87" customFormat="false" ht="15" hidden="false" customHeight="false" outlineLevel="0" collapsed="false">
      <c r="B87" s="26" t="s">
        <v>90</v>
      </c>
      <c r="C87" s="30" t="n">
        <f aca="false">IFERROR(C80/C7,"-")</f>
        <v>0</v>
      </c>
      <c r="D87" s="30" t="n">
        <f aca="false">IFERROR(D80/D7,"-")</f>
        <v>0</v>
      </c>
      <c r="E87" s="30" t="n">
        <f aca="false">IFERROR(E80/E7,"-")</f>
        <v>0.0211111769790844</v>
      </c>
      <c r="F87" s="30" t="n">
        <f aca="false">IFERROR(F80/F7,"-")</f>
        <v>0.00923586431944678</v>
      </c>
    </row>
    <row r="88" customFormat="false" ht="15" hidden="false" customHeight="false" outlineLevel="0" collapsed="false">
      <c r="B88" s="26" t="s">
        <v>91</v>
      </c>
      <c r="C88" s="30" t="n">
        <f aca="false">IFERROR(C82/C7,"-")</f>
        <v>0</v>
      </c>
      <c r="D88" s="30" t="n">
        <f aca="false">IFERROR(D82/D7,"-")</f>
        <v>0</v>
      </c>
      <c r="E88" s="30" t="n">
        <f aca="false">IFERROR(E82/E7,"-")</f>
        <v>0</v>
      </c>
      <c r="F88" s="30" t="n">
        <f aca="false">IFERROR(F82/F7,"-")</f>
        <v>-4.46539979153503E-005</v>
      </c>
    </row>
    <row r="89" customFormat="false" ht="15" hidden="false" customHeight="false" outlineLevel="0" collapsed="false">
      <c r="B89" s="26" t="s">
        <v>92</v>
      </c>
      <c r="C89" s="30" t="n">
        <f aca="false">IFERROR(C84/C7,"-")</f>
        <v>0.263774049019368</v>
      </c>
      <c r="D89" s="30" t="n">
        <f aca="false">IFERROR(D84/D7,"-")</f>
        <v>0.135982349357955</v>
      </c>
      <c r="E89" s="30" t="n">
        <f aca="false">IFERROR(E84/E7,"-")</f>
        <v>0.135727349060836</v>
      </c>
      <c r="F89" s="30" t="n">
        <f aca="false">IFERROR(F84/F7,"-")</f>
        <v>0.196552718926442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10" min="2" style="0" width="12"/>
  </cols>
  <sheetData>
    <row r="1" customFormat="false" ht="17.35" hidden="false" customHeight="false" outlineLevel="0" collapsed="false">
      <c r="A1" s="37" t="s">
        <v>93</v>
      </c>
    </row>
    <row r="4" customFormat="false" ht="15" hidden="false" customHeight="false" outlineLevel="0" collapsed="false">
      <c r="A4" s="0" t="s">
        <v>94</v>
      </c>
      <c r="F4" s="38" t="s">
        <v>18</v>
      </c>
      <c r="G4" s="38" t="s">
        <v>95</v>
      </c>
      <c r="H4" s="38" t="s">
        <v>96</v>
      </c>
      <c r="I4" s="38" t="s">
        <v>97</v>
      </c>
      <c r="J4" s="38" t="s">
        <v>98</v>
      </c>
    </row>
    <row r="6" customFormat="false" ht="15" hidden="false" customHeight="false" outlineLevel="0" collapsed="false">
      <c r="A6" s="39" t="s">
        <v>99</v>
      </c>
    </row>
    <row r="7" customFormat="false" ht="15" hidden="false" customHeight="false" outlineLevel="0" collapsed="false">
      <c r="A7" s="0" t="s">
        <v>100</v>
      </c>
      <c r="F7" s="40" t="n">
        <f aca="false">Model!L45</f>
        <v>-0.142244667140114</v>
      </c>
      <c r="G7" s="40" t="n">
        <f aca="false">Model!Q45</f>
        <v>2.29710833767747</v>
      </c>
      <c r="H7" s="40" t="n">
        <f aca="false">Model!V45</f>
        <v>0.087219359758933</v>
      </c>
      <c r="I7" s="40" t="n">
        <f aca="false">Model!AA45</f>
        <v>0.798973481608212</v>
      </c>
      <c r="J7" s="40" t="n">
        <f aca="false">Model!AF45</f>
        <v>0.304327151688065</v>
      </c>
    </row>
    <row r="8" customFormat="false" ht="15" hidden="false" customHeight="false" outlineLevel="0" collapsed="false">
      <c r="A8" s="0" t="s">
        <v>101</v>
      </c>
      <c r="F8" s="40" t="n">
        <f aca="false">Model!L48</f>
        <v>0</v>
      </c>
      <c r="G8" s="40" t="n">
        <f aca="false">Model!Q48</f>
        <v>0</v>
      </c>
      <c r="H8" s="40" t="n">
        <f aca="false">Model!V48</f>
        <v>0</v>
      </c>
      <c r="I8" s="40" t="n">
        <f aca="false">Model!AA48</f>
        <v>1.74305555555556</v>
      </c>
      <c r="J8" s="40" t="n">
        <f aca="false">Model!AF48</f>
        <v>0.226401446654611</v>
      </c>
    </row>
    <row r="9" customFormat="false" ht="15" hidden="false" customHeight="false" outlineLevel="0" collapsed="false">
      <c r="A9" s="0" t="s">
        <v>102</v>
      </c>
      <c r="F9" s="40" t="n">
        <f aca="false">Model!L51</f>
        <v>0.116475315356948</v>
      </c>
      <c r="G9" s="40" t="n">
        <f aca="false">Model!Q51</f>
        <v>0.0736129797139036</v>
      </c>
      <c r="H9" s="40" t="n">
        <f aca="false">Model!V51</f>
        <v>0.080705381816736</v>
      </c>
      <c r="I9" s="40" t="n">
        <f aca="false">Model!AA51</f>
        <v>0.332312945193383</v>
      </c>
      <c r="J9" s="40" t="n">
        <f aca="false">Model!AF51</f>
        <v>0.208907741251326</v>
      </c>
    </row>
    <row r="10" customFormat="false" ht="15" hidden="false" customHeight="false" outlineLevel="0" collapsed="false">
      <c r="A10" s="0" t="s">
        <v>103</v>
      </c>
      <c r="F10" s="41" t="n">
        <f aca="false">Model!L54</f>
        <v>0.819677146406021</v>
      </c>
      <c r="G10" s="41" t="n">
        <f aca="false">Model!Q54</f>
        <v>0.764293635653688</v>
      </c>
      <c r="H10" s="41" t="n">
        <f aca="false">Model!V54</f>
        <v>0.753146404109589</v>
      </c>
      <c r="I10" s="41" t="n">
        <f aca="false">Model!AA54</f>
        <v>0.63030892574172</v>
      </c>
      <c r="J10" s="41" t="n">
        <f aca="false">Model!AF54</f>
        <v>0.582012567955346</v>
      </c>
    </row>
    <row r="11" customFormat="false" ht="15" hidden="false" customHeight="false" outlineLevel="0" collapsed="false">
      <c r="A11" s="0" t="s">
        <v>104</v>
      </c>
      <c r="F11" s="41" t="n">
        <f aca="false">Model!L57</f>
        <v>0.0120628171556924</v>
      </c>
      <c r="G11" s="41" t="n">
        <f aca="false">Model!Q57</f>
        <v>0.0172274834483193</v>
      </c>
      <c r="H11" s="41" t="n">
        <f aca="false">Model!V57</f>
        <v>0.0166952054794521</v>
      </c>
      <c r="I11" s="41" t="n">
        <f aca="false">Model!AA57</f>
        <v>0.0132889844203524</v>
      </c>
      <c r="J11" s="41" t="n">
        <f aca="false">Model!AF57</f>
        <v>0.0119383467932341</v>
      </c>
    </row>
    <row r="12" customFormat="false" ht="15" hidden="false" customHeight="false" outlineLevel="0" collapsed="false">
      <c r="A12" s="0" t="s">
        <v>105</v>
      </c>
      <c r="F12" s="40" t="n">
        <f aca="false">Model!L60</f>
        <v>0</v>
      </c>
      <c r="G12" s="40" t="n">
        <f aca="false">Model!Q60</f>
        <v>0</v>
      </c>
      <c r="H12" s="40" t="n">
        <f aca="false">Model!V60</f>
        <v>0</v>
      </c>
      <c r="I12" s="40" t="n">
        <f aca="false">Model!AA60</f>
        <v>0</v>
      </c>
      <c r="J12" s="40" t="n">
        <f aca="false">Model!AF60</f>
        <v>0</v>
      </c>
    </row>
    <row r="13" customFormat="false" ht="15" hidden="false" customHeight="false" outlineLevel="0" collapsed="false">
      <c r="A13" s="38" t="s">
        <v>21</v>
      </c>
      <c r="F13" s="0" t="n">
        <f aca="false">SUM(F7:F12)</f>
        <v>0.805970611778547</v>
      </c>
      <c r="G13" s="0" t="n">
        <f aca="false">SUM(G7:G12)</f>
        <v>3.15224243649338</v>
      </c>
      <c r="H13" s="0" t="n">
        <f aca="false">SUM(H7:H12)</f>
        <v>0.93776635116471</v>
      </c>
      <c r="I13" s="0" t="n">
        <f aca="false">SUM(I7:I12)</f>
        <v>3.51793989251922</v>
      </c>
      <c r="J13" s="0" t="n">
        <f aca="false">SUM(J7:J12)</f>
        <v>1.33358725434258</v>
      </c>
    </row>
    <row r="14" customFormat="false" ht="15" hidden="false" customHeight="false" outlineLevel="0" collapsed="false">
      <c r="A14" s="0" t="s">
        <v>106</v>
      </c>
      <c r="G14" s="0" t="n">
        <f aca="false">G13/F13 - 1</f>
        <v>2.91111337116534</v>
      </c>
      <c r="H14" s="0" t="n">
        <f aca="false">H13/G13 - 1</f>
        <v>-0.702508176303882</v>
      </c>
      <c r="I14" s="0" t="n">
        <f aca="false">I13/H13 - 1</f>
        <v>2.75140341530694</v>
      </c>
      <c r="J14" s="0" t="n">
        <f aca="false">J13/I13 - 1</f>
        <v>-0.620918123934292</v>
      </c>
    </row>
    <row r="16" customFormat="false" ht="15" hidden="false" customHeight="false" outlineLevel="0" collapsed="false">
      <c r="A16" s="39" t="s">
        <v>107</v>
      </c>
    </row>
    <row r="17" customFormat="false" ht="15" hidden="false" customHeight="false" outlineLevel="0" collapsed="false">
      <c r="A17" s="0" t="s">
        <v>108</v>
      </c>
      <c r="F17" s="40" t="n">
        <f aca="false">Model!L74</f>
        <v>0.443348905798001</v>
      </c>
      <c r="G17" s="40" t="n">
        <f aca="false">Model!Q74</f>
        <v>0.460564862124496</v>
      </c>
      <c r="H17" s="40" t="n">
        <f aca="false">Model!V74</f>
        <v>0.448063224818979</v>
      </c>
      <c r="I17" s="40" t="n">
        <f aca="false">Model!AA74</f>
        <v>0.450324761399788</v>
      </c>
      <c r="J17" s="40" t="n">
        <f aca="false">Model!AF74</f>
        <v>0.459539473684211</v>
      </c>
    </row>
    <row r="18" customFormat="false" ht="15" hidden="false" customHeight="false" outlineLevel="0" collapsed="false">
      <c r="A18" s="0" t="s">
        <v>109</v>
      </c>
      <c r="F18" s="42" t="e">
        <f aca="false">Model!L89/Model!L67</f>
        <v>#DIV/0!</v>
      </c>
      <c r="G18" s="42" t="e">
        <f aca="false">Model!Q89/Model!Q67</f>
        <v>#DIV/0!</v>
      </c>
      <c r="H18" s="42" t="e">
        <f aca="false">Model!V89/Model!V67</f>
        <v>#DIV/0!</v>
      </c>
      <c r="I18" s="42" t="e">
        <f aca="false">Model!AA89/Model!AA67</f>
        <v>#DIV/0!</v>
      </c>
      <c r="J18" s="42" t="e">
        <f aca="false">Model!AF89/Model!AF67</f>
        <v>#DIV/0!</v>
      </c>
    </row>
    <row r="21" customFormat="false" ht="15" hidden="false" customHeight="false" outlineLevel="0" collapsed="false">
      <c r="A21" s="39" t="s">
        <v>110</v>
      </c>
    </row>
    <row r="22" customFormat="false" ht="15" hidden="false" customHeight="false" outlineLevel="0" collapsed="false">
      <c r="A22" s="0" t="s">
        <v>111</v>
      </c>
      <c r="F22" s="0" t="n">
        <f aca="false">F13</f>
        <v>0.805970611778547</v>
      </c>
      <c r="G22" s="0" t="n">
        <f aca="false">G13</f>
        <v>3.15224243649338</v>
      </c>
      <c r="H22" s="0" t="n">
        <f aca="false">H13</f>
        <v>0.93776635116471</v>
      </c>
      <c r="I22" s="0" t="n">
        <f aca="false">I13</f>
        <v>3.51793989251922</v>
      </c>
      <c r="J22" s="0" t="n">
        <f aca="false">J13</f>
        <v>1.33358725434258</v>
      </c>
    </row>
    <row r="23" customFormat="false" ht="15" hidden="false" customHeight="false" outlineLevel="0" collapsed="false">
      <c r="A23" s="0" t="s">
        <v>112</v>
      </c>
      <c r="F23" s="43" t="n">
        <f aca="false">Model!L89</f>
        <v>1282.235</v>
      </c>
      <c r="G23" s="43" t="n">
        <f aca="false">Model!Q89</f>
        <v>1565.135</v>
      </c>
      <c r="H23" s="43" t="n">
        <f aca="false">Model!V89</f>
        <v>1657.7</v>
      </c>
      <c r="I23" s="43" t="n">
        <f aca="false">Model!AA89</f>
        <v>2496.2</v>
      </c>
      <c r="J23" s="43" t="n">
        <f aca="false">Model!AF89</f>
        <v>2965.3</v>
      </c>
    </row>
    <row r="24" customFormat="false" ht="15" hidden="false" customHeight="false" outlineLevel="0" collapsed="false">
      <c r="A24" s="0" t="s">
        <v>113</v>
      </c>
      <c r="F24" s="44" t="n">
        <v>0.14</v>
      </c>
      <c r="G24" s="44" t="n">
        <v>0.14</v>
      </c>
      <c r="H24" s="44" t="n">
        <v>0.14</v>
      </c>
      <c r="I24" s="44" t="n">
        <v>0.14</v>
      </c>
      <c r="J24" s="44" t="n">
        <v>0.14</v>
      </c>
    </row>
    <row r="25" customFormat="false" ht="15" hidden="false" customHeight="false" outlineLevel="0" collapsed="false">
      <c r="A25" s="0" t="s">
        <v>114</v>
      </c>
      <c r="F25" s="0" t="n">
        <f aca="false">F23 * (1 - F24)</f>
        <v>1102.7221</v>
      </c>
      <c r="G25" s="0" t="n">
        <f aca="false">G23 * (1 - G24)</f>
        <v>1346.0161</v>
      </c>
      <c r="H25" s="0" t="n">
        <f aca="false">H23 * (1 - H24)</f>
        <v>1425.622</v>
      </c>
      <c r="I25" s="0" t="n">
        <f aca="false">I23 * (1 - I24)</f>
        <v>2146.732</v>
      </c>
      <c r="J25" s="0" t="n">
        <f aca="false">J23 * (1 - J24)</f>
        <v>2550.158</v>
      </c>
    </row>
    <row r="26" customFormat="false" ht="15" hidden="false" customHeight="false" outlineLevel="0" collapsed="false">
      <c r="A26" s="0" t="s">
        <v>115</v>
      </c>
      <c r="F26" s="43" t="n">
        <f aca="false">Model!L113</f>
        <v>254.644</v>
      </c>
      <c r="G26" s="43" t="n">
        <f aca="false">Model!Q113</f>
        <v>296.884</v>
      </c>
      <c r="H26" s="43" t="n">
        <f aca="false">Model!V113</f>
        <v>356.9</v>
      </c>
      <c r="I26" s="43" t="n">
        <f aca="false">Model!AA113</f>
        <v>417.5</v>
      </c>
      <c r="J26" s="43" t="n">
        <f aca="false">Model!AF113</f>
        <v>422.7</v>
      </c>
    </row>
    <row r="27" customFormat="false" ht="15" hidden="false" customHeight="false" outlineLevel="0" collapsed="false">
      <c r="A27" s="0" t="s">
        <v>116</v>
      </c>
      <c r="F27" s="0" t="n">
        <f aca="false">F22 * 0.03</f>
        <v>0.0241791183533564</v>
      </c>
      <c r="G27" s="0" t="n">
        <f aca="false">G22 * 0.03</f>
        <v>0.0945672730948015</v>
      </c>
      <c r="H27" s="0" t="n">
        <f aca="false">H22 * 0.03</f>
        <v>0.0281329905349413</v>
      </c>
      <c r="I27" s="0" t="n">
        <f aca="false">I22 * 0.03</f>
        <v>0.105538196775577</v>
      </c>
      <c r="J27" s="0" t="n">
        <f aca="false">J22 * 0.03</f>
        <v>0.0400076176302775</v>
      </c>
    </row>
    <row r="28" customFormat="false" ht="15" hidden="false" customHeight="false" outlineLevel="0" collapsed="false">
      <c r="A28" s="0" t="s">
        <v>117</v>
      </c>
      <c r="F28" s="0" t="n">
        <f aca="false">F22 * 0.05</f>
        <v>0.0402985305889274</v>
      </c>
      <c r="G28" s="0" t="n">
        <f aca="false">G22 * 0.05</f>
        <v>0.157612121824669</v>
      </c>
      <c r="H28" s="0" t="n">
        <f aca="false">H22 * 0.05</f>
        <v>0.0468883175582355</v>
      </c>
      <c r="I28" s="0" t="n">
        <f aca="false">I22 * 0.05</f>
        <v>0.175896994625961</v>
      </c>
      <c r="J28" s="0" t="n">
        <f aca="false">J22 * 0.05</f>
        <v>0.0666793627171291</v>
      </c>
    </row>
    <row r="29" customFormat="false" ht="15" hidden="false" customHeight="false" outlineLevel="0" collapsed="false">
      <c r="A29" s="0" t="s">
        <v>118</v>
      </c>
      <c r="F29" s="0" t="n">
        <f aca="false">F25 + F26 - F27 - F28</f>
        <v>1357.30162235106</v>
      </c>
      <c r="G29" s="0" t="n">
        <f aca="false">G25 + G26 - G27 - G28</f>
        <v>1642.64792060508</v>
      </c>
      <c r="H29" s="0" t="n">
        <f aca="false">H25 + H26 - H27 - H28</f>
        <v>1782.44697869191</v>
      </c>
      <c r="I29" s="0" t="n">
        <f aca="false">I25 + I26 - I27 - I28</f>
        <v>2563.9505648086</v>
      </c>
      <c r="J29" s="0" t="n">
        <f aca="false">J25 + J26 - J27 - J28</f>
        <v>2972.75131301965</v>
      </c>
    </row>
    <row r="31" customFormat="false" ht="15" hidden="false" customHeight="false" outlineLevel="0" collapsed="false">
      <c r="A31" s="39" t="s">
        <v>119</v>
      </c>
    </row>
    <row r="32" customFormat="false" ht="15" hidden="false" customHeight="false" outlineLevel="0" collapsed="false">
      <c r="A32" s="0" t="s">
        <v>120</v>
      </c>
      <c r="F32" s="44" t="n">
        <v>0.085</v>
      </c>
      <c r="G32" s="44" t="n">
        <v>0.085</v>
      </c>
      <c r="H32" s="44" t="n">
        <v>0.085</v>
      </c>
      <c r="I32" s="44" t="n">
        <v>0.085</v>
      </c>
      <c r="J32" s="44" t="n">
        <v>0.085</v>
      </c>
    </row>
    <row r="33" customFormat="false" ht="15" hidden="false" customHeight="false" outlineLevel="0" collapsed="false">
      <c r="A33" s="0" t="s">
        <v>121</v>
      </c>
      <c r="F33" s="0" t="n">
        <f aca="false">1 / (1 + F32)^1</f>
        <v>0.921658986175115</v>
      </c>
      <c r="G33" s="0" t="n">
        <f aca="false">1 / (1 + G32)^2</f>
        <v>0.849455286797341</v>
      </c>
      <c r="H33" s="0" t="n">
        <f aca="false">1 / (1 + H32)^3</f>
        <v>0.782908098430729</v>
      </c>
      <c r="I33" s="0" t="n">
        <f aca="false">1 / (1 + I32)^4</f>
        <v>0.721574284267953</v>
      </c>
      <c r="J33" s="0" t="n">
        <f aca="false">1 / (1 + J32)^5</f>
        <v>0.665045423288436</v>
      </c>
    </row>
    <row r="34" customFormat="false" ht="15" hidden="false" customHeight="false" outlineLevel="0" collapsed="false">
      <c r="A34" s="0" t="s">
        <v>122</v>
      </c>
      <c r="F34" s="0" t="n">
        <f aca="false">F29 * F33</f>
        <v>1250.96923718991</v>
      </c>
      <c r="G34" s="0" t="n">
        <f aca="false">G29 * G33</f>
        <v>1395.35596050464</v>
      </c>
      <c r="H34" s="0" t="n">
        <f aca="false">H29 * H33</f>
        <v>1395.49217464128</v>
      </c>
      <c r="I34" s="0" t="n">
        <f aca="false">I29 * I33</f>
        <v>1850.08079370018</v>
      </c>
      <c r="J34" s="0" t="n">
        <f aca="false">J29 * J33</f>
        <v>1977.01465529841</v>
      </c>
    </row>
    <row r="36" customFormat="false" ht="15" hidden="false" customHeight="false" outlineLevel="0" collapsed="false">
      <c r="A36" s="39" t="s">
        <v>123</v>
      </c>
    </row>
    <row r="37" customFormat="false" ht="15" hidden="false" customHeight="false" outlineLevel="0" collapsed="false">
      <c r="A37" s="0" t="s">
        <v>124</v>
      </c>
      <c r="F37" s="44" t="n">
        <v>0.02</v>
      </c>
    </row>
    <row r="38" customFormat="false" ht="15" hidden="false" customHeight="false" outlineLevel="0" collapsed="false">
      <c r="A38" s="0" t="s">
        <v>125</v>
      </c>
      <c r="F38" s="0" t="n">
        <f aca="false">F29 * (1 + F37) / (F32 - F37)</f>
        <v>21299.1946892012</v>
      </c>
    </row>
    <row r="39" customFormat="false" ht="15" hidden="false" customHeight="false" outlineLevel="0" collapsed="false">
      <c r="A39" s="0" t="s">
        <v>126</v>
      </c>
      <c r="F39" s="0" t="n">
        <f aca="false">F38 * F33</f>
        <v>19630.5941835956</v>
      </c>
    </row>
    <row r="41" customFormat="false" ht="15" hidden="false" customHeight="false" outlineLevel="0" collapsed="false">
      <c r="A41" s="39" t="s">
        <v>127</v>
      </c>
    </row>
    <row r="42" customFormat="false" ht="15" hidden="false" customHeight="false" outlineLevel="0" collapsed="false">
      <c r="A42" s="0" t="s">
        <v>128</v>
      </c>
      <c r="F42" s="0" t="n">
        <f aca="false">SUM(F34:J34)</f>
        <v>7868.91282133443</v>
      </c>
    </row>
    <row r="43" customFormat="false" ht="15" hidden="false" customHeight="false" outlineLevel="0" collapsed="false">
      <c r="A43" s="0" t="s">
        <v>129</v>
      </c>
      <c r="F43" s="0" t="n">
        <f aca="false">F39</f>
        <v>19630.5941835956</v>
      </c>
    </row>
    <row r="44" customFormat="false" ht="15" hidden="false" customHeight="false" outlineLevel="0" collapsed="false">
      <c r="A44" s="0" t="s">
        <v>130</v>
      </c>
      <c r="F44" s="0" t="n">
        <f aca="false">F42 + F43</f>
        <v>27499.50700493</v>
      </c>
    </row>
    <row r="45" customFormat="false" ht="15" hidden="false" customHeight="false" outlineLevel="0" collapsed="false">
      <c r="A45" s="0" t="s">
        <v>131</v>
      </c>
      <c r="F45" s="0" t="n">
        <f aca="false">Model!L700 - Model!L650</f>
        <v>0</v>
      </c>
    </row>
    <row r="46" customFormat="false" ht="15" hidden="false" customHeight="false" outlineLevel="0" collapsed="false">
      <c r="A46" s="0" t="s">
        <v>132</v>
      </c>
      <c r="F46" s="0" t="n">
        <f aca="false">F44 - F45</f>
        <v>27499.50700493</v>
      </c>
    </row>
    <row r="47" customFormat="false" ht="15" hidden="false" customHeight="false" outlineLevel="0" collapsed="false">
      <c r="A47" s="0" t="s">
        <v>133</v>
      </c>
      <c r="F47" s="45" t="n">
        <f aca="false">Model!L750</f>
        <v>0</v>
      </c>
    </row>
    <row r="48" customFormat="false" ht="15" hidden="false" customHeight="false" outlineLevel="0" collapsed="false">
      <c r="A48" s="0" t="s">
        <v>134</v>
      </c>
      <c r="F48" s="0" t="e">
        <f aca="false">F46 / F47</f>
        <v>#DIV/0!</v>
      </c>
    </row>
    <row r="49" customFormat="false" ht="15" hidden="false" customHeight="false" outlineLevel="0" collapsed="false">
      <c r="A49" s="0" t="s">
        <v>135</v>
      </c>
      <c r="F49" s="46" t="n">
        <f aca="false">'Front Page'!H20</f>
        <v>1217.6</v>
      </c>
    </row>
    <row r="50" customFormat="false" ht="15" hidden="false" customHeight="false" outlineLevel="0" collapsed="false">
      <c r="A50" s="0" t="s">
        <v>136</v>
      </c>
      <c r="F50" s="44" t="e">
        <f aca="false">F48 / F49 - 1</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C83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5" topLeftCell="BJ6" activePane="bottomRight" state="frozen"/>
      <selection pane="topLeft" activeCell="A1" activeCellId="0" sqref="A1"/>
      <selection pane="topRight" activeCell="BJ1" activeCellId="0" sqref="BJ1"/>
      <selection pane="bottomLeft" activeCell="A6" activeCellId="0" sqref="A6"/>
      <selection pane="bottomRight" activeCell="A1" activeCellId="0" sqref="A1"/>
    </sheetView>
  </sheetViews>
  <sheetFormatPr defaultColWidth="9.2890625" defaultRowHeight="15" customHeight="true" zeroHeight="false" outlineLevelRow="3" outlineLevelCol="1"/>
  <cols>
    <col collapsed="false" customWidth="true" hidden="false" outlineLevel="0" max="1" min="1" style="0" width="50.71"/>
    <col collapsed="false" customWidth="true" hidden="false" outlineLevel="0" max="2" min="2" style="0" width="10.71"/>
    <col collapsed="false" customWidth="true" hidden="false" outlineLevel="0" max="7" min="3" style="0" width="9.71"/>
    <col collapsed="false" customWidth="true" hidden="true" outlineLevel="1" max="11" min="8" style="0" width="9.71"/>
    <col collapsed="false" customWidth="true" hidden="false" outlineLevel="0" max="12" min="12" style="0" width="9.71"/>
    <col collapsed="false" customWidth="true" hidden="true" outlineLevel="1" max="16" min="13" style="0" width="9.71"/>
    <col collapsed="false" customWidth="true" hidden="false" outlineLevel="0" max="17" min="17" style="0" width="9.71"/>
    <col collapsed="false" customWidth="true" hidden="true" outlineLevel="1" max="21" min="18" style="0" width="9.71"/>
    <col collapsed="false" customWidth="true" hidden="false" outlineLevel="0" max="22" min="22" style="0" width="9.71"/>
    <col collapsed="false" customWidth="true" hidden="true" outlineLevel="1" max="26" min="23" style="0" width="9.71"/>
    <col collapsed="false" customWidth="true" hidden="false" outlineLevel="0" max="27" min="27" style="0" width="9.71"/>
    <col collapsed="false" customWidth="true" hidden="true" outlineLevel="1" max="31" min="28" style="0" width="9.71"/>
    <col collapsed="false" customWidth="true" hidden="false" outlineLevel="0" max="32" min="32" style="0" width="9.71"/>
    <col collapsed="false" customWidth="true" hidden="true" outlineLevel="1" max="36" min="33" style="0" width="9.71"/>
    <col collapsed="false" customWidth="true" hidden="false" outlineLevel="0" max="37" min="37" style="0" width="9.71"/>
    <col collapsed="false" customWidth="true" hidden="true" outlineLevel="1" max="41" min="38" style="0" width="9.71"/>
    <col collapsed="false" customWidth="true" hidden="false" outlineLevel="0" max="42" min="42" style="0" width="9.71"/>
    <col collapsed="false" customWidth="true" hidden="true" outlineLevel="1" max="46" min="43" style="0" width="9.71"/>
    <col collapsed="false" customWidth="true" hidden="false" outlineLevel="0" max="47" min="47" style="0" width="9.71"/>
    <col collapsed="false" customWidth="true" hidden="true" outlineLevel="1" max="51" min="48" style="0" width="9.71"/>
    <col collapsed="false" customWidth="true" hidden="false" outlineLevel="0" max="52" min="52" style="0" width="9.71"/>
    <col collapsed="false" customWidth="true" hidden="true" outlineLevel="1" max="56" min="53" style="0" width="9.71"/>
    <col collapsed="false" customWidth="true" hidden="false" outlineLevel="0" max="57" min="57" style="0" width="9.71"/>
    <col collapsed="false" customWidth="true" hidden="true" outlineLevel="1" max="61" min="58" style="0" width="9.71"/>
    <col collapsed="false" customWidth="true" hidden="false" outlineLevel="0" max="62" min="62" style="0" width="9.71"/>
    <col collapsed="false" customWidth="true" hidden="false" outlineLevel="1" max="66" min="63" style="0" width="9.71"/>
    <col collapsed="false" customWidth="true" hidden="false" outlineLevel="0" max="67" min="67" style="0" width="9.71"/>
    <col collapsed="false" customWidth="true" hidden="false" outlineLevel="1" max="71" min="68" style="0" width="9.71"/>
    <col collapsed="false" customWidth="true" hidden="false" outlineLevel="0" max="72" min="72" style="0" width="9.71"/>
    <col collapsed="false" customWidth="true" hidden="false" outlineLevel="1" max="76" min="73" style="0" width="9.71"/>
    <col collapsed="false" customWidth="true" hidden="false" outlineLevel="0" max="81" min="77" style="0" width="9.71"/>
  </cols>
  <sheetData>
    <row r="1" s="51" customFormat="true" ht="33.75" hidden="false" customHeight="true" outlineLevel="0" collapsed="false">
      <c r="A1" s="47" t="s">
        <v>137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9"/>
      <c r="BP1" s="48"/>
      <c r="BQ1" s="48"/>
      <c r="BR1" s="48"/>
      <c r="BS1" s="48"/>
      <c r="BT1" s="48"/>
      <c r="BU1" s="48"/>
      <c r="BV1" s="48"/>
      <c r="BW1" s="48"/>
      <c r="BX1" s="48"/>
      <c r="BY1" s="48"/>
      <c r="BZ1" s="48"/>
      <c r="CA1" s="48"/>
      <c r="CB1" s="48"/>
      <c r="CC1" s="50"/>
    </row>
    <row r="2" customFormat="false" ht="15" hidden="false" customHeight="true" outlineLevel="0" collapsed="false">
      <c r="A2" s="52" t="str">
        <f aca="false">CHOOSE(MO.DataSourceIndex,MO.Ticker.Bloomberg,MO.Ticker.CapIQ,MO.Ticker.FactSet,MO.Ticker.Thomson)</f>
        <v>ASML NA</v>
      </c>
      <c r="B2" s="53"/>
      <c r="C2" s="54" t="n">
        <f aca="false">EOMONTH(C4,-12)</f>
        <v>39813</v>
      </c>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6"/>
      <c r="AP2" s="56"/>
      <c r="AQ2" s="55"/>
      <c r="AR2" s="55"/>
      <c r="AS2" s="55"/>
      <c r="AT2" s="56"/>
      <c r="AU2" s="56"/>
      <c r="AV2" s="55"/>
      <c r="AW2" s="55"/>
      <c r="AX2" s="55"/>
      <c r="AY2" s="56"/>
      <c r="AZ2" s="56"/>
      <c r="BA2" s="55"/>
      <c r="BB2" s="55"/>
      <c r="BC2" s="55"/>
      <c r="BD2" s="56"/>
      <c r="BE2" s="56"/>
      <c r="BF2" s="55"/>
      <c r="BG2" s="55"/>
      <c r="BH2" s="55"/>
      <c r="BI2" s="56"/>
      <c r="BJ2" s="56"/>
      <c r="BK2" s="55"/>
      <c r="BL2" s="55"/>
      <c r="BM2" s="55"/>
      <c r="BN2" s="56" t="s">
        <v>138</v>
      </c>
      <c r="BO2" s="57" t="s">
        <v>138</v>
      </c>
      <c r="BP2" s="55"/>
      <c r="BQ2" s="55"/>
      <c r="BR2" s="55"/>
      <c r="BS2" s="55"/>
      <c r="BT2" s="55"/>
      <c r="BU2" s="55"/>
      <c r="BV2" s="55"/>
      <c r="BW2" s="55"/>
      <c r="BX2" s="55"/>
      <c r="BY2" s="55"/>
      <c r="BZ2" s="55"/>
      <c r="CA2" s="55"/>
      <c r="CB2" s="55"/>
      <c r="CC2" s="58"/>
    </row>
    <row r="3" s="67" customFormat="true" ht="15" hidden="false" customHeight="true" outlineLevel="0" collapsed="false">
      <c r="A3" s="59" t="str">
        <f aca="false">HP.TradeCurrency</f>
        <v>EUR</v>
      </c>
      <c r="B3" s="60" t="n">
        <f aca="false">IF(MO.RealTime="OFF",MO.LastPriceHardcoded,MO.LastPriceFormula)</f>
        <v>1217.6</v>
      </c>
      <c r="C3" s="61" t="n">
        <f aca="false">C4-C2</f>
        <v>365</v>
      </c>
      <c r="D3" s="61" t="n">
        <f aca="false">D4-C4</f>
        <v>365</v>
      </c>
      <c r="E3" s="61" t="n">
        <f aca="false">E4-D4</f>
        <v>365</v>
      </c>
      <c r="F3" s="61" t="n">
        <f aca="false">F4-E4</f>
        <v>366</v>
      </c>
      <c r="G3" s="61" t="n">
        <f aca="false">G4-F4</f>
        <v>365</v>
      </c>
      <c r="H3" s="62" t="n">
        <f aca="false">H4-G4</f>
        <v>89</v>
      </c>
      <c r="I3" s="62" t="n">
        <f aca="false">I4-H4</f>
        <v>91</v>
      </c>
      <c r="J3" s="62" t="n">
        <f aca="false">J4-I4</f>
        <v>91</v>
      </c>
      <c r="K3" s="62" t="n">
        <f aca="false">K4-J4</f>
        <v>94</v>
      </c>
      <c r="L3" s="61" t="n">
        <f aca="false">L4-G4</f>
        <v>365</v>
      </c>
      <c r="M3" s="62" t="n">
        <f aca="false">M4-L4</f>
        <v>88</v>
      </c>
      <c r="N3" s="62" t="n">
        <f aca="false">N4-M4</f>
        <v>91</v>
      </c>
      <c r="O3" s="62" t="n">
        <f aca="false">O4-N4</f>
        <v>91</v>
      </c>
      <c r="P3" s="62" t="n">
        <f aca="false">P4-O4</f>
        <v>95</v>
      </c>
      <c r="Q3" s="61" t="n">
        <f aca="false">Q4-L4</f>
        <v>365</v>
      </c>
      <c r="R3" s="62" t="n">
        <f aca="false">R4-Q4</f>
        <v>94</v>
      </c>
      <c r="S3" s="62" t="n">
        <f aca="false">S4-R4</f>
        <v>91</v>
      </c>
      <c r="T3" s="62" t="n">
        <f aca="false">T4-S4</f>
        <v>91</v>
      </c>
      <c r="U3" s="62" t="n">
        <f aca="false">U4-T4</f>
        <v>90</v>
      </c>
      <c r="V3" s="61" t="n">
        <f aca="false">V4-Q4</f>
        <v>366</v>
      </c>
      <c r="W3" s="62" t="n">
        <f aca="false">W4-V4</f>
        <v>92</v>
      </c>
      <c r="X3" s="62" t="n">
        <f aca="false">X4-W4</f>
        <v>91</v>
      </c>
      <c r="Y3" s="62" t="n">
        <f aca="false">Y4-X4</f>
        <v>91</v>
      </c>
      <c r="Z3" s="62" t="n">
        <f aca="false">Z4-Y4</f>
        <v>91</v>
      </c>
      <c r="AA3" s="61" t="n">
        <f aca="false">AA4-V4</f>
        <v>365</v>
      </c>
      <c r="AB3" s="62" t="n">
        <f aca="false">AB4-AA4</f>
        <v>91</v>
      </c>
      <c r="AC3" s="62" t="n">
        <f aca="false">AC4-AB4</f>
        <v>91</v>
      </c>
      <c r="AD3" s="62" t="n">
        <f aca="false">AD4-AC4</f>
        <v>91</v>
      </c>
      <c r="AE3" s="62" t="n">
        <f aca="false">AE4-AD4</f>
        <v>92</v>
      </c>
      <c r="AF3" s="61" t="n">
        <f aca="false">AF4-AA4</f>
        <v>365</v>
      </c>
      <c r="AG3" s="62" t="n">
        <f aca="false">AG4-AF4</f>
        <v>90</v>
      </c>
      <c r="AH3" s="62" t="n">
        <f aca="false">AH4-AG4</f>
        <v>91</v>
      </c>
      <c r="AI3" s="62" t="n">
        <f aca="false">AI4-AH4</f>
        <v>91</v>
      </c>
      <c r="AJ3" s="62" t="n">
        <f aca="false">AJ4-AI4</f>
        <v>93</v>
      </c>
      <c r="AK3" s="61" t="n">
        <f aca="false">AK4-AF4</f>
        <v>365</v>
      </c>
      <c r="AL3" s="62" t="n">
        <f aca="false">AL4-AK4</f>
        <v>89</v>
      </c>
      <c r="AM3" s="62" t="n">
        <f aca="false">AM4-AL4</f>
        <v>91</v>
      </c>
      <c r="AN3" s="62" t="n">
        <f aca="false">AN4-AM4</f>
        <v>91</v>
      </c>
      <c r="AO3" s="62" t="n">
        <f aca="false">AO4-AN4</f>
        <v>95</v>
      </c>
      <c r="AP3" s="61" t="n">
        <f aca="false">AP4-AK4</f>
        <v>366</v>
      </c>
      <c r="AQ3" s="62" t="n">
        <f aca="false">AQ4-AP4</f>
        <v>94</v>
      </c>
      <c r="AR3" s="62" t="n">
        <f aca="false">AR4-AQ4</f>
        <v>91</v>
      </c>
      <c r="AS3" s="62" t="n">
        <f aca="false">AS4-AR4</f>
        <v>91</v>
      </c>
      <c r="AT3" s="62" t="n">
        <f aca="false">AT4-AS4</f>
        <v>89</v>
      </c>
      <c r="AU3" s="61" t="n">
        <f aca="false">AU4-AP4</f>
        <v>365</v>
      </c>
      <c r="AV3" s="62" t="n">
        <f aca="false">AV4-AU4</f>
        <v>93</v>
      </c>
      <c r="AW3" s="62" t="n">
        <f aca="false">AW4-AV4</f>
        <v>91</v>
      </c>
      <c r="AX3" s="62" t="n">
        <f aca="false">AX4-AW4</f>
        <v>91</v>
      </c>
      <c r="AY3" s="62" t="n">
        <f aca="false">AY4-AX4</f>
        <v>90</v>
      </c>
      <c r="AZ3" s="61" t="n">
        <f aca="false">AZ4-AU4</f>
        <v>365</v>
      </c>
      <c r="BA3" s="62" t="n">
        <f aca="false">BA4-AZ4</f>
        <v>92</v>
      </c>
      <c r="BB3" s="62" t="n">
        <f aca="false">BB4-BA4</f>
        <v>91</v>
      </c>
      <c r="BC3" s="62" t="n">
        <f aca="false">BC4-BB4</f>
        <v>91</v>
      </c>
      <c r="BD3" s="62" t="n">
        <f aca="false">BD4-BC4</f>
        <v>91</v>
      </c>
      <c r="BE3" s="61" t="n">
        <f aca="false">BE4-AZ4</f>
        <v>365</v>
      </c>
      <c r="BF3" s="62" t="n">
        <f aca="false">BF4-BE4</f>
        <v>91</v>
      </c>
      <c r="BG3" s="62" t="n">
        <f aca="false">BG4-BF4</f>
        <v>91</v>
      </c>
      <c r="BH3" s="62" t="n">
        <f aca="false">BH4-BG4</f>
        <v>91</v>
      </c>
      <c r="BI3" s="62" t="n">
        <f aca="false">BI4-BH4</f>
        <v>93</v>
      </c>
      <c r="BJ3" s="61" t="n">
        <f aca="false">BJ4-BE4</f>
        <v>366</v>
      </c>
      <c r="BK3" s="62" t="n">
        <f aca="false">BK4-BJ4</f>
        <v>89</v>
      </c>
      <c r="BL3" s="62" t="n">
        <f aca="false">BL4-BK4</f>
        <v>91</v>
      </c>
      <c r="BM3" s="62" t="n">
        <f aca="false">BM4-BL4</f>
        <v>91</v>
      </c>
      <c r="BN3" s="62" t="n">
        <f aca="false">BN4-BM4</f>
        <v>94</v>
      </c>
      <c r="BO3" s="63" t="n">
        <f aca="false">BO4-BJ4</f>
        <v>365</v>
      </c>
      <c r="BP3" s="64" t="n">
        <f aca="false">BP4-BO4</f>
        <v>90</v>
      </c>
      <c r="BQ3" s="64" t="n">
        <f aca="false">BQ4-BP4</f>
        <v>91</v>
      </c>
      <c r="BR3" s="64" t="n">
        <f aca="false">BR4-BQ4</f>
        <v>92</v>
      </c>
      <c r="BS3" s="64" t="n">
        <f aca="false">BS4-BR4</f>
        <v>92</v>
      </c>
      <c r="BT3" s="65" t="n">
        <f aca="false">BT4-BO4</f>
        <v>365</v>
      </c>
      <c r="BU3" s="64" t="n">
        <f aca="false">BU4-BT4</f>
        <v>90</v>
      </c>
      <c r="BV3" s="64" t="n">
        <f aca="false">BV4-BU4</f>
        <v>91</v>
      </c>
      <c r="BW3" s="64" t="n">
        <f aca="false">BW4-BV4</f>
        <v>92</v>
      </c>
      <c r="BX3" s="64" t="n">
        <f aca="false">BX4-BW4</f>
        <v>92</v>
      </c>
      <c r="BY3" s="65" t="n">
        <f aca="false">BY4-BT4</f>
        <v>365</v>
      </c>
      <c r="BZ3" s="65" t="n">
        <f aca="false">BZ4-BY4</f>
        <v>366</v>
      </c>
      <c r="CA3" s="65" t="n">
        <f aca="false">CA4-BZ4</f>
        <v>365</v>
      </c>
      <c r="CB3" s="65" t="n">
        <f aca="false">CB4-CA4</f>
        <v>365</v>
      </c>
      <c r="CC3" s="66"/>
    </row>
    <row r="4" customFormat="false" ht="15" hidden="false" customHeight="true" outlineLevel="0" collapsed="false">
      <c r="A4" s="68" t="str">
        <f aca="false">FP.DataSourceName</f>
        <v>Bloomberg</v>
      </c>
      <c r="B4" s="69" t="str">
        <f aca="false">IF(AND(MO.RealTimeStockPriceToggle,MO.LastPriceFormula&lt;&gt;"N/A"),"ON","OFF")</f>
        <v>OFF</v>
      </c>
      <c r="C4" s="70" t="n">
        <v>40178</v>
      </c>
      <c r="D4" s="70" t="n">
        <v>40543</v>
      </c>
      <c r="E4" s="70" t="n">
        <v>40908</v>
      </c>
      <c r="F4" s="70" t="n">
        <v>41274</v>
      </c>
      <c r="G4" s="70" t="n">
        <v>41639</v>
      </c>
      <c r="H4" s="71" t="n">
        <v>41728</v>
      </c>
      <c r="I4" s="71" t="n">
        <v>41819</v>
      </c>
      <c r="J4" s="71" t="n">
        <v>41910</v>
      </c>
      <c r="K4" s="72" t="n">
        <f aca="false">L4</f>
        <v>42004</v>
      </c>
      <c r="L4" s="70" t="n">
        <v>42004</v>
      </c>
      <c r="M4" s="71" t="n">
        <v>42092</v>
      </c>
      <c r="N4" s="71" t="n">
        <v>42183</v>
      </c>
      <c r="O4" s="71" t="n">
        <v>42274</v>
      </c>
      <c r="P4" s="72" t="n">
        <f aca="false">Q4</f>
        <v>42369</v>
      </c>
      <c r="Q4" s="70" t="n">
        <v>42369</v>
      </c>
      <c r="R4" s="71" t="n">
        <v>42463</v>
      </c>
      <c r="S4" s="71" t="n">
        <v>42554</v>
      </c>
      <c r="T4" s="71" t="n">
        <v>42645</v>
      </c>
      <c r="U4" s="72" t="n">
        <f aca="false">V4</f>
        <v>42735</v>
      </c>
      <c r="V4" s="70" t="n">
        <v>42735</v>
      </c>
      <c r="W4" s="71" t="n">
        <v>42827</v>
      </c>
      <c r="X4" s="71" t="n">
        <v>42918</v>
      </c>
      <c r="Y4" s="71" t="n">
        <v>43009</v>
      </c>
      <c r="Z4" s="72" t="n">
        <f aca="false">AA4</f>
        <v>43100</v>
      </c>
      <c r="AA4" s="70" t="n">
        <v>43100</v>
      </c>
      <c r="AB4" s="71" t="n">
        <v>43191</v>
      </c>
      <c r="AC4" s="71" t="n">
        <v>43282</v>
      </c>
      <c r="AD4" s="71" t="n">
        <v>43373</v>
      </c>
      <c r="AE4" s="72" t="n">
        <f aca="false">AF4</f>
        <v>43465</v>
      </c>
      <c r="AF4" s="70" t="n">
        <v>43465</v>
      </c>
      <c r="AG4" s="71" t="n">
        <v>43555</v>
      </c>
      <c r="AH4" s="71" t="n">
        <v>43646</v>
      </c>
      <c r="AI4" s="71" t="n">
        <v>43737</v>
      </c>
      <c r="AJ4" s="72" t="n">
        <f aca="false">AK4</f>
        <v>43830</v>
      </c>
      <c r="AK4" s="70" t="n">
        <v>43830</v>
      </c>
      <c r="AL4" s="71" t="n">
        <v>43919</v>
      </c>
      <c r="AM4" s="71" t="n">
        <v>44010</v>
      </c>
      <c r="AN4" s="71" t="n">
        <v>44101</v>
      </c>
      <c r="AO4" s="72" t="n">
        <f aca="false">AP4</f>
        <v>44196</v>
      </c>
      <c r="AP4" s="70" t="n">
        <v>44196</v>
      </c>
      <c r="AQ4" s="71" t="n">
        <v>44290</v>
      </c>
      <c r="AR4" s="71" t="n">
        <v>44381</v>
      </c>
      <c r="AS4" s="71" t="n">
        <v>44472</v>
      </c>
      <c r="AT4" s="72" t="n">
        <f aca="false">AU4</f>
        <v>44561</v>
      </c>
      <c r="AU4" s="70" t="n">
        <v>44561</v>
      </c>
      <c r="AV4" s="71" t="n">
        <v>44654</v>
      </c>
      <c r="AW4" s="71" t="n">
        <v>44745</v>
      </c>
      <c r="AX4" s="71" t="n">
        <v>44836</v>
      </c>
      <c r="AY4" s="72" t="n">
        <f aca="false">AZ4</f>
        <v>44926</v>
      </c>
      <c r="AZ4" s="70" t="n">
        <v>44926</v>
      </c>
      <c r="BA4" s="71" t="n">
        <v>45018</v>
      </c>
      <c r="BB4" s="71" t="n">
        <v>45109</v>
      </c>
      <c r="BC4" s="71" t="n">
        <v>45200</v>
      </c>
      <c r="BD4" s="72" t="n">
        <f aca="false">BE4</f>
        <v>45291</v>
      </c>
      <c r="BE4" s="70" t="n">
        <v>45291</v>
      </c>
      <c r="BF4" s="71" t="n">
        <v>45382</v>
      </c>
      <c r="BG4" s="71" t="n">
        <v>45473</v>
      </c>
      <c r="BH4" s="71" t="n">
        <v>45564</v>
      </c>
      <c r="BI4" s="72" t="n">
        <f aca="false">BJ4</f>
        <v>45657</v>
      </c>
      <c r="BJ4" s="70" t="n">
        <v>45657</v>
      </c>
      <c r="BK4" s="71" t="n">
        <v>45746</v>
      </c>
      <c r="BL4" s="71" t="n">
        <v>45837</v>
      </c>
      <c r="BM4" s="71" t="n">
        <v>45928</v>
      </c>
      <c r="BN4" s="72" t="n">
        <f aca="false">BO4</f>
        <v>46022</v>
      </c>
      <c r="BO4" s="73" t="n">
        <v>46022</v>
      </c>
      <c r="BP4" s="72" t="n">
        <f aca="false">+EDATE(BO4,3)</f>
        <v>46112</v>
      </c>
      <c r="BQ4" s="72" t="n">
        <f aca="false">+EDATE(BP4,3)</f>
        <v>46203</v>
      </c>
      <c r="BR4" s="72" t="n">
        <f aca="false">+EDATE(BQ4,3)</f>
        <v>46295</v>
      </c>
      <c r="BS4" s="72" t="n">
        <f aca="false">DATE(YEAR(BR4),12,31)</f>
        <v>46387</v>
      </c>
      <c r="BT4" s="74" t="n">
        <f aca="false">BS4</f>
        <v>46387</v>
      </c>
      <c r="BU4" s="72" t="n">
        <f aca="false">+EDATE(BT4,3)</f>
        <v>46477</v>
      </c>
      <c r="BV4" s="72" t="n">
        <f aca="false">+EDATE(BU4,3)</f>
        <v>46568</v>
      </c>
      <c r="BW4" s="72" t="n">
        <f aca="false">+EDATE(BV4,3)</f>
        <v>46660</v>
      </c>
      <c r="BX4" s="72" t="n">
        <f aca="false">DATE(YEAR(BW4),12,31)</f>
        <v>46752</v>
      </c>
      <c r="BY4" s="74" t="n">
        <f aca="false">BX4</f>
        <v>46752</v>
      </c>
      <c r="BZ4" s="74" t="n">
        <f aca="false">EOMONTH(BY4,12)</f>
        <v>47118</v>
      </c>
      <c r="CA4" s="74" t="n">
        <f aca="false">EOMONTH(BZ4,12)</f>
        <v>47483</v>
      </c>
      <c r="CB4" s="74" t="n">
        <f aca="false">EOMONTH(CA4,12)</f>
        <v>47848</v>
      </c>
      <c r="CC4" s="58"/>
    </row>
    <row r="5" customFormat="false" ht="15" hidden="false" customHeight="true" outlineLevel="0" collapsed="false">
      <c r="A5" s="75" t="str">
        <f aca="false">MO.ReportCurrency</f>
        <v>EUR</v>
      </c>
      <c r="B5" s="76"/>
      <c r="C5" s="77" t="s">
        <v>139</v>
      </c>
      <c r="D5" s="78" t="str">
        <f aca="false">CONCATENATE("FY",RIGHT(C5,4)+1)</f>
        <v>FY2010</v>
      </c>
      <c r="E5" s="78" t="str">
        <f aca="false">CONCATENATE("FY",RIGHT(D5,4)+1)</f>
        <v>FY2011</v>
      </c>
      <c r="F5" s="78" t="str">
        <f aca="false">CONCATENATE("FY",RIGHT(E5,4)+1)</f>
        <v>FY2012</v>
      </c>
      <c r="G5" s="78" t="str">
        <f aca="false">CONCATENATE("FY",RIGHT(F5,4)+1)</f>
        <v>FY2013</v>
      </c>
      <c r="H5" s="79" t="str">
        <f aca="false">CONCATENATE("Q1","-",RIGHT(G5,4)+1)</f>
        <v>Q1-2014</v>
      </c>
      <c r="I5" s="79" t="str">
        <f aca="false">CONCATENATE("Q2","-",RIGHT(H5,4))</f>
        <v>Q2-2014</v>
      </c>
      <c r="J5" s="79" t="str">
        <f aca="false">CONCATENATE("Q3","-",RIGHT(I5,4))</f>
        <v>Q3-2014</v>
      </c>
      <c r="K5" s="79" t="str">
        <f aca="false">CONCATENATE("Q4","-",RIGHT(J5,4))</f>
        <v>Q4-2014</v>
      </c>
      <c r="L5" s="78" t="str">
        <f aca="false">CONCATENATE("FY",RIGHT(G5,4)+1)</f>
        <v>FY2014</v>
      </c>
      <c r="M5" s="79" t="str">
        <f aca="false">CONCATENATE("Q1","-",RIGHT(L5,4)+1)</f>
        <v>Q1-2015</v>
      </c>
      <c r="N5" s="79" t="str">
        <f aca="false">CONCATENATE("Q2","-",RIGHT(M5,4))</f>
        <v>Q2-2015</v>
      </c>
      <c r="O5" s="79" t="str">
        <f aca="false">CONCATENATE("Q3","-",RIGHT(N5,4))</f>
        <v>Q3-2015</v>
      </c>
      <c r="P5" s="79" t="str">
        <f aca="false">CONCATENATE("Q4","-",RIGHT(O5,4))</f>
        <v>Q4-2015</v>
      </c>
      <c r="Q5" s="78" t="str">
        <f aca="false">CONCATENATE("FY",RIGHT(L5,4)+1)</f>
        <v>FY2015</v>
      </c>
      <c r="R5" s="79" t="str">
        <f aca="false">CONCATENATE("Q1","-",RIGHT(Q5,4)+1)</f>
        <v>Q1-2016</v>
      </c>
      <c r="S5" s="69" t="str">
        <f aca="false">CONCATENATE("Q2","-",RIGHT(R5,4))</f>
        <v>Q2-2016</v>
      </c>
      <c r="T5" s="79" t="str">
        <f aca="false">CONCATENATE("Q3","-",RIGHT(S5,4))</f>
        <v>Q3-2016</v>
      </c>
      <c r="U5" s="79" t="str">
        <f aca="false">CONCATENATE("Q4","-",RIGHT(T5,4))</f>
        <v>Q4-2016</v>
      </c>
      <c r="V5" s="78" t="str">
        <f aca="false">CONCATENATE("FY",RIGHT(Q5,4)+1)</f>
        <v>FY2016</v>
      </c>
      <c r="W5" s="79" t="str">
        <f aca="false">CONCATENATE("Q1","-",RIGHT(V5,4)+1)</f>
        <v>Q1-2017</v>
      </c>
      <c r="X5" s="69" t="str">
        <f aca="false">CONCATENATE("Q2","-",RIGHT(W5,4))</f>
        <v>Q2-2017</v>
      </c>
      <c r="Y5" s="79" t="str">
        <f aca="false">CONCATENATE("Q3","-",RIGHT(X5,4))</f>
        <v>Q3-2017</v>
      </c>
      <c r="Z5" s="79" t="str">
        <f aca="false">CONCATENATE("Q4","-",RIGHT(Y5,4))</f>
        <v>Q4-2017</v>
      </c>
      <c r="AA5" s="78" t="str">
        <f aca="false">CONCATENATE("FY",RIGHT(V5,4)+1)</f>
        <v>FY2017</v>
      </c>
      <c r="AB5" s="79" t="str">
        <f aca="false">CONCATENATE("Q1","-",RIGHT(AA5,4)+1)</f>
        <v>Q1-2018</v>
      </c>
      <c r="AC5" s="69" t="str">
        <f aca="false">CONCATENATE("Q2","-",RIGHT(AB5,4))</f>
        <v>Q2-2018</v>
      </c>
      <c r="AD5" s="79" t="str">
        <f aca="false">CONCATENATE("Q3","-",RIGHT(AC5,4))</f>
        <v>Q3-2018</v>
      </c>
      <c r="AE5" s="79" t="str">
        <f aca="false">CONCATENATE("Q4","-",RIGHT(AD5,4))</f>
        <v>Q4-2018</v>
      </c>
      <c r="AF5" s="78" t="str">
        <f aca="false">CONCATENATE("FY",RIGHT(AA5,4)+1)</f>
        <v>FY2018</v>
      </c>
      <c r="AG5" s="79" t="str">
        <f aca="false">CONCATENATE("Q1","-",RIGHT(AF5,4)+1)</f>
        <v>Q1-2019</v>
      </c>
      <c r="AH5" s="69" t="str">
        <f aca="false">CONCATENATE("Q2","-",RIGHT(AG5,4))</f>
        <v>Q2-2019</v>
      </c>
      <c r="AI5" s="79" t="str">
        <f aca="false">CONCATENATE("Q3","-",RIGHT(AH5,4))</f>
        <v>Q3-2019</v>
      </c>
      <c r="AJ5" s="79" t="str">
        <f aca="false">CONCATENATE("Q4","-",RIGHT(AI5,4))</f>
        <v>Q4-2019</v>
      </c>
      <c r="AK5" s="78" t="str">
        <f aca="false">CONCATENATE("FY",RIGHT(AF5,4)+1)</f>
        <v>FY2019</v>
      </c>
      <c r="AL5" s="79" t="str">
        <f aca="false">CONCATENATE("Q1","-",RIGHT(AK5,4)+1)</f>
        <v>Q1-2020</v>
      </c>
      <c r="AM5" s="69" t="str">
        <f aca="false">CONCATENATE("Q2","-",RIGHT(AL5,4))</f>
        <v>Q2-2020</v>
      </c>
      <c r="AN5" s="79" t="str">
        <f aca="false">CONCATENATE("Q3","-",RIGHT(AM5,4))</f>
        <v>Q3-2020</v>
      </c>
      <c r="AO5" s="79" t="str">
        <f aca="false">CONCATENATE("Q4","-",RIGHT(AN5,4))</f>
        <v>Q4-2020</v>
      </c>
      <c r="AP5" s="78" t="str">
        <f aca="false">CONCATENATE("FY",RIGHT(AK5,4)+1)</f>
        <v>FY2020</v>
      </c>
      <c r="AQ5" s="79" t="str">
        <f aca="false">CONCATENATE("Q1","-",RIGHT(AP5,4)+1)</f>
        <v>Q1-2021</v>
      </c>
      <c r="AR5" s="69" t="str">
        <f aca="false">CONCATENATE("Q2","-",RIGHT(AQ5,4))</f>
        <v>Q2-2021</v>
      </c>
      <c r="AS5" s="79" t="str">
        <f aca="false">CONCATENATE("Q3","-",RIGHT(AR5,4))</f>
        <v>Q3-2021</v>
      </c>
      <c r="AT5" s="79" t="str">
        <f aca="false">CONCATENATE("Q4","-",RIGHT(AS5,4))</f>
        <v>Q4-2021</v>
      </c>
      <c r="AU5" s="78" t="str">
        <f aca="false">CONCATENATE("FY",RIGHT(AP5,4)+1)</f>
        <v>FY2021</v>
      </c>
      <c r="AV5" s="79" t="str">
        <f aca="false">CONCATENATE("Q1","-",RIGHT(AU5,4)+1)</f>
        <v>Q1-2022</v>
      </c>
      <c r="AW5" s="69" t="str">
        <f aca="false">CONCATENATE("Q2","-",RIGHT(AV5,4))</f>
        <v>Q2-2022</v>
      </c>
      <c r="AX5" s="79" t="str">
        <f aca="false">CONCATENATE("Q3","-",RIGHT(AW5,4))</f>
        <v>Q3-2022</v>
      </c>
      <c r="AY5" s="79" t="str">
        <f aca="false">CONCATENATE("Q4","-",RIGHT(AX5,4))</f>
        <v>Q4-2022</v>
      </c>
      <c r="AZ5" s="78" t="str">
        <f aca="false">CONCATENATE("FY",RIGHT(AU5,4)+1)</f>
        <v>FY2022</v>
      </c>
      <c r="BA5" s="79" t="str">
        <f aca="false">CONCATENATE("Q1","-",RIGHT(AZ5,4)+1)</f>
        <v>Q1-2023</v>
      </c>
      <c r="BB5" s="69" t="str">
        <f aca="false">CONCATENATE("Q2","-",RIGHT(BA5,4))</f>
        <v>Q2-2023</v>
      </c>
      <c r="BC5" s="79" t="str">
        <f aca="false">CONCATENATE("Q3","-",RIGHT(BB5,4))</f>
        <v>Q3-2023</v>
      </c>
      <c r="BD5" s="79" t="str">
        <f aca="false">CONCATENATE("Q4","-",RIGHT(BC5,4))</f>
        <v>Q4-2023</v>
      </c>
      <c r="BE5" s="78" t="str">
        <f aca="false">CONCATENATE("FY",RIGHT(AZ5,4)+1)</f>
        <v>FY2023</v>
      </c>
      <c r="BF5" s="79" t="str">
        <f aca="false">CONCATENATE("Q1","-",RIGHT(BE5,4)+1)</f>
        <v>Q1-2024</v>
      </c>
      <c r="BG5" s="69" t="str">
        <f aca="false">CONCATENATE("Q2","-",RIGHT(BF5,4))</f>
        <v>Q2-2024</v>
      </c>
      <c r="BH5" s="79" t="str">
        <f aca="false">CONCATENATE("Q3","-",RIGHT(BG5,4))</f>
        <v>Q3-2024</v>
      </c>
      <c r="BI5" s="79" t="str">
        <f aca="false">CONCATENATE("Q4","-",RIGHT(BH5,4))</f>
        <v>Q4-2024</v>
      </c>
      <c r="BJ5" s="78" t="str">
        <f aca="false">CONCATENATE("FY",RIGHT(BE5,4)+1)</f>
        <v>FY2024</v>
      </c>
      <c r="BK5" s="79" t="str">
        <f aca="false">CONCATENATE("Q1","-",RIGHT(BJ5,4)+1)</f>
        <v>Q1-2025</v>
      </c>
      <c r="BL5" s="69" t="str">
        <f aca="false">CONCATENATE("Q2","-",RIGHT(BK5,4))</f>
        <v>Q2-2025</v>
      </c>
      <c r="BM5" s="79" t="str">
        <f aca="false">CONCATENATE("Q3","-",RIGHT(BL5,4))</f>
        <v>Q3-2025</v>
      </c>
      <c r="BN5" s="79" t="str">
        <f aca="false">CONCATENATE("Q4","-",RIGHT(BM5,4))</f>
        <v>Q4-2025</v>
      </c>
      <c r="BO5" s="80" t="str">
        <f aca="false">CONCATENATE("FY",RIGHT(BJ5,4)+1)</f>
        <v>FY2025</v>
      </c>
      <c r="BP5" s="79" t="str">
        <f aca="false">CONCATENATE("Q1","-",RIGHT(BO5,4)+1)</f>
        <v>Q1-2026</v>
      </c>
      <c r="BQ5" s="79" t="str">
        <f aca="false">CONCATENATE("Q2","-",RIGHT(BP5,4))</f>
        <v>Q2-2026</v>
      </c>
      <c r="BR5" s="79" t="str">
        <f aca="false">CONCATENATE("Q3","-",RIGHT(BQ5,4))</f>
        <v>Q3-2026</v>
      </c>
      <c r="BS5" s="79" t="str">
        <f aca="false">CONCATENATE("Q4","-",RIGHT(BR5,4))</f>
        <v>Q4-2026</v>
      </c>
      <c r="BT5" s="78" t="str">
        <f aca="false">CONCATENATE("FY",RIGHT(BO5,4)+1)</f>
        <v>FY2026</v>
      </c>
      <c r="BU5" s="79" t="str">
        <f aca="false">CONCATENATE("Q1","-",RIGHT(BT5,4)+1)</f>
        <v>Q1-2027</v>
      </c>
      <c r="BV5" s="79" t="str">
        <f aca="false">CONCATENATE("Q2","-",RIGHT(BU5,4))</f>
        <v>Q2-2027</v>
      </c>
      <c r="BW5" s="79" t="str">
        <f aca="false">CONCATENATE("Q3","-",RIGHT(BV5,4))</f>
        <v>Q3-2027</v>
      </c>
      <c r="BX5" s="79" t="str">
        <f aca="false">CONCATENATE("Q4","-",RIGHT(BW5,4))</f>
        <v>Q4-2027</v>
      </c>
      <c r="BY5" s="78" t="str">
        <f aca="false">CONCATENATE("FY",RIGHT(BT5,4)+1)</f>
        <v>FY2027</v>
      </c>
      <c r="BZ5" s="78" t="str">
        <f aca="false">CONCATENATE("FY",RIGHT(BY5,4)+1)</f>
        <v>FY2028</v>
      </c>
      <c r="CA5" s="78" t="str">
        <f aca="false">CONCATENATE("FY",RIGHT(BZ5,4)+1)</f>
        <v>FY2029</v>
      </c>
      <c r="CB5" s="78" t="str">
        <f aca="false">CONCATENATE("FY",RIGHT(CA5,4)+1)</f>
        <v>FY2030</v>
      </c>
      <c r="CC5" s="58"/>
    </row>
    <row r="6" s="84" customFormat="true" ht="15" hidden="false" customHeight="true" outlineLevel="0" collapsed="false">
      <c r="A6" s="81" t="s">
        <v>140</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2"/>
      <c r="BP6" s="81"/>
      <c r="BQ6" s="81"/>
      <c r="BR6" s="81"/>
      <c r="BS6" s="81"/>
      <c r="BT6" s="81"/>
      <c r="BU6" s="81"/>
      <c r="BV6" s="81"/>
      <c r="BW6" s="81"/>
      <c r="BX6" s="81"/>
      <c r="BY6" s="81"/>
      <c r="BZ6" s="81"/>
      <c r="CA6" s="81"/>
      <c r="CB6" s="81"/>
      <c r="CC6" s="83"/>
    </row>
    <row r="7" s="45" customFormat="true" ht="15" hidden="true" customHeight="true" outlineLevel="1" collapsed="false">
      <c r="A7" s="85" t="s">
        <v>141</v>
      </c>
      <c r="B7" s="86"/>
      <c r="C7" s="87"/>
      <c r="D7" s="87"/>
      <c r="E7" s="87"/>
      <c r="F7" s="87"/>
      <c r="G7" s="87"/>
      <c r="H7" s="88"/>
      <c r="I7" s="88"/>
      <c r="J7" s="88"/>
      <c r="K7" s="88"/>
      <c r="L7" s="87"/>
      <c r="M7" s="88"/>
      <c r="N7" s="88"/>
      <c r="O7" s="88"/>
      <c r="P7" s="88"/>
      <c r="Q7" s="87"/>
      <c r="R7" s="88"/>
      <c r="S7" s="88"/>
      <c r="T7" s="88"/>
      <c r="U7" s="88"/>
      <c r="V7" s="87"/>
      <c r="W7" s="88"/>
      <c r="X7" s="88"/>
      <c r="Y7" s="88"/>
      <c r="Z7" s="88"/>
      <c r="AA7" s="87"/>
      <c r="AB7" s="88"/>
      <c r="AC7" s="88"/>
      <c r="AD7" s="88"/>
      <c r="AE7" s="88"/>
      <c r="AF7" s="87"/>
      <c r="AG7" s="88"/>
      <c r="AH7" s="88"/>
      <c r="AI7" s="89" t="n">
        <v>3</v>
      </c>
      <c r="AJ7" s="89" t="n">
        <v>6</v>
      </c>
      <c r="AK7" s="90" t="n">
        <v>9</v>
      </c>
      <c r="AL7" s="88"/>
      <c r="AM7" s="88"/>
      <c r="AN7" s="88"/>
      <c r="AO7" s="88"/>
      <c r="AP7" s="87"/>
      <c r="AQ7" s="88"/>
      <c r="AR7" s="88"/>
      <c r="AS7" s="88"/>
      <c r="AT7" s="88"/>
      <c r="AU7" s="87"/>
      <c r="AV7" s="88"/>
      <c r="AW7" s="88"/>
      <c r="AX7" s="88"/>
      <c r="AY7" s="88"/>
      <c r="AZ7" s="87"/>
      <c r="BA7" s="88"/>
      <c r="BB7" s="88"/>
      <c r="BC7" s="88"/>
      <c r="BD7" s="88"/>
      <c r="BE7" s="87"/>
      <c r="BF7" s="88"/>
      <c r="BG7" s="88"/>
      <c r="BH7" s="88"/>
      <c r="BI7" s="88"/>
      <c r="BJ7" s="87"/>
      <c r="BK7" s="88"/>
      <c r="BL7" s="88"/>
      <c r="BM7" s="88"/>
      <c r="BN7" s="88"/>
      <c r="BO7" s="91"/>
      <c r="BP7" s="88"/>
      <c r="BQ7" s="88"/>
      <c r="BR7" s="88"/>
      <c r="BS7" s="88"/>
      <c r="BT7" s="87"/>
      <c r="BU7" s="88"/>
      <c r="BV7" s="88"/>
      <c r="BW7" s="88"/>
      <c r="BX7" s="88"/>
      <c r="BY7" s="87"/>
      <c r="BZ7" s="87"/>
      <c r="CA7" s="87"/>
      <c r="CB7" s="87"/>
      <c r="CC7" s="92"/>
    </row>
    <row r="8" s="45" customFormat="true" ht="15" hidden="true" customHeight="true" outlineLevel="1" collapsed="false">
      <c r="A8" s="85" t="s">
        <v>142</v>
      </c>
      <c r="B8" s="86"/>
      <c r="C8" s="87"/>
      <c r="D8" s="87"/>
      <c r="E8" s="87"/>
      <c r="F8" s="87"/>
      <c r="G8" s="87"/>
      <c r="H8" s="88"/>
      <c r="I8" s="88"/>
      <c r="J8" s="88"/>
      <c r="K8" s="88"/>
      <c r="L8" s="87"/>
      <c r="M8" s="88"/>
      <c r="N8" s="88"/>
      <c r="O8" s="88"/>
      <c r="P8" s="88"/>
      <c r="Q8" s="87"/>
      <c r="R8" s="88"/>
      <c r="S8" s="88"/>
      <c r="T8" s="88"/>
      <c r="U8" s="88"/>
      <c r="V8" s="87"/>
      <c r="W8" s="88"/>
      <c r="X8" s="88"/>
      <c r="Y8" s="88"/>
      <c r="Z8" s="88"/>
      <c r="AA8" s="87"/>
      <c r="AB8" s="88"/>
      <c r="AC8" s="88"/>
      <c r="AD8" s="88"/>
      <c r="AE8" s="88"/>
      <c r="AF8" s="87"/>
      <c r="AG8" s="89" t="n">
        <v>4</v>
      </c>
      <c r="AH8" s="89" t="n">
        <v>7</v>
      </c>
      <c r="AI8" s="88" t="n">
        <f aca="false">AI11-AI7</f>
        <v>4</v>
      </c>
      <c r="AJ8" s="88" t="n">
        <f aca="false">+AJ11-AJ7</f>
        <v>2</v>
      </c>
      <c r="AK8" s="87" t="n">
        <f aca="false">+AK11-AK7</f>
        <v>17</v>
      </c>
      <c r="AL8" s="88"/>
      <c r="AM8" s="88"/>
      <c r="AN8" s="88"/>
      <c r="AO8" s="88"/>
      <c r="AP8" s="87"/>
      <c r="AQ8" s="88"/>
      <c r="AR8" s="88"/>
      <c r="AS8" s="88"/>
      <c r="AT8" s="88"/>
      <c r="AU8" s="87"/>
      <c r="AV8" s="88"/>
      <c r="AW8" s="88"/>
      <c r="AX8" s="88"/>
      <c r="AY8" s="88"/>
      <c r="AZ8" s="87"/>
      <c r="BA8" s="88"/>
      <c r="BB8" s="88"/>
      <c r="BC8" s="88"/>
      <c r="BD8" s="88"/>
      <c r="BE8" s="87"/>
      <c r="BF8" s="88"/>
      <c r="BG8" s="88"/>
      <c r="BH8" s="88"/>
      <c r="BI8" s="88"/>
      <c r="BJ8" s="87"/>
      <c r="BK8" s="88"/>
      <c r="BL8" s="88"/>
      <c r="BM8" s="88"/>
      <c r="BN8" s="88"/>
      <c r="BO8" s="91"/>
      <c r="BP8" s="88"/>
      <c r="BQ8" s="88"/>
      <c r="BR8" s="88"/>
      <c r="BS8" s="88"/>
      <c r="BT8" s="87"/>
      <c r="BU8" s="88"/>
      <c r="BV8" s="88"/>
      <c r="BW8" s="88"/>
      <c r="BX8" s="88"/>
      <c r="BY8" s="87"/>
      <c r="BZ8" s="87"/>
      <c r="CA8" s="87"/>
      <c r="CB8" s="87"/>
      <c r="CC8" s="92"/>
    </row>
    <row r="9" s="45" customFormat="true" ht="15" hidden="true" customHeight="true" outlineLevel="1" collapsed="false">
      <c r="A9" s="85" t="s">
        <v>143</v>
      </c>
      <c r="B9" s="86"/>
      <c r="C9" s="87"/>
      <c r="D9" s="87"/>
      <c r="E9" s="87"/>
      <c r="F9" s="87"/>
      <c r="G9" s="87"/>
      <c r="H9" s="88"/>
      <c r="I9" s="88"/>
      <c r="J9" s="88"/>
      <c r="K9" s="88"/>
      <c r="L9" s="87"/>
      <c r="M9" s="88"/>
      <c r="N9" s="88"/>
      <c r="O9" s="88"/>
      <c r="P9" s="88"/>
      <c r="Q9" s="87"/>
      <c r="R9" s="88"/>
      <c r="S9" s="88"/>
      <c r="T9" s="88"/>
      <c r="U9" s="88"/>
      <c r="V9" s="87"/>
      <c r="W9" s="88"/>
      <c r="X9" s="88"/>
      <c r="Y9" s="88"/>
      <c r="Z9" s="88"/>
      <c r="AA9" s="87"/>
      <c r="AB9" s="88"/>
      <c r="AC9" s="88"/>
      <c r="AD9" s="88"/>
      <c r="AE9" s="88"/>
      <c r="AF9" s="87"/>
      <c r="AG9" s="88"/>
      <c r="AH9" s="88"/>
      <c r="AI9" s="88"/>
      <c r="AJ9" s="88"/>
      <c r="AK9" s="87"/>
      <c r="AL9" s="88"/>
      <c r="AM9" s="88"/>
      <c r="AN9" s="88"/>
      <c r="AO9" s="88"/>
      <c r="AP9" s="87"/>
      <c r="AQ9" s="88"/>
      <c r="AR9" s="88"/>
      <c r="AS9" s="88"/>
      <c r="AT9" s="88"/>
      <c r="AU9" s="87"/>
      <c r="AV9" s="88"/>
      <c r="AW9" s="88"/>
      <c r="AX9" s="88"/>
      <c r="AY9" s="88"/>
      <c r="AZ9" s="87"/>
      <c r="BA9" s="88"/>
      <c r="BB9" s="88"/>
      <c r="BC9" s="88"/>
      <c r="BD9" s="88"/>
      <c r="BE9" s="87"/>
      <c r="BF9" s="88"/>
      <c r="BG9" s="88"/>
      <c r="BH9" s="88"/>
      <c r="BI9" s="89" t="n">
        <v>2</v>
      </c>
      <c r="BJ9" s="90" t="n">
        <v>2</v>
      </c>
      <c r="BK9" s="89" t="n">
        <v>3</v>
      </c>
      <c r="BL9" s="88"/>
      <c r="BM9" s="88"/>
      <c r="BN9" s="89" t="n">
        <v>2</v>
      </c>
      <c r="BO9" s="91" t="n">
        <f aca="false">SUM(BK9,BL9,BM9,BN9)</f>
        <v>5</v>
      </c>
      <c r="BP9" s="88"/>
      <c r="BQ9" s="88"/>
      <c r="BR9" s="88"/>
      <c r="BS9" s="88"/>
      <c r="BT9" s="87"/>
      <c r="BU9" s="88"/>
      <c r="BV9" s="88"/>
      <c r="BW9" s="88"/>
      <c r="BX9" s="88"/>
      <c r="BY9" s="87"/>
      <c r="BZ9" s="87"/>
      <c r="CA9" s="87"/>
      <c r="CB9" s="87"/>
      <c r="CC9" s="92"/>
    </row>
    <row r="10" s="45" customFormat="true" ht="15" hidden="true" customHeight="true" outlineLevel="1" collapsed="false">
      <c r="A10" s="85" t="s">
        <v>144</v>
      </c>
      <c r="B10" s="86"/>
      <c r="C10" s="87"/>
      <c r="D10" s="87"/>
      <c r="E10" s="87"/>
      <c r="F10" s="87"/>
      <c r="G10" s="87"/>
      <c r="H10" s="88"/>
      <c r="I10" s="88"/>
      <c r="J10" s="88"/>
      <c r="K10" s="88"/>
      <c r="L10" s="87"/>
      <c r="M10" s="88"/>
      <c r="N10" s="88"/>
      <c r="O10" s="88"/>
      <c r="P10" s="88"/>
      <c r="Q10" s="87"/>
      <c r="R10" s="88"/>
      <c r="S10" s="88"/>
      <c r="T10" s="88"/>
      <c r="U10" s="88"/>
      <c r="V10" s="87"/>
      <c r="W10" s="88"/>
      <c r="X10" s="88"/>
      <c r="Y10" s="88"/>
      <c r="Z10" s="88"/>
      <c r="AA10" s="87"/>
      <c r="AB10" s="88"/>
      <c r="AC10" s="88"/>
      <c r="AD10" s="88"/>
      <c r="AE10" s="88"/>
      <c r="AF10" s="87"/>
      <c r="AG10" s="88"/>
      <c r="AH10" s="88"/>
      <c r="AI10" s="88"/>
      <c r="AJ10" s="88"/>
      <c r="AK10" s="87"/>
      <c r="AL10" s="88"/>
      <c r="AM10" s="88"/>
      <c r="AN10" s="88"/>
      <c r="AO10" s="88"/>
      <c r="AP10" s="87"/>
      <c r="AQ10" s="88"/>
      <c r="AR10" s="88"/>
      <c r="AS10" s="88"/>
      <c r="AT10" s="88"/>
      <c r="AU10" s="87"/>
      <c r="AV10" s="88"/>
      <c r="AW10" s="88"/>
      <c r="AX10" s="88"/>
      <c r="AY10" s="88"/>
      <c r="AZ10" s="87"/>
      <c r="BA10" s="88"/>
      <c r="BB10" s="88"/>
      <c r="BC10" s="88"/>
      <c r="BD10" s="88"/>
      <c r="BE10" s="87"/>
      <c r="BF10" s="88"/>
      <c r="BG10" s="88"/>
      <c r="BH10" s="88" t="n">
        <f aca="false">BH11-BH9</f>
        <v>11</v>
      </c>
      <c r="BI10" s="88" t="n">
        <f aca="false">BI11-BI9</f>
        <v>12</v>
      </c>
      <c r="BJ10" s="87" t="n">
        <f aca="false">BJ11-BJ9</f>
        <v>42</v>
      </c>
      <c r="BK10" s="88" t="n">
        <f aca="false">BK11-BK9</f>
        <v>11</v>
      </c>
      <c r="BL10" s="88"/>
      <c r="BM10" s="88"/>
      <c r="BN10" s="88" t="n">
        <f aca="false">BN11-BN9</f>
        <v>12</v>
      </c>
      <c r="BO10" s="91" t="n">
        <f aca="false">BO11-BO9</f>
        <v>43</v>
      </c>
      <c r="BP10" s="88"/>
      <c r="BQ10" s="88"/>
      <c r="BR10" s="88"/>
      <c r="BS10" s="88"/>
      <c r="BT10" s="87"/>
      <c r="BU10" s="88"/>
      <c r="BV10" s="88"/>
      <c r="BW10" s="88"/>
      <c r="BX10" s="88"/>
      <c r="BY10" s="87"/>
      <c r="BZ10" s="87"/>
      <c r="CA10" s="87"/>
      <c r="CB10" s="87"/>
      <c r="CC10" s="92"/>
    </row>
    <row r="11" s="45" customFormat="true" ht="15" hidden="false" customHeight="true" outlineLevel="0" collapsed="false">
      <c r="A11" s="93" t="s">
        <v>145</v>
      </c>
      <c r="B11" s="94"/>
      <c r="C11" s="95"/>
      <c r="D11" s="95"/>
      <c r="E11" s="96" t="n">
        <v>3</v>
      </c>
      <c r="F11" s="96" t="n">
        <v>1</v>
      </c>
      <c r="G11" s="96" t="n">
        <v>1</v>
      </c>
      <c r="H11" s="97" t="n">
        <v>1</v>
      </c>
      <c r="I11" s="97" t="n">
        <v>1</v>
      </c>
      <c r="J11" s="97" t="n">
        <v>2</v>
      </c>
      <c r="K11" s="97" t="n">
        <v>1</v>
      </c>
      <c r="L11" s="96" t="n">
        <v>5</v>
      </c>
      <c r="M11" s="97" t="n">
        <v>0</v>
      </c>
      <c r="N11" s="97" t="n">
        <v>1</v>
      </c>
      <c r="O11" s="97" t="n">
        <v>0</v>
      </c>
      <c r="P11" s="97" t="n">
        <v>0</v>
      </c>
      <c r="Q11" s="96" t="n">
        <v>1</v>
      </c>
      <c r="R11" s="97" t="n">
        <v>0</v>
      </c>
      <c r="S11" s="97" t="n">
        <v>2</v>
      </c>
      <c r="T11" s="97" t="n">
        <v>1</v>
      </c>
      <c r="U11" s="97" t="n">
        <v>1</v>
      </c>
      <c r="V11" s="96" t="n">
        <v>4</v>
      </c>
      <c r="W11" s="97" t="n">
        <v>0</v>
      </c>
      <c r="X11" s="97" t="n">
        <v>2</v>
      </c>
      <c r="Y11" s="97" t="n">
        <v>4</v>
      </c>
      <c r="Z11" s="97" t="n">
        <v>5</v>
      </c>
      <c r="AA11" s="96" t="n">
        <v>11</v>
      </c>
      <c r="AB11" s="97" t="n">
        <v>1</v>
      </c>
      <c r="AC11" s="97" t="n">
        <v>7</v>
      </c>
      <c r="AD11" s="97" t="n">
        <v>5</v>
      </c>
      <c r="AE11" s="97" t="n">
        <v>5</v>
      </c>
      <c r="AF11" s="96" t="n">
        <v>18</v>
      </c>
      <c r="AG11" s="98" t="n">
        <f aca="false">SUM(AG7:AG8)</f>
        <v>4</v>
      </c>
      <c r="AH11" s="98" t="n">
        <f aca="false">SUM(AH7:AH8)</f>
        <v>7</v>
      </c>
      <c r="AI11" s="97" t="n">
        <v>7</v>
      </c>
      <c r="AJ11" s="97" t="n">
        <v>8</v>
      </c>
      <c r="AK11" s="96" t="n">
        <v>26</v>
      </c>
      <c r="AL11" s="97" t="n">
        <v>2</v>
      </c>
      <c r="AM11" s="97" t="n">
        <v>7</v>
      </c>
      <c r="AN11" s="97" t="n">
        <v>14</v>
      </c>
      <c r="AO11" s="97" t="n">
        <v>8</v>
      </c>
      <c r="AP11" s="96" t="n">
        <v>31</v>
      </c>
      <c r="AQ11" s="97" t="n">
        <v>7</v>
      </c>
      <c r="AR11" s="97" t="n">
        <v>9</v>
      </c>
      <c r="AS11" s="97" t="n">
        <v>15</v>
      </c>
      <c r="AT11" s="97" t="n">
        <v>11</v>
      </c>
      <c r="AU11" s="96" t="n">
        <v>42</v>
      </c>
      <c r="AV11" s="97" t="n">
        <v>3</v>
      </c>
      <c r="AW11" s="97" t="n">
        <v>12</v>
      </c>
      <c r="AX11" s="97" t="n">
        <v>12</v>
      </c>
      <c r="AY11" s="97" t="n">
        <v>13</v>
      </c>
      <c r="AZ11" s="96" t="n">
        <v>40</v>
      </c>
      <c r="BA11" s="97" t="n">
        <v>17</v>
      </c>
      <c r="BB11" s="97" t="n">
        <v>12</v>
      </c>
      <c r="BC11" s="97" t="n">
        <v>11</v>
      </c>
      <c r="BD11" s="97" t="n">
        <v>13</v>
      </c>
      <c r="BE11" s="96" t="n">
        <v>53</v>
      </c>
      <c r="BF11" s="97" t="n">
        <v>11</v>
      </c>
      <c r="BG11" s="97" t="n">
        <v>8</v>
      </c>
      <c r="BH11" s="97" t="n">
        <v>11</v>
      </c>
      <c r="BI11" s="97" t="n">
        <v>14</v>
      </c>
      <c r="BJ11" s="96" t="n">
        <v>44</v>
      </c>
      <c r="BK11" s="97" t="n">
        <v>14</v>
      </c>
      <c r="BL11" s="97" t="n">
        <v>11</v>
      </c>
      <c r="BM11" s="97" t="n">
        <v>9</v>
      </c>
      <c r="BN11" s="97" t="n">
        <v>14</v>
      </c>
      <c r="BO11" s="99" t="n">
        <v>48</v>
      </c>
      <c r="BP11" s="97" t="n">
        <v>13</v>
      </c>
      <c r="BQ11" s="97" t="n">
        <v>13</v>
      </c>
      <c r="BR11" s="97" t="n">
        <v>15</v>
      </c>
      <c r="BS11" s="97" t="n">
        <v>15</v>
      </c>
      <c r="BT11" s="95" t="n">
        <f aca="false">SUM(BP11,BQ11,BR11,BS11)</f>
        <v>56</v>
      </c>
      <c r="BU11" s="97" t="n">
        <v>13</v>
      </c>
      <c r="BV11" s="97" t="n">
        <v>13</v>
      </c>
      <c r="BW11" s="97" t="n">
        <v>15</v>
      </c>
      <c r="BX11" s="97" t="n">
        <v>15</v>
      </c>
      <c r="BY11" s="95" t="n">
        <f aca="false">SUM(BU11,BV11,BW11,BX11)</f>
        <v>56</v>
      </c>
      <c r="BZ11" s="96" t="n">
        <v>65</v>
      </c>
      <c r="CA11" s="96" t="n">
        <v>65</v>
      </c>
      <c r="CB11" s="96" t="n">
        <v>65</v>
      </c>
      <c r="CC11" s="92"/>
    </row>
    <row r="12" s="45" customFormat="true" ht="15" hidden="false" customHeight="true" outlineLevel="0" collapsed="false">
      <c r="A12" s="100" t="s">
        <v>146</v>
      </c>
      <c r="B12" s="86"/>
      <c r="C12" s="87"/>
      <c r="D12" s="87"/>
      <c r="E12" s="90" t="n">
        <v>101</v>
      </c>
      <c r="F12" s="90" t="n">
        <v>72</v>
      </c>
      <c r="G12" s="90" t="n">
        <v>77</v>
      </c>
      <c r="H12" s="89" t="n">
        <v>19</v>
      </c>
      <c r="I12" s="89" t="n">
        <v>24</v>
      </c>
      <c r="J12" s="89" t="n">
        <v>13</v>
      </c>
      <c r="K12" s="89" t="n">
        <v>20</v>
      </c>
      <c r="L12" s="90" t="n">
        <v>76</v>
      </c>
      <c r="M12" s="89" t="n">
        <v>23</v>
      </c>
      <c r="N12" s="89" t="n">
        <v>19</v>
      </c>
      <c r="O12" s="89" t="n">
        <v>14</v>
      </c>
      <c r="P12" s="89" t="n">
        <v>11</v>
      </c>
      <c r="Q12" s="90" t="n">
        <v>67</v>
      </c>
      <c r="R12" s="89" t="n">
        <v>15</v>
      </c>
      <c r="S12" s="89" t="n">
        <v>19</v>
      </c>
      <c r="T12" s="89" t="n">
        <v>19</v>
      </c>
      <c r="U12" s="89" t="n">
        <v>17</v>
      </c>
      <c r="V12" s="90" t="n">
        <v>70</v>
      </c>
      <c r="W12" s="89" t="n">
        <v>18</v>
      </c>
      <c r="X12" s="89" t="n">
        <v>16</v>
      </c>
      <c r="Y12" s="89" t="n">
        <v>22</v>
      </c>
      <c r="Z12" s="89" t="n">
        <v>20</v>
      </c>
      <c r="AA12" s="90" t="n">
        <v>76</v>
      </c>
      <c r="AB12" s="89" t="n">
        <v>21</v>
      </c>
      <c r="AC12" s="89" t="n">
        <v>19</v>
      </c>
      <c r="AD12" s="89" t="n">
        <v>22</v>
      </c>
      <c r="AE12" s="89" t="n">
        <v>24</v>
      </c>
      <c r="AF12" s="90" t="n">
        <v>86</v>
      </c>
      <c r="AG12" s="89" t="n">
        <v>17</v>
      </c>
      <c r="AH12" s="89" t="n">
        <v>13</v>
      </c>
      <c r="AI12" s="89" t="n">
        <v>21</v>
      </c>
      <c r="AJ12" s="89" t="n">
        <v>31</v>
      </c>
      <c r="AK12" s="90" t="n">
        <v>82</v>
      </c>
      <c r="AL12" s="89" t="n">
        <v>16</v>
      </c>
      <c r="AM12" s="89" t="n">
        <v>17</v>
      </c>
      <c r="AN12" s="89" t="n">
        <v>11</v>
      </c>
      <c r="AO12" s="89" t="n">
        <v>24</v>
      </c>
      <c r="AP12" s="90" t="n">
        <v>68</v>
      </c>
      <c r="AQ12" s="89" t="n">
        <v>24</v>
      </c>
      <c r="AR12" s="89" t="n">
        <v>16</v>
      </c>
      <c r="AS12" s="89" t="n">
        <v>21</v>
      </c>
      <c r="AT12" s="89" t="n">
        <v>20</v>
      </c>
      <c r="AU12" s="90" t="n">
        <v>81</v>
      </c>
      <c r="AV12" s="89" t="n">
        <v>18</v>
      </c>
      <c r="AW12" s="89" t="n">
        <v>21</v>
      </c>
      <c r="AX12" s="89" t="n">
        <v>20</v>
      </c>
      <c r="AY12" s="89" t="n">
        <v>22</v>
      </c>
      <c r="AZ12" s="90" t="n">
        <v>81</v>
      </c>
      <c r="BA12" s="89" t="n">
        <v>25</v>
      </c>
      <c r="BB12" s="89" t="n">
        <v>39</v>
      </c>
      <c r="BC12" s="89" t="n">
        <v>32</v>
      </c>
      <c r="BD12" s="89" t="n">
        <v>29</v>
      </c>
      <c r="BE12" s="90" t="n">
        <v>125</v>
      </c>
      <c r="BF12" s="89" t="n">
        <v>20</v>
      </c>
      <c r="BG12" s="89" t="n">
        <v>32</v>
      </c>
      <c r="BH12" s="89" t="n">
        <v>38</v>
      </c>
      <c r="BI12" s="89" t="n">
        <v>39</v>
      </c>
      <c r="BJ12" s="90" t="n">
        <v>129</v>
      </c>
      <c r="BK12" s="89" t="n">
        <v>25</v>
      </c>
      <c r="BL12" s="89" t="n">
        <v>31</v>
      </c>
      <c r="BM12" s="89" t="n">
        <v>38</v>
      </c>
      <c r="BN12" s="89" t="n">
        <v>37</v>
      </c>
      <c r="BO12" s="101" t="n">
        <v>131</v>
      </c>
      <c r="BP12" s="89" t="n">
        <v>20</v>
      </c>
      <c r="BQ12" s="89" t="n">
        <v>20</v>
      </c>
      <c r="BR12" s="89" t="n">
        <v>21</v>
      </c>
      <c r="BS12" s="89" t="n">
        <v>20</v>
      </c>
      <c r="BT12" s="87" t="n">
        <f aca="false">SUM(BP12,BQ12,BR12,BS12)</f>
        <v>81</v>
      </c>
      <c r="BU12" s="89" t="n">
        <v>20</v>
      </c>
      <c r="BV12" s="89" t="n">
        <v>20</v>
      </c>
      <c r="BW12" s="89" t="n">
        <v>21</v>
      </c>
      <c r="BX12" s="89" t="n">
        <v>20</v>
      </c>
      <c r="BY12" s="87" t="n">
        <f aca="false">SUM(BU12,BV12,BW12,BX12)</f>
        <v>81</v>
      </c>
      <c r="BZ12" s="90" t="n">
        <v>80</v>
      </c>
      <c r="CA12" s="90" t="n">
        <v>80</v>
      </c>
      <c r="CB12" s="90" t="n">
        <v>80</v>
      </c>
      <c r="CC12" s="92"/>
    </row>
    <row r="13" s="45" customFormat="true" ht="15" hidden="false" customHeight="true" outlineLevel="0" collapsed="false">
      <c r="A13" s="100" t="s">
        <v>147</v>
      </c>
      <c r="B13" s="86"/>
      <c r="C13" s="87"/>
      <c r="D13" s="87"/>
      <c r="E13" s="90" t="n">
        <v>11</v>
      </c>
      <c r="F13" s="90" t="n">
        <v>4</v>
      </c>
      <c r="G13" s="90" t="n">
        <v>2</v>
      </c>
      <c r="H13" s="89" t="n">
        <v>0</v>
      </c>
      <c r="I13" s="89" t="n">
        <v>2</v>
      </c>
      <c r="J13" s="89" t="n">
        <v>0</v>
      </c>
      <c r="K13" s="89" t="n">
        <v>1</v>
      </c>
      <c r="L13" s="90" t="n">
        <v>3</v>
      </c>
      <c r="M13" s="89" t="n">
        <v>2</v>
      </c>
      <c r="N13" s="89" t="n">
        <v>2</v>
      </c>
      <c r="O13" s="89" t="n">
        <v>2</v>
      </c>
      <c r="P13" s="89" t="n">
        <v>3</v>
      </c>
      <c r="Q13" s="90" t="n">
        <v>9</v>
      </c>
      <c r="R13" s="89" t="n">
        <v>2</v>
      </c>
      <c r="S13" s="89" t="n">
        <v>2</v>
      </c>
      <c r="T13" s="89" t="n">
        <v>1</v>
      </c>
      <c r="U13" s="89" t="n">
        <v>1</v>
      </c>
      <c r="V13" s="90" t="n">
        <v>6</v>
      </c>
      <c r="W13" s="89" t="n">
        <v>4</v>
      </c>
      <c r="X13" s="89" t="n">
        <v>3</v>
      </c>
      <c r="Y13" s="89" t="n">
        <v>2</v>
      </c>
      <c r="Z13" s="89" t="n">
        <v>5</v>
      </c>
      <c r="AA13" s="90" t="n">
        <v>14</v>
      </c>
      <c r="AB13" s="89" t="n">
        <v>3</v>
      </c>
      <c r="AC13" s="89" t="n">
        <v>5</v>
      </c>
      <c r="AD13" s="89" t="n">
        <v>3</v>
      </c>
      <c r="AE13" s="89" t="n">
        <v>5</v>
      </c>
      <c r="AF13" s="90" t="n">
        <v>16</v>
      </c>
      <c r="AG13" s="89" t="n">
        <v>4</v>
      </c>
      <c r="AH13" s="89" t="n">
        <v>3</v>
      </c>
      <c r="AI13" s="89" t="n">
        <v>9</v>
      </c>
      <c r="AJ13" s="89" t="n">
        <v>6</v>
      </c>
      <c r="AK13" s="90" t="n">
        <v>22</v>
      </c>
      <c r="AL13" s="89" t="n">
        <v>6</v>
      </c>
      <c r="AM13" s="89" t="n">
        <v>7</v>
      </c>
      <c r="AN13" s="89" t="n">
        <v>2</v>
      </c>
      <c r="AO13" s="89" t="n">
        <v>7</v>
      </c>
      <c r="AP13" s="90" t="n">
        <v>22</v>
      </c>
      <c r="AQ13" s="89" t="n">
        <v>4</v>
      </c>
      <c r="AR13" s="89" t="n">
        <v>7</v>
      </c>
      <c r="AS13" s="89" t="n">
        <v>6</v>
      </c>
      <c r="AT13" s="89" t="n">
        <v>5</v>
      </c>
      <c r="AU13" s="90" t="n">
        <v>22</v>
      </c>
      <c r="AV13" s="89" t="n">
        <v>6</v>
      </c>
      <c r="AW13" s="89" t="n">
        <v>8</v>
      </c>
      <c r="AX13" s="89" t="n">
        <v>6</v>
      </c>
      <c r="AY13" s="89" t="n">
        <v>8</v>
      </c>
      <c r="AZ13" s="90" t="n">
        <v>28</v>
      </c>
      <c r="BA13" s="89" t="n">
        <v>7</v>
      </c>
      <c r="BB13" s="89" t="n">
        <v>6</v>
      </c>
      <c r="BC13" s="89" t="n">
        <v>9</v>
      </c>
      <c r="BD13" s="89" t="n">
        <v>10</v>
      </c>
      <c r="BE13" s="90" t="n">
        <v>32</v>
      </c>
      <c r="BF13" s="89" t="n">
        <v>4</v>
      </c>
      <c r="BG13" s="89" t="n">
        <v>11</v>
      </c>
      <c r="BH13" s="89" t="n">
        <v>7</v>
      </c>
      <c r="BI13" s="89" t="n">
        <v>6</v>
      </c>
      <c r="BJ13" s="90" t="n">
        <v>28</v>
      </c>
      <c r="BK13" s="89" t="n">
        <v>3</v>
      </c>
      <c r="BL13" s="89" t="n">
        <v>4</v>
      </c>
      <c r="BM13" s="89" t="n">
        <v>4</v>
      </c>
      <c r="BN13" s="89" t="n">
        <v>5</v>
      </c>
      <c r="BO13" s="101" t="n">
        <v>16</v>
      </c>
      <c r="BP13" s="89" t="n">
        <v>8</v>
      </c>
      <c r="BQ13" s="89" t="n">
        <v>8</v>
      </c>
      <c r="BR13" s="89" t="n">
        <v>8</v>
      </c>
      <c r="BS13" s="89" t="n">
        <v>8</v>
      </c>
      <c r="BT13" s="87" t="n">
        <f aca="false">SUM(BP13,BQ13,BR13,BS13)</f>
        <v>32</v>
      </c>
      <c r="BU13" s="89" t="n">
        <v>8</v>
      </c>
      <c r="BV13" s="89" t="n">
        <v>8</v>
      </c>
      <c r="BW13" s="89" t="n">
        <v>8</v>
      </c>
      <c r="BX13" s="89" t="n">
        <v>8</v>
      </c>
      <c r="BY13" s="87" t="n">
        <f aca="false">SUM(BU13,BV13,BW13,BX13)</f>
        <v>32</v>
      </c>
      <c r="BZ13" s="90" t="n">
        <v>32</v>
      </c>
      <c r="CA13" s="90" t="n">
        <v>32</v>
      </c>
      <c r="CB13" s="90" t="n">
        <v>32</v>
      </c>
      <c r="CC13" s="92"/>
    </row>
    <row r="14" s="45" customFormat="true" ht="15" hidden="false" customHeight="true" outlineLevel="0" collapsed="false">
      <c r="A14" s="100" t="s">
        <v>148</v>
      </c>
      <c r="B14" s="86"/>
      <c r="C14" s="87"/>
      <c r="D14" s="87"/>
      <c r="E14" s="90" t="n">
        <v>87</v>
      </c>
      <c r="F14" s="90" t="n">
        <v>78</v>
      </c>
      <c r="G14" s="90" t="n">
        <v>64</v>
      </c>
      <c r="H14" s="89" t="n">
        <v>17</v>
      </c>
      <c r="I14" s="89" t="n">
        <v>2</v>
      </c>
      <c r="J14" s="89" t="n">
        <v>10</v>
      </c>
      <c r="K14" s="89" t="n">
        <v>10</v>
      </c>
      <c r="L14" s="90" t="n">
        <v>38</v>
      </c>
      <c r="M14" s="89" t="n">
        <v>16</v>
      </c>
      <c r="N14" s="89" t="n">
        <v>14</v>
      </c>
      <c r="O14" s="89" t="n">
        <v>24</v>
      </c>
      <c r="P14" s="89" t="n">
        <v>20</v>
      </c>
      <c r="Q14" s="90" t="n">
        <v>74</v>
      </c>
      <c r="R14" s="89" t="n">
        <v>12</v>
      </c>
      <c r="S14" s="89" t="n">
        <v>16</v>
      </c>
      <c r="T14" s="89" t="n">
        <v>14</v>
      </c>
      <c r="U14" s="89" t="n">
        <v>15</v>
      </c>
      <c r="V14" s="90" t="n">
        <v>57</v>
      </c>
      <c r="W14" s="89" t="n">
        <v>19</v>
      </c>
      <c r="X14" s="89" t="n">
        <v>14</v>
      </c>
      <c r="Y14" s="89" t="n">
        <v>18</v>
      </c>
      <c r="Z14" s="89" t="n">
        <v>20</v>
      </c>
      <c r="AA14" s="90" t="n">
        <v>71</v>
      </c>
      <c r="AB14" s="89" t="n">
        <v>19</v>
      </c>
      <c r="AC14" s="89" t="n">
        <v>19</v>
      </c>
      <c r="AD14" s="89" t="n">
        <v>18</v>
      </c>
      <c r="AE14" s="89" t="n">
        <v>22</v>
      </c>
      <c r="AF14" s="90" t="n">
        <v>78</v>
      </c>
      <c r="AG14" s="89" t="n">
        <v>14</v>
      </c>
      <c r="AH14" s="89" t="n">
        <v>19</v>
      </c>
      <c r="AI14" s="89" t="n">
        <v>14</v>
      </c>
      <c r="AJ14" s="89" t="n">
        <v>18</v>
      </c>
      <c r="AK14" s="90" t="n">
        <v>65</v>
      </c>
      <c r="AL14" s="89" t="n">
        <v>22</v>
      </c>
      <c r="AM14" s="89" t="n">
        <v>23</v>
      </c>
      <c r="AN14" s="89" t="n">
        <v>23</v>
      </c>
      <c r="AO14" s="89" t="n">
        <v>35</v>
      </c>
      <c r="AP14" s="90" t="n">
        <v>103</v>
      </c>
      <c r="AQ14" s="89" t="n">
        <v>35</v>
      </c>
      <c r="AR14" s="89" t="n">
        <v>31</v>
      </c>
      <c r="AS14" s="89" t="n">
        <v>30</v>
      </c>
      <c r="AT14" s="89" t="n">
        <v>35</v>
      </c>
      <c r="AU14" s="90" t="n">
        <v>131</v>
      </c>
      <c r="AV14" s="89" t="n">
        <v>26</v>
      </c>
      <c r="AW14" s="89" t="n">
        <v>38</v>
      </c>
      <c r="AX14" s="89" t="n">
        <v>38</v>
      </c>
      <c r="AY14" s="89" t="n">
        <v>49</v>
      </c>
      <c r="AZ14" s="90" t="n">
        <v>151</v>
      </c>
      <c r="BA14" s="89" t="n">
        <v>43</v>
      </c>
      <c r="BB14" s="89" t="n">
        <v>43</v>
      </c>
      <c r="BC14" s="89" t="n">
        <v>44</v>
      </c>
      <c r="BD14" s="89" t="n">
        <v>54</v>
      </c>
      <c r="BE14" s="90" t="n">
        <v>184</v>
      </c>
      <c r="BF14" s="89" t="n">
        <v>25</v>
      </c>
      <c r="BG14" s="89" t="n">
        <v>33</v>
      </c>
      <c r="BH14" s="89" t="n">
        <v>42</v>
      </c>
      <c r="BI14" s="89" t="n">
        <v>52</v>
      </c>
      <c r="BJ14" s="90" t="n">
        <v>152</v>
      </c>
      <c r="BK14" s="89" t="n">
        <v>22</v>
      </c>
      <c r="BL14" s="89" t="n">
        <v>16</v>
      </c>
      <c r="BM14" s="89" t="n">
        <v>11</v>
      </c>
      <c r="BN14" s="89" t="n">
        <v>29</v>
      </c>
      <c r="BO14" s="101" t="n">
        <v>78</v>
      </c>
      <c r="BP14" s="89" t="n">
        <v>40</v>
      </c>
      <c r="BQ14" s="89" t="n">
        <v>40</v>
      </c>
      <c r="BR14" s="89" t="n">
        <v>40</v>
      </c>
      <c r="BS14" s="89" t="n">
        <v>40</v>
      </c>
      <c r="BT14" s="87" t="n">
        <f aca="false">SUM(BP14,BQ14,BR14,BS14)</f>
        <v>160</v>
      </c>
      <c r="BU14" s="89" t="n">
        <v>40</v>
      </c>
      <c r="BV14" s="89" t="n">
        <v>40</v>
      </c>
      <c r="BW14" s="89" t="n">
        <v>40</v>
      </c>
      <c r="BX14" s="89" t="n">
        <v>40</v>
      </c>
      <c r="BY14" s="87" t="n">
        <f aca="false">SUM(BU14,BV14,BW14,BX14)</f>
        <v>160</v>
      </c>
      <c r="BZ14" s="90" t="n">
        <v>160</v>
      </c>
      <c r="CA14" s="90" t="n">
        <v>160</v>
      </c>
      <c r="CB14" s="90" t="n">
        <v>160</v>
      </c>
      <c r="CC14" s="92"/>
    </row>
    <row r="15" s="45" customFormat="true" ht="15" hidden="false" customHeight="true" outlineLevel="0" collapsed="false">
      <c r="A15" s="102" t="s">
        <v>149</v>
      </c>
      <c r="B15" s="103"/>
      <c r="C15" s="104"/>
      <c r="D15" s="104"/>
      <c r="E15" s="105" t="n">
        <v>20</v>
      </c>
      <c r="F15" s="105" t="n">
        <v>15</v>
      </c>
      <c r="G15" s="105" t="n">
        <v>13</v>
      </c>
      <c r="H15" s="106" t="n">
        <v>3</v>
      </c>
      <c r="I15" s="106" t="n">
        <v>2</v>
      </c>
      <c r="J15" s="106" t="n">
        <v>5</v>
      </c>
      <c r="K15" s="106" t="n">
        <v>3</v>
      </c>
      <c r="L15" s="105" t="n">
        <v>14</v>
      </c>
      <c r="M15" s="106" t="n">
        <v>6</v>
      </c>
      <c r="N15" s="106" t="n">
        <v>5</v>
      </c>
      <c r="O15" s="106" t="n">
        <v>4</v>
      </c>
      <c r="P15" s="106" t="n">
        <v>3</v>
      </c>
      <c r="Q15" s="105" t="n">
        <v>18</v>
      </c>
      <c r="R15" s="106" t="n">
        <v>4</v>
      </c>
      <c r="S15" s="106" t="n">
        <v>7</v>
      </c>
      <c r="T15" s="106" t="n">
        <v>5</v>
      </c>
      <c r="U15" s="106" t="n">
        <v>4</v>
      </c>
      <c r="V15" s="105" t="n">
        <v>20</v>
      </c>
      <c r="W15" s="106" t="n">
        <v>3</v>
      </c>
      <c r="X15" s="106" t="n">
        <v>7</v>
      </c>
      <c r="Y15" s="106" t="n">
        <v>9</v>
      </c>
      <c r="Z15" s="106" t="n">
        <v>7</v>
      </c>
      <c r="AA15" s="105" t="n">
        <v>26</v>
      </c>
      <c r="AB15" s="106" t="n">
        <v>5</v>
      </c>
      <c r="AC15" s="106" t="n">
        <v>8</v>
      </c>
      <c r="AD15" s="106" t="n">
        <v>5</v>
      </c>
      <c r="AE15" s="106" t="n">
        <v>8</v>
      </c>
      <c r="AF15" s="105" t="n">
        <v>26</v>
      </c>
      <c r="AG15" s="106" t="n">
        <v>9</v>
      </c>
      <c r="AH15" s="106" t="n">
        <v>6</v>
      </c>
      <c r="AI15" s="106" t="n">
        <v>6</v>
      </c>
      <c r="AJ15" s="106" t="n">
        <v>13</v>
      </c>
      <c r="AK15" s="105" t="n">
        <v>34</v>
      </c>
      <c r="AL15" s="106" t="n">
        <v>11</v>
      </c>
      <c r="AM15" s="106" t="n">
        <v>7</v>
      </c>
      <c r="AN15" s="106" t="n">
        <v>10</v>
      </c>
      <c r="AO15" s="106" t="n">
        <v>6</v>
      </c>
      <c r="AP15" s="105" t="n">
        <v>34</v>
      </c>
      <c r="AQ15" s="106" t="n">
        <v>6</v>
      </c>
      <c r="AR15" s="106" t="n">
        <v>9</v>
      </c>
      <c r="AS15" s="106" t="n">
        <v>7</v>
      </c>
      <c r="AT15" s="106" t="n">
        <v>11</v>
      </c>
      <c r="AU15" s="105" t="n">
        <v>33</v>
      </c>
      <c r="AV15" s="106" t="n">
        <v>9</v>
      </c>
      <c r="AW15" s="106" t="n">
        <v>12</v>
      </c>
      <c r="AX15" s="106" t="n">
        <v>10</v>
      </c>
      <c r="AY15" s="106" t="n">
        <v>14</v>
      </c>
      <c r="AZ15" s="105" t="n">
        <v>45</v>
      </c>
      <c r="BA15" s="106" t="n">
        <v>8</v>
      </c>
      <c r="BB15" s="106" t="n">
        <v>13</v>
      </c>
      <c r="BC15" s="106" t="n">
        <v>16</v>
      </c>
      <c r="BD15" s="106" t="n">
        <v>18</v>
      </c>
      <c r="BE15" s="105" t="n">
        <v>55</v>
      </c>
      <c r="BF15" s="106" t="n">
        <v>10</v>
      </c>
      <c r="BG15" s="106" t="n">
        <v>16</v>
      </c>
      <c r="BH15" s="106" t="n">
        <v>18</v>
      </c>
      <c r="BI15" s="106" t="n">
        <v>21</v>
      </c>
      <c r="BJ15" s="105" t="n">
        <v>65</v>
      </c>
      <c r="BK15" s="106" t="n">
        <v>13</v>
      </c>
      <c r="BL15" s="106" t="n">
        <v>14</v>
      </c>
      <c r="BM15" s="106" t="n">
        <v>10</v>
      </c>
      <c r="BN15" s="106" t="n">
        <v>17</v>
      </c>
      <c r="BO15" s="107" t="n">
        <v>54</v>
      </c>
      <c r="BP15" s="106" t="n">
        <v>8</v>
      </c>
      <c r="BQ15" s="106" t="n">
        <v>8</v>
      </c>
      <c r="BR15" s="106" t="n">
        <v>8</v>
      </c>
      <c r="BS15" s="106" t="n">
        <v>8</v>
      </c>
      <c r="BT15" s="104" t="n">
        <f aca="false">SUM(BP15,BQ15,BR15,BS15)</f>
        <v>32</v>
      </c>
      <c r="BU15" s="106" t="n">
        <v>8</v>
      </c>
      <c r="BV15" s="106" t="n">
        <v>8</v>
      </c>
      <c r="BW15" s="106" t="n">
        <v>8</v>
      </c>
      <c r="BX15" s="106" t="n">
        <v>8</v>
      </c>
      <c r="BY15" s="104" t="n">
        <f aca="false">SUM(BU15,BV15,BW15,BX15)</f>
        <v>32</v>
      </c>
      <c r="BZ15" s="105" t="n">
        <v>32</v>
      </c>
      <c r="CA15" s="105" t="n">
        <v>32</v>
      </c>
      <c r="CB15" s="105" t="n">
        <v>32</v>
      </c>
      <c r="CC15" s="92"/>
    </row>
    <row r="16" s="115" customFormat="true" ht="15" hidden="false" customHeight="true" outlineLevel="0" collapsed="false">
      <c r="A16" s="108" t="s">
        <v>150</v>
      </c>
      <c r="B16" s="109"/>
      <c r="C16" s="110" t="n">
        <v>70</v>
      </c>
      <c r="D16" s="110" t="n">
        <v>197</v>
      </c>
      <c r="E16" s="111" t="n">
        <f aca="false">SUM(E11:E15)</f>
        <v>222</v>
      </c>
      <c r="F16" s="111" t="n">
        <f aca="false">SUM(F11:F15)</f>
        <v>170</v>
      </c>
      <c r="G16" s="111" t="n">
        <f aca="false">SUM(G11:G15)</f>
        <v>157</v>
      </c>
      <c r="H16" s="112" t="n">
        <f aca="false">SUM(H11:H15)</f>
        <v>40</v>
      </c>
      <c r="I16" s="112" t="n">
        <f aca="false">SUM(I11:I15)</f>
        <v>31</v>
      </c>
      <c r="J16" s="112" t="n">
        <f aca="false">SUM(J11:J15)</f>
        <v>30</v>
      </c>
      <c r="K16" s="112" t="n">
        <f aca="false">SUM(K11:K15)</f>
        <v>35</v>
      </c>
      <c r="L16" s="111" t="n">
        <f aca="false">SUM(L11:L15)</f>
        <v>136</v>
      </c>
      <c r="M16" s="112" t="n">
        <f aca="false">SUM(M11:M15)</f>
        <v>47</v>
      </c>
      <c r="N16" s="112" t="n">
        <f aca="false">SUM(N11:N15)</f>
        <v>41</v>
      </c>
      <c r="O16" s="112" t="n">
        <f aca="false">SUM(O11:O15)</f>
        <v>44</v>
      </c>
      <c r="P16" s="112" t="n">
        <f aca="false">SUM(P11:P15)</f>
        <v>37</v>
      </c>
      <c r="Q16" s="111" t="n">
        <f aca="false">SUM(Q11:Q15)</f>
        <v>169</v>
      </c>
      <c r="R16" s="112" t="n">
        <f aca="false">SUM(R11:R15)</f>
        <v>33</v>
      </c>
      <c r="S16" s="112" t="n">
        <f aca="false">SUM(S11:S15)</f>
        <v>46</v>
      </c>
      <c r="T16" s="112" t="n">
        <f aca="false">SUM(T11:T15)</f>
        <v>40</v>
      </c>
      <c r="U16" s="112" t="n">
        <f aca="false">SUM(U11:U15)</f>
        <v>38</v>
      </c>
      <c r="V16" s="111" t="n">
        <f aca="false">SUM(V11:V15)</f>
        <v>157</v>
      </c>
      <c r="W16" s="112" t="n">
        <f aca="false">SUM(W11:W15)</f>
        <v>44</v>
      </c>
      <c r="X16" s="112" t="n">
        <f aca="false">SUM(X11:X15)</f>
        <v>42</v>
      </c>
      <c r="Y16" s="112" t="n">
        <f aca="false">SUM(Y11:Y15)</f>
        <v>55</v>
      </c>
      <c r="Z16" s="112" t="n">
        <f aca="false">SUM(Z11:Z15)</f>
        <v>57</v>
      </c>
      <c r="AA16" s="111" t="n">
        <f aca="false">SUM(AA11:AA15)</f>
        <v>198</v>
      </c>
      <c r="AB16" s="112" t="n">
        <f aca="false">SUM(AB11:AB15)</f>
        <v>49</v>
      </c>
      <c r="AC16" s="112" t="n">
        <f aca="false">SUM(AC11:AC15)</f>
        <v>58</v>
      </c>
      <c r="AD16" s="112" t="n">
        <f aca="false">SUM(AD11:AD15)</f>
        <v>53</v>
      </c>
      <c r="AE16" s="112" t="n">
        <f aca="false">SUM(AE11:AE15)</f>
        <v>64</v>
      </c>
      <c r="AF16" s="111" t="n">
        <f aca="false">SUM(AF11:AF15)</f>
        <v>224</v>
      </c>
      <c r="AG16" s="112" t="n">
        <f aca="false">SUM(AG11:AG15)</f>
        <v>48</v>
      </c>
      <c r="AH16" s="112" t="n">
        <f aca="false">SUM(AH11:AH15)</f>
        <v>48</v>
      </c>
      <c r="AI16" s="112" t="n">
        <f aca="false">SUM(AI11:AI15)</f>
        <v>57</v>
      </c>
      <c r="AJ16" s="112" t="n">
        <f aca="false">SUM(AJ11:AJ15)</f>
        <v>76</v>
      </c>
      <c r="AK16" s="111" t="n">
        <f aca="false">SUM(AK11:AK15)</f>
        <v>229</v>
      </c>
      <c r="AL16" s="112" t="n">
        <f aca="false">SUM(AL11:AL15)</f>
        <v>57</v>
      </c>
      <c r="AM16" s="112" t="n">
        <f aca="false">SUM(AM11:AM15)</f>
        <v>61</v>
      </c>
      <c r="AN16" s="112" t="n">
        <f aca="false">SUM(AN11:AN15)</f>
        <v>60</v>
      </c>
      <c r="AO16" s="112" t="n">
        <f aca="false">SUM(AO11:AO15)</f>
        <v>80</v>
      </c>
      <c r="AP16" s="111" t="n">
        <f aca="false">SUM(AP11:AP15)</f>
        <v>258</v>
      </c>
      <c r="AQ16" s="112" t="n">
        <f aca="false">SUM(AQ11:AQ15)</f>
        <v>76</v>
      </c>
      <c r="AR16" s="112" t="n">
        <f aca="false">SUM(AR11:AR15)</f>
        <v>72</v>
      </c>
      <c r="AS16" s="112" t="n">
        <f aca="false">SUM(AS11:AS15)</f>
        <v>79</v>
      </c>
      <c r="AT16" s="112" t="n">
        <f aca="false">SUM(AT11:AT15)</f>
        <v>82</v>
      </c>
      <c r="AU16" s="111" t="n">
        <f aca="false">SUM(AU11:AU15)</f>
        <v>309</v>
      </c>
      <c r="AV16" s="112" t="n">
        <f aca="false">SUM(AV11:AV15)</f>
        <v>62</v>
      </c>
      <c r="AW16" s="112" t="n">
        <f aca="false">SUM(AW11:AW15)</f>
        <v>91</v>
      </c>
      <c r="AX16" s="112" t="n">
        <f aca="false">SUM(AX11:AX15)</f>
        <v>86</v>
      </c>
      <c r="AY16" s="112" t="n">
        <f aca="false">SUM(AY11:AY15)</f>
        <v>106</v>
      </c>
      <c r="AZ16" s="111" t="n">
        <f aca="false">SUM(AZ11:AZ15)</f>
        <v>345</v>
      </c>
      <c r="BA16" s="112" t="n">
        <f aca="false">SUM(BA11:BA15)</f>
        <v>100</v>
      </c>
      <c r="BB16" s="112" t="n">
        <f aca="false">SUM(BB11:BB15)</f>
        <v>113</v>
      </c>
      <c r="BC16" s="112" t="n">
        <f aca="false">SUM(BC11:BC15)</f>
        <v>112</v>
      </c>
      <c r="BD16" s="112" t="n">
        <f aca="false">SUM(BD11:BD15)</f>
        <v>124</v>
      </c>
      <c r="BE16" s="111" t="n">
        <f aca="false">SUM(BE11:BE15)</f>
        <v>449</v>
      </c>
      <c r="BF16" s="112" t="n">
        <f aca="false">SUM(BF11:BF15)</f>
        <v>70</v>
      </c>
      <c r="BG16" s="112" t="n">
        <f aca="false">SUM(BG11:BG15)</f>
        <v>100</v>
      </c>
      <c r="BH16" s="112" t="n">
        <f aca="false">SUM(BH11:BH15)</f>
        <v>116</v>
      </c>
      <c r="BI16" s="112" t="n">
        <f aca="false">SUM(BI11:BI15)</f>
        <v>132</v>
      </c>
      <c r="BJ16" s="111" t="n">
        <f aca="false">SUM(BJ11:BJ15)</f>
        <v>418</v>
      </c>
      <c r="BK16" s="112" t="n">
        <f aca="false">SUM(BK11:BK15)</f>
        <v>77</v>
      </c>
      <c r="BL16" s="112" t="n">
        <f aca="false">SUM(BL11:BL15)</f>
        <v>76</v>
      </c>
      <c r="BM16" s="112" t="n">
        <f aca="false">SUM(BM11:BM15)</f>
        <v>72</v>
      </c>
      <c r="BN16" s="112" t="n">
        <f aca="false">SUM(BN11:BN15)</f>
        <v>102</v>
      </c>
      <c r="BO16" s="113" t="n">
        <f aca="false">SUM(BO11:BO15)</f>
        <v>327</v>
      </c>
      <c r="BP16" s="112" t="n">
        <f aca="false">SUM(BP11:BP15)</f>
        <v>89</v>
      </c>
      <c r="BQ16" s="112" t="n">
        <f aca="false">SUM(BQ11:BQ15)</f>
        <v>89</v>
      </c>
      <c r="BR16" s="112" t="n">
        <f aca="false">SUM(BR11:BR15)</f>
        <v>92</v>
      </c>
      <c r="BS16" s="112" t="n">
        <f aca="false">SUM(BS11:BS15)</f>
        <v>91</v>
      </c>
      <c r="BT16" s="111" t="n">
        <f aca="false">SUM(BT11:BT15)</f>
        <v>361</v>
      </c>
      <c r="BU16" s="112" t="n">
        <f aca="false">SUM(BU11:BU15)</f>
        <v>89</v>
      </c>
      <c r="BV16" s="112" t="n">
        <f aca="false">SUM(BV11:BV15)</f>
        <v>89</v>
      </c>
      <c r="BW16" s="112" t="n">
        <f aca="false">SUM(BW11:BW15)</f>
        <v>92</v>
      </c>
      <c r="BX16" s="112" t="n">
        <f aca="false">SUM(BX11:BX15)</f>
        <v>91</v>
      </c>
      <c r="BY16" s="111" t="n">
        <f aca="false">SUM(BY11:BY15)</f>
        <v>361</v>
      </c>
      <c r="BZ16" s="111" t="n">
        <f aca="false">SUM(BZ11:BZ15)</f>
        <v>369</v>
      </c>
      <c r="CA16" s="111" t="n">
        <f aca="false">SUM(CA11:CA15)</f>
        <v>369</v>
      </c>
      <c r="CB16" s="111" t="n">
        <f aca="false">SUM(CB11:CB15)</f>
        <v>369</v>
      </c>
      <c r="CC16" s="114"/>
    </row>
    <row r="17" s="45" customFormat="true" ht="15" hidden="false" customHeight="true" outlineLevel="0" collapsed="false">
      <c r="A17" s="116" t="s">
        <v>151</v>
      </c>
      <c r="B17" s="103"/>
      <c r="C17" s="104"/>
      <c r="D17" s="104"/>
      <c r="E17" s="104"/>
      <c r="F17" s="104"/>
      <c r="G17" s="104"/>
      <c r="H17" s="117"/>
      <c r="I17" s="117"/>
      <c r="J17" s="117"/>
      <c r="K17" s="117"/>
      <c r="L17" s="104"/>
      <c r="M17" s="117"/>
      <c r="N17" s="117"/>
      <c r="O17" s="117"/>
      <c r="P17" s="117"/>
      <c r="Q17" s="105" t="n">
        <v>45</v>
      </c>
      <c r="R17" s="117"/>
      <c r="S17" s="117"/>
      <c r="T17" s="117"/>
      <c r="U17" s="117"/>
      <c r="V17" s="105" t="n">
        <v>55</v>
      </c>
      <c r="W17" s="117"/>
      <c r="X17" s="117"/>
      <c r="Y17" s="117"/>
      <c r="Z17" s="117"/>
      <c r="AA17" s="105" t="n">
        <v>95</v>
      </c>
      <c r="AB17" s="117"/>
      <c r="AC17" s="117"/>
      <c r="AD17" s="117"/>
      <c r="AE17" s="117"/>
      <c r="AF17" s="105" t="n">
        <v>114</v>
      </c>
      <c r="AG17" s="117"/>
      <c r="AH17" s="117"/>
      <c r="AI17" s="117"/>
      <c r="AJ17" s="117"/>
      <c r="AK17" s="105" t="n">
        <v>115</v>
      </c>
      <c r="AL17" s="117"/>
      <c r="AM17" s="117"/>
      <c r="AN17" s="117"/>
      <c r="AO17" s="117"/>
      <c r="AP17" s="105" t="n">
        <v>137</v>
      </c>
      <c r="AQ17" s="117"/>
      <c r="AR17" s="117"/>
      <c r="AS17" s="117"/>
      <c r="AT17" s="117"/>
      <c r="AU17" s="105" t="n">
        <v>196</v>
      </c>
      <c r="AV17" s="117"/>
      <c r="AW17" s="117"/>
      <c r="AX17" s="117"/>
      <c r="AY17" s="117"/>
      <c r="AZ17" s="105" t="n">
        <v>216</v>
      </c>
      <c r="BA17" s="106" t="n">
        <v>37</v>
      </c>
      <c r="BB17" s="106" t="n">
        <v>37</v>
      </c>
      <c r="BC17" s="106" t="n">
        <v>37</v>
      </c>
      <c r="BD17" s="117" t="n">
        <f aca="false">BE17-SUM(BA17,BB17,BC17)</f>
        <v>40</v>
      </c>
      <c r="BE17" s="105" t="n">
        <v>151</v>
      </c>
      <c r="BF17" s="106" t="n">
        <v>40</v>
      </c>
      <c r="BG17" s="106" t="n">
        <v>40</v>
      </c>
      <c r="BH17" s="106" t="n">
        <v>40</v>
      </c>
      <c r="BI17" s="117" t="n">
        <f aca="false">BJ17-SUM(BF17,BG17,BH17)</f>
        <v>45</v>
      </c>
      <c r="BJ17" s="105" t="n">
        <v>165</v>
      </c>
      <c r="BK17" s="106" t="n">
        <v>45</v>
      </c>
      <c r="BL17" s="106" t="n">
        <v>45</v>
      </c>
      <c r="BM17" s="106" t="n">
        <v>45</v>
      </c>
      <c r="BN17" s="117" t="n">
        <f aca="false">BO17-SUM(BK17,BL17,BM17)</f>
        <v>45</v>
      </c>
      <c r="BO17" s="107" t="n">
        <v>180</v>
      </c>
      <c r="BP17" s="106" t="n">
        <v>50</v>
      </c>
      <c r="BQ17" s="106" t="n">
        <v>50</v>
      </c>
      <c r="BR17" s="106" t="n">
        <v>50</v>
      </c>
      <c r="BS17" s="106" t="n">
        <v>50</v>
      </c>
      <c r="BT17" s="104" t="n">
        <f aca="false">IF(OR(ISBLANK(BP17),ISBLANK(BQ17),ISBLANK(BR17),ISBLANK(BS17)),"n/a",SUM(BP17,BQ17,BR17,BS17))</f>
        <v>200</v>
      </c>
      <c r="BU17" s="106" t="n">
        <v>50</v>
      </c>
      <c r="BV17" s="106" t="n">
        <v>50</v>
      </c>
      <c r="BW17" s="106" t="n">
        <v>50</v>
      </c>
      <c r="BX17" s="106" t="n">
        <v>50</v>
      </c>
      <c r="BY17" s="104" t="n">
        <f aca="false">IF(OR(ISBLANK(BU17),ISBLANK(BV17),ISBLANK(BW17),ISBLANK(BX17)),"n/a",SUM(BU17,BV17,BW17,BX17))</f>
        <v>200</v>
      </c>
      <c r="BZ17" s="105" t="n">
        <v>200</v>
      </c>
      <c r="CA17" s="105" t="n">
        <v>200</v>
      </c>
      <c r="CB17" s="105" t="n">
        <v>200</v>
      </c>
      <c r="CC17" s="92"/>
    </row>
    <row r="18" s="115" customFormat="true" ht="15" hidden="false" customHeight="true" outlineLevel="0" collapsed="false">
      <c r="A18" s="118" t="s">
        <v>152</v>
      </c>
      <c r="B18" s="119"/>
      <c r="C18" s="120"/>
      <c r="D18" s="120"/>
      <c r="E18" s="120"/>
      <c r="F18" s="120"/>
      <c r="G18" s="120"/>
      <c r="H18" s="121"/>
      <c r="I18" s="121"/>
      <c r="J18" s="121"/>
      <c r="K18" s="121"/>
      <c r="L18" s="120"/>
      <c r="M18" s="121"/>
      <c r="N18" s="121"/>
      <c r="O18" s="121"/>
      <c r="P18" s="121"/>
      <c r="Q18" s="120" t="n">
        <f aca="false">Q16+Q17</f>
        <v>214</v>
      </c>
      <c r="R18" s="121"/>
      <c r="S18" s="121"/>
      <c r="T18" s="121"/>
      <c r="U18" s="121"/>
      <c r="V18" s="120" t="n">
        <f aca="false">V16+V17</f>
        <v>212</v>
      </c>
      <c r="W18" s="121"/>
      <c r="X18" s="121"/>
      <c r="Y18" s="121"/>
      <c r="Z18" s="121"/>
      <c r="AA18" s="120" t="n">
        <f aca="false">AA16+AA17</f>
        <v>293</v>
      </c>
      <c r="AB18" s="121"/>
      <c r="AC18" s="121"/>
      <c r="AD18" s="121"/>
      <c r="AE18" s="121"/>
      <c r="AF18" s="120" t="n">
        <f aca="false">AF16+AF17</f>
        <v>338</v>
      </c>
      <c r="AG18" s="121"/>
      <c r="AH18" s="121"/>
      <c r="AI18" s="121"/>
      <c r="AJ18" s="121"/>
      <c r="AK18" s="120" t="n">
        <f aca="false">AK16+AK17</f>
        <v>344</v>
      </c>
      <c r="AL18" s="121"/>
      <c r="AM18" s="121"/>
      <c r="AN18" s="121"/>
      <c r="AO18" s="121"/>
      <c r="AP18" s="120" t="n">
        <f aca="false">AP16+AP17</f>
        <v>395</v>
      </c>
      <c r="AQ18" s="121"/>
      <c r="AR18" s="121"/>
      <c r="AS18" s="121"/>
      <c r="AT18" s="121"/>
      <c r="AU18" s="120" t="n">
        <f aca="false">AU16+AU17</f>
        <v>505</v>
      </c>
      <c r="AV18" s="121"/>
      <c r="AW18" s="121"/>
      <c r="AX18" s="121"/>
      <c r="AY18" s="121"/>
      <c r="AZ18" s="120" t="n">
        <f aca="false">AZ16+AZ17</f>
        <v>561</v>
      </c>
      <c r="BA18" s="121" t="n">
        <f aca="false">BA16+BA17</f>
        <v>137</v>
      </c>
      <c r="BB18" s="121" t="n">
        <f aca="false">BB16+BB17</f>
        <v>150</v>
      </c>
      <c r="BC18" s="121" t="n">
        <f aca="false">BC16+BC17</f>
        <v>149</v>
      </c>
      <c r="BD18" s="121" t="n">
        <f aca="false">BD16+BD17</f>
        <v>164</v>
      </c>
      <c r="BE18" s="120" t="n">
        <f aca="false">BE16+BE17</f>
        <v>600</v>
      </c>
      <c r="BF18" s="121" t="n">
        <f aca="false">BF16+BF17</f>
        <v>110</v>
      </c>
      <c r="BG18" s="121" t="n">
        <f aca="false">BG16+BG17</f>
        <v>140</v>
      </c>
      <c r="BH18" s="121" t="n">
        <f aca="false">BH16+BH17</f>
        <v>156</v>
      </c>
      <c r="BI18" s="121" t="n">
        <f aca="false">BI16+BI17</f>
        <v>177</v>
      </c>
      <c r="BJ18" s="120" t="n">
        <f aca="false">BJ16+BJ17</f>
        <v>583</v>
      </c>
      <c r="BK18" s="121" t="n">
        <f aca="false">BK16+BK17</f>
        <v>122</v>
      </c>
      <c r="BL18" s="121" t="n">
        <f aca="false">BL16+BL17</f>
        <v>121</v>
      </c>
      <c r="BM18" s="121" t="n">
        <f aca="false">BM16+BM17</f>
        <v>117</v>
      </c>
      <c r="BN18" s="121" t="n">
        <f aca="false">BN16+BN17</f>
        <v>147</v>
      </c>
      <c r="BO18" s="122" t="n">
        <f aca="false">BO16+BO17</f>
        <v>507</v>
      </c>
      <c r="BP18" s="121" t="n">
        <f aca="false">BP16+BP17</f>
        <v>139</v>
      </c>
      <c r="BQ18" s="121" t="n">
        <f aca="false">BQ16+BQ17</f>
        <v>139</v>
      </c>
      <c r="BR18" s="121" t="n">
        <f aca="false">BR16+BR17</f>
        <v>142</v>
      </c>
      <c r="BS18" s="121" t="n">
        <f aca="false">BS16+BS17</f>
        <v>141</v>
      </c>
      <c r="BT18" s="120" t="n">
        <f aca="false">BT16+BT17</f>
        <v>561</v>
      </c>
      <c r="BU18" s="121" t="n">
        <f aca="false">BU16+BU17</f>
        <v>139</v>
      </c>
      <c r="BV18" s="121" t="n">
        <f aca="false">BV16+BV17</f>
        <v>139</v>
      </c>
      <c r="BW18" s="121" t="n">
        <f aca="false">BW16+BW17</f>
        <v>142</v>
      </c>
      <c r="BX18" s="121" t="n">
        <f aca="false">BX16+BX17</f>
        <v>141</v>
      </c>
      <c r="BY18" s="120" t="n">
        <f aca="false">BY16+BY17</f>
        <v>561</v>
      </c>
      <c r="BZ18" s="120" t="n">
        <f aca="false">BZ16+BZ17</f>
        <v>569</v>
      </c>
      <c r="CA18" s="120" t="n">
        <f aca="false">CA16+CA17</f>
        <v>569</v>
      </c>
      <c r="CB18" s="120" t="n">
        <f aca="false">CB16+CB17</f>
        <v>569</v>
      </c>
      <c r="CC18" s="114"/>
    </row>
    <row r="19" s="115" customFormat="true" ht="15" hidden="false" customHeight="true" outlineLevel="0" collapsed="false">
      <c r="A19" s="123"/>
      <c r="B19" s="109"/>
      <c r="C19" s="111"/>
      <c r="D19" s="111"/>
      <c r="E19" s="111"/>
      <c r="F19" s="111"/>
      <c r="G19" s="111"/>
      <c r="H19" s="112"/>
      <c r="I19" s="112"/>
      <c r="J19" s="112"/>
      <c r="K19" s="112"/>
      <c r="L19" s="111"/>
      <c r="M19" s="112"/>
      <c r="N19" s="112"/>
      <c r="O19" s="112"/>
      <c r="P19" s="112"/>
      <c r="Q19" s="111"/>
      <c r="R19" s="112"/>
      <c r="S19" s="112"/>
      <c r="T19" s="112"/>
      <c r="U19" s="112"/>
      <c r="V19" s="111"/>
      <c r="W19" s="112"/>
      <c r="X19" s="112"/>
      <c r="Y19" s="112"/>
      <c r="Z19" s="112"/>
      <c r="AA19" s="111"/>
      <c r="AB19" s="112"/>
      <c r="AC19" s="112"/>
      <c r="AD19" s="112"/>
      <c r="AE19" s="112"/>
      <c r="AF19" s="111"/>
      <c r="AG19" s="112"/>
      <c r="AH19" s="112"/>
      <c r="AI19" s="112"/>
      <c r="AJ19" s="112"/>
      <c r="AK19" s="111"/>
      <c r="AL19" s="112"/>
      <c r="AM19" s="112"/>
      <c r="AN19" s="112"/>
      <c r="AO19" s="112"/>
      <c r="AP19" s="111"/>
      <c r="AQ19" s="112"/>
      <c r="AR19" s="112"/>
      <c r="AS19" s="112"/>
      <c r="AT19" s="112"/>
      <c r="AU19" s="111"/>
      <c r="AV19" s="112"/>
      <c r="AW19" s="112"/>
      <c r="AX19" s="112"/>
      <c r="AY19" s="112"/>
      <c r="AZ19" s="111"/>
      <c r="BA19" s="112"/>
      <c r="BB19" s="112"/>
      <c r="BC19" s="112"/>
      <c r="BD19" s="112"/>
      <c r="BE19" s="111"/>
      <c r="BF19" s="112"/>
      <c r="BG19" s="112"/>
      <c r="BH19" s="112"/>
      <c r="BI19" s="112"/>
      <c r="BJ19" s="111"/>
      <c r="BK19" s="112"/>
      <c r="BL19" s="112"/>
      <c r="BM19" s="112"/>
      <c r="BN19" s="112"/>
      <c r="BO19" s="113"/>
      <c r="BP19" s="112"/>
      <c r="BQ19" s="112"/>
      <c r="BR19" s="112"/>
      <c r="BS19" s="112"/>
      <c r="BT19" s="111"/>
      <c r="BU19" s="112"/>
      <c r="BV19" s="112"/>
      <c r="BW19" s="112"/>
      <c r="BX19" s="112"/>
      <c r="BY19" s="111"/>
      <c r="BZ19" s="111"/>
      <c r="CA19" s="111"/>
      <c r="CB19" s="111"/>
      <c r="CC19" s="114"/>
    </row>
    <row r="20" s="130" customFormat="true" ht="15" hidden="false" customHeight="true" outlineLevel="0" collapsed="false">
      <c r="A20" s="124" t="s">
        <v>153</v>
      </c>
      <c r="B20" s="125"/>
      <c r="C20" s="126"/>
      <c r="D20" s="126"/>
      <c r="E20" s="126" t="n">
        <f aca="false">IFERROR(+E33*1000/E11,"n/a")</f>
        <v>39766.6666666667</v>
      </c>
      <c r="F20" s="126" t="n">
        <f aca="false">IFERROR(+F33*1000/F11,"n/a")</f>
        <v>43700</v>
      </c>
      <c r="G20" s="126" t="n">
        <f aca="false">IFERROR(+G33*1000/G11,"n/a")</f>
        <v>60100</v>
      </c>
      <c r="H20" s="127" t="n">
        <f aca="false">IFERROR(+H33*1000/H11,"n/a")</f>
        <v>61800</v>
      </c>
      <c r="I20" s="127" t="n">
        <f aca="false">IFERROR(+I33*1000/I11,"n/a")</f>
        <v>62150</v>
      </c>
      <c r="J20" s="127" t="n">
        <f aca="false">IFERROR(+J33*1000/J11,"n/a")</f>
        <v>61915</v>
      </c>
      <c r="K20" s="127" t="n">
        <f aca="false">IFERROR(+K33*1000/K11,"n/a")</f>
        <v>65118</v>
      </c>
      <c r="L20" s="126" t="n">
        <f aca="false">IFERROR(+L33*1000/L11,"n/a")</f>
        <v>59969</v>
      </c>
      <c r="M20" s="127" t="str">
        <f aca="false">IFERROR(+M33*1000/M11,"n/a")</f>
        <v>n/a</v>
      </c>
      <c r="N20" s="127" t="n">
        <f aca="false">IFERROR(+N33*1000/N11,"n/a")</f>
        <v>68070</v>
      </c>
      <c r="O20" s="127" t="str">
        <f aca="false">IFERROR(+O33*1000/O11,"n/a")</f>
        <v>n/a</v>
      </c>
      <c r="P20" s="127" t="str">
        <f aca="false">IFERROR(+P33*1000/P11,"n/a")</f>
        <v>n/a</v>
      </c>
      <c r="Q20" s="126" t="n">
        <f aca="false">IFERROR(+Q33*1000/Q11,"n/a")</f>
        <v>70473</v>
      </c>
      <c r="R20" s="127" t="str">
        <f aca="false">IFERROR(+R33*1000/R11,"n/a")</f>
        <v>n/a</v>
      </c>
      <c r="S20" s="127" t="n">
        <f aca="false">IFERROR(+S33*1000/S11,"n/a")</f>
        <v>50616</v>
      </c>
      <c r="T20" s="127" t="n">
        <f aca="false">IFERROR(+T33*1000/T11,"n/a")</f>
        <v>88039</v>
      </c>
      <c r="U20" s="127" t="n">
        <f aca="false">IFERROR(+U33*1000/U11,"n/a")</f>
        <v>141801</v>
      </c>
      <c r="V20" s="126" t="n">
        <f aca="false">IFERROR(+V33*1000/V11,"n/a")</f>
        <v>81225</v>
      </c>
      <c r="W20" s="127" t="str">
        <f aca="false">IFERROR(+W33*1000/W11,"n/a")</f>
        <v>n/a</v>
      </c>
      <c r="X20" s="127" t="n">
        <f aca="false">IFERROR(+X33*1000/X11,"n/a")</f>
        <v>110728</v>
      </c>
      <c r="Y20" s="127" t="n">
        <f aca="false">IFERROR(+Y33*1000/Y11,"n/a")</f>
        <v>95492.25</v>
      </c>
      <c r="Z20" s="127" t="n">
        <f aca="false">IFERROR(+Z33*1000/Z11,"n/a")</f>
        <v>97745</v>
      </c>
      <c r="AA20" s="126" t="n">
        <f aca="false">IFERROR(+AA33*1000/AA11,"n/a")</f>
        <v>100136.363636364</v>
      </c>
      <c r="AB20" s="127" t="n">
        <f aca="false">IFERROR(+AB33*1000/AB11,"n/a")</f>
        <v>116739</v>
      </c>
      <c r="AC20" s="127" t="n">
        <f aca="false">IFERROR(+AC33*1000/AC11,"n/a")</f>
        <v>95382.8571428572</v>
      </c>
      <c r="AD20" s="127" t="n">
        <f aca="false">IFERROR(+AD33*1000/AD11,"n/a")</f>
        <v>104030</v>
      </c>
      <c r="AE20" s="127" t="n">
        <f aca="false">IFERROR(+AE33*1000/AE11,"n/a")</f>
        <v>116366.4</v>
      </c>
      <c r="AF20" s="126" t="n">
        <f aca="false">IFERROR(+AF33*1000/AF11,"n/a")</f>
        <v>104450</v>
      </c>
      <c r="AG20" s="127" t="n">
        <f aca="false">IFERROR(+AG33*1000/AG11,"n/a")</f>
        <v>92895</v>
      </c>
      <c r="AH20" s="127" t="n">
        <f aca="false">IFERROR(+AH33*1000/AH11,"n/a")</f>
        <v>108404</v>
      </c>
      <c r="AI20" s="127" t="n">
        <f aca="false">IFERROR(+AI33*1000/AI11,"n/a")</f>
        <v>106313.142857143</v>
      </c>
      <c r="AJ20" s="127" t="n">
        <f aca="false">IFERROR(+AJ33*1000/AJ11,"n/a")</f>
        <v>113491.5</v>
      </c>
      <c r="AK20" s="126" t="n">
        <f aca="false">IFERROR(+AK33*1000/AK11,"n/a")</f>
        <v>107680.769230769</v>
      </c>
      <c r="AL20" s="127" t="n">
        <f aca="false">IFERROR(+AL33*1000/AL11,"n/a")</f>
        <v>174240</v>
      </c>
      <c r="AM20" s="127" t="n">
        <f aca="false">IFERROR(+AM33*1000/AM11,"n/a")</f>
        <v>135864.857142857</v>
      </c>
      <c r="AN20" s="127" t="n">
        <f aca="false">IFERROR(+AN33*1000/AN11,"n/a")</f>
        <v>145935.428571429</v>
      </c>
      <c r="AO20" s="127" t="n">
        <f aca="false">IFERROR(+AO33*1000/AO11,"n/a")</f>
        <v>143928</v>
      </c>
      <c r="AP20" s="126" t="n">
        <f aca="false">IFERROR(+AP33*1000/AP11,"n/a")</f>
        <v>143993.548387097</v>
      </c>
      <c r="AQ20" s="127" t="n">
        <f aca="false">IFERROR(+AQ33*1000/AQ11,"n/a")</f>
        <v>160909.714285714</v>
      </c>
      <c r="AR20" s="127" t="n">
        <f aca="false">IFERROR(+AR33*1000/AR11,"n/a")</f>
        <v>147480</v>
      </c>
      <c r="AS20" s="127" t="n">
        <f aca="false">IFERROR(+AS33*1000/AS11,"n/a")</f>
        <v>147999.6</v>
      </c>
      <c r="AT20" s="127" t="n">
        <f aca="false">IFERROR(+AT33*1000/AT11,"n/a")</f>
        <v>144828.909090909</v>
      </c>
      <c r="AU20" s="126" t="n">
        <f aca="false">IFERROR(+AU33*1000/AU11,"n/a")</f>
        <v>149619.047619048</v>
      </c>
      <c r="AV20" s="127" t="n">
        <f aca="false">IFERROR(+AV33*1000/AV11,"n/a")</f>
        <v>198224</v>
      </c>
      <c r="AW20" s="127" t="n">
        <f aca="false">IFERROR(+AW33*1000/AW11,"n/a")</f>
        <v>165620</v>
      </c>
      <c r="AX20" s="127" t="n">
        <f aca="false">IFERROR(+AX33*1000/AX11,"n/a")</f>
        <v>180824.75</v>
      </c>
      <c r="AY20" s="127" t="n">
        <f aca="false">IFERROR(+AY33*1000/AY11,"n/a")</f>
        <v>178959.307692308</v>
      </c>
      <c r="AZ20" s="126" t="n">
        <f aca="false">IFERROR(+AZ33*1000/AZ11,"n/a")</f>
        <v>176132.5</v>
      </c>
      <c r="BA20" s="127" t="n">
        <f aca="false">IFERROR(+BA33*1000/BA11,"n/a")</f>
        <v>169680.705882353</v>
      </c>
      <c r="BB20" s="127" t="n">
        <f aca="false">IFERROR(+BB33*1000/BB11,"n/a")</f>
        <v>172854.75</v>
      </c>
      <c r="BC20" s="127" t="n">
        <f aca="false">IFERROR(+BC33*1000/BC11,"n/a")</f>
        <v>168897.272727273</v>
      </c>
      <c r="BD20" s="127" t="n">
        <f aca="false">IFERROR(+BD33*1000/BD11,"n/a")</f>
        <v>174846.153846154</v>
      </c>
      <c r="BE20" s="126" t="n">
        <f aca="false">IFERROR(+BE33*1000/BE11,"n/a")</f>
        <v>172150.943396226</v>
      </c>
      <c r="BF20" s="127" t="n">
        <f aca="false">IFERROR(+BF33*1000/BF11,"n/a")</f>
        <v>165846.727272727</v>
      </c>
      <c r="BG20" s="127" t="n">
        <f aca="false">IFERROR(+BG33*1000/BG11,"n/a")</f>
        <v>184484.875</v>
      </c>
      <c r="BH20" s="127" t="n">
        <f aca="false">IFERROR(+BH33*1000/BH11,"n/a")</f>
        <v>188554.545454545</v>
      </c>
      <c r="BI20" s="127" t="n">
        <f aca="false">IFERROR(+BI33*1000/BI11,"n/a")</f>
        <v>213477</v>
      </c>
      <c r="BJ20" s="126" t="n">
        <f aca="false">IFERROR(+BJ33*1000/BJ11,"n/a")</f>
        <v>189122.727272727</v>
      </c>
      <c r="BK20" s="127" t="n">
        <f aca="false">IFERROR(+BK33*1000/BK11,"n/a")</f>
        <v>229616</v>
      </c>
      <c r="BL20" s="127" t="n">
        <f aca="false">IFERROR(+BL33*1000/BL11,"n/a")</f>
        <v>244193.454545455</v>
      </c>
      <c r="BM20" s="127" t="n">
        <f aca="false">IFERROR(+BM33*1000/BM11,"n/a")</f>
        <v>234493.777777778</v>
      </c>
      <c r="BN20" s="127" t="n">
        <f aca="false">IFERROR(+BN33*1000/BN11,"n/a")</f>
        <v>260022.857142857</v>
      </c>
      <c r="BO20" s="128" t="n">
        <f aca="false">IFERROR(+BO33*1000/BO11,"n/a")</f>
        <v>242739.916666667</v>
      </c>
      <c r="BP20" s="127" t="n">
        <f aca="false">BK20*(1+BP21)</f>
        <v>252577.6</v>
      </c>
      <c r="BQ20" s="127" t="n">
        <f aca="false">BL20*(1+BQ21)</f>
        <v>293032.145454545</v>
      </c>
      <c r="BR20" s="127" t="n">
        <f aca="false">BM20*(1+BR21)</f>
        <v>281392.533333333</v>
      </c>
      <c r="BS20" s="127" t="n">
        <f aca="false">BN20*(1+BS21)</f>
        <v>312027.428571429</v>
      </c>
      <c r="BT20" s="126" t="n">
        <f aca="false">IFERROR(+BT33*1000/BT11,"n/a")</f>
        <v>285611.180705009</v>
      </c>
      <c r="BU20" s="127" t="n">
        <f aca="false">BP20*(1+BU21)</f>
        <v>290464.24</v>
      </c>
      <c r="BV20" s="127" t="n">
        <f aca="false">BQ20*(1+BV21)</f>
        <v>322335.36</v>
      </c>
      <c r="BW20" s="127" t="n">
        <f aca="false">BR20*(1+BW21)</f>
        <v>309531.786666667</v>
      </c>
      <c r="BX20" s="127" t="n">
        <f aca="false">BS20*(1+BX21)</f>
        <v>343230.171428571</v>
      </c>
      <c r="BY20" s="126" t="n">
        <f aca="false">IFERROR(+BY33*1000/BY11,"n/a")</f>
        <v>317104.003061225</v>
      </c>
      <c r="BZ20" s="126" t="n">
        <f aca="false">BY20*(1+BZ21)</f>
        <v>380524.803673469</v>
      </c>
      <c r="CA20" s="126" t="n">
        <f aca="false">BZ20*(1+CA21)</f>
        <v>399551.043857143</v>
      </c>
      <c r="CB20" s="126" t="n">
        <f aca="false">CA20*(1+CB21)</f>
        <v>419528.59605</v>
      </c>
      <c r="CC20" s="129"/>
    </row>
    <row r="21" s="139" customFormat="true" ht="15" hidden="false" customHeight="true" outlineLevel="0" collapsed="false">
      <c r="A21" s="131" t="s">
        <v>154</v>
      </c>
      <c r="B21" s="132"/>
      <c r="C21" s="133"/>
      <c r="D21" s="133"/>
      <c r="E21" s="133"/>
      <c r="F21" s="133" t="n">
        <f aca="false">F20/E20-1</f>
        <v>0.098910310142498</v>
      </c>
      <c r="G21" s="133" t="n">
        <f aca="false">G20/F20-1</f>
        <v>0.375286041189931</v>
      </c>
      <c r="H21" s="134"/>
      <c r="I21" s="134"/>
      <c r="J21" s="134"/>
      <c r="K21" s="134"/>
      <c r="L21" s="133" t="n">
        <f aca="false">L20/G20-1</f>
        <v>-0.00217970049916805</v>
      </c>
      <c r="M21" s="134"/>
      <c r="N21" s="134" t="n">
        <f aca="false">N20/I20-1</f>
        <v>0.0952534191472243</v>
      </c>
      <c r="O21" s="134"/>
      <c r="P21" s="134"/>
      <c r="Q21" s="133" t="n">
        <f aca="false">Q20/L20-1</f>
        <v>0.17515716453501</v>
      </c>
      <c r="R21" s="134"/>
      <c r="S21" s="134" t="n">
        <f aca="false">S20/N20-1</f>
        <v>-0.256412516527104</v>
      </c>
      <c r="T21" s="134"/>
      <c r="U21" s="134"/>
      <c r="V21" s="133" t="n">
        <f aca="false">V20/Q20-1</f>
        <v>0.152569069005151</v>
      </c>
      <c r="W21" s="134"/>
      <c r="X21" s="134" t="n">
        <f aca="false">X20/S20-1</f>
        <v>1.18760866129287</v>
      </c>
      <c r="Y21" s="134" t="n">
        <f aca="false">Y20/T20-1</f>
        <v>0.0846585036177148</v>
      </c>
      <c r="Z21" s="134" t="n">
        <f aca="false">Z20/U20-1</f>
        <v>-0.310688923209286</v>
      </c>
      <c r="AA21" s="133" t="n">
        <f aca="false">AA20/V20-1</f>
        <v>0.232826883796413</v>
      </c>
      <c r="AB21" s="134"/>
      <c r="AC21" s="134" t="n">
        <f aca="false">AC20/X20-1</f>
        <v>-0.138584123773055</v>
      </c>
      <c r="AD21" s="134" t="n">
        <f aca="false">AD20/Y20-1</f>
        <v>0.0894077791653249</v>
      </c>
      <c r="AE21" s="134" t="n">
        <f aca="false">AE20/Z20-1</f>
        <v>0.190510000511535</v>
      </c>
      <c r="AF21" s="133" t="n">
        <f aca="false">AF20/AA20-1</f>
        <v>0.0430776214253292</v>
      </c>
      <c r="AG21" s="134" t="n">
        <f aca="false">AG20/AB20-1</f>
        <v>-0.204250507542467</v>
      </c>
      <c r="AH21" s="134" t="n">
        <f aca="false">AH20/AC20-1</f>
        <v>0.136514497963096</v>
      </c>
      <c r="AI21" s="134" t="n">
        <f aca="false">AI20/AD20-1</f>
        <v>0.0219469658477636</v>
      </c>
      <c r="AJ21" s="134" t="n">
        <f aca="false">AJ20/AE20-1</f>
        <v>-0.0247055851173532</v>
      </c>
      <c r="AK21" s="133" t="n">
        <f aca="false">AK20/AF20-1</f>
        <v>0.0309312516110027</v>
      </c>
      <c r="AL21" s="134" t="n">
        <f aca="false">AL20/AG20-1</f>
        <v>0.875666074600355</v>
      </c>
      <c r="AM21" s="134" t="n">
        <f aca="false">AM20/AH20-1</f>
        <v>0.253319592845809</v>
      </c>
      <c r="AN21" s="134" t="n">
        <f aca="false">AN20/AI20-1</f>
        <v>0.372694143446853</v>
      </c>
      <c r="AO21" s="134" t="n">
        <f aca="false">AO20/AJ20-1</f>
        <v>0.268183079790116</v>
      </c>
      <c r="AP21" s="133" t="n">
        <f aca="false">AP20/AK20-1</f>
        <v>0.337226223546993</v>
      </c>
      <c r="AQ21" s="134" t="n">
        <f aca="false">AQ20/AL20-1</f>
        <v>-0.0765053128689492</v>
      </c>
      <c r="AR21" s="134" t="n">
        <f aca="false">AR20/AM20-1</f>
        <v>0.0854904137935386</v>
      </c>
      <c r="AS21" s="134" t="n">
        <f aca="false">AS20/AN20-1</f>
        <v>0.0141444161214157</v>
      </c>
      <c r="AT21" s="134" t="n">
        <f aca="false">AT20/AO20-1</f>
        <v>0.00625944285273916</v>
      </c>
      <c r="AU21" s="133" t="n">
        <f aca="false">AU20/AP20-1</f>
        <v>0.0390677172343017</v>
      </c>
      <c r="AV21" s="134" t="n">
        <f aca="false">AV20/AQ20-1</f>
        <v>0.231895792494105</v>
      </c>
      <c r="AW21" s="134" t="n">
        <f aca="false">AW20/AR20-1</f>
        <v>0.122999728776783</v>
      </c>
      <c r="AX21" s="134" t="n">
        <f aca="false">AX20/AS20-1</f>
        <v>0.221792153492307</v>
      </c>
      <c r="AY21" s="134" t="n">
        <f aca="false">AY20/AT20-1</f>
        <v>0.23566012349078</v>
      </c>
      <c r="AZ21" s="133" t="n">
        <f aca="false">AZ20/AU20-1</f>
        <v>0.177206397199236</v>
      </c>
      <c r="BA21" s="134" t="n">
        <f aca="false">BA20/AV20-1</f>
        <v>-0.143995147498018</v>
      </c>
      <c r="BB21" s="134" t="n">
        <f aca="false">BB20/AW20-1</f>
        <v>0.0436828281608503</v>
      </c>
      <c r="BC21" s="134" t="n">
        <f aca="false">BC20/AX20-1</f>
        <v>-0.0659615305577763</v>
      </c>
      <c r="BD21" s="134" t="n">
        <f aca="false">BD20/AY20-1</f>
        <v>-0.0229837380306913</v>
      </c>
      <c r="BE21" s="133" t="n">
        <f aca="false">BE20/AZ20-1</f>
        <v>-0.0226054623864056</v>
      </c>
      <c r="BF21" s="134" t="n">
        <f aca="false">BF20/BA20-1</f>
        <v>-0.0225952537720108</v>
      </c>
      <c r="BG21" s="134" t="n">
        <f aca="false">BG20/BB20-1</f>
        <v>0.0672826462680372</v>
      </c>
      <c r="BH21" s="134" t="n">
        <f aca="false">BH20/BC20-1</f>
        <v>0.116385968878339</v>
      </c>
      <c r="BI21" s="134" t="n">
        <f aca="false">BI20/BD20-1</f>
        <v>0.220941926968764</v>
      </c>
      <c r="BJ21" s="133" t="n">
        <f aca="false">BJ20/BE20-1</f>
        <v>0.0985866446136063</v>
      </c>
      <c r="BK21" s="134" t="n">
        <f aca="false">BK20/BF20-1</f>
        <v>0.384507272322638</v>
      </c>
      <c r="BL21" s="134" t="n">
        <f aca="false">BL20/BG20-1</f>
        <v>0.323650269679043</v>
      </c>
      <c r="BM21" s="134" t="n">
        <f aca="false">BM20/BH20-1</f>
        <v>0.243638954513069</v>
      </c>
      <c r="BN21" s="134" t="n">
        <f aca="false">BN20/BI20-1</f>
        <v>0.218036871151726</v>
      </c>
      <c r="BO21" s="135" t="n">
        <f aca="false">BO20/BJ20-1</f>
        <v>0.283504738785942</v>
      </c>
      <c r="BP21" s="136" t="n">
        <v>0.1</v>
      </c>
      <c r="BQ21" s="136" t="n">
        <v>0.2</v>
      </c>
      <c r="BR21" s="136" t="n">
        <v>0.2</v>
      </c>
      <c r="BS21" s="136" t="n">
        <v>0.2</v>
      </c>
      <c r="BT21" s="133" t="n">
        <f aca="false">BT20/BO20-1</f>
        <v>0.176613985153558</v>
      </c>
      <c r="BU21" s="136" t="n">
        <v>0.15</v>
      </c>
      <c r="BV21" s="136" t="n">
        <v>0.1</v>
      </c>
      <c r="BW21" s="136" t="n">
        <v>0.1</v>
      </c>
      <c r="BX21" s="136" t="n">
        <v>0.1</v>
      </c>
      <c r="BY21" s="133" t="n">
        <f aca="false">BY20/BT20-1</f>
        <v>0.110264669185841</v>
      </c>
      <c r="BZ21" s="137" t="n">
        <v>0.2</v>
      </c>
      <c r="CA21" s="137" t="n">
        <v>0.05</v>
      </c>
      <c r="CB21" s="137" t="n">
        <v>0.05</v>
      </c>
      <c r="CC21" s="138"/>
    </row>
    <row r="22" s="130" customFormat="true" ht="15" hidden="false" customHeight="true" outlineLevel="0" collapsed="false">
      <c r="A22" s="124" t="s">
        <v>155</v>
      </c>
      <c r="B22" s="125"/>
      <c r="C22" s="126"/>
      <c r="D22" s="126"/>
      <c r="E22" s="126" t="n">
        <f aca="false">IFERROR(+E34*1000/E12,"n/a")</f>
        <v>35139.8217821782</v>
      </c>
      <c r="F22" s="126" t="n">
        <f aca="false">IFERROR(+F34*1000/F12,"n/a")</f>
        <v>37711.4027777778</v>
      </c>
      <c r="G22" s="126" t="n">
        <f aca="false">IFERROR(+G34*1000/G12,"n/a")</f>
        <v>40528.8181818182</v>
      </c>
      <c r="H22" s="127" t="n">
        <f aca="false">IFERROR(+H34*1000/H12,"n/a")</f>
        <v>41200</v>
      </c>
      <c r="I22" s="127" t="n">
        <f aca="false">IFERROR(+I34*1000/I12,"n/a")</f>
        <v>47130.4166666667</v>
      </c>
      <c r="J22" s="127" t="n">
        <f aca="false">IFERROR(+J34*1000/J12,"n/a")</f>
        <v>48987.6923076923</v>
      </c>
      <c r="K22" s="127" t="n">
        <f aca="false">IFERROR(+K34*1000/K12,"n/a")</f>
        <v>45039.95</v>
      </c>
      <c r="L22" s="126" t="n">
        <f aca="false">IFERROR(+L34*1000/L12,"n/a")</f>
        <v>45759.4473684211</v>
      </c>
      <c r="M22" s="127" t="n">
        <f aca="false">IFERROR(+M34*1000/M12,"n/a")</f>
        <v>44982.3913043478</v>
      </c>
      <c r="N22" s="127" t="n">
        <f aca="false">IFERROR(+N34*1000/N12,"n/a")</f>
        <v>47171.3157894737</v>
      </c>
      <c r="O22" s="127" t="n">
        <f aca="false">IFERROR(+O34*1000/O12,"n/a")</f>
        <v>47371.7142857143</v>
      </c>
      <c r="P22" s="127" t="n">
        <f aca="false">IFERROR(+P34*1000/P12,"n/a")</f>
        <v>57658.9090909091</v>
      </c>
      <c r="Q22" s="126" t="n">
        <f aca="false">IFERROR(+Q34*1000/Q12,"n/a")</f>
        <v>48335.1044776119</v>
      </c>
      <c r="R22" s="127" t="n">
        <f aca="false">IFERROR(+R34*1000/R12,"n/a")</f>
        <v>45282.8</v>
      </c>
      <c r="S22" s="127" t="n">
        <f aca="false">IFERROR(+S34*1000/S12,"n/a")</f>
        <v>50616</v>
      </c>
      <c r="T22" s="127" t="n">
        <f aca="false">IFERROR(+T34*1000/T12,"n/a")</f>
        <v>50969.9473684211</v>
      </c>
      <c r="U22" s="127" t="n">
        <f aca="false">IFERROR(+U34*1000/U12,"n/a")</f>
        <v>53838.8823529412</v>
      </c>
      <c r="V22" s="126" t="n">
        <f aca="false">IFERROR(+V34*1000/V12,"n/a")</f>
        <v>50267.1428571429</v>
      </c>
      <c r="W22" s="127" t="n">
        <f aca="false">IFERROR(+W34*1000/W12,"n/a")</f>
        <v>49982.8888888889</v>
      </c>
      <c r="X22" s="127" t="n">
        <f aca="false">IFERROR(+X34*1000/X12,"n/a")</f>
        <v>55364</v>
      </c>
      <c r="Y22" s="127" t="n">
        <f aca="false">IFERROR(+Y34*1000/Y12,"n/a")</f>
        <v>52086.6818181818</v>
      </c>
      <c r="Z22" s="127" t="n">
        <f aca="false">IFERROR(+Z34*1000/Z12,"n/a")</f>
        <v>54737.2</v>
      </c>
      <c r="AA22" s="126" t="n">
        <f aca="false">IFERROR(+AA34*1000/AA12,"n/a")</f>
        <v>52860.5263157895</v>
      </c>
      <c r="AB22" s="127" t="n">
        <f aca="false">IFERROR(+AB34*1000/AB12,"n/a")</f>
        <v>57178.2857142857</v>
      </c>
      <c r="AC22" s="127" t="n">
        <f aca="false">IFERROR(+AC34*1000/AC12,"n/a")</f>
        <v>53809.7368421053</v>
      </c>
      <c r="AD22" s="127" t="n">
        <f aca="false">IFERROR(+AD34*1000/AD12,"n/a")</f>
        <v>54852.1818181818</v>
      </c>
      <c r="AE22" s="127" t="n">
        <f aca="false">IFERROR(+AE34*1000/AE12,"n/a")</f>
        <v>57577.125</v>
      </c>
      <c r="AF22" s="126" t="n">
        <f aca="false">IFERROR(+AF34*1000/AF12,"n/a")</f>
        <v>55894.1860465116</v>
      </c>
      <c r="AG22" s="127" t="n">
        <f aca="false">IFERROR(+AG34*1000/AG12,"n/a")</f>
        <v>59611.7647058824</v>
      </c>
      <c r="AH22" s="127" t="n">
        <f aca="false">IFERROR(+AH34*1000/AH12,"n/a")</f>
        <v>58371.3846153846</v>
      </c>
      <c r="AI22" s="127" t="n">
        <f aca="false">IFERROR(+AI34*1000/AI12,"n/a")</f>
        <v>56478.8571428571</v>
      </c>
      <c r="AJ22" s="127" t="n">
        <f aca="false">IFERROR(+AJ34*1000/AJ12,"n/a")</f>
        <v>56556.3870967742</v>
      </c>
      <c r="AK22" s="126" t="n">
        <f aca="false">IFERROR(+AK34*1000/AK12,"n/a")</f>
        <v>57410.9756097561</v>
      </c>
      <c r="AL22" s="127" t="n">
        <f aca="false">IFERROR(+AL34*1000/AL12,"n/a")</f>
        <v>51480</v>
      </c>
      <c r="AM22" s="127" t="n">
        <f aca="false">IFERROR(+AM34*1000/AM12,"n/a")</f>
        <v>58813.2941176471</v>
      </c>
      <c r="AN22" s="127" t="n">
        <f aca="false">IFERROR(+AN34*1000/AN12,"n/a")</f>
        <v>59097.8181818182</v>
      </c>
      <c r="AO22" s="127" t="n">
        <f aca="false">IFERROR(+AO34*1000/AO12,"n/a")</f>
        <v>59970</v>
      </c>
      <c r="AP22" s="126" t="n">
        <f aca="false">IFERROR(+AP34*1000/AP12,"n/a")</f>
        <v>57602.9411764706</v>
      </c>
      <c r="AQ22" s="127" t="n">
        <f aca="false">IFERROR(+AQ34*1000/AQ12,"n/a")</f>
        <v>61272.3333333333</v>
      </c>
      <c r="AR22" s="127" t="n">
        <f aca="false">IFERROR(+AR34*1000/AR12,"n/a")</f>
        <v>62679</v>
      </c>
      <c r="AS22" s="127" t="n">
        <f aca="false">IFERROR(+AS34*1000/AS12,"n/a")</f>
        <v>62645.3333333333</v>
      </c>
      <c r="AT22" s="127" t="n">
        <f aca="false">IFERROR(+AT34*1000/AT12,"n/a")</f>
        <v>60607.75</v>
      </c>
      <c r="AU22" s="126" t="n">
        <f aca="false">IFERROR(+AU34*1000/AU12,"n/a")</f>
        <v>61229.6296296296</v>
      </c>
      <c r="AV22" s="127" t="n">
        <f aca="false">IFERROR(+AV34*1000/AV12,"n/a")</f>
        <v>59721.3333333333</v>
      </c>
      <c r="AW22" s="127" t="n">
        <f aca="false">IFERROR(+AW34*1000/AW12,"n/a")</f>
        <v>65065</v>
      </c>
      <c r="AX22" s="127" t="n">
        <f aca="false">IFERROR(+AX34*1000/AX12,"n/a")</f>
        <v>65947.85</v>
      </c>
      <c r="AY22" s="127" t="n">
        <f aca="false">IFERROR(+AY34*1000/AY12,"n/a")</f>
        <v>66902.2272727273</v>
      </c>
      <c r="AZ22" s="126" t="n">
        <f aca="false">IFERROR(+AZ34*1000/AZ12,"n/a")</f>
        <v>64648.1481481481</v>
      </c>
      <c r="BA22" s="127" t="n">
        <f aca="false">IFERROR(+BA34*1000/BA12,"n/a")</f>
        <v>64101.6</v>
      </c>
      <c r="BB22" s="127" t="n">
        <f aca="false">IFERROR(+BB34*1000/BB12,"n/a")</f>
        <v>70435.6153846154</v>
      </c>
      <c r="BC22" s="127" t="n">
        <f aca="false">IFERROR(+BC34*1000/BC12,"n/a")</f>
        <v>79623</v>
      </c>
      <c r="BD22" s="127" t="n">
        <f aca="false">IFERROR(+BD34*1000/BD12,"n/a")</f>
        <v>74460.3448275862</v>
      </c>
      <c r="BE22" s="126" t="n">
        <f aca="false">IFERROR(+BE34*1000/BE12,"n/a")</f>
        <v>72139.2</v>
      </c>
      <c r="BF22" s="127" t="n">
        <f aca="false">IFERROR(+BF34*1000/BF12,"n/a")</f>
        <v>77335.05</v>
      </c>
      <c r="BG22" s="127" t="n">
        <f aca="false">IFERROR(+BG34*1000/BG12,"n/a")</f>
        <v>74389.0625</v>
      </c>
      <c r="BH22" s="127" t="n">
        <f aca="false">IFERROR(+BH34*1000/BH12,"n/a")</f>
        <v>74854.7368421053</v>
      </c>
      <c r="BI22" s="127" t="n">
        <f aca="false">IFERROR(+BI34*1000/BI12,"n/a")</f>
        <v>74808.1794871795</v>
      </c>
      <c r="BJ22" s="126" t="n">
        <f aca="false">IFERROR(+BJ34*1000/BJ12,"n/a")</f>
        <v>74937.984496124</v>
      </c>
      <c r="BK22" s="127" t="n">
        <f aca="false">IFERROR(+BK34*1000/BK12,"n/a")</f>
        <v>75773.28</v>
      </c>
      <c r="BL22" s="127" t="n">
        <f aca="false">IFERROR(+BL34*1000/BL12,"n/a")</f>
        <v>77623.3225806452</v>
      </c>
      <c r="BM22" s="127" t="n">
        <f aca="false">IFERROR(+BM34*1000/BM12,"n/a")</f>
        <v>75999.3684210526</v>
      </c>
      <c r="BN22" s="127" t="n">
        <f aca="false">IFERROR(+BN34*1000/BN12,"n/a")</f>
        <v>81989.1891891892</v>
      </c>
      <c r="BO22" s="128" t="n">
        <f aca="false">IFERROR(+BO34*1000/BO12,"n/a")</f>
        <v>78032.2977099237</v>
      </c>
      <c r="BP22" s="127" t="n">
        <f aca="false">BK22*(1+BP23)</f>
        <v>87139.272</v>
      </c>
      <c r="BQ22" s="127" t="n">
        <f aca="false">BL22*(1+BQ23)</f>
        <v>89266.820967742</v>
      </c>
      <c r="BR22" s="127" t="n">
        <f aca="false">BM22*(1+BR23)</f>
        <v>87399.2736842105</v>
      </c>
      <c r="BS22" s="127" t="n">
        <f aca="false">BN22*(1+BS23)</f>
        <v>94287.5675675676</v>
      </c>
      <c r="BT22" s="126" t="n">
        <f aca="false">IFERROR(+BT34*1000/BT12,"n/a")</f>
        <v>89497.0118280816</v>
      </c>
      <c r="BU22" s="127" t="n">
        <f aca="false">BP22*(1+BU23)</f>
        <v>78425.3448</v>
      </c>
      <c r="BV22" s="127" t="n">
        <f aca="false">BQ22*(1+BV23)</f>
        <v>80340.1388709678</v>
      </c>
      <c r="BW22" s="127" t="n">
        <f aca="false">BR22*(1+BW23)</f>
        <v>94391.2155789474</v>
      </c>
      <c r="BX22" s="127" t="n">
        <f aca="false">BS22*(1+BX23)</f>
        <v>101830.572972973</v>
      </c>
      <c r="BY22" s="126" t="n">
        <f aca="false">IFERROR(+BY34*1000/BY12,"n/a")</f>
        <v>88816.5019757618</v>
      </c>
      <c r="BZ22" s="126" t="n">
        <f aca="false">BY22*(1+BZ23)</f>
        <v>96272.4046517035</v>
      </c>
      <c r="CA22" s="126" t="n">
        <f aca="false">BZ22*(1+CA23)</f>
        <v>104354.209986233</v>
      </c>
      <c r="CB22" s="126" t="n">
        <f aca="false">CA22*(1+CB23)</f>
        <v>113114.460797445</v>
      </c>
      <c r="CC22" s="129"/>
    </row>
    <row r="23" s="139" customFormat="true" ht="15" hidden="false" customHeight="true" outlineLevel="0" collapsed="false">
      <c r="A23" s="131" t="s">
        <v>156</v>
      </c>
      <c r="B23" s="132"/>
      <c r="C23" s="133"/>
      <c r="D23" s="133"/>
      <c r="E23" s="133"/>
      <c r="F23" s="133" t="n">
        <f aca="false">F22/E22-1</f>
        <v>0.0731813898072695</v>
      </c>
      <c r="G23" s="133" t="n">
        <f aca="false">G22/F22-1</f>
        <v>0.074709907256503</v>
      </c>
      <c r="H23" s="134"/>
      <c r="I23" s="134"/>
      <c r="J23" s="134"/>
      <c r="K23" s="134"/>
      <c r="L23" s="133" t="n">
        <f aca="false">L22/G22-1</f>
        <v>0.129059504354099</v>
      </c>
      <c r="M23" s="134" t="n">
        <f aca="false">M22/H22-1</f>
        <v>0.0918056141831996</v>
      </c>
      <c r="N23" s="134" t="n">
        <f aca="false">N22/I22-1</f>
        <v>0.000867786149574723</v>
      </c>
      <c r="O23" s="134" t="n">
        <f aca="false">O22/J22-1</f>
        <v>-0.0329874290021263</v>
      </c>
      <c r="P23" s="134" t="n">
        <f aca="false">P22/K22-1</f>
        <v>0.280172582138947</v>
      </c>
      <c r="Q23" s="133" t="n">
        <f aca="false">Q22/L22-1</f>
        <v>0.0562868928126166</v>
      </c>
      <c r="R23" s="134" t="n">
        <f aca="false">R22/M22-1</f>
        <v>0.00667836206438288</v>
      </c>
      <c r="S23" s="134" t="n">
        <f aca="false">S22/N22-1</f>
        <v>0.0730249761507609</v>
      </c>
      <c r="T23" s="134" t="n">
        <f aca="false">T22/O22-1</f>
        <v>0.0759574175636677</v>
      </c>
      <c r="U23" s="134" t="n">
        <f aca="false">U22/P22-1</f>
        <v>-0.0662521507638133</v>
      </c>
      <c r="V23" s="133" t="n">
        <f aca="false">V22/Q22-1</f>
        <v>0.039971743113244</v>
      </c>
      <c r="W23" s="134" t="n">
        <f aca="false">W22/R22-1</f>
        <v>0.103794131301264</v>
      </c>
      <c r="X23" s="134" t="n">
        <f aca="false">X22/S22-1</f>
        <v>0.0938043306464358</v>
      </c>
      <c r="Y23" s="134" t="n">
        <f aca="false">Y22/T22-1</f>
        <v>0.0219096645654504</v>
      </c>
      <c r="Z23" s="134" t="n">
        <f aca="false">Z22/U22-1</f>
        <v>0.0166852952327263</v>
      </c>
      <c r="AA23" s="133" t="n">
        <f aca="false">AA22/V22-1</f>
        <v>0.0515920203783395</v>
      </c>
      <c r="AB23" s="134" t="n">
        <f aca="false">AB22/W22-1</f>
        <v>0.143957201861463</v>
      </c>
      <c r="AC23" s="134" t="n">
        <f aca="false">AC22/X22-1</f>
        <v>-0.0280735343886774</v>
      </c>
      <c r="AD23" s="134" t="n">
        <f aca="false">AD22/Y22-1</f>
        <v>0.0530941865264802</v>
      </c>
      <c r="AE23" s="134" t="n">
        <f aca="false">AE22/Z22-1</f>
        <v>0.0518829059579224</v>
      </c>
      <c r="AF23" s="133" t="n">
        <f aca="false">AF22/AA22-1</f>
        <v>0.0573898888671489</v>
      </c>
      <c r="AG23" s="134" t="n">
        <f aca="false">AG22/AB22-1</f>
        <v>0.0425594954657522</v>
      </c>
      <c r="AH23" s="134" t="n">
        <f aca="false">AH22/AC22-1</f>
        <v>0.0847736495471938</v>
      </c>
      <c r="AI23" s="134" t="n">
        <f aca="false">AI22/AD22-1</f>
        <v>0.0296556175298053</v>
      </c>
      <c r="AJ23" s="134" t="n">
        <f aca="false">AJ22/AE22-1</f>
        <v>-0.0177281846432203</v>
      </c>
      <c r="AK23" s="133" t="n">
        <f aca="false">AK22/AF22-1</f>
        <v>0.0271368038525921</v>
      </c>
      <c r="AL23" s="134" t="n">
        <f aca="false">AL22/AG22-1</f>
        <v>-0.136412078152753</v>
      </c>
      <c r="AM23" s="134" t="n">
        <f aca="false">AM22/AH22-1</f>
        <v>0.00757065307212113</v>
      </c>
      <c r="AN23" s="134" t="n">
        <f aca="false">AN22/AI22-1</f>
        <v>0.0463706450776198</v>
      </c>
      <c r="AO23" s="134" t="n">
        <f aca="false">AO22/AJ22-1</f>
        <v>0.0603576904123087</v>
      </c>
      <c r="AP23" s="133" t="n">
        <f aca="false">AP22/AK22-1</f>
        <v>0.00334370849259469</v>
      </c>
      <c r="AQ23" s="134" t="n">
        <f aca="false">AQ22/AL22-1</f>
        <v>0.190216265216265</v>
      </c>
      <c r="AR23" s="134" t="n">
        <f aca="false">AR22/AM22-1</f>
        <v>0.0657284367479945</v>
      </c>
      <c r="AS23" s="134" t="n">
        <f aca="false">AS22/AN22-1</f>
        <v>0.0600278531535803</v>
      </c>
      <c r="AT23" s="134" t="n">
        <f aca="false">AT22/AO22-1</f>
        <v>0.0106344839086205</v>
      </c>
      <c r="AU23" s="133" t="n">
        <f aca="false">AU22/AP22-1</f>
        <v>0.0629601263249464</v>
      </c>
      <c r="AV23" s="134" t="n">
        <f aca="false">AV22/AQ22-1</f>
        <v>-0.0253132191255433</v>
      </c>
      <c r="AW23" s="134" t="n">
        <f aca="false">AW22/AR22-1</f>
        <v>0.0380669761802199</v>
      </c>
      <c r="AX23" s="134" t="n">
        <f aca="false">AX22/AS22-1</f>
        <v>0.052717680486974</v>
      </c>
      <c r="AY23" s="134" t="n">
        <f aca="false">AY22/AT22-1</f>
        <v>0.103855980014558</v>
      </c>
      <c r="AZ23" s="133" t="n">
        <f aca="false">AZ22/AU22-1</f>
        <v>0.0558311154125333</v>
      </c>
      <c r="BA23" s="134" t="n">
        <f aca="false">BA22/AV22-1</f>
        <v>0.0733450916478757</v>
      </c>
      <c r="BB23" s="134" t="n">
        <f aca="false">BB22/AW22-1</f>
        <v>0.0825423097612448</v>
      </c>
      <c r="BC23" s="134" t="n">
        <f aca="false">BC22/AX22-1</f>
        <v>0.207363090684533</v>
      </c>
      <c r="BD23" s="134" t="n">
        <f aca="false">BD22/AY22-1</f>
        <v>0.112972584964148</v>
      </c>
      <c r="BE23" s="133" t="n">
        <f aca="false">BE22/AZ22-1</f>
        <v>0.115874190776282</v>
      </c>
      <c r="BF23" s="134" t="n">
        <f aca="false">BF22/BA22-1</f>
        <v>0.206444924931671</v>
      </c>
      <c r="BG23" s="134" t="n">
        <f aca="false">BG22/BB22-1</f>
        <v>0.0561285238128</v>
      </c>
      <c r="BH23" s="134" t="n">
        <f aca="false">BH22/BC22-1</f>
        <v>-0.0598854998919247</v>
      </c>
      <c r="BI23" s="134" t="n">
        <f aca="false">BI22/BD22-1</f>
        <v>0.00467140812198363</v>
      </c>
      <c r="BJ23" s="133" t="n">
        <f aca="false">BJ22/BE22-1</f>
        <v>0.0387969993585184</v>
      </c>
      <c r="BK23" s="134" t="n">
        <f aca="false">BK22/BF22-1</f>
        <v>-0.0201948534332107</v>
      </c>
      <c r="BL23" s="134" t="n">
        <f aca="false">BL22/BG22-1</f>
        <v>0.0434776292636458</v>
      </c>
      <c r="BM23" s="134" t="n">
        <f aca="false">BM22/BH22-1</f>
        <v>0.015291371357858</v>
      </c>
      <c r="BN23" s="134" t="n">
        <f aca="false">BN22/BI22-1</f>
        <v>0.0959923066065307</v>
      </c>
      <c r="BO23" s="135" t="n">
        <f aca="false">BO22/BJ22-1</f>
        <v>0.041291652485792</v>
      </c>
      <c r="BP23" s="136" t="n">
        <v>0.15</v>
      </c>
      <c r="BQ23" s="136" t="n">
        <v>0.15</v>
      </c>
      <c r="BR23" s="136" t="n">
        <v>0.15</v>
      </c>
      <c r="BS23" s="136" t="n">
        <v>0.15</v>
      </c>
      <c r="BT23" s="133" t="n">
        <f aca="false">BT22/BO22-1</f>
        <v>0.146922677591486</v>
      </c>
      <c r="BU23" s="136" t="n">
        <v>-0.1</v>
      </c>
      <c r="BV23" s="136" t="n">
        <v>-0.1</v>
      </c>
      <c r="BW23" s="136" t="n">
        <v>0.08</v>
      </c>
      <c r="BX23" s="136" t="n">
        <v>0.08</v>
      </c>
      <c r="BY23" s="133" t="n">
        <f aca="false">BY22/BT22-1</f>
        <v>-0.00760371590536435</v>
      </c>
      <c r="BZ23" s="137" t="n">
        <v>0.0839472677946307</v>
      </c>
      <c r="CA23" s="137" t="n">
        <v>0.0839472677946307</v>
      </c>
      <c r="CB23" s="137" t="n">
        <v>0.0839472677946307</v>
      </c>
      <c r="CC23" s="138"/>
    </row>
    <row r="24" s="130" customFormat="true" ht="15" hidden="false" customHeight="true" outlineLevel="0" collapsed="false">
      <c r="A24" s="124" t="s">
        <v>157</v>
      </c>
      <c r="B24" s="125"/>
      <c r="C24" s="126"/>
      <c r="D24" s="126"/>
      <c r="E24" s="126" t="n">
        <f aca="false">IFERROR(+E35*1000/E13,"n/a")</f>
        <v>20809.9090909091</v>
      </c>
      <c r="F24" s="126" t="n">
        <f aca="false">IFERROR(+F35*1000/F13,"n/a")</f>
        <v>20357</v>
      </c>
      <c r="G24" s="126" t="n">
        <f aca="false">IFERROR(+G35*1000/G13,"n/a")</f>
        <v>19009.5</v>
      </c>
      <c r="H24" s="127" t="str">
        <f aca="false">IFERROR(+H35*1000/H13,"n/a")</f>
        <v>n/a</v>
      </c>
      <c r="I24" s="127" t="n">
        <f aca="false">IFERROR(+I35*1000/I13,"n/a")</f>
        <v>6215</v>
      </c>
      <c r="J24" s="127" t="str">
        <f aca="false">IFERROR(+J35*1000/J13,"n/a")</f>
        <v>n/a</v>
      </c>
      <c r="K24" s="127" t="n">
        <f aca="false">IFERROR(+K35*1000/K13,"n/a")</f>
        <v>10853</v>
      </c>
      <c r="L24" s="126" t="n">
        <f aca="false">IFERROR(+L35*1000/L13,"n/a")</f>
        <v>10870.3333333333</v>
      </c>
      <c r="M24" s="127" t="n">
        <f aca="false">IFERROR(+M35*1000/M13,"n/a")</f>
        <v>18697.5</v>
      </c>
      <c r="N24" s="127" t="n">
        <f aca="false">IFERROR(+N35*1000/N13,"n/a")</f>
        <v>5672.5</v>
      </c>
      <c r="O24" s="127" t="n">
        <f aca="false">IFERROR(+O35*1000/O13,"n/a")</f>
        <v>14629.5</v>
      </c>
      <c r="P24" s="127" t="n">
        <f aca="false">IFERROR(+P35*1000/P13,"n/a")</f>
        <v>8809</v>
      </c>
      <c r="Q24" s="126" t="n">
        <f aca="false">IFERROR(+Q35*1000/Q13,"n/a")</f>
        <v>11946.8888888889</v>
      </c>
      <c r="R24" s="127" t="n">
        <f aca="false">IFERROR(+R35*1000/R13,"n/a")</f>
        <v>21495</v>
      </c>
      <c r="S24" s="127" t="n">
        <f aca="false">IFERROR(+S35*1000/S13,"n/a")</f>
        <v>18981</v>
      </c>
      <c r="T24" s="127" t="n">
        <f aca="false">IFERROR(+T35*1000/T13,"n/a")</f>
        <v>25154</v>
      </c>
      <c r="U24" s="127" t="n">
        <f aca="false">IFERROR(+U35*1000/U13,"n/a")</f>
        <v>25782</v>
      </c>
      <c r="V24" s="126" t="n">
        <f aca="false">IFERROR(+V35*1000/V13,"n/a")</f>
        <v>19483.3333333333</v>
      </c>
      <c r="W24" s="127" t="n">
        <f aca="false">IFERROR(+W35*1000/W13,"n/a")</f>
        <v>15197.5</v>
      </c>
      <c r="X24" s="127" t="n">
        <f aca="false">IFERROR(+X35*1000/X13,"n/a")</f>
        <v>13841</v>
      </c>
      <c r="Y24" s="127" t="n">
        <f aca="false">IFERROR(+Y35*1000/Y13,"n/a")</f>
        <v>18189</v>
      </c>
      <c r="Z24" s="127" t="n">
        <f aca="false">IFERROR(+Z35*1000/Z13,"n/a")</f>
        <v>15639.2</v>
      </c>
      <c r="AA24" s="126" t="n">
        <f aca="false">IFERROR(+AA35*1000/AA13,"n/a")</f>
        <v>15021.4285714286</v>
      </c>
      <c r="AB24" s="127" t="n">
        <f aca="false">IFERROR(+AB35*1000/AB13,"n/a")</f>
        <v>22236</v>
      </c>
      <c r="AC24" s="127" t="n">
        <f aca="false">IFERROR(+AC35*1000/AC13,"n/a")</f>
        <v>16692</v>
      </c>
      <c r="AD24" s="127" t="n">
        <f aca="false">IFERROR(+AD35*1000/AD13,"n/a")</f>
        <v>20806</v>
      </c>
      <c r="AE24" s="127" t="n">
        <f aca="false">IFERROR(+AE35*1000/AE13,"n/a")</f>
        <v>14545.8</v>
      </c>
      <c r="AF24" s="126" t="n">
        <f aca="false">IFERROR(+AF35*1000/AF13,"n/a")</f>
        <v>17143.75</v>
      </c>
      <c r="AG24" s="127" t="n">
        <f aca="false">IFERROR(+AG35*1000/AG13,"n/a")</f>
        <v>16890</v>
      </c>
      <c r="AH24" s="127" t="n">
        <f aca="false">IFERROR(+AH35*1000/AH13,"n/a")</f>
        <v>12338.6666666667</v>
      </c>
      <c r="AI24" s="127" t="n">
        <f aca="false">IFERROR(+AI35*1000/AI13,"n/a")</f>
        <v>18088</v>
      </c>
      <c r="AJ24" s="127" t="n">
        <f aca="false">IFERROR(+AJ35*1000/AJ13,"n/a")</f>
        <v>20872</v>
      </c>
      <c r="AK24" s="126" t="n">
        <f aca="false">IFERROR(+AK35*1000/AK13,"n/a")</f>
        <v>18236.3636363636</v>
      </c>
      <c r="AL24" s="127" t="n">
        <f aca="false">IFERROR(+AL35*1000/AL13,"n/a")</f>
        <v>18480</v>
      </c>
      <c r="AM24" s="127" t="n">
        <f aca="false">IFERROR(+AM35*1000/AM13,"n/a")</f>
        <v>17418.5714285714</v>
      </c>
      <c r="AN24" s="127" t="n">
        <f aca="false">IFERROR(+AN35*1000/AN13,"n/a")</f>
        <v>15478</v>
      </c>
      <c r="AO24" s="127" t="n">
        <f aca="false">IFERROR(+AO35*1000/AO13,"n/a")</f>
        <v>18276.5714285714</v>
      </c>
      <c r="AP24" s="126" t="n">
        <f aca="false">IFERROR(+AP35*1000/AP13,"n/a")</f>
        <v>19409.0909090909</v>
      </c>
      <c r="AQ24" s="127" t="n">
        <f aca="false">IFERROR(+AQ35*1000/AQ13,"n/a")</f>
        <v>15644</v>
      </c>
      <c r="AR24" s="127" t="n">
        <f aca="false">IFERROR(+AR35*1000/AR13,"n/a")</f>
        <v>21068.5714285714</v>
      </c>
      <c r="AS24" s="127" t="n">
        <f aca="false">IFERROR(+AS35*1000/AS13,"n/a")</f>
        <v>20555.5</v>
      </c>
      <c r="AT24" s="127" t="n">
        <f aca="false">IFERROR(+AT35*1000/AT13,"n/a")</f>
        <v>20779.8</v>
      </c>
      <c r="AU24" s="126" t="n">
        <f aca="false">IFERROR(+AU35*1000/AU13,"n/a")</f>
        <v>19631.8181818182</v>
      </c>
      <c r="AV24" s="127" t="n">
        <f aca="false">IFERROR(+AV35*1000/AV13,"n/a")</f>
        <v>22872</v>
      </c>
      <c r="AW24" s="127" t="n">
        <f aca="false">IFERROR(+AW35*1000/AW13,"n/a")</f>
        <v>20702.5</v>
      </c>
      <c r="AX24" s="127" t="n">
        <f aca="false">IFERROR(+AX35*1000/AX13,"n/a")</f>
        <v>21273.5</v>
      </c>
      <c r="AY24" s="127" t="n">
        <f aca="false">IFERROR(+AY35*1000/AY13,"n/a")</f>
        <v>23739.5</v>
      </c>
      <c r="AZ24" s="126" t="n">
        <f aca="false">IFERROR(+AZ35*1000/AZ13,"n/a")</f>
        <v>22275</v>
      </c>
      <c r="BA24" s="127" t="n">
        <f aca="false">IFERROR(+BA35*1000/BA13,"n/a")</f>
        <v>22893.4285714286</v>
      </c>
      <c r="BB24" s="127" t="n">
        <f aca="false">IFERROR(+BB35*1000/BB13,"n/a")</f>
        <v>18687</v>
      </c>
      <c r="BC24" s="127" t="n">
        <f aca="false">IFERROR(+BC35*1000/BC13,"n/a")</f>
        <v>23592</v>
      </c>
      <c r="BD24" s="127" t="n">
        <f aca="false">IFERROR(+BD35*1000/BD13,"n/a")</f>
        <v>28412.5</v>
      </c>
      <c r="BE24" s="126" t="n">
        <f aca="false">IFERROR(+BE35*1000/BE13,"n/a")</f>
        <v>24381.25</v>
      </c>
      <c r="BF24" s="127" t="n">
        <f aca="false">IFERROR(+BF35*1000/BF13,"n/a")</f>
        <v>29744.25</v>
      </c>
      <c r="BG24" s="127" t="n">
        <f aca="false">IFERROR(+BG35*1000/BG13,"n/a")</f>
        <v>30296.6363636364</v>
      </c>
      <c r="BH24" s="127" t="n">
        <f aca="false">IFERROR(+BH35*1000/BH13,"n/a")</f>
        <v>25397.1428571429</v>
      </c>
      <c r="BI24" s="127" t="n">
        <f aca="false">IFERROR(+BI35*1000/BI13,"n/a")</f>
        <v>23719.6666666667</v>
      </c>
      <c r="BJ24" s="126" t="n">
        <f aca="false">IFERROR(+BJ35*1000/BJ13,"n/a")</f>
        <v>27657.1428571429</v>
      </c>
      <c r="BK24" s="127" t="n">
        <f aca="false">IFERROR(+BK35*1000/BK13,"n/a")</f>
        <v>38269.3333333333</v>
      </c>
      <c r="BL24" s="127" t="n">
        <f aca="false">IFERROR(+BL35*1000/BL13,"n/a")</f>
        <v>27980.5</v>
      </c>
      <c r="BM24" s="127" t="n">
        <f aca="false">IFERROR(+BM35*1000/BM13,"n/a")</f>
        <v>27769</v>
      </c>
      <c r="BN24" s="127" t="n">
        <f aca="false">IFERROR(+BN35*1000/BN13,"n/a")</f>
        <v>30336</v>
      </c>
      <c r="BO24" s="128" t="n">
        <f aca="false">IFERROR(+BO35*1000/BO13,"n/a")</f>
        <v>30592.875</v>
      </c>
      <c r="BP24" s="127" t="n">
        <f aca="false">BK24*(1+BP25)</f>
        <v>42096.2666666667</v>
      </c>
      <c r="BQ24" s="127" t="n">
        <f aca="false">BL24*(1+BQ25)</f>
        <v>32177.575</v>
      </c>
      <c r="BR24" s="127" t="n">
        <f aca="false">BM24*(1+BR25)</f>
        <v>31934.35</v>
      </c>
      <c r="BS24" s="127" t="n">
        <f aca="false">BN24*(1+BS25)</f>
        <v>34886.4</v>
      </c>
      <c r="BT24" s="126" t="n">
        <f aca="false">IFERROR(+BT35*1000/BT13,"n/a")</f>
        <v>35273.6479166667</v>
      </c>
      <c r="BU24" s="127" t="n">
        <f aca="false">BP24*(1+BU25)</f>
        <v>42306.748</v>
      </c>
      <c r="BV24" s="127" t="n">
        <f aca="false">BQ24*(1+BV25)</f>
        <v>32338.462875</v>
      </c>
      <c r="BW24" s="127" t="n">
        <f aca="false">BR24*(1+BW25)</f>
        <v>32094.02175</v>
      </c>
      <c r="BX24" s="127" t="n">
        <f aca="false">BS24*(1+BX25)</f>
        <v>35060.832</v>
      </c>
      <c r="BY24" s="126" t="n">
        <f aca="false">IFERROR(+BY35*1000/BY13,"n/a")</f>
        <v>35450.01615625</v>
      </c>
      <c r="BZ24" s="126" t="n">
        <f aca="false">BY24*(1+BZ25)</f>
        <v>35661.3644032334</v>
      </c>
      <c r="CA24" s="126" t="n">
        <f aca="false">BZ24*(1+CA25)</f>
        <v>35873.9726801504</v>
      </c>
      <c r="CB24" s="126" t="n">
        <f aca="false">CA24*(1+CB25)</f>
        <v>36087.8484991306</v>
      </c>
      <c r="CC24" s="129"/>
    </row>
    <row r="25" s="139" customFormat="true" ht="15" hidden="false" customHeight="true" outlineLevel="0" collapsed="false">
      <c r="A25" s="131" t="s">
        <v>158</v>
      </c>
      <c r="B25" s="132"/>
      <c r="C25" s="133"/>
      <c r="D25" s="133"/>
      <c r="E25" s="133"/>
      <c r="F25" s="133" t="n">
        <f aca="false">F24/E24-1</f>
        <v>-0.0217641071342761</v>
      </c>
      <c r="G25" s="133" t="n">
        <f aca="false">G24/F24-1</f>
        <v>-0.0661934469715577</v>
      </c>
      <c r="H25" s="134"/>
      <c r="I25" s="134"/>
      <c r="J25" s="134"/>
      <c r="K25" s="134"/>
      <c r="L25" s="133" t="n">
        <f aca="false">L24/G24-1</f>
        <v>-0.428163111426743</v>
      </c>
      <c r="M25" s="134"/>
      <c r="N25" s="134" t="n">
        <f aca="false">N24/I24-1</f>
        <v>-0.087288817377313</v>
      </c>
      <c r="O25" s="134"/>
      <c r="P25" s="134" t="n">
        <f aca="false">P24/K24-1</f>
        <v>-0.188335022574403</v>
      </c>
      <c r="Q25" s="133" t="n">
        <f aca="false">Q24/L24-1</f>
        <v>0.099036112559157</v>
      </c>
      <c r="R25" s="134" t="n">
        <f aca="false">R24/M24-1</f>
        <v>0.149618933012435</v>
      </c>
      <c r="S25" s="134" t="n">
        <f aca="false">S24/N24-1</f>
        <v>2.34614367562803</v>
      </c>
      <c r="T25" s="134" t="n">
        <f aca="false">T24/O24-1</f>
        <v>0.71940257698486</v>
      </c>
      <c r="U25" s="134" t="n">
        <f aca="false">U24/P24-1</f>
        <v>1.92677943012828</v>
      </c>
      <c r="V25" s="133" t="n">
        <f aca="false">V24/Q24-1</f>
        <v>0.6308290396384</v>
      </c>
      <c r="W25" s="134" t="n">
        <f aca="false">W24/R24-1</f>
        <v>-0.292975110490812</v>
      </c>
      <c r="X25" s="134" t="n">
        <f aca="false">X24/S24-1</f>
        <v>-0.270797112902376</v>
      </c>
      <c r="Y25" s="134" t="n">
        <f aca="false">Y24/T24-1</f>
        <v>-0.276894330921523</v>
      </c>
      <c r="Z25" s="134" t="n">
        <f aca="false">Z24/U24-1</f>
        <v>-0.393406252424172</v>
      </c>
      <c r="AA25" s="133" t="n">
        <f aca="false">AA24/V24-1</f>
        <v>-0.229011365025052</v>
      </c>
      <c r="AB25" s="134" t="n">
        <f aca="false">AB24/W24-1</f>
        <v>0.463135384109229</v>
      </c>
      <c r="AC25" s="134" t="n">
        <f aca="false">AC24/X24-1</f>
        <v>0.205982226717723</v>
      </c>
      <c r="AD25" s="134" t="n">
        <f aca="false">AD24/Y24-1</f>
        <v>0.143878168123591</v>
      </c>
      <c r="AE25" s="134" t="n">
        <f aca="false">AE24/Z24-1</f>
        <v>-0.0699140621003634</v>
      </c>
      <c r="AF25" s="133" t="n">
        <f aca="false">AF24/AA24-1</f>
        <v>0.141286257727057</v>
      </c>
      <c r="AG25" s="134" t="n">
        <f aca="false">AG24/AB24-1</f>
        <v>-0.240420939017809</v>
      </c>
      <c r="AH25" s="134" t="n">
        <f aca="false">AH24/AC24-1</f>
        <v>-0.260803578560588</v>
      </c>
      <c r="AI25" s="134" t="n">
        <f aca="false">AI24/AD24-1</f>
        <v>-0.130635393636451</v>
      </c>
      <c r="AJ25" s="134" t="n">
        <f aca="false">AJ24/AE24-1</f>
        <v>0.434915920746883</v>
      </c>
      <c r="AK25" s="133" t="n">
        <f aca="false">AK24/AF24-1</f>
        <v>0.0637324760547509</v>
      </c>
      <c r="AL25" s="134" t="n">
        <f aca="false">AL24/AG24-1</f>
        <v>0.094138543516874</v>
      </c>
      <c r="AM25" s="134" t="n">
        <f aca="false">AM24/AH24-1</f>
        <v>0.411706134798852</v>
      </c>
      <c r="AN25" s="134" t="n">
        <f aca="false">AN24/AI24-1</f>
        <v>-0.144294559929235</v>
      </c>
      <c r="AO25" s="134" t="n">
        <f aca="false">AO24/AJ24-1</f>
        <v>-0.124349778240158</v>
      </c>
      <c r="AP25" s="133" t="n">
        <f aca="false">AP24/AK24-1</f>
        <v>0.0643070787637088</v>
      </c>
      <c r="AQ25" s="134" t="n">
        <f aca="false">AQ24/AL24-1</f>
        <v>-0.153463203463204</v>
      </c>
      <c r="AR25" s="134" t="n">
        <f aca="false">AR24/AM24-1</f>
        <v>0.209546461084229</v>
      </c>
      <c r="AS25" s="134" t="n">
        <f aca="false">AS24/AN24-1</f>
        <v>0.328046259206616</v>
      </c>
      <c r="AT25" s="134" t="n">
        <f aca="false">AT24/AO24-1</f>
        <v>0.136963794397198</v>
      </c>
      <c r="AU25" s="133" t="n">
        <f aca="false">AU24/AP24-1</f>
        <v>0.0114754098360654</v>
      </c>
      <c r="AV25" s="134" t="n">
        <f aca="false">AV24/AQ24-1</f>
        <v>0.462030171311685</v>
      </c>
      <c r="AW25" s="134" t="n">
        <f aca="false">AW24/AR24-1</f>
        <v>-0.0173752373203145</v>
      </c>
      <c r="AX25" s="134" t="n">
        <f aca="false">AX24/AS24-1</f>
        <v>0.0349298241346594</v>
      </c>
      <c r="AY25" s="134" t="n">
        <f aca="false">AY24/AT24-1</f>
        <v>0.142431592219367</v>
      </c>
      <c r="AZ25" s="133" t="n">
        <f aca="false">AZ24/AU24-1</f>
        <v>0.134637647603612</v>
      </c>
      <c r="BA25" s="134" t="n">
        <f aca="false">BA24/AV24-1</f>
        <v>0.000936891020836717</v>
      </c>
      <c r="BB25" s="134" t="n">
        <f aca="false">BB24/AW24-1</f>
        <v>-0.0973553918608862</v>
      </c>
      <c r="BC25" s="134" t="n">
        <f aca="false">BC24/AX24-1</f>
        <v>0.108985357369497</v>
      </c>
      <c r="BD25" s="134" t="n">
        <f aca="false">BD24/AY24-1</f>
        <v>0.196844920912403</v>
      </c>
      <c r="BE25" s="133" t="n">
        <f aca="false">BE24/AZ24-1</f>
        <v>0.0945566778900113</v>
      </c>
      <c r="BF25" s="134" t="n">
        <f aca="false">BF24/BA24-1</f>
        <v>0.299248380695646</v>
      </c>
      <c r="BG25" s="134" t="n">
        <f aca="false">BG24/BB24-1</f>
        <v>0.621268066764936</v>
      </c>
      <c r="BH25" s="134" t="n">
        <f aca="false">BH24/BC24-1</f>
        <v>0.0765150414183986</v>
      </c>
      <c r="BI25" s="134" t="n">
        <f aca="false">BI24/BD24-1</f>
        <v>-0.165167913183751</v>
      </c>
      <c r="BJ25" s="133" t="n">
        <f aca="false">BJ24/BE24-1</f>
        <v>0.134361152817959</v>
      </c>
      <c r="BK25" s="134" t="n">
        <f aca="false">BK24/BF24-1</f>
        <v>0.286612818724067</v>
      </c>
      <c r="BL25" s="134" t="n">
        <f aca="false">BL24/BG24-1</f>
        <v>-0.0764486306610694</v>
      </c>
      <c r="BM25" s="134" t="n">
        <f aca="false">BM24/BH24-1</f>
        <v>0.0933907076161549</v>
      </c>
      <c r="BN25" s="134" t="n">
        <f aca="false">BN24/BI24-1</f>
        <v>0.278938714709313</v>
      </c>
      <c r="BO25" s="135" t="n">
        <f aca="false">BO24/BJ24-1</f>
        <v>0.106147339876033</v>
      </c>
      <c r="BP25" s="136" t="n">
        <v>0.1</v>
      </c>
      <c r="BQ25" s="136" t="n">
        <v>0.15</v>
      </c>
      <c r="BR25" s="136" t="n">
        <v>0.15</v>
      </c>
      <c r="BS25" s="136" t="n">
        <v>0.15</v>
      </c>
      <c r="BT25" s="133" t="n">
        <f aca="false">BT24/BO24-1</f>
        <v>0.153002060664997</v>
      </c>
      <c r="BU25" s="136" t="n">
        <v>0.005</v>
      </c>
      <c r="BV25" s="136" t="n">
        <v>0.005</v>
      </c>
      <c r="BW25" s="136" t="n">
        <v>0.005</v>
      </c>
      <c r="BX25" s="136" t="n">
        <v>0.005</v>
      </c>
      <c r="BY25" s="133" t="n">
        <f aca="false">BY24/BT24-1</f>
        <v>0.00499999999999989</v>
      </c>
      <c r="BZ25" s="137" t="n">
        <v>0.00596186602713633</v>
      </c>
      <c r="CA25" s="137" t="n">
        <v>0.00596186602713633</v>
      </c>
      <c r="CB25" s="137" t="n">
        <v>0.00596186602713633</v>
      </c>
      <c r="CC25" s="138"/>
    </row>
    <row r="26" s="130" customFormat="true" ht="15" hidden="false" customHeight="true" outlineLevel="0" collapsed="false">
      <c r="A26" s="124" t="s">
        <v>159</v>
      </c>
      <c r="B26" s="125"/>
      <c r="C26" s="126"/>
      <c r="D26" s="126"/>
      <c r="E26" s="126" t="n">
        <f aca="false">IFERROR(+E36*1000/E14,"n/a")</f>
        <v>10650.2528735632</v>
      </c>
      <c r="F26" s="126" t="n">
        <f aca="false">IFERROR(+F36*1000/F14,"n/a")</f>
        <v>11644.1538461538</v>
      </c>
      <c r="G26" s="126" t="n">
        <f aca="false">IFERROR(+G36*1000/G14,"n/a")</f>
        <v>11250.828125</v>
      </c>
      <c r="H26" s="127" t="n">
        <f aca="false">IFERROR(+H36*1000/H14,"n/a")</f>
        <v>10300</v>
      </c>
      <c r="I26" s="127" t="n">
        <f aca="false">IFERROR(+I36*1000/I14,"n/a")</f>
        <v>12430</v>
      </c>
      <c r="J26" s="127" t="n">
        <f aca="false">IFERROR(+J36*1000/J14,"n/a")</f>
        <v>10614</v>
      </c>
      <c r="K26" s="127" t="n">
        <f aca="false">IFERROR(+K36*1000/K14,"n/a")</f>
        <v>9767.7</v>
      </c>
      <c r="L26" s="126" t="n">
        <f aca="false">IFERROR(+L36*1000/L14,"n/a")</f>
        <v>10037.7894736842</v>
      </c>
      <c r="M26" s="127" t="n">
        <f aca="false">IFERROR(+M36*1000/M14,"n/a")</f>
        <v>9348.75</v>
      </c>
      <c r="N26" s="127" t="n">
        <f aca="false">IFERROR(+N36*1000/N14,"n/a")</f>
        <v>9724.28571428571</v>
      </c>
      <c r="O26" s="127" t="n">
        <f aca="false">IFERROR(+O36*1000/O14,"n/a")</f>
        <v>10972.125</v>
      </c>
      <c r="P26" s="127" t="n">
        <f aca="false">IFERROR(+P36*1000/P14,"n/a")</f>
        <v>10130.35</v>
      </c>
      <c r="Q26" s="126" t="n">
        <f aca="false">IFERROR(+Q36*1000/Q14,"n/a")</f>
        <v>10104.5945945946</v>
      </c>
      <c r="R26" s="127" t="n">
        <f aca="false">IFERROR(+R36*1000/R14,"n/a")</f>
        <v>10031</v>
      </c>
      <c r="S26" s="127" t="n">
        <f aca="false">IFERROR(+S36*1000/S14,"n/a")</f>
        <v>8699.625</v>
      </c>
      <c r="T26" s="127" t="n">
        <f aca="false">IFERROR(+T36*1000/T14,"n/a")</f>
        <v>10780.2857142857</v>
      </c>
      <c r="U26" s="127" t="n">
        <f aca="false">IFERROR(+U36*1000/U14,"n/a")</f>
        <v>8594</v>
      </c>
      <c r="V26" s="126" t="n">
        <f aca="false">IFERROR(+V36*1000/V14,"n/a")</f>
        <v>9345.61403508772</v>
      </c>
      <c r="W26" s="127" t="n">
        <f aca="false">IFERROR(+W36*1000/W14,"n/a")</f>
        <v>9598.42105263158</v>
      </c>
      <c r="X26" s="127" t="n">
        <f aca="false">IFERROR(+X36*1000/X14,"n/a")</f>
        <v>8897.78571428571</v>
      </c>
      <c r="Y26" s="127" t="n">
        <f aca="false">IFERROR(+Y36*1000/Y14,"n/a")</f>
        <v>10105</v>
      </c>
      <c r="Z26" s="127" t="n">
        <f aca="false">IFERROR(+Z36*1000/Z14,"n/a")</f>
        <v>9774.5</v>
      </c>
      <c r="AA26" s="126" t="n">
        <f aca="false">IFERROR(+AA36*1000/AA14,"n/a")</f>
        <v>9623.94366197183</v>
      </c>
      <c r="AB26" s="127" t="n">
        <f aca="false">IFERROR(+AB36*1000/AB14,"n/a")</f>
        <v>12288.3157894737</v>
      </c>
      <c r="AC26" s="127" t="n">
        <f aca="false">IFERROR(+AC36*1000/AC14,"n/a")</f>
        <v>10981.5789473684</v>
      </c>
      <c r="AD26" s="127" t="n">
        <f aca="false">IFERROR(+AD36*1000/AD14,"n/a")</f>
        <v>10403</v>
      </c>
      <c r="AE26" s="127" t="n">
        <f aca="false">IFERROR(+AE36*1000/AE14,"n/a")</f>
        <v>11019.5454545455</v>
      </c>
      <c r="AF26" s="126" t="n">
        <f aca="false">IFERROR(+AF36*1000/AF14,"n/a")</f>
        <v>11026.9230769231</v>
      </c>
      <c r="AG26" s="127" t="n">
        <f aca="false">IFERROR(+AG36*1000/AG14,"n/a")</f>
        <v>10857.8571428571</v>
      </c>
      <c r="AH26" s="127" t="n">
        <f aca="false">IFERROR(+AH36*1000/AH14,"n/a")</f>
        <v>10715.1578947368</v>
      </c>
      <c r="AI26" s="127" t="n">
        <f aca="false">IFERROR(+AI36*1000/AI14,"n/a")</f>
        <v>9966.85714285714</v>
      </c>
      <c r="AJ26" s="127" t="n">
        <f aca="false">IFERROR(+AJ36*1000/AJ14,"n/a")</f>
        <v>10436</v>
      </c>
      <c r="AK26" s="126" t="n">
        <f aca="false">IFERROR(+AK36*1000/AK14,"n/a")</f>
        <v>10456.9230769231</v>
      </c>
      <c r="AL26" s="127" t="n">
        <f aca="false">IFERROR(+AL36*1000/AL14,"n/a")</f>
        <v>9360</v>
      </c>
      <c r="AM26" s="127" t="n">
        <f aca="false">IFERROR(+AM36*1000/AM14,"n/a")</f>
        <v>10602.6086956522</v>
      </c>
      <c r="AN26" s="127" t="n">
        <f aca="false">IFERROR(+AN36*1000/AN14,"n/a")</f>
        <v>10767.3043478261</v>
      </c>
      <c r="AO26" s="127" t="n">
        <f aca="false">IFERROR(+AO36*1000/AO14,"n/a")</f>
        <v>10052.1142857143</v>
      </c>
      <c r="AP26" s="126" t="n">
        <f aca="false">IFERROR(+AP36*1000/AP14,"n/a")</f>
        <v>9828.15533980583</v>
      </c>
      <c r="AQ26" s="127" t="n">
        <f aca="false">IFERROR(+AQ36*1000/AQ14,"n/a")</f>
        <v>9833.37142857143</v>
      </c>
      <c r="AR26" s="127" t="n">
        <f aca="false">IFERROR(+AR36*1000/AR14,"n/a")</f>
        <v>10466.3225806452</v>
      </c>
      <c r="AS26" s="127" t="n">
        <f aca="false">IFERROR(+AS36*1000/AS14,"n/a")</f>
        <v>9592.56666666667</v>
      </c>
      <c r="AT26" s="127" t="n">
        <f aca="false">IFERROR(+AT36*1000/AT14,"n/a")</f>
        <v>9895.14285714286</v>
      </c>
      <c r="AU26" s="126" t="n">
        <f aca="false">IFERROR(+AU36*1000/AU14,"n/a")</f>
        <v>10086.2595419847</v>
      </c>
      <c r="AV26" s="127" t="n">
        <f aca="false">IFERROR(+AV36*1000/AV14,"n/a")</f>
        <v>10556.3076923077</v>
      </c>
      <c r="AW26" s="127" t="n">
        <f aca="false">IFERROR(+AW36*1000/AW14,"n/a")</f>
        <v>10896.0526315789</v>
      </c>
      <c r="AX26" s="127" t="n">
        <f aca="false">IFERROR(+AX36*1000/AX14,"n/a")</f>
        <v>11196.5789473684</v>
      </c>
      <c r="AY26" s="127" t="n">
        <f aca="false">IFERROR(+AY36*1000/AY14,"n/a")</f>
        <v>11627.5102040816</v>
      </c>
      <c r="AZ26" s="126" t="n">
        <f aca="false">IFERROR(+AZ36*1000/AZ14,"n/a")</f>
        <v>10951.6556291391</v>
      </c>
      <c r="BA26" s="127" t="n">
        <f aca="false">IFERROR(+BA36*1000/BA14,"n/a")</f>
        <v>11180.511627907</v>
      </c>
      <c r="BB26" s="127" t="n">
        <f aca="false">IFERROR(+BB36*1000/BB14,"n/a")</f>
        <v>11733.6976744186</v>
      </c>
      <c r="BC26" s="127" t="n">
        <f aca="false">IFERROR(+BC36*1000/BC14,"n/a")</f>
        <v>12064.0909090909</v>
      </c>
      <c r="BD26" s="127" t="n">
        <f aca="false">IFERROR(+BD36*1000/BD14,"n/a")</f>
        <v>12627.7777777778</v>
      </c>
      <c r="BE26" s="126" t="n">
        <f aca="false">IFERROR(+BE36*1000/BE14,"n/a")</f>
        <v>11970.1086956522</v>
      </c>
      <c r="BF26" s="127" t="n">
        <f aca="false">IFERROR(+BF36*1000/BF14,"n/a")</f>
        <v>12690.88</v>
      </c>
      <c r="BG26" s="127" t="n">
        <f aca="false">IFERROR(+BG36*1000/BG14,"n/a")</f>
        <v>12984.2727272727</v>
      </c>
      <c r="BH26" s="127" t="n">
        <f aca="false">IFERROR(+BH36*1000/BH14,"n/a")</f>
        <v>14109.5238095238</v>
      </c>
      <c r="BI26" s="127" t="n">
        <f aca="false">IFERROR(+BI36*1000/BI14,"n/a")</f>
        <v>12315.9807692308</v>
      </c>
      <c r="BJ26" s="126" t="n">
        <f aca="false">IFERROR(+BJ36*1000/BJ14,"n/a")</f>
        <v>13100</v>
      </c>
      <c r="BK26" s="127" t="n">
        <f aca="false">IFERROR(+BK36*1000/BK14,"n/a")</f>
        <v>13046.3636363636</v>
      </c>
      <c r="BL26" s="127" t="n">
        <f aca="false">IFERROR(+BL36*1000/BL14,"n/a")</f>
        <v>13990.25</v>
      </c>
      <c r="BM26" s="127" t="n">
        <f aca="false">IFERROR(+BM36*1000/BM14,"n/a")</f>
        <v>15146.7272727273</v>
      </c>
      <c r="BN26" s="127" t="n">
        <f aca="false">IFERROR(+BN36*1000/BN14,"n/a")</f>
        <v>13075.8620689655</v>
      </c>
      <c r="BO26" s="128" t="n">
        <f aca="false">IFERROR(+BO36*1000/BO14,"n/a")</f>
        <v>13547.1538461538</v>
      </c>
      <c r="BP26" s="127" t="n">
        <f aca="false">BK26*(1+BP27)</f>
        <v>14351</v>
      </c>
      <c r="BQ26" s="127" t="n">
        <f aca="false">BL26*(1+BQ27)</f>
        <v>16088.7875</v>
      </c>
      <c r="BR26" s="127" t="n">
        <f aca="false">BM26*(1+BR27)</f>
        <v>17418.7363636364</v>
      </c>
      <c r="BS26" s="127" t="n">
        <f aca="false">BN26*(1+BS27)</f>
        <v>15037.2413793103</v>
      </c>
      <c r="BT26" s="126" t="n">
        <f aca="false">IFERROR(+BT36*1000/BT14,"n/a")</f>
        <v>15723.9413107367</v>
      </c>
      <c r="BU26" s="127" t="n">
        <f aca="false">BP26*(1+BU27)</f>
        <v>12915.9</v>
      </c>
      <c r="BV26" s="127" t="n">
        <f aca="false">BQ26*(1+BV27)</f>
        <v>14479.90875</v>
      </c>
      <c r="BW26" s="127" t="n">
        <f aca="false">BR26*(1+BW27)</f>
        <v>16547.7995454545</v>
      </c>
      <c r="BX26" s="127" t="n">
        <f aca="false">BS26*(1+BX27)</f>
        <v>14285.3793103448</v>
      </c>
      <c r="BY26" s="126" t="n">
        <f aca="false">IFERROR(+BY36*1000/BY14,"n/a")</f>
        <v>14557.2469014498</v>
      </c>
      <c r="BZ26" s="126" t="n">
        <f aca="false">BY26*(1+BZ27)</f>
        <v>15744.0063381668</v>
      </c>
      <c r="CA26" s="126" t="n">
        <f aca="false">BZ26*(1+CA27)</f>
        <v>17027.5146979577</v>
      </c>
      <c r="CB26" s="126" t="n">
        <f aca="false">CA26*(1+CB27)</f>
        <v>18415.6593030771</v>
      </c>
      <c r="CC26" s="129"/>
    </row>
    <row r="27" s="139" customFormat="true" ht="15" hidden="false" customHeight="true" outlineLevel="0" collapsed="false">
      <c r="A27" s="131" t="s">
        <v>160</v>
      </c>
      <c r="B27" s="132"/>
      <c r="C27" s="133"/>
      <c r="D27" s="133"/>
      <c r="E27" s="133"/>
      <c r="F27" s="133" t="n">
        <f aca="false">F26/E26-1</f>
        <v>0.0933218191520837</v>
      </c>
      <c r="G27" s="133" t="n">
        <f aca="false">G26/F26-1</f>
        <v>-0.0337788152192582</v>
      </c>
      <c r="H27" s="134"/>
      <c r="I27" s="134"/>
      <c r="J27" s="134"/>
      <c r="K27" s="134"/>
      <c r="L27" s="133" t="n">
        <f aca="false">L26/G26-1</f>
        <v>-0.107817721312474</v>
      </c>
      <c r="M27" s="134" t="n">
        <f aca="false">M26/H26-1</f>
        <v>-0.0923543689320392</v>
      </c>
      <c r="N27" s="134" t="n">
        <f aca="false">N26/I26-1</f>
        <v>-0.217676129180554</v>
      </c>
      <c r="O27" s="134" t="n">
        <f aca="false">O26/J26-1</f>
        <v>0.0337408140192199</v>
      </c>
      <c r="P27" s="134" t="n">
        <f aca="false">P26/K26-1</f>
        <v>0.0371274711549292</v>
      </c>
      <c r="Q27" s="133" t="n">
        <f aca="false">Q26/L26-1</f>
        <v>0.00665536182896909</v>
      </c>
      <c r="R27" s="134" t="n">
        <f aca="false">R26/M26-1</f>
        <v>0.0729776708116061</v>
      </c>
      <c r="S27" s="134" t="n">
        <f aca="false">S26/N26-1</f>
        <v>-0.105371308946672</v>
      </c>
      <c r="T27" s="134" t="n">
        <f aca="false">T26/O26-1</f>
        <v>-0.0174842417229376</v>
      </c>
      <c r="U27" s="134" t="n">
        <f aca="false">U26/P26-1</f>
        <v>-0.151658136194702</v>
      </c>
      <c r="V27" s="133" t="n">
        <f aca="false">V26/Q26-1</f>
        <v>-0.0751124206321834</v>
      </c>
      <c r="W27" s="134" t="n">
        <f aca="false">W26/R26-1</f>
        <v>-0.0431242096868131</v>
      </c>
      <c r="X27" s="134" t="n">
        <f aca="false">X26/S26-1</f>
        <v>0.022778075409654</v>
      </c>
      <c r="Y27" s="134" t="n">
        <f aca="false">Y26/T26-1</f>
        <v>-0.0626407993427153</v>
      </c>
      <c r="Z27" s="134" t="n">
        <f aca="false">Z26/U26-1</f>
        <v>0.137363276704678</v>
      </c>
      <c r="AA27" s="133" t="n">
        <f aca="false">AA26/V26-1</f>
        <v>0.029781844813956</v>
      </c>
      <c r="AB27" s="134" t="n">
        <f aca="false">AB26/W26-1</f>
        <v>0.280243461095575</v>
      </c>
      <c r="AC27" s="134" t="n">
        <f aca="false">AC26/X26-1</f>
        <v>0.234192337284219</v>
      </c>
      <c r="AD27" s="134" t="n">
        <f aca="false">AD26/Y26-1</f>
        <v>0.0294903513112319</v>
      </c>
      <c r="AE27" s="134" t="n">
        <f aca="false">AE26/Z26-1</f>
        <v>0.127376894423802</v>
      </c>
      <c r="AF27" s="133" t="n">
        <f aca="false">AF26/AA26-1</f>
        <v>0.145780094338561</v>
      </c>
      <c r="AG27" s="134" t="n">
        <f aca="false">AG26/AB26-1</f>
        <v>-0.116408031102349</v>
      </c>
      <c r="AH27" s="134" t="n">
        <f aca="false">AH26/AC26-1</f>
        <v>-0.0242607236999761</v>
      </c>
      <c r="AI27" s="134" t="n">
        <f aca="false">AI26/AD26-1</f>
        <v>-0.0419247195177215</v>
      </c>
      <c r="AJ27" s="134" t="n">
        <f aca="false">AJ26/AE26-1</f>
        <v>-0.0529554923070575</v>
      </c>
      <c r="AK27" s="133" t="n">
        <f aca="false">AK26/AF26-1</f>
        <v>-0.0516916637600279</v>
      </c>
      <c r="AL27" s="134" t="n">
        <f aca="false">AL26/AG26-1</f>
        <v>-0.137951450562463</v>
      </c>
      <c r="AM27" s="134" t="n">
        <f aca="false">AM26/AH26-1</f>
        <v>-0.0105037368735322</v>
      </c>
      <c r="AN27" s="134" t="n">
        <f aca="false">AN26/AI26-1</f>
        <v>0.0803108937447339</v>
      </c>
      <c r="AO27" s="134" t="n">
        <f aca="false">AO26/AJ26-1</f>
        <v>-0.0367847560641736</v>
      </c>
      <c r="AP27" s="133" t="n">
        <f aca="false">AP26/AK26-1</f>
        <v>-0.060129326044757</v>
      </c>
      <c r="AQ27" s="134" t="n">
        <f aca="false">AQ26/AL26-1</f>
        <v>0.0505738705738703</v>
      </c>
      <c r="AR27" s="134" t="n">
        <f aca="false">AR26/AM26-1</f>
        <v>-0.0128540172441618</v>
      </c>
      <c r="AS27" s="134" t="n">
        <f aca="false">AS26/AN26-1</f>
        <v>-0.109102301115562</v>
      </c>
      <c r="AT27" s="134" t="n">
        <f aca="false">AT26/AO26-1</f>
        <v>-0.0156157624266683</v>
      </c>
      <c r="AU27" s="133" t="n">
        <f aca="false">AU26/AP26-1</f>
        <v>0.0262617137453596</v>
      </c>
      <c r="AV27" s="134" t="n">
        <f aca="false">AV26/AQ26-1</f>
        <v>0.0735186572568314</v>
      </c>
      <c r="AW27" s="134" t="n">
        <f aca="false">AW26/AR26-1</f>
        <v>0.0410583610071855</v>
      </c>
      <c r="AX27" s="134" t="n">
        <f aca="false">AX26/AS26-1</f>
        <v>0.167214087369917</v>
      </c>
      <c r="AY27" s="134" t="n">
        <f aca="false">AY26/AT26-1</f>
        <v>0.175072494854206</v>
      </c>
      <c r="AZ27" s="133" t="n">
        <f aca="false">AZ26/AU26-1</f>
        <v>0.0857995061055161</v>
      </c>
      <c r="BA27" s="134" t="n">
        <f aca="false">BA26/AV26-1</f>
        <v>0.0591308963127459</v>
      </c>
      <c r="BB27" s="134" t="n">
        <f aca="false">BB26/AW26-1</f>
        <v>0.0768760092450358</v>
      </c>
      <c r="BC27" s="134" t="n">
        <f aca="false">BC26/AX26-1</f>
        <v>0.0774800915351366</v>
      </c>
      <c r="BD27" s="134" t="n">
        <f aca="false">BD26/AY26-1</f>
        <v>0.0860259467538473</v>
      </c>
      <c r="BE27" s="133" t="n">
        <f aca="false">BE26/AZ26-1</f>
        <v>0.0929953516620174</v>
      </c>
      <c r="BF27" s="134" t="n">
        <f aca="false">BF26/BA26-1</f>
        <v>0.135089378944259</v>
      </c>
      <c r="BG27" s="134" t="n">
        <f aca="false">BG26/BB26-1</f>
        <v>0.106579791601464</v>
      </c>
      <c r="BH27" s="134" t="n">
        <f aca="false">BH26/BC26-1</f>
        <v>0.169547205491593</v>
      </c>
      <c r="BI27" s="134" t="n">
        <f aca="false">BI26/BD26-1</f>
        <v>-0.024691360113709</v>
      </c>
      <c r="BJ27" s="133" t="n">
        <f aca="false">BJ26/BE26-1</f>
        <v>0.0943927355278094</v>
      </c>
      <c r="BK27" s="134" t="n">
        <f aca="false">BK26/BF26-1</f>
        <v>0.028010952460636</v>
      </c>
      <c r="BL27" s="134" t="n">
        <f aca="false">BL26/BG26-1</f>
        <v>0.0774765975620859</v>
      </c>
      <c r="BM27" s="134" t="n">
        <f aca="false">BM26/BH26-1</f>
        <v>0.0735108765685884</v>
      </c>
      <c r="BN27" s="134" t="n">
        <f aca="false">BN26/BI26-1</f>
        <v>0.0616988053142444</v>
      </c>
      <c r="BO27" s="135" t="n">
        <f aca="false">BO26/BJ26-1</f>
        <v>0.0341338813857897</v>
      </c>
      <c r="BP27" s="136" t="n">
        <v>0.1</v>
      </c>
      <c r="BQ27" s="136" t="n">
        <v>0.15</v>
      </c>
      <c r="BR27" s="136" t="n">
        <v>0.15</v>
      </c>
      <c r="BS27" s="136" t="n">
        <v>0.15</v>
      </c>
      <c r="BT27" s="133" t="n">
        <f aca="false">BT26/BO26-1</f>
        <v>0.160682272402246</v>
      </c>
      <c r="BU27" s="136" t="n">
        <v>-0.1</v>
      </c>
      <c r="BV27" s="136" t="n">
        <v>-0.1</v>
      </c>
      <c r="BW27" s="136" t="n">
        <v>-0.05</v>
      </c>
      <c r="BX27" s="136" t="n">
        <v>-0.05</v>
      </c>
      <c r="BY27" s="133" t="n">
        <f aca="false">BY26/BT26-1</f>
        <v>-0.0741985985721141</v>
      </c>
      <c r="BZ27" s="137" t="n">
        <v>0.0815236180818477</v>
      </c>
      <c r="CA27" s="137" t="n">
        <v>0.0815236180818477</v>
      </c>
      <c r="CB27" s="137" t="n">
        <v>0.0815236180818477</v>
      </c>
      <c r="CC27" s="138"/>
    </row>
    <row r="28" s="130" customFormat="true" ht="15" hidden="false" customHeight="true" outlineLevel="0" collapsed="false">
      <c r="A28" s="124" t="s">
        <v>161</v>
      </c>
      <c r="B28" s="125"/>
      <c r="C28" s="126"/>
      <c r="D28" s="126"/>
      <c r="E28" s="126" t="n">
        <f aca="false">IFERROR(+E37*1000/E15,"n/a")</f>
        <v>3000.5</v>
      </c>
      <c r="F28" s="126" t="n">
        <f aca="false">IFERROR(+F37*1000/F15,"n/a")</f>
        <v>3535.93333333333</v>
      </c>
      <c r="G28" s="126" t="n">
        <f aca="false">IFERROR(+G37*1000/G15,"n/a")</f>
        <v>4172.15384615385</v>
      </c>
      <c r="H28" s="127" t="n">
        <f aca="false">IFERROR(+H37*1000/H15,"n/a")</f>
        <v>3433.33333333333</v>
      </c>
      <c r="I28" s="127" t="n">
        <f aca="false">IFERROR(+I37*1000/I15,"n/a")</f>
        <v>6215</v>
      </c>
      <c r="J28" s="127" t="n">
        <f aca="false">IFERROR(+J37*1000/J15,"n/a")</f>
        <v>3538</v>
      </c>
      <c r="K28" s="127" t="n">
        <f aca="false">IFERROR(+K37*1000/K15,"n/a")</f>
        <v>3617.66666666667</v>
      </c>
      <c r="L28" s="126" t="n">
        <f aca="false">IFERROR(+L37*1000/L15,"n/a")</f>
        <v>3655.71428571429</v>
      </c>
      <c r="M28" s="127" t="n">
        <f aca="false">IFERROR(+M37*1000/M15,"n/a")</f>
        <v>4155</v>
      </c>
      <c r="N28" s="127" t="n">
        <f aca="false">IFERROR(+N37*1000/N15,"n/a")</f>
        <v>4538</v>
      </c>
      <c r="O28" s="127" t="n">
        <f aca="false">IFERROR(+O37*1000/O15,"n/a")</f>
        <v>4876.5</v>
      </c>
      <c r="P28" s="127" t="n">
        <f aca="false">IFERROR(+P37*1000/P15,"n/a")</f>
        <v>5872.66666666667</v>
      </c>
      <c r="Q28" s="126" t="n">
        <f aca="false">IFERROR(+Q37*1000/Q15,"n/a")</f>
        <v>4055.33333333333</v>
      </c>
      <c r="R28" s="127" t="n">
        <f aca="false">IFERROR(+R37*1000/R15,"n/a")</f>
        <v>4299</v>
      </c>
      <c r="S28" s="127" t="n">
        <f aca="false">IFERROR(+S37*1000/S15,"n/a")</f>
        <v>3615.42857142857</v>
      </c>
      <c r="T28" s="127" t="n">
        <f aca="false">IFERROR(+T37*1000/T15,"n/a")</f>
        <v>5030.8</v>
      </c>
      <c r="U28" s="127" t="n">
        <f aca="false">IFERROR(+U37*1000/U15,"n/a")</f>
        <v>3222.75</v>
      </c>
      <c r="V28" s="126" t="n">
        <f aca="false">IFERROR(+V37*1000/V15,"n/a")</f>
        <v>3900</v>
      </c>
      <c r="W28" s="127" t="n">
        <f aca="false">IFERROR(+W37*1000/W15,"n/a")</f>
        <v>4052.66666666667</v>
      </c>
      <c r="X28" s="127" t="n">
        <f aca="false">IFERROR(+X37*1000/X15,"n/a")</f>
        <v>3954.57142857143</v>
      </c>
      <c r="Y28" s="127" t="n">
        <f aca="false">IFERROR(+Y37*1000/Y15,"n/a")</f>
        <v>2021</v>
      </c>
      <c r="Z28" s="127" t="n">
        <f aca="false">IFERROR(+Z37*1000/Z15,"n/a")</f>
        <v>2792.71428571429</v>
      </c>
      <c r="AA28" s="126" t="n">
        <f aca="false">IFERROR(+AA37*1000/AA15,"n/a")</f>
        <v>3257.69230769231</v>
      </c>
      <c r="AB28" s="127" t="n">
        <f aca="false">IFERROR(+AB37*1000/AB15,"n/a")</f>
        <v>3335.4</v>
      </c>
      <c r="AC28" s="127" t="n">
        <f aca="false">IFERROR(+AC37*1000/AC15,"n/a")</f>
        <v>2608.125</v>
      </c>
      <c r="AD28" s="127" t="n">
        <f aca="false">IFERROR(+AD37*1000/AD15,"n/a")</f>
        <v>4161.2</v>
      </c>
      <c r="AE28" s="127" t="n">
        <f aca="false">IFERROR(+AE37*1000/AE15,"n/a")</f>
        <v>3030.375</v>
      </c>
      <c r="AF28" s="126" t="n">
        <f aca="false">IFERROR(+AF37*1000/AF15,"n/a")</f>
        <v>3792.30769230769</v>
      </c>
      <c r="AG28" s="127" t="n">
        <f aca="false">IFERROR(+AG37*1000/AG15,"n/a")</f>
        <v>3753.33333333333</v>
      </c>
      <c r="AH28" s="127" t="n">
        <f aca="false">IFERROR(+AH37*1000/AH15,"n/a")</f>
        <v>3084.66666666667</v>
      </c>
      <c r="AI28" s="127" t="n">
        <f aca="false">IFERROR(+AI37*1000/AI15,"n/a")</f>
        <v>3876</v>
      </c>
      <c r="AJ28" s="127" t="n">
        <f aca="false">IFERROR(+AJ37*1000/AJ15,"n/a")</f>
        <v>4816.61538461539</v>
      </c>
      <c r="AK28" s="126" t="n">
        <f aca="false">IFERROR(+AK37*1000/AK15,"n/a")</f>
        <v>3926.47058823529</v>
      </c>
      <c r="AL28" s="127" t="n">
        <f aca="false">IFERROR(+AL37*1000/AL15,"n/a")</f>
        <v>4320</v>
      </c>
      <c r="AM28" s="127" t="n">
        <f aca="false">IFERROR(+AM37*1000/AM15,"n/a")</f>
        <v>3483.71428571429</v>
      </c>
      <c r="AN28" s="127" t="n">
        <f aca="false">IFERROR(+AN37*1000/AN15,"n/a")</f>
        <v>3095.6</v>
      </c>
      <c r="AO28" s="127" t="n">
        <f aca="false">IFERROR(+AO37*1000/AO15,"n/a")</f>
        <v>5330.66666666667</v>
      </c>
      <c r="AP28" s="126" t="n">
        <f aca="false">IFERROR(+AP37*1000/AP15,"n/a")</f>
        <v>4305.88235294118</v>
      </c>
      <c r="AQ28" s="127" t="n">
        <f aca="false">IFERROR(+AQ37*1000/AQ15,"n/a")</f>
        <v>5214.66666666667</v>
      </c>
      <c r="AR28" s="127" t="n">
        <f aca="false">IFERROR(+AR37*1000/AR15,"n/a")</f>
        <v>3277.33333333333</v>
      </c>
      <c r="AS28" s="127" t="n">
        <f aca="false">IFERROR(+AS37*1000/AS15,"n/a")</f>
        <v>5873</v>
      </c>
      <c r="AT28" s="127" t="n">
        <f aca="false">IFERROR(+AT37*1000/AT15,"n/a")</f>
        <v>3148.45454545454</v>
      </c>
      <c r="AU28" s="126" t="n">
        <f aca="false">IFERROR(+AU37*1000/AU15,"n/a")</f>
        <v>4312.12121212121</v>
      </c>
      <c r="AV28" s="127" t="n">
        <f aca="false">IFERROR(+AV37*1000/AV15,"n/a")</f>
        <v>5082.66666666667</v>
      </c>
      <c r="AW28" s="127" t="n">
        <f aca="false">IFERROR(+AW37*1000/AW15,"n/a")</f>
        <v>3450.41666666667</v>
      </c>
      <c r="AX28" s="127" t="n">
        <f aca="false">IFERROR(+AX37*1000/AX15,"n/a")</f>
        <v>4254.7</v>
      </c>
      <c r="AY28" s="127" t="n">
        <f aca="false">IFERROR(+AY37*1000/AY15,"n/a")</f>
        <v>3391.35714285714</v>
      </c>
      <c r="AZ28" s="126" t="n">
        <f aca="false">IFERROR(+AZ37*1000/AZ15,"n/a")</f>
        <v>4700</v>
      </c>
      <c r="BA28" s="127" t="n">
        <f aca="false">IFERROR(+BA37*1000/BA15,"n/a")</f>
        <v>6677.25</v>
      </c>
      <c r="BB28" s="127" t="n">
        <f aca="false">IFERROR(+BB37*1000/BB15,"n/a")</f>
        <v>4312.38461538462</v>
      </c>
      <c r="BC28" s="127" t="n">
        <f aca="false">IFERROR(+BC37*1000/BC15,"n/a")</f>
        <v>3317.625</v>
      </c>
      <c r="BD28" s="127" t="n">
        <f aca="false">IFERROR(+BD37*1000/BD15,"n/a")</f>
        <v>6313.88888888889</v>
      </c>
      <c r="BE28" s="126" t="n">
        <f aca="false">IFERROR(+BE37*1000/BE15,"n/a")</f>
        <v>5061.81818181818</v>
      </c>
      <c r="BF28" s="127" t="n">
        <f aca="false">IFERROR(+BF37*1000/BF15,"n/a")</f>
        <v>3965.9</v>
      </c>
      <c r="BG28" s="127" t="n">
        <f aca="false">IFERROR(+BG37*1000/BG15,"n/a")</f>
        <v>5951.125</v>
      </c>
      <c r="BH28" s="127" t="n">
        <f aca="false">IFERROR(+BH37*1000/BH15,"n/a")</f>
        <v>6584.44444444444</v>
      </c>
      <c r="BI28" s="127" t="n">
        <f aca="false">IFERROR(+BI37*1000/BI15,"n/a")</f>
        <v>6777.04761904762</v>
      </c>
      <c r="BJ28" s="126" t="n">
        <f aca="false">IFERROR(+BJ37*1000/BJ15,"n/a")</f>
        <v>5680</v>
      </c>
      <c r="BK28" s="127" t="n">
        <f aca="false">IFERROR(+BK37*1000/BK15,"n/a")</f>
        <v>4415.69230769231</v>
      </c>
      <c r="BL28" s="127" t="n">
        <f aca="false">IFERROR(+BL37*1000/BL15,"n/a")</f>
        <v>3997.21428571429</v>
      </c>
      <c r="BM28" s="127" t="n">
        <f aca="false">IFERROR(+BM37*1000/BM15,"n/a")</f>
        <v>5553.8</v>
      </c>
      <c r="BN28" s="127" t="n">
        <f aca="false">IFERROR(+BN37*1000/BN15,"n/a")</f>
        <v>4461.17647058824</v>
      </c>
      <c r="BO28" s="128" t="n">
        <f aca="false">IFERROR(+BO37*1000/BO15,"n/a")</f>
        <v>4532.27777777778</v>
      </c>
      <c r="BP28" s="127" t="n">
        <f aca="false">BK28*(1+BP29)</f>
        <v>5078.04615384615</v>
      </c>
      <c r="BQ28" s="127" t="n">
        <f aca="false">BL28*(1+BQ29)</f>
        <v>4596.79642857143</v>
      </c>
      <c r="BR28" s="127" t="n">
        <f aca="false">BM28*(1+BR29)</f>
        <v>6386.87</v>
      </c>
      <c r="BS28" s="127" t="n">
        <f aca="false">BN28*(1+BS29)</f>
        <v>5130.35294117647</v>
      </c>
      <c r="BT28" s="126" t="n">
        <f aca="false">IFERROR(+BT37*1000/BT15,"n/a")</f>
        <v>5298.01638089851</v>
      </c>
      <c r="BU28" s="127" t="n">
        <f aca="false">BP28*(1+BU29)</f>
        <v>5839.75307692308</v>
      </c>
      <c r="BV28" s="127" t="n">
        <f aca="false">BQ28*(1+BV29)</f>
        <v>5286.31589285714</v>
      </c>
      <c r="BW28" s="127" t="n">
        <f aca="false">BR28*(1+BW29)</f>
        <v>7344.9005</v>
      </c>
      <c r="BX28" s="127" t="n">
        <f aca="false">BS28*(1+BX29)</f>
        <v>5899.90588235294</v>
      </c>
      <c r="BY28" s="126" t="n">
        <f aca="false">IFERROR(+BY37*1000/BY15,"n/a")</f>
        <v>6092.71883803329</v>
      </c>
      <c r="BZ28" s="126" t="n">
        <f aca="false">BY28*(1+BZ29)</f>
        <v>7006.62666373828</v>
      </c>
      <c r="CA28" s="126" t="n">
        <f aca="false">BZ28*(1+CA29)</f>
        <v>8057.62066329903</v>
      </c>
      <c r="CB28" s="126" t="n">
        <f aca="false">CA28*(1+CB29)</f>
        <v>9266.26376279388</v>
      </c>
      <c r="CC28" s="129"/>
    </row>
    <row r="29" s="139" customFormat="true" ht="15" hidden="false" customHeight="true" outlineLevel="0" collapsed="false">
      <c r="A29" s="131" t="s">
        <v>162</v>
      </c>
      <c r="B29" s="132"/>
      <c r="C29" s="133"/>
      <c r="D29" s="133"/>
      <c r="E29" s="133"/>
      <c r="F29" s="133" t="n">
        <f aca="false">F28/E28-1</f>
        <v>0.178448036438371</v>
      </c>
      <c r="G29" s="133" t="n">
        <f aca="false">G28/F28-1</f>
        <v>0.179930007962211</v>
      </c>
      <c r="H29" s="134"/>
      <c r="I29" s="134"/>
      <c r="J29" s="134"/>
      <c r="K29" s="134"/>
      <c r="L29" s="133" t="n">
        <f aca="false">L28/G28-1</f>
        <v>-0.123782482497774</v>
      </c>
      <c r="M29" s="134" t="n">
        <f aca="false">M28/H28-1</f>
        <v>0.210194174757282</v>
      </c>
      <c r="N29" s="134" t="n">
        <f aca="false">N28/I28-1</f>
        <v>-0.26983105390185</v>
      </c>
      <c r="O29" s="134" t="n">
        <f aca="false">O28/J28-1</f>
        <v>0.37832108535896</v>
      </c>
      <c r="P29" s="134" t="n">
        <f aca="false">P28/K28-1</f>
        <v>0.623329954851194</v>
      </c>
      <c r="Q29" s="133" t="n">
        <f aca="false">Q28/L28-1</f>
        <v>0.109313533932526</v>
      </c>
      <c r="R29" s="134" t="n">
        <f aca="false">R28/M28-1</f>
        <v>0.0346570397111912</v>
      </c>
      <c r="S29" s="134" t="n">
        <f aca="false">S28/N28-1</f>
        <v>-0.203299124850469</v>
      </c>
      <c r="T29" s="134" t="n">
        <f aca="false">T28/O28-1</f>
        <v>0.0316415461909156</v>
      </c>
      <c r="U29" s="134" t="n">
        <f aca="false">U28/P28-1</f>
        <v>-0.451228856850948</v>
      </c>
      <c r="V29" s="133" t="n">
        <f aca="false">V28/Q28-1</f>
        <v>-0.0383034686832156</v>
      </c>
      <c r="W29" s="134" t="n">
        <f aca="false">W28/R28-1</f>
        <v>-0.0573001473210822</v>
      </c>
      <c r="X29" s="134" t="n">
        <f aca="false">X28/S28-1</f>
        <v>0.0938043306464358</v>
      </c>
      <c r="Y29" s="134" t="n">
        <f aca="false">Y28/T28-1</f>
        <v>-0.598274628289735</v>
      </c>
      <c r="Z29" s="134" t="n">
        <f aca="false">Z28/U28-1</f>
        <v>-0.133437503463103</v>
      </c>
      <c r="AA29" s="133" t="n">
        <f aca="false">AA28/V28-1</f>
        <v>-0.164694280078896</v>
      </c>
      <c r="AB29" s="134" t="n">
        <f aca="false">AB28/W28-1</f>
        <v>-0.176986346438559</v>
      </c>
      <c r="AC29" s="134" t="n">
        <f aca="false">AC28/X28-1</f>
        <v>-0.340478469763745</v>
      </c>
      <c r="AD29" s="134" t="n">
        <f aca="false">AD28/Y28-1</f>
        <v>1.05898070262246</v>
      </c>
      <c r="AE29" s="134" t="n">
        <f aca="false">AE28/Z28-1</f>
        <v>0.0851002608829097</v>
      </c>
      <c r="AF29" s="133" t="n">
        <f aca="false">AF28/AA28-1</f>
        <v>0.164108618654073</v>
      </c>
      <c r="AG29" s="134" t="n">
        <f aca="false">AG28/AB28-1</f>
        <v>0.125302312566209</v>
      </c>
      <c r="AH29" s="134" t="n">
        <f aca="false">AH28/AC28-1</f>
        <v>0.182714274303059</v>
      </c>
      <c r="AI29" s="134" t="n">
        <f aca="false">AI28/AD28-1</f>
        <v>-0.0685379217533404</v>
      </c>
      <c r="AJ29" s="134" t="n">
        <f aca="false">AJ28/AE28-1</f>
        <v>0.589445327596547</v>
      </c>
      <c r="AK29" s="133" t="n">
        <f aca="false">AK28/AF28-1</f>
        <v>0.0353776398997734</v>
      </c>
      <c r="AL29" s="134" t="n">
        <f aca="false">AL28/AG28-1</f>
        <v>0.150976909413854</v>
      </c>
      <c r="AM29" s="134" t="n">
        <f aca="false">AM28/AH28-1</f>
        <v>0.129364907839081</v>
      </c>
      <c r="AN29" s="134" t="n">
        <f aca="false">AN28/AI28-1</f>
        <v>-0.201341589267286</v>
      </c>
      <c r="AO29" s="134" t="n">
        <f aca="false">AO28/AJ28-1</f>
        <v>0.106724585835356</v>
      </c>
      <c r="AP29" s="133" t="n">
        <f aca="false">AP28/AK28-1</f>
        <v>0.0966292134831461</v>
      </c>
      <c r="AQ29" s="134" t="n">
        <f aca="false">AQ28/AL28-1</f>
        <v>0.207098765432099</v>
      </c>
      <c r="AR29" s="134" t="n">
        <f aca="false">AR28/AM28-1</f>
        <v>-0.0592416413789333</v>
      </c>
      <c r="AS29" s="134" t="n">
        <f aca="false">AS28/AN28-1</f>
        <v>0.897208941723737</v>
      </c>
      <c r="AT29" s="134" t="n">
        <f aca="false">AT28/AO28-1</f>
        <v>-0.409369457456001</v>
      </c>
      <c r="AU29" s="133" t="n">
        <f aca="false">AU28/AP28-1</f>
        <v>0.00144891538334146</v>
      </c>
      <c r="AV29" s="134" t="n">
        <f aca="false">AV28/AQ28-1</f>
        <v>-0.0253132191255433</v>
      </c>
      <c r="AW29" s="134" t="n">
        <f aca="false">AW28/AR28-1</f>
        <v>0.0528122457282343</v>
      </c>
      <c r="AX29" s="134" t="n">
        <f aca="false">AX28/AS28-1</f>
        <v>-0.275549123105738</v>
      </c>
      <c r="AY29" s="134" t="n">
        <f aca="false">AY28/AT28-1</f>
        <v>0.0771497869496891</v>
      </c>
      <c r="AZ29" s="133" t="n">
        <f aca="false">AZ28/AU28-1</f>
        <v>0.0899508081517921</v>
      </c>
      <c r="BA29" s="134" t="n">
        <f aca="false">BA28/AV28-1</f>
        <v>0.313729669464848</v>
      </c>
      <c r="BB29" s="134" t="n">
        <f aca="false">BB28/AW28-1</f>
        <v>0.249815611269542</v>
      </c>
      <c r="BC29" s="134" t="n">
        <f aca="false">BC28/AX28-1</f>
        <v>-0.220244670599572</v>
      </c>
      <c r="BD29" s="134" t="n">
        <f aca="false">BD28/AY28-1</f>
        <v>0.861758765863738</v>
      </c>
      <c r="BE29" s="133" t="n">
        <f aca="false">BE28/AZ28-1</f>
        <v>0.076982591876209</v>
      </c>
      <c r="BF29" s="134" t="n">
        <f aca="false">BF28/BA28-1</f>
        <v>-0.406057883110562</v>
      </c>
      <c r="BG29" s="134" t="n">
        <f aca="false">BG28/BB28-1</f>
        <v>0.380007937782058</v>
      </c>
      <c r="BH29" s="134" t="n">
        <f aca="false">BH28/BC28-1</f>
        <v>0.984686166894825</v>
      </c>
      <c r="BI29" s="134" t="n">
        <f aca="false">BI28/BD28-1</f>
        <v>0.0733555401923203</v>
      </c>
      <c r="BJ29" s="133" t="n">
        <f aca="false">BJ28/BE28-1</f>
        <v>0.122126436781609</v>
      </c>
      <c r="BK29" s="134" t="n">
        <f aca="false">BK28/BF28-1</f>
        <v>0.113414939280443</v>
      </c>
      <c r="BL29" s="134" t="n">
        <f aca="false">BL28/BG28-1</f>
        <v>-0.328326276844414</v>
      </c>
      <c r="BM29" s="134" t="n">
        <f aca="false">BM28/BH28-1</f>
        <v>-0.156527168410395</v>
      </c>
      <c r="BN29" s="134" t="n">
        <f aca="false">BN28/BI28-1</f>
        <v>-0.341722720370207</v>
      </c>
      <c r="BO29" s="135" t="n">
        <f aca="false">BO28/BJ28-1</f>
        <v>-0.202063771517997</v>
      </c>
      <c r="BP29" s="136" t="n">
        <v>0.15</v>
      </c>
      <c r="BQ29" s="136" t="n">
        <v>0.15</v>
      </c>
      <c r="BR29" s="136" t="n">
        <v>0.15</v>
      </c>
      <c r="BS29" s="136" t="n">
        <v>0.15</v>
      </c>
      <c r="BT29" s="133" t="n">
        <f aca="false">BT28/BO28-1</f>
        <v>0.168952266534772</v>
      </c>
      <c r="BU29" s="136" t="n">
        <v>0.15</v>
      </c>
      <c r="BV29" s="136" t="n">
        <v>0.15</v>
      </c>
      <c r="BW29" s="136" t="n">
        <v>0.15</v>
      </c>
      <c r="BX29" s="136" t="n">
        <v>0.15</v>
      </c>
      <c r="BY29" s="133" t="n">
        <f aca="false">BY28/BT28-1</f>
        <v>0.15</v>
      </c>
      <c r="BZ29" s="137" t="n">
        <v>0.15</v>
      </c>
      <c r="CA29" s="137" t="n">
        <v>0.15</v>
      </c>
      <c r="CB29" s="137" t="n">
        <v>0.15</v>
      </c>
      <c r="CC29" s="138"/>
    </row>
    <row r="30" s="130" customFormat="true" ht="15" hidden="false" customHeight="true" outlineLevel="0" collapsed="false">
      <c r="A30" s="124" t="s">
        <v>163</v>
      </c>
      <c r="B30" s="125"/>
      <c r="C30" s="126"/>
      <c r="D30" s="126"/>
      <c r="E30" s="126"/>
      <c r="F30" s="126"/>
      <c r="G30" s="126"/>
      <c r="H30" s="127"/>
      <c r="I30" s="127"/>
      <c r="J30" s="127"/>
      <c r="K30" s="127"/>
      <c r="L30" s="126"/>
      <c r="M30" s="127"/>
      <c r="N30" s="127"/>
      <c r="O30" s="127"/>
      <c r="P30" s="127"/>
      <c r="Q30" s="126"/>
      <c r="R30" s="127"/>
      <c r="S30" s="127"/>
      <c r="T30" s="127"/>
      <c r="U30" s="127"/>
      <c r="V30" s="126" t="n">
        <f aca="false">IFERROR(+V38/V17*1000,"n/a")</f>
        <v>1832.72727272727</v>
      </c>
      <c r="W30" s="127"/>
      <c r="X30" s="127"/>
      <c r="Y30" s="127"/>
      <c r="Z30" s="127"/>
      <c r="AA30" s="126" t="n">
        <f aca="false">IFERROR(+AA38/AA17*1000,"n/a")</f>
        <v>2910.52631578947</v>
      </c>
      <c r="AB30" s="127"/>
      <c r="AC30" s="127"/>
      <c r="AD30" s="127"/>
      <c r="AE30" s="127"/>
      <c r="AF30" s="126" t="n">
        <f aca="false">IFERROR(+AF38/AF17*1000,"n/a")</f>
        <v>2974.56140350877</v>
      </c>
      <c r="AG30" s="127"/>
      <c r="AH30" s="127"/>
      <c r="AI30" s="127"/>
      <c r="AJ30" s="127"/>
      <c r="AK30" s="126" t="n">
        <f aca="false">IFERROR(+AK38/AK17*1000,"n/a")</f>
        <v>2386.08695652174</v>
      </c>
      <c r="AL30" s="127"/>
      <c r="AM30" s="127"/>
      <c r="AN30" s="127"/>
      <c r="AO30" s="127"/>
      <c r="AP30" s="126" t="n">
        <f aca="false">IFERROR(+AP38/AP17*1000,"n/a")</f>
        <v>2555.47445255474</v>
      </c>
      <c r="AQ30" s="127"/>
      <c r="AR30" s="127"/>
      <c r="AS30" s="127"/>
      <c r="AT30" s="127"/>
      <c r="AU30" s="126" t="n">
        <f aca="false">IFERROR(+AU38/AU17*1000,"n/a")</f>
        <v>2620.91836734694</v>
      </c>
      <c r="AV30" s="127"/>
      <c r="AW30" s="127"/>
      <c r="AX30" s="127"/>
      <c r="AY30" s="127"/>
      <c r="AZ30" s="126" t="n">
        <f aca="false">IFERROR(+AZ38/AZ17*1000,"n/a")</f>
        <v>3053.7037037037</v>
      </c>
      <c r="BA30" s="127" t="n">
        <f aca="false">BA38/BA17*1000</f>
        <v>4331.18918918919</v>
      </c>
      <c r="BB30" s="127" t="n">
        <f aca="false">BB38/BB17*1000</f>
        <v>3030.32432432432</v>
      </c>
      <c r="BC30" s="127" t="n">
        <f aca="false">BC38/BC17*1000</f>
        <v>2869.2972972973</v>
      </c>
      <c r="BD30" s="127" t="n">
        <f aca="false">BD38/BD17*1000</f>
        <v>4261.875</v>
      </c>
      <c r="BE30" s="126" t="n">
        <f aca="false">IFERROR(+BE38/BE17*1000,"n/a")</f>
        <v>3550.33112582782</v>
      </c>
      <c r="BF30" s="127" t="n">
        <f aca="false">BF38/BF17*1000</f>
        <v>2974.425</v>
      </c>
      <c r="BG30" s="127" t="n">
        <f aca="false">BG38/BG17*1000</f>
        <v>1190.225</v>
      </c>
      <c r="BH30" s="127" t="n">
        <f aca="false">BH38/BH17*1000</f>
        <v>2963</v>
      </c>
      <c r="BI30" s="127" t="n">
        <f aca="false">BI38/BI17*1000</f>
        <v>6325.24444444445</v>
      </c>
      <c r="BJ30" s="126" t="n">
        <f aca="false">IFERROR(+BJ38/BJ17*1000,"n/a")</f>
        <v>3912.12121212121</v>
      </c>
      <c r="BK30" s="127" t="n">
        <f aca="false">BK38/BK17*1000</f>
        <v>3826.93333333333</v>
      </c>
      <c r="BL30" s="127" t="n">
        <f aca="false">BL38/BL17*1000</f>
        <v>2487.15555555556</v>
      </c>
      <c r="BM30" s="127" t="n">
        <f aca="false">BM38/BM17*1000</f>
        <v>4936.71111111111</v>
      </c>
      <c r="BN30" s="127" t="n">
        <f aca="false">BN38/BN17*1000</f>
        <v>6741.33333333333</v>
      </c>
      <c r="BO30" s="128" t="n">
        <f aca="false">IFERROR(+BO38/BO17*1000,"n/a")</f>
        <v>4498.03333333333</v>
      </c>
      <c r="BP30" s="127" t="n">
        <f aca="false">BK30*(1+BP31)</f>
        <v>4209.62666666667</v>
      </c>
      <c r="BQ30" s="127" t="n">
        <f aca="false">BL30*(1+BQ31)</f>
        <v>2611.51333333333</v>
      </c>
      <c r="BR30" s="127" t="n">
        <f aca="false">BM30*(1+BR31)</f>
        <v>5183.54666666667</v>
      </c>
      <c r="BS30" s="127" t="n">
        <f aca="false">BN30*(1+BS31)</f>
        <v>7078.4</v>
      </c>
      <c r="BT30" s="126" t="n">
        <f aca="false">IFERROR(+BT38/BT17*1000,"n/a")</f>
        <v>4770.77166666667</v>
      </c>
      <c r="BU30" s="127" t="n">
        <f aca="false">BP30*(1+BU31)</f>
        <v>4420.108</v>
      </c>
      <c r="BV30" s="127" t="n">
        <f aca="false">BQ30*(1+BV31)</f>
        <v>2742.089</v>
      </c>
      <c r="BW30" s="127" t="n">
        <f aca="false">BR30*(1+BW31)</f>
        <v>5442.724</v>
      </c>
      <c r="BX30" s="127" t="n">
        <f aca="false">BS30*(1+BX31)</f>
        <v>7432.32</v>
      </c>
      <c r="BY30" s="126" t="n">
        <f aca="false">IFERROR(+BY38/BY17*1000,"n/a")</f>
        <v>5009.31025</v>
      </c>
      <c r="BZ30" s="126" t="n">
        <f aca="false">BY30*(1+BZ31)</f>
        <v>5259.7757625</v>
      </c>
      <c r="CA30" s="126" t="n">
        <f aca="false">BZ30*(1+CA31)</f>
        <v>5522.764550625</v>
      </c>
      <c r="CB30" s="126" t="n">
        <f aca="false">CA30*(1+CB31)</f>
        <v>5798.90277815625</v>
      </c>
      <c r="CC30" s="129"/>
    </row>
    <row r="31" s="139" customFormat="true" ht="15" hidden="false" customHeight="true" outlineLevel="0" collapsed="false">
      <c r="A31" s="131" t="s">
        <v>164</v>
      </c>
      <c r="B31" s="132"/>
      <c r="C31" s="133"/>
      <c r="D31" s="133"/>
      <c r="E31" s="133"/>
      <c r="F31" s="133"/>
      <c r="G31" s="133"/>
      <c r="H31" s="134"/>
      <c r="I31" s="134"/>
      <c r="J31" s="134"/>
      <c r="K31" s="134"/>
      <c r="L31" s="133"/>
      <c r="M31" s="134"/>
      <c r="N31" s="134"/>
      <c r="O31" s="134"/>
      <c r="P31" s="134"/>
      <c r="Q31" s="133"/>
      <c r="R31" s="134"/>
      <c r="S31" s="134"/>
      <c r="T31" s="134"/>
      <c r="U31" s="134"/>
      <c r="V31" s="133"/>
      <c r="W31" s="134"/>
      <c r="X31" s="134"/>
      <c r="Y31" s="134"/>
      <c r="Z31" s="134"/>
      <c r="AA31" s="133" t="n">
        <f aca="false">AA30/V30-1</f>
        <v>0.588084795321638</v>
      </c>
      <c r="AB31" s="134"/>
      <c r="AC31" s="134"/>
      <c r="AD31" s="134"/>
      <c r="AE31" s="134"/>
      <c r="AF31" s="133" t="n">
        <f aca="false">AF30/AA30-1</f>
        <v>0.0220012055455094</v>
      </c>
      <c r="AG31" s="134"/>
      <c r="AH31" s="134"/>
      <c r="AI31" s="134"/>
      <c r="AJ31" s="134"/>
      <c r="AK31" s="133" t="n">
        <f aca="false">AK30/AF30-1</f>
        <v>-0.197835703204134</v>
      </c>
      <c r="AL31" s="134"/>
      <c r="AM31" s="134"/>
      <c r="AN31" s="134"/>
      <c r="AO31" s="134"/>
      <c r="AP31" s="133" t="n">
        <f aca="false">AP30/AK30-1</f>
        <v>0.0709896575940074</v>
      </c>
      <c r="AQ31" s="134"/>
      <c r="AR31" s="134"/>
      <c r="AS31" s="134"/>
      <c r="AT31" s="134"/>
      <c r="AU31" s="133" t="n">
        <f aca="false">AU30/AP30-1</f>
        <v>0.0256093011326213</v>
      </c>
      <c r="AV31" s="134"/>
      <c r="AW31" s="134"/>
      <c r="AX31" s="134"/>
      <c r="AY31" s="134"/>
      <c r="AZ31" s="133" t="n">
        <f aca="false">AZ30/AU30-1</f>
        <v>0.165127362129503</v>
      </c>
      <c r="BA31" s="134"/>
      <c r="BB31" s="134"/>
      <c r="BC31" s="134"/>
      <c r="BD31" s="134"/>
      <c r="BE31" s="133" t="n">
        <f aca="false">BE30/AZ30-1</f>
        <v>0.162631175225603</v>
      </c>
      <c r="BF31" s="134" t="n">
        <f aca="false">BF30/BA30-1</f>
        <v>-0.313254427346587</v>
      </c>
      <c r="BG31" s="134" t="n">
        <f aca="false">BG30/BB30-1</f>
        <v>-0.607228510015876</v>
      </c>
      <c r="BH31" s="134" t="n">
        <f aca="false">BH30/BC30-1</f>
        <v>0.0326570212124637</v>
      </c>
      <c r="BI31" s="134" t="n">
        <f aca="false">BI30/BD30-1</f>
        <v>0.484145932117777</v>
      </c>
      <c r="BJ31" s="133" t="n">
        <f aca="false">BJ30/BE30-1</f>
        <v>0.101903195355909</v>
      </c>
      <c r="BK31" s="134" t="n">
        <f aca="false">BK30/BF30-1</f>
        <v>0.286612818724067</v>
      </c>
      <c r="BL31" s="134" t="n">
        <f aca="false">BL30/BG30-1</f>
        <v>1.08965158315071</v>
      </c>
      <c r="BM31" s="134" t="n">
        <f aca="false">BM30/BH30-1</f>
        <v>0.666119173510331</v>
      </c>
      <c r="BN31" s="134" t="n">
        <f aca="false">BN30/BI30-1</f>
        <v>0.0657822622577604</v>
      </c>
      <c r="BO31" s="135" t="n">
        <f aca="false">BO30/BJ30-1</f>
        <v>0.14976839659179</v>
      </c>
      <c r="BP31" s="136" t="n">
        <v>0.1</v>
      </c>
      <c r="BQ31" s="136" t="n">
        <v>0.05</v>
      </c>
      <c r="BR31" s="136" t="n">
        <v>0.05</v>
      </c>
      <c r="BS31" s="136" t="n">
        <v>0.05</v>
      </c>
      <c r="BT31" s="133" t="n">
        <f aca="false">BT30/BO30-1</f>
        <v>0.0606350182672426</v>
      </c>
      <c r="BU31" s="136" t="n">
        <v>0.05</v>
      </c>
      <c r="BV31" s="136" t="n">
        <v>0.05</v>
      </c>
      <c r="BW31" s="136" t="n">
        <v>0.05</v>
      </c>
      <c r="BX31" s="136" t="n">
        <v>0.05</v>
      </c>
      <c r="BY31" s="133" t="n">
        <f aca="false">BY30/BT30-1</f>
        <v>0.0500000000000003</v>
      </c>
      <c r="BZ31" s="137" t="n">
        <v>0.05</v>
      </c>
      <c r="CA31" s="137" t="n">
        <v>0.05</v>
      </c>
      <c r="CB31" s="137" t="n">
        <v>0.05</v>
      </c>
      <c r="CC31" s="138"/>
    </row>
    <row r="32" s="84" customFormat="true" ht="15" hidden="false" customHeight="true" outlineLevel="0" collapsed="false">
      <c r="A32" s="140"/>
      <c r="B32" s="141"/>
      <c r="C32" s="142"/>
      <c r="D32" s="142"/>
      <c r="E32" s="142"/>
      <c r="F32" s="142"/>
      <c r="G32" s="142"/>
      <c r="H32" s="143"/>
      <c r="I32" s="143"/>
      <c r="J32" s="143"/>
      <c r="K32" s="143"/>
      <c r="L32" s="142"/>
      <c r="M32" s="143"/>
      <c r="N32" s="143"/>
      <c r="O32" s="143"/>
      <c r="P32" s="143"/>
      <c r="Q32" s="142"/>
      <c r="R32" s="143"/>
      <c r="S32" s="143"/>
      <c r="T32" s="143"/>
      <c r="U32" s="143"/>
      <c r="V32" s="142"/>
      <c r="W32" s="143"/>
      <c r="X32" s="143"/>
      <c r="Y32" s="143"/>
      <c r="Z32" s="143"/>
      <c r="AA32" s="142"/>
      <c r="AB32" s="143"/>
      <c r="AC32" s="143"/>
      <c r="AD32" s="143"/>
      <c r="AE32" s="143"/>
      <c r="AF32" s="142"/>
      <c r="AG32" s="143"/>
      <c r="AH32" s="143"/>
      <c r="AI32" s="143"/>
      <c r="AJ32" s="143"/>
      <c r="AK32" s="142"/>
      <c r="AL32" s="143"/>
      <c r="AM32" s="143"/>
      <c r="AN32" s="143"/>
      <c r="AO32" s="143"/>
      <c r="AP32" s="142"/>
      <c r="AQ32" s="143"/>
      <c r="AR32" s="143"/>
      <c r="AS32" s="143"/>
      <c r="AT32" s="143"/>
      <c r="AU32" s="142"/>
      <c r="AV32" s="143"/>
      <c r="AW32" s="143"/>
      <c r="AX32" s="143"/>
      <c r="AY32" s="143"/>
      <c r="AZ32" s="142"/>
      <c r="BA32" s="143"/>
      <c r="BB32" s="143"/>
      <c r="BC32" s="143"/>
      <c r="BD32" s="143"/>
      <c r="BE32" s="142"/>
      <c r="BF32" s="143"/>
      <c r="BG32" s="143"/>
      <c r="BH32" s="143"/>
      <c r="BI32" s="143"/>
      <c r="BJ32" s="142"/>
      <c r="BK32" s="143"/>
      <c r="BL32" s="143"/>
      <c r="BM32" s="143"/>
      <c r="BN32" s="143"/>
      <c r="BO32" s="144"/>
      <c r="BP32" s="143"/>
      <c r="BQ32" s="143"/>
      <c r="BR32" s="143"/>
      <c r="BS32" s="143"/>
      <c r="BT32" s="142"/>
      <c r="BU32" s="143"/>
      <c r="BV32" s="143"/>
      <c r="BW32" s="143"/>
      <c r="BX32" s="143"/>
      <c r="BY32" s="142"/>
      <c r="BZ32" s="142"/>
      <c r="CA32" s="142"/>
      <c r="CB32" s="142"/>
      <c r="CC32" s="83"/>
    </row>
    <row r="33" s="51" customFormat="true" ht="15" hidden="false" customHeight="true" outlineLevel="0" collapsed="false">
      <c r="A33" s="145" t="s">
        <v>165</v>
      </c>
      <c r="B33" s="146"/>
      <c r="C33" s="147"/>
      <c r="D33" s="147"/>
      <c r="E33" s="148" t="n">
        <v>119.3</v>
      </c>
      <c r="F33" s="148" t="n">
        <v>43.7</v>
      </c>
      <c r="G33" s="148" t="n">
        <v>60.1</v>
      </c>
      <c r="H33" s="149" t="n">
        <f aca="false">H53*H$39</f>
        <v>61.8</v>
      </c>
      <c r="I33" s="149" t="n">
        <f aca="false">I53*I$39</f>
        <v>62.15</v>
      </c>
      <c r="J33" s="149" t="n">
        <f aca="false">J53*J$39</f>
        <v>123.83</v>
      </c>
      <c r="K33" s="149" t="n">
        <f aca="false">K53*K$39</f>
        <v>65.118</v>
      </c>
      <c r="L33" s="148" t="n">
        <v>299.845</v>
      </c>
      <c r="M33" s="149" t="n">
        <f aca="false">M53*M$39</f>
        <v>0</v>
      </c>
      <c r="N33" s="149" t="n">
        <f aca="false">N53*N$39</f>
        <v>68.07</v>
      </c>
      <c r="O33" s="149" t="n">
        <f aca="false">O53*O$39</f>
        <v>0</v>
      </c>
      <c r="P33" s="149" t="n">
        <f aca="false">P53*P$39</f>
        <v>0</v>
      </c>
      <c r="Q33" s="148" t="n">
        <v>70.473</v>
      </c>
      <c r="R33" s="149" t="n">
        <f aca="false">R53*R$39</f>
        <v>0</v>
      </c>
      <c r="S33" s="149" t="n">
        <f aca="false">S53*S$39</f>
        <v>101.232</v>
      </c>
      <c r="T33" s="149" t="n">
        <f aca="false">T53*T$39</f>
        <v>88.039</v>
      </c>
      <c r="U33" s="149" t="n">
        <f aca="false">U53*U$39</f>
        <v>141.801</v>
      </c>
      <c r="V33" s="148" t="n">
        <v>324.9</v>
      </c>
      <c r="W33" s="149" t="n">
        <f aca="false">W53*W$39</f>
        <v>0</v>
      </c>
      <c r="X33" s="149" t="n">
        <f aca="false">X53*X$39</f>
        <v>221.456</v>
      </c>
      <c r="Y33" s="149" t="n">
        <f aca="false">Y53*Y$39</f>
        <v>381.969</v>
      </c>
      <c r="Z33" s="149" t="n">
        <f aca="false">Z53*Z$39</f>
        <v>488.725</v>
      </c>
      <c r="AA33" s="148" t="n">
        <v>1101.5</v>
      </c>
      <c r="AB33" s="149" t="n">
        <f aca="false">AB53*AB$39</f>
        <v>116.739</v>
      </c>
      <c r="AC33" s="149" t="n">
        <f aca="false">AC53*AC$39</f>
        <v>667.68</v>
      </c>
      <c r="AD33" s="149" t="n">
        <f aca="false">AD53*AD$39</f>
        <v>520.15</v>
      </c>
      <c r="AE33" s="149" t="n">
        <f aca="false">AE53*AE$39</f>
        <v>581.832</v>
      </c>
      <c r="AF33" s="148" t="n">
        <v>1880.1</v>
      </c>
      <c r="AG33" s="149" t="n">
        <f aca="false">AG53*AG$39</f>
        <v>371.58</v>
      </c>
      <c r="AH33" s="149" t="n">
        <f aca="false">AH53*AH$39</f>
        <v>758.828</v>
      </c>
      <c r="AI33" s="149" t="n">
        <f aca="false">AI53*AI$39</f>
        <v>744.192</v>
      </c>
      <c r="AJ33" s="149" t="n">
        <f aca="false">AJ53*AJ$39</f>
        <v>907.932</v>
      </c>
      <c r="AK33" s="148" t="n">
        <v>2799.7</v>
      </c>
      <c r="AL33" s="149" t="n">
        <f aca="false">AL53*AL$39</f>
        <v>348.48</v>
      </c>
      <c r="AM33" s="149" t="n">
        <f aca="false">AM53*AM$39</f>
        <v>951.054</v>
      </c>
      <c r="AN33" s="149" t="n">
        <f aca="false">AN53*AN$39</f>
        <v>2043.096</v>
      </c>
      <c r="AO33" s="149" t="n">
        <f aca="false">AO53*AO$39</f>
        <v>1151.424</v>
      </c>
      <c r="AP33" s="148" t="n">
        <v>4463.8</v>
      </c>
      <c r="AQ33" s="149" t="n">
        <f aca="false">AQ53*AQ$39</f>
        <v>1126.368</v>
      </c>
      <c r="AR33" s="149" t="n">
        <f aca="false">AR53*AR$39</f>
        <v>1327.32</v>
      </c>
      <c r="AS33" s="149" t="n">
        <f aca="false">AS53*AS$39</f>
        <v>2219.994</v>
      </c>
      <c r="AT33" s="149" t="n">
        <f aca="false">AT53*AT$39</f>
        <v>1593.118</v>
      </c>
      <c r="AU33" s="148" t="n">
        <v>6284</v>
      </c>
      <c r="AV33" s="149" t="n">
        <f aca="false">AV53*AV$39</f>
        <v>594.672</v>
      </c>
      <c r="AW33" s="149" t="n">
        <f aca="false">AW53*AW$39</f>
        <v>1987.44</v>
      </c>
      <c r="AX33" s="149" t="n">
        <f aca="false">AX53*AX$39</f>
        <v>2169.897</v>
      </c>
      <c r="AY33" s="149" t="n">
        <f aca="false">AY53*AY$39</f>
        <v>2326.471</v>
      </c>
      <c r="AZ33" s="148" t="n">
        <v>7045.3</v>
      </c>
      <c r="BA33" s="149" t="n">
        <f aca="false">BA53*BA$39</f>
        <v>2884.572</v>
      </c>
      <c r="BB33" s="149" t="n">
        <f aca="false">BB53*BB$39</f>
        <v>2074.257</v>
      </c>
      <c r="BC33" s="149" t="n">
        <f aca="false">BC53*BC$39</f>
        <v>1857.87</v>
      </c>
      <c r="BD33" s="149" t="n">
        <f aca="false">BD53*BD$39</f>
        <v>2273</v>
      </c>
      <c r="BE33" s="148" t="n">
        <v>9124</v>
      </c>
      <c r="BF33" s="149" t="n">
        <f aca="false">BF53*BF$39</f>
        <v>1824.314</v>
      </c>
      <c r="BG33" s="149" t="n">
        <f aca="false">BG53*BG$39</f>
        <v>1475.879</v>
      </c>
      <c r="BH33" s="149" t="n">
        <f aca="false">BH53*BH$39</f>
        <v>2074.1</v>
      </c>
      <c r="BI33" s="149" t="n">
        <f aca="false">BI53*BI$39</f>
        <v>2988.678</v>
      </c>
      <c r="BJ33" s="148" t="n">
        <f aca="false">7856.4+465</f>
        <v>8321.4</v>
      </c>
      <c r="BK33" s="149" t="n">
        <f aca="false">BK53*BK$39</f>
        <v>3214.624</v>
      </c>
      <c r="BL33" s="149" t="n">
        <f aca="false">BL53*BL$39</f>
        <v>2686.128</v>
      </c>
      <c r="BM33" s="149" t="n">
        <f aca="false">BM53*BM$39</f>
        <v>2110.444</v>
      </c>
      <c r="BN33" s="149" t="n">
        <f aca="false">BN53*BN$39</f>
        <v>3640.32</v>
      </c>
      <c r="BO33" s="150" t="n">
        <f aca="false">SUM(BK33,BL33,BM33,BN33)</f>
        <v>11651.516</v>
      </c>
      <c r="BP33" s="149" t="n">
        <f aca="false">BP11*BP20/1000</f>
        <v>3283.5088</v>
      </c>
      <c r="BQ33" s="149" t="n">
        <f aca="false">BQ11*BQ20/1000</f>
        <v>3809.41789090909</v>
      </c>
      <c r="BR33" s="149" t="n">
        <f aca="false">BR11*BR20/1000</f>
        <v>4220.888</v>
      </c>
      <c r="BS33" s="149" t="n">
        <f aca="false">BS11*BS20/1000</f>
        <v>4680.41142857143</v>
      </c>
      <c r="BT33" s="147" t="n">
        <f aca="false">SUM(BP33,BQ33,BR33,BS33)</f>
        <v>15994.2261194805</v>
      </c>
      <c r="BU33" s="149" t="n">
        <f aca="false">BU11*BU20/1000</f>
        <v>3776.03512</v>
      </c>
      <c r="BV33" s="149" t="n">
        <f aca="false">BV11*BV20/1000</f>
        <v>4190.35968</v>
      </c>
      <c r="BW33" s="149" t="n">
        <f aca="false">BW11*BW20/1000</f>
        <v>4642.9768</v>
      </c>
      <c r="BX33" s="149" t="n">
        <f aca="false">BX11*BX20/1000</f>
        <v>5148.45257142857</v>
      </c>
      <c r="BY33" s="147" t="n">
        <f aca="false">SUM(BU33,BV33,BW33,BX33)</f>
        <v>17757.8241714286</v>
      </c>
      <c r="BZ33" s="147" t="n">
        <f aca="false">BZ11*BZ20/1000</f>
        <v>24734.1122387755</v>
      </c>
      <c r="CA33" s="147" t="n">
        <f aca="false">CA11*CA20/1000</f>
        <v>25970.8178507143</v>
      </c>
      <c r="CB33" s="147" t="n">
        <f aca="false">CB11*CB20/1000</f>
        <v>27269.35874325</v>
      </c>
      <c r="CC33" s="50"/>
    </row>
    <row r="34" s="51" customFormat="true" ht="15" hidden="false" customHeight="true" outlineLevel="0" collapsed="false">
      <c r="A34" s="145" t="s">
        <v>166</v>
      </c>
      <c r="B34" s="146"/>
      <c r="C34" s="147"/>
      <c r="D34" s="147"/>
      <c r="E34" s="148" t="n">
        <v>3549.122</v>
      </c>
      <c r="F34" s="148" t="n">
        <v>2715.221</v>
      </c>
      <c r="G34" s="148" t="n">
        <v>3120.719</v>
      </c>
      <c r="H34" s="149" t="n">
        <f aca="false">H54*H$39</f>
        <v>782.8</v>
      </c>
      <c r="I34" s="149" t="n">
        <f aca="false">I54*I$39</f>
        <v>1131.13</v>
      </c>
      <c r="J34" s="149" t="n">
        <f aca="false">J54*J$39</f>
        <v>636.84</v>
      </c>
      <c r="K34" s="149" t="n">
        <f aca="false">K54*K$39</f>
        <v>900.799</v>
      </c>
      <c r="L34" s="148" t="n">
        <v>3477.718</v>
      </c>
      <c r="M34" s="149" t="n">
        <f aca="false">M54*M$39</f>
        <v>1034.595</v>
      </c>
      <c r="N34" s="149" t="n">
        <f aca="false">N54*N$39</f>
        <v>896.255</v>
      </c>
      <c r="O34" s="149" t="n">
        <f aca="false">O54*O$39</f>
        <v>663.204</v>
      </c>
      <c r="P34" s="149" t="n">
        <f aca="false">P54*P$39</f>
        <v>634.248</v>
      </c>
      <c r="Q34" s="148" t="n">
        <v>3238.452</v>
      </c>
      <c r="R34" s="149" t="n">
        <f aca="false">R54*R$39</f>
        <v>679.242</v>
      </c>
      <c r="S34" s="149" t="n">
        <f aca="false">S54*S$39</f>
        <v>961.704</v>
      </c>
      <c r="T34" s="149" t="n">
        <f aca="false">T54*T$39</f>
        <v>968.429</v>
      </c>
      <c r="U34" s="149" t="n">
        <f aca="false">U54*U$39</f>
        <v>915.261</v>
      </c>
      <c r="V34" s="148" t="n">
        <v>3518.7</v>
      </c>
      <c r="W34" s="149" t="n">
        <f aca="false">W54*W$39</f>
        <v>899.692</v>
      </c>
      <c r="X34" s="149" t="n">
        <f aca="false">X54*X$39</f>
        <v>885.824</v>
      </c>
      <c r="Y34" s="149" t="n">
        <f aca="false">Y54*Y$39</f>
        <v>1145.907</v>
      </c>
      <c r="Z34" s="149" t="n">
        <f aca="false">Z54*Z$39</f>
        <v>1094.744</v>
      </c>
      <c r="AA34" s="148" t="n">
        <v>4017.4</v>
      </c>
      <c r="AB34" s="149" t="n">
        <f aca="false">AB54*AB$39</f>
        <v>1200.744</v>
      </c>
      <c r="AC34" s="149" t="n">
        <f aca="false">AC54*AC$39</f>
        <v>1022.385</v>
      </c>
      <c r="AD34" s="149" t="n">
        <f aca="false">AD54*AD$39</f>
        <v>1206.748</v>
      </c>
      <c r="AE34" s="149" t="n">
        <f aca="false">AE54*AE$39</f>
        <v>1381.851</v>
      </c>
      <c r="AF34" s="148" t="n">
        <v>4806.9</v>
      </c>
      <c r="AG34" s="149" t="n">
        <f aca="false">AG54*AG$39</f>
        <v>1013.4</v>
      </c>
      <c r="AH34" s="149" t="n">
        <f aca="false">AH54*AH$39</f>
        <v>758.828</v>
      </c>
      <c r="AI34" s="149" t="n">
        <f aca="false">AI54*AI$39</f>
        <v>1186.056</v>
      </c>
      <c r="AJ34" s="149" t="n">
        <f aca="false">AJ54*AJ$39</f>
        <v>1753.248</v>
      </c>
      <c r="AK34" s="148" t="n">
        <v>4707.7</v>
      </c>
      <c r="AL34" s="149" t="n">
        <f aca="false">AL54*AL$39</f>
        <v>823.68</v>
      </c>
      <c r="AM34" s="149" t="n">
        <f aca="false">AM54*AM$39</f>
        <v>999.826</v>
      </c>
      <c r="AN34" s="149" t="n">
        <f aca="false">AN54*AN$39</f>
        <v>650.076</v>
      </c>
      <c r="AO34" s="149" t="n">
        <f aca="false">AO54*AO$39</f>
        <v>1439.28</v>
      </c>
      <c r="AP34" s="148" t="n">
        <v>3917</v>
      </c>
      <c r="AQ34" s="149" t="n">
        <f aca="false">AQ54*AQ$39</f>
        <v>1470.536</v>
      </c>
      <c r="AR34" s="149" t="n">
        <f aca="false">AR54*AR$39</f>
        <v>1002.864</v>
      </c>
      <c r="AS34" s="149" t="n">
        <f aca="false">AS54*AS$39</f>
        <v>1315.552</v>
      </c>
      <c r="AT34" s="149" t="n">
        <f aca="false">AT54*AT$39</f>
        <v>1212.155</v>
      </c>
      <c r="AU34" s="148" t="n">
        <v>4959.6</v>
      </c>
      <c r="AV34" s="149" t="n">
        <f aca="false">AV54*AV$39</f>
        <v>1074.984</v>
      </c>
      <c r="AW34" s="149" t="n">
        <f aca="false">AW54*AW$39</f>
        <v>1366.365</v>
      </c>
      <c r="AX34" s="149" t="n">
        <f aca="false">AX54*AX$39</f>
        <v>1318.957</v>
      </c>
      <c r="AY34" s="149" t="n">
        <f aca="false">AY54*AY$39</f>
        <v>1471.849</v>
      </c>
      <c r="AZ34" s="148" t="n">
        <v>5236.5</v>
      </c>
      <c r="BA34" s="149" t="n">
        <f aca="false">BA54*BA$39</f>
        <v>1602.54</v>
      </c>
      <c r="BB34" s="149" t="n">
        <f aca="false">BB54*BB$39</f>
        <v>2746.989</v>
      </c>
      <c r="BC34" s="149" t="n">
        <f aca="false">BC54*BC$39</f>
        <v>2547.936</v>
      </c>
      <c r="BD34" s="149" t="n">
        <f aca="false">BD54*BD$39</f>
        <v>2159.35</v>
      </c>
      <c r="BE34" s="148" t="n">
        <v>9017.4</v>
      </c>
      <c r="BF34" s="149" t="n">
        <f aca="false">BF54*BF$39</f>
        <v>1546.701</v>
      </c>
      <c r="BG34" s="149" t="n">
        <f aca="false">BG54*BG$39</f>
        <v>2380.45</v>
      </c>
      <c r="BH34" s="149" t="n">
        <f aca="false">BH54*BH$39</f>
        <v>2844.48</v>
      </c>
      <c r="BI34" s="149" t="n">
        <f aca="false">BI54*BI$39</f>
        <v>2917.519</v>
      </c>
      <c r="BJ34" s="148" t="n">
        <v>9667</v>
      </c>
      <c r="BK34" s="149" t="n">
        <f aca="false">BK54*BK$39</f>
        <v>1894.332</v>
      </c>
      <c r="BL34" s="149" t="n">
        <f aca="false">BL54*BL$39</f>
        <v>2406.323</v>
      </c>
      <c r="BM34" s="149" t="n">
        <f aca="false">BM54*BM$39</f>
        <v>2887.976</v>
      </c>
      <c r="BN34" s="149" t="n">
        <f aca="false">BN54*BN$39</f>
        <v>3033.6</v>
      </c>
      <c r="BO34" s="150" t="n">
        <f aca="false">SUM(BK34,BL34,BM34,BN34)</f>
        <v>10222.231</v>
      </c>
      <c r="BP34" s="149" t="n">
        <f aca="false">BP12*BP22/1000</f>
        <v>1742.78544</v>
      </c>
      <c r="BQ34" s="149" t="n">
        <f aca="false">BQ12*BQ22/1000</f>
        <v>1785.33641935484</v>
      </c>
      <c r="BR34" s="149" t="n">
        <f aca="false">BR12*BR22/1000</f>
        <v>1835.38474736842</v>
      </c>
      <c r="BS34" s="149" t="n">
        <f aca="false">BS12*BS22/1000</f>
        <v>1885.75135135135</v>
      </c>
      <c r="BT34" s="147" t="n">
        <f aca="false">SUM(BP34,BQ34,BR34,BS34)</f>
        <v>7249.25795807461</v>
      </c>
      <c r="BU34" s="149" t="n">
        <f aca="false">BU12*BU22/1000</f>
        <v>1568.506896</v>
      </c>
      <c r="BV34" s="149" t="n">
        <f aca="false">BV12*BV22/1000</f>
        <v>1606.80277741936</v>
      </c>
      <c r="BW34" s="149" t="n">
        <f aca="false">BW12*BW22/1000</f>
        <v>1982.21552715789</v>
      </c>
      <c r="BX34" s="149" t="n">
        <f aca="false">BX12*BX22/1000</f>
        <v>2036.61145945946</v>
      </c>
      <c r="BY34" s="147" t="n">
        <f aca="false">SUM(BU34,BV34,BW34,BX34)</f>
        <v>7194.13666003671</v>
      </c>
      <c r="BZ34" s="147" t="n">
        <f aca="false">BZ12*BZ22/1000</f>
        <v>7701.79237213628</v>
      </c>
      <c r="CA34" s="147" t="n">
        <f aca="false">CA12*CA22/1000</f>
        <v>8348.33679889865</v>
      </c>
      <c r="CB34" s="147" t="n">
        <f aca="false">CB12*CB22/1000</f>
        <v>9049.15686379556</v>
      </c>
      <c r="CC34" s="50"/>
    </row>
    <row r="35" s="51" customFormat="true" ht="15" hidden="false" customHeight="true" outlineLevel="0" collapsed="false">
      <c r="A35" s="145" t="s">
        <v>167</v>
      </c>
      <c r="B35" s="146"/>
      <c r="C35" s="147"/>
      <c r="D35" s="147"/>
      <c r="E35" s="148" t="n">
        <v>228.909</v>
      </c>
      <c r="F35" s="148" t="n">
        <v>81.428</v>
      </c>
      <c r="G35" s="148" t="n">
        <v>38.019</v>
      </c>
      <c r="H35" s="149" t="n">
        <f aca="false">H55*H$39</f>
        <v>0</v>
      </c>
      <c r="I35" s="149" t="n">
        <f aca="false">I55*I$39</f>
        <v>12.43</v>
      </c>
      <c r="J35" s="149" t="n">
        <f aca="false">J55*J$39</f>
        <v>0</v>
      </c>
      <c r="K35" s="149" t="n">
        <f aca="false">K55*K$39</f>
        <v>10.853</v>
      </c>
      <c r="L35" s="148" t="n">
        <v>32.611</v>
      </c>
      <c r="M35" s="149" t="n">
        <f aca="false">M55*M$39</f>
        <v>37.395</v>
      </c>
      <c r="N35" s="149" t="n">
        <f aca="false">N55*N$39</f>
        <v>11.345</v>
      </c>
      <c r="O35" s="149" t="n">
        <f aca="false">O55*O$39</f>
        <v>29.259</v>
      </c>
      <c r="P35" s="149" t="n">
        <f aca="false">P55*P$39</f>
        <v>26.427</v>
      </c>
      <c r="Q35" s="148" t="n">
        <v>107.522</v>
      </c>
      <c r="R35" s="149" t="n">
        <f aca="false">R55*R$39</f>
        <v>42.99</v>
      </c>
      <c r="S35" s="149" t="n">
        <f aca="false">S55*S$39</f>
        <v>37.962</v>
      </c>
      <c r="T35" s="149" t="n">
        <f aca="false">T55*T$39</f>
        <v>25.154</v>
      </c>
      <c r="U35" s="149" t="n">
        <f aca="false">U55*U$39</f>
        <v>25.782</v>
      </c>
      <c r="V35" s="148" t="n">
        <v>116.9</v>
      </c>
      <c r="W35" s="149" t="n">
        <f aca="false">W55*W$39</f>
        <v>60.79</v>
      </c>
      <c r="X35" s="149" t="n">
        <f aca="false">X55*X$39</f>
        <v>41.523</v>
      </c>
      <c r="Y35" s="149" t="n">
        <f aca="false">Y55*Y$39</f>
        <v>36.378</v>
      </c>
      <c r="Z35" s="149" t="n">
        <f aca="false">Z55*Z$39</f>
        <v>78.196</v>
      </c>
      <c r="AA35" s="148" t="n">
        <v>210.3</v>
      </c>
      <c r="AB35" s="149" t="n">
        <f aca="false">AB55*AB$39</f>
        <v>66.708</v>
      </c>
      <c r="AC35" s="149" t="n">
        <f aca="false">AC55*AC$39</f>
        <v>83.46</v>
      </c>
      <c r="AD35" s="149" t="n">
        <f aca="false">AD55*AD$39</f>
        <v>62.418</v>
      </c>
      <c r="AE35" s="149" t="n">
        <f aca="false">AE55*AE$39</f>
        <v>72.729</v>
      </c>
      <c r="AF35" s="148" t="n">
        <v>274.3</v>
      </c>
      <c r="AG35" s="149" t="n">
        <f aca="false">AG55*AG$39</f>
        <v>67.56</v>
      </c>
      <c r="AH35" s="149" t="n">
        <f aca="false">AH55*AH$39</f>
        <v>37.016</v>
      </c>
      <c r="AI35" s="149" t="n">
        <f aca="false">AI55*AI$39</f>
        <v>162.792</v>
      </c>
      <c r="AJ35" s="149" t="n">
        <f aca="false">AJ55*AJ$39</f>
        <v>125.232</v>
      </c>
      <c r="AK35" s="148" t="n">
        <v>401.2</v>
      </c>
      <c r="AL35" s="149" t="n">
        <f aca="false">AL55*AL$39</f>
        <v>110.88</v>
      </c>
      <c r="AM35" s="149" t="n">
        <f aca="false">AM55*AM$39</f>
        <v>121.93</v>
      </c>
      <c r="AN35" s="149" t="n">
        <f aca="false">AN55*AN$39</f>
        <v>30.956</v>
      </c>
      <c r="AO35" s="149" t="n">
        <f aca="false">AO55*AO$39</f>
        <v>127.936</v>
      </c>
      <c r="AP35" s="148" t="n">
        <v>427</v>
      </c>
      <c r="AQ35" s="149" t="n">
        <f aca="false">AQ55*AQ$39</f>
        <v>62.576</v>
      </c>
      <c r="AR35" s="149" t="n">
        <f aca="false">AR55*AR$39</f>
        <v>147.48</v>
      </c>
      <c r="AS35" s="149" t="n">
        <f aca="false">AS55*AS$39</f>
        <v>123.333</v>
      </c>
      <c r="AT35" s="149" t="n">
        <f aca="false">AT55*AT$39</f>
        <v>103.899</v>
      </c>
      <c r="AU35" s="148" t="n">
        <v>431.9</v>
      </c>
      <c r="AV35" s="149" t="n">
        <f aca="false">AV55*AV$39</f>
        <v>137.232</v>
      </c>
      <c r="AW35" s="149" t="n">
        <f aca="false">AW55*AW$39</f>
        <v>165.62</v>
      </c>
      <c r="AX35" s="149" t="n">
        <f aca="false">AX55*AX$39</f>
        <v>127.641</v>
      </c>
      <c r="AY35" s="149" t="n">
        <f aca="false">AY55*AY$39</f>
        <v>189.916</v>
      </c>
      <c r="AZ35" s="148" t="n">
        <v>623.7</v>
      </c>
      <c r="BA35" s="149" t="n">
        <f aca="false">BA55*BA$39</f>
        <v>160.254</v>
      </c>
      <c r="BB35" s="149" t="n">
        <f aca="false">BB55*BB$39</f>
        <v>112.122</v>
      </c>
      <c r="BC35" s="149" t="n">
        <f aca="false">BC55*BC$39</f>
        <v>212.328</v>
      </c>
      <c r="BD35" s="149" t="n">
        <f aca="false">BD55*BD$39</f>
        <v>284.125</v>
      </c>
      <c r="BE35" s="148" t="n">
        <v>780.2</v>
      </c>
      <c r="BF35" s="149" t="n">
        <f aca="false">BF55*BF$39</f>
        <v>118.977</v>
      </c>
      <c r="BG35" s="149" t="n">
        <f aca="false">BG55*BG$39</f>
        <v>333.263</v>
      </c>
      <c r="BH35" s="149" t="n">
        <f aca="false">BH55*BH$39</f>
        <v>177.78</v>
      </c>
      <c r="BI35" s="149" t="n">
        <f aca="false">BI55*BI$39</f>
        <v>142.318</v>
      </c>
      <c r="BJ35" s="148" t="n">
        <v>774.4</v>
      </c>
      <c r="BK35" s="149" t="n">
        <f aca="false">BK55*BK$39</f>
        <v>114.808</v>
      </c>
      <c r="BL35" s="149" t="n">
        <f aca="false">BL55*BL$39</f>
        <v>111.922</v>
      </c>
      <c r="BM35" s="149" t="n">
        <f aca="false">BM55*BM$39</f>
        <v>111.076</v>
      </c>
      <c r="BN35" s="149" t="n">
        <f aca="false">BN55*BN$39</f>
        <v>151.68</v>
      </c>
      <c r="BO35" s="150" t="n">
        <f aca="false">SUM(BK35,BL35,BM35,BN35)</f>
        <v>489.486</v>
      </c>
      <c r="BP35" s="149" t="n">
        <f aca="false">BP13*BP24/1000</f>
        <v>336.770133333333</v>
      </c>
      <c r="BQ35" s="149" t="n">
        <f aca="false">BQ13*BQ24/1000</f>
        <v>257.4206</v>
      </c>
      <c r="BR35" s="149" t="n">
        <f aca="false">BR13*BR24/1000</f>
        <v>255.4748</v>
      </c>
      <c r="BS35" s="149" t="n">
        <f aca="false">BS13*BS24/1000</f>
        <v>279.0912</v>
      </c>
      <c r="BT35" s="147" t="n">
        <f aca="false">SUM(BP35,BQ35,BR35,BS35)</f>
        <v>1128.75673333333</v>
      </c>
      <c r="BU35" s="149" t="n">
        <f aca="false">BU13*BU24/1000</f>
        <v>338.453984</v>
      </c>
      <c r="BV35" s="149" t="n">
        <f aca="false">BV13*BV24/1000</f>
        <v>258.707703</v>
      </c>
      <c r="BW35" s="149" t="n">
        <f aca="false">BW13*BW24/1000</f>
        <v>256.752174</v>
      </c>
      <c r="BX35" s="149" t="n">
        <f aca="false">BX13*BX24/1000</f>
        <v>280.486656</v>
      </c>
      <c r="BY35" s="147" t="n">
        <f aca="false">SUM(BU35,BV35,BW35,BX35)</f>
        <v>1134.400517</v>
      </c>
      <c r="BZ35" s="147" t="n">
        <f aca="false">BZ13*BZ24/1000</f>
        <v>1141.16366090347</v>
      </c>
      <c r="CA35" s="147" t="n">
        <f aca="false">CA13*CA24/1000</f>
        <v>1147.96712576481</v>
      </c>
      <c r="CB35" s="147" t="n">
        <f aca="false">CB13*CB24/1000</f>
        <v>1154.81115197218</v>
      </c>
      <c r="CC35" s="50"/>
    </row>
    <row r="36" s="51" customFormat="true" ht="15" hidden="false" customHeight="true" outlineLevel="0" collapsed="false">
      <c r="A36" s="145" t="s">
        <v>168</v>
      </c>
      <c r="B36" s="146"/>
      <c r="C36" s="147"/>
      <c r="D36" s="147"/>
      <c r="E36" s="148" t="n">
        <v>926.572</v>
      </c>
      <c r="F36" s="148" t="n">
        <v>908.244</v>
      </c>
      <c r="G36" s="148" t="n">
        <v>720.053</v>
      </c>
      <c r="H36" s="149" t="n">
        <f aca="false">H56*H$39</f>
        <v>175.1</v>
      </c>
      <c r="I36" s="149" t="n">
        <f aca="false">I56*I$39</f>
        <v>24.86</v>
      </c>
      <c r="J36" s="149" t="n">
        <f aca="false">J56*J$39</f>
        <v>106.14</v>
      </c>
      <c r="K36" s="149" t="n">
        <f aca="false">K56*K$39</f>
        <v>97.677</v>
      </c>
      <c r="L36" s="148" t="n">
        <v>381.436</v>
      </c>
      <c r="M36" s="149" t="n">
        <f aca="false">M56*M$39</f>
        <v>149.58</v>
      </c>
      <c r="N36" s="149" t="n">
        <f aca="false">N56*N$39</f>
        <v>136.14</v>
      </c>
      <c r="O36" s="149" t="n">
        <f aca="false">O56*O$39</f>
        <v>263.331</v>
      </c>
      <c r="P36" s="149" t="n">
        <f aca="false">P56*P$39</f>
        <v>202.607</v>
      </c>
      <c r="Q36" s="148" t="n">
        <v>747.74</v>
      </c>
      <c r="R36" s="149" t="n">
        <f aca="false">R56*R$39</f>
        <v>120.372</v>
      </c>
      <c r="S36" s="149" t="n">
        <f aca="false">S56*S$39</f>
        <v>139.194</v>
      </c>
      <c r="T36" s="149" t="n">
        <f aca="false">T56*T$39</f>
        <v>150.924</v>
      </c>
      <c r="U36" s="149" t="n">
        <f aca="false">U56*U$39</f>
        <v>128.91</v>
      </c>
      <c r="V36" s="148" t="n">
        <v>532.7</v>
      </c>
      <c r="W36" s="149" t="n">
        <f aca="false">W56*W$39</f>
        <v>182.37</v>
      </c>
      <c r="X36" s="149" t="n">
        <f aca="false">X56*X$39</f>
        <v>124.569</v>
      </c>
      <c r="Y36" s="149" t="n">
        <f aca="false">Y56*Y$39</f>
        <v>181.89</v>
      </c>
      <c r="Z36" s="149" t="n">
        <f aca="false">Z56*Z$39</f>
        <v>195.49</v>
      </c>
      <c r="AA36" s="148" t="n">
        <v>683.3</v>
      </c>
      <c r="AB36" s="149" t="n">
        <f aca="false">AB56*AB$39</f>
        <v>233.478</v>
      </c>
      <c r="AC36" s="149" t="n">
        <f aca="false">AC56*AC$39</f>
        <v>208.65</v>
      </c>
      <c r="AD36" s="149" t="n">
        <f aca="false">AD56*AD$39</f>
        <v>187.254</v>
      </c>
      <c r="AE36" s="149" t="n">
        <f aca="false">AE56*AE$39</f>
        <v>242.43</v>
      </c>
      <c r="AF36" s="148" t="n">
        <v>860.1</v>
      </c>
      <c r="AG36" s="149" t="n">
        <f aca="false">AG56*AG$39</f>
        <v>152.01</v>
      </c>
      <c r="AH36" s="149" t="n">
        <f aca="false">AH56*AH$39</f>
        <v>203.588</v>
      </c>
      <c r="AI36" s="149" t="n">
        <f aca="false">AI56*AI$39</f>
        <v>139.536</v>
      </c>
      <c r="AJ36" s="149" t="n">
        <f aca="false">AJ56*AJ$39</f>
        <v>187.848</v>
      </c>
      <c r="AK36" s="148" t="n">
        <v>679.7</v>
      </c>
      <c r="AL36" s="149" t="n">
        <f aca="false">AL56*AL$39</f>
        <v>205.92</v>
      </c>
      <c r="AM36" s="149" t="n">
        <f aca="false">AM56*AM$39</f>
        <v>243.86</v>
      </c>
      <c r="AN36" s="149" t="n">
        <f aca="false">AN56*AN$39</f>
        <v>247.648</v>
      </c>
      <c r="AO36" s="149" t="n">
        <f aca="false">AO56*AO$39</f>
        <v>351.824</v>
      </c>
      <c r="AP36" s="148" t="n">
        <v>1012.3</v>
      </c>
      <c r="AQ36" s="149" t="n">
        <f aca="false">AQ56*AQ$39</f>
        <v>344.168</v>
      </c>
      <c r="AR36" s="149" t="n">
        <f aca="false">AR56*AR$39</f>
        <v>324.456</v>
      </c>
      <c r="AS36" s="149" t="n">
        <f aca="false">AS56*AS$39</f>
        <v>287.777</v>
      </c>
      <c r="AT36" s="149" t="n">
        <f aca="false">AT56*AT$39</f>
        <v>346.33</v>
      </c>
      <c r="AU36" s="148" t="n">
        <v>1321.3</v>
      </c>
      <c r="AV36" s="149" t="n">
        <f aca="false">AV56*AV$39</f>
        <v>274.464</v>
      </c>
      <c r="AW36" s="149" t="n">
        <f aca="false">AW56*AW$39</f>
        <v>414.05</v>
      </c>
      <c r="AX36" s="149" t="n">
        <f aca="false">AX56*AX$39</f>
        <v>425.47</v>
      </c>
      <c r="AY36" s="149" t="n">
        <f aca="false">AY56*AY$39</f>
        <v>569.748</v>
      </c>
      <c r="AZ36" s="148" t="n">
        <v>1653.7</v>
      </c>
      <c r="BA36" s="149" t="n">
        <f aca="false">BA56*BA$39</f>
        <v>480.762</v>
      </c>
      <c r="BB36" s="149" t="n">
        <f aca="false">BB56*BB$39</f>
        <v>504.549</v>
      </c>
      <c r="BC36" s="149" t="n">
        <f aca="false">BC56*BC$39</f>
        <v>530.82</v>
      </c>
      <c r="BD36" s="149" t="n">
        <f aca="false">BD56*BD$39</f>
        <v>681.9</v>
      </c>
      <c r="BE36" s="148" t="n">
        <v>2202.5</v>
      </c>
      <c r="BF36" s="149" t="n">
        <f aca="false">BF56*BF$39</f>
        <v>317.272</v>
      </c>
      <c r="BG36" s="149" t="n">
        <f aca="false">BG56*BG$39</f>
        <v>428.481</v>
      </c>
      <c r="BH36" s="149" t="n">
        <f aca="false">BH56*BH$39</f>
        <v>592.6</v>
      </c>
      <c r="BI36" s="149" t="n">
        <f aca="false">BI56*BI$39</f>
        <v>640.431</v>
      </c>
      <c r="BJ36" s="148" t="n">
        <v>1991.2</v>
      </c>
      <c r="BK36" s="149" t="n">
        <f aca="false">BK56*BK$39</f>
        <v>287.02</v>
      </c>
      <c r="BL36" s="149" t="n">
        <f aca="false">BL56*BL$39</f>
        <v>223.844</v>
      </c>
      <c r="BM36" s="149" t="n">
        <f aca="false">BM56*BM$39</f>
        <v>166.614</v>
      </c>
      <c r="BN36" s="149" t="n">
        <f aca="false">BN56*BN$39</f>
        <v>379.2</v>
      </c>
      <c r="BO36" s="150" t="n">
        <f aca="false">SUM(BK36,BL36,BM36,BN36)</f>
        <v>1056.678</v>
      </c>
      <c r="BP36" s="149" t="n">
        <f aca="false">BP14*BP26/1000</f>
        <v>574.04</v>
      </c>
      <c r="BQ36" s="149" t="n">
        <f aca="false">BQ14*BQ26/1000</f>
        <v>643.5515</v>
      </c>
      <c r="BR36" s="149" t="n">
        <f aca="false">BR14*BR26/1000</f>
        <v>696.749454545455</v>
      </c>
      <c r="BS36" s="149" t="n">
        <f aca="false">BS14*BS26/1000</f>
        <v>601.489655172414</v>
      </c>
      <c r="BT36" s="147" t="n">
        <f aca="false">SUM(BP36,BQ36,BR36,BS36)</f>
        <v>2515.83060971787</v>
      </c>
      <c r="BU36" s="149" t="n">
        <f aca="false">BU14*BU26/1000</f>
        <v>516.636</v>
      </c>
      <c r="BV36" s="149" t="n">
        <f aca="false">BV14*BV26/1000</f>
        <v>579.19635</v>
      </c>
      <c r="BW36" s="149" t="n">
        <f aca="false">BW14*BW26/1000</f>
        <v>661.911981818182</v>
      </c>
      <c r="BX36" s="149" t="n">
        <f aca="false">BX14*BX26/1000</f>
        <v>571.415172413793</v>
      </c>
      <c r="BY36" s="147" t="n">
        <f aca="false">SUM(BU36,BV36,BW36,BX36)</f>
        <v>2329.15950423198</v>
      </c>
      <c r="BZ36" s="147" t="n">
        <f aca="false">BZ14*BZ26/1000</f>
        <v>2519.04101410669</v>
      </c>
      <c r="CA36" s="147" t="n">
        <f aca="false">CA14*CA26/1000</f>
        <v>2724.40235167323</v>
      </c>
      <c r="CB36" s="147" t="n">
        <f aca="false">CB14*CB26/1000</f>
        <v>2946.50548849233</v>
      </c>
      <c r="CC36" s="50"/>
    </row>
    <row r="37" s="51" customFormat="true" ht="15" hidden="false" customHeight="true" outlineLevel="0" collapsed="false">
      <c r="A37" s="145" t="s">
        <v>169</v>
      </c>
      <c r="B37" s="146"/>
      <c r="C37" s="147"/>
      <c r="D37" s="147"/>
      <c r="E37" s="148" t="n">
        <v>60.01</v>
      </c>
      <c r="F37" s="148" t="n">
        <v>53.039</v>
      </c>
      <c r="G37" s="148" t="n">
        <v>54.238</v>
      </c>
      <c r="H37" s="149" t="n">
        <f aca="false">H57*H$39</f>
        <v>10.3</v>
      </c>
      <c r="I37" s="149" t="n">
        <f aca="false">I57*I$39</f>
        <v>12.43</v>
      </c>
      <c r="J37" s="149" t="n">
        <f aca="false">J57*J$39</f>
        <v>17.69</v>
      </c>
      <c r="K37" s="149" t="n">
        <f aca="false">K57*K$39</f>
        <v>10.853</v>
      </c>
      <c r="L37" s="148" t="n">
        <v>51.18</v>
      </c>
      <c r="M37" s="149" t="n">
        <f aca="false">M57*M$39</f>
        <v>24.93</v>
      </c>
      <c r="N37" s="149" t="n">
        <f aca="false">N57*N$39</f>
        <v>22.69</v>
      </c>
      <c r="O37" s="149" t="n">
        <f aca="false">O57*O$39</f>
        <v>19.506</v>
      </c>
      <c r="P37" s="149" t="n">
        <f aca="false">P57*P$39</f>
        <v>17.618</v>
      </c>
      <c r="Q37" s="148" t="n">
        <v>72.996</v>
      </c>
      <c r="R37" s="149" t="n">
        <f aca="false">R57*R$39</f>
        <v>17.196</v>
      </c>
      <c r="S37" s="149" t="n">
        <f aca="false">S57*S$39</f>
        <v>25.308</v>
      </c>
      <c r="T37" s="149" t="n">
        <f aca="false">T57*T$39</f>
        <v>25.154</v>
      </c>
      <c r="U37" s="149" t="n">
        <f aca="false">U57*U$39</f>
        <v>12.891</v>
      </c>
      <c r="V37" s="148" t="n">
        <v>78</v>
      </c>
      <c r="W37" s="149" t="n">
        <f aca="false">W57*W$39</f>
        <v>12.158</v>
      </c>
      <c r="X37" s="149" t="n">
        <f aca="false">X57*X$39</f>
        <v>27.682</v>
      </c>
      <c r="Y37" s="149" t="n">
        <f aca="false">Y57*Y$39</f>
        <v>18.189</v>
      </c>
      <c r="Z37" s="149" t="n">
        <f aca="false">Z57*Z$39</f>
        <v>19.549</v>
      </c>
      <c r="AA37" s="148" t="n">
        <v>84.7</v>
      </c>
      <c r="AB37" s="149" t="n">
        <f aca="false">AB57*AB$39</f>
        <v>16.677</v>
      </c>
      <c r="AC37" s="149" t="n">
        <f aca="false">AC57*AC$39</f>
        <v>20.865</v>
      </c>
      <c r="AD37" s="149" t="n">
        <f aca="false">AD57*AD$39</f>
        <v>20.806</v>
      </c>
      <c r="AE37" s="149" t="n">
        <f aca="false">AE57*AE$39</f>
        <v>24.243</v>
      </c>
      <c r="AF37" s="148" t="n">
        <v>98.6</v>
      </c>
      <c r="AG37" s="149" t="n">
        <f aca="false">AG57*AG$39</f>
        <v>33.78</v>
      </c>
      <c r="AH37" s="149" t="n">
        <f aca="false">AH57*AH$39</f>
        <v>18.508</v>
      </c>
      <c r="AI37" s="149" t="n">
        <f aca="false">AI57*AI$39</f>
        <v>23.256</v>
      </c>
      <c r="AJ37" s="149" t="n">
        <f aca="false">AJ57*AJ$39</f>
        <v>62.616</v>
      </c>
      <c r="AK37" s="148" t="n">
        <v>133.5</v>
      </c>
      <c r="AL37" s="149" t="n">
        <f aca="false">AL57*AL$39</f>
        <v>47.52</v>
      </c>
      <c r="AM37" s="149" t="n">
        <f aca="false">AM57*AM$39</f>
        <v>24.386</v>
      </c>
      <c r="AN37" s="149" t="n">
        <f aca="false">AN57*AN$39</f>
        <v>30.956</v>
      </c>
      <c r="AO37" s="149" t="n">
        <f aca="false">AO57*AO$39</f>
        <v>31.984</v>
      </c>
      <c r="AP37" s="148" t="n">
        <v>146.4</v>
      </c>
      <c r="AQ37" s="149" t="n">
        <f aca="false">AQ57*AQ$39</f>
        <v>31.288</v>
      </c>
      <c r="AR37" s="149" t="n">
        <f aca="false">AR57*AR$39</f>
        <v>29.496</v>
      </c>
      <c r="AS37" s="149" t="n">
        <f aca="false">AS57*AS$39</f>
        <v>41.111</v>
      </c>
      <c r="AT37" s="149" t="n">
        <f aca="false">AT57*AT$39</f>
        <v>34.633</v>
      </c>
      <c r="AU37" s="148" t="n">
        <v>142.3</v>
      </c>
      <c r="AV37" s="149" t="n">
        <f aca="false">AV57*AV$39</f>
        <v>45.744</v>
      </c>
      <c r="AW37" s="149" t="n">
        <f aca="false">AW57*AW$39</f>
        <v>41.405</v>
      </c>
      <c r="AX37" s="149" t="n">
        <f aca="false">AX57*AX$39</f>
        <v>42.547</v>
      </c>
      <c r="AY37" s="149" t="n">
        <f aca="false">AY57*AY$39</f>
        <v>47.479</v>
      </c>
      <c r="AZ37" s="148" t="n">
        <v>211.5</v>
      </c>
      <c r="BA37" s="149" t="n">
        <f aca="false">BA57*BA$39</f>
        <v>53.418</v>
      </c>
      <c r="BB37" s="149" t="n">
        <f aca="false">BB57*BB$39</f>
        <v>56.061</v>
      </c>
      <c r="BC37" s="149" t="n">
        <f aca="false">BC57*BC$39</f>
        <v>53.082</v>
      </c>
      <c r="BD37" s="149" t="n">
        <f aca="false">BD57*BD$39</f>
        <v>113.65</v>
      </c>
      <c r="BE37" s="148" t="n">
        <v>278.4</v>
      </c>
      <c r="BF37" s="149" t="n">
        <f aca="false">BF57*BF$39</f>
        <v>39.659</v>
      </c>
      <c r="BG37" s="149" t="n">
        <f aca="false">BG57*BG$39</f>
        <v>95.218</v>
      </c>
      <c r="BH37" s="149" t="n">
        <f aca="false">BH57*BH$39</f>
        <v>118.52</v>
      </c>
      <c r="BI37" s="149" t="n">
        <f aca="false">BI57*BI$39</f>
        <v>142.318</v>
      </c>
      <c r="BJ37" s="148" t="n">
        <v>369.2</v>
      </c>
      <c r="BK37" s="149" t="n">
        <f aca="false">BK57*BK$39</f>
        <v>57.404</v>
      </c>
      <c r="BL37" s="149" t="n">
        <f aca="false">BL57*BL$39</f>
        <v>55.961</v>
      </c>
      <c r="BM37" s="149" t="n">
        <f aca="false">BM57*BM$39</f>
        <v>55.538</v>
      </c>
      <c r="BN37" s="149" t="n">
        <f aca="false">BN57*BN$39</f>
        <v>75.84</v>
      </c>
      <c r="BO37" s="150" t="n">
        <f aca="false">SUM(BK37,BL37,BM37,BN37)</f>
        <v>244.743</v>
      </c>
      <c r="BP37" s="149" t="n">
        <f aca="false">BP15*BP28/1000</f>
        <v>40.6243692307692</v>
      </c>
      <c r="BQ37" s="149" t="n">
        <f aca="false">BQ15*BQ28/1000</f>
        <v>36.7743714285714</v>
      </c>
      <c r="BR37" s="149" t="n">
        <f aca="false">BR15*BR28/1000</f>
        <v>51.09496</v>
      </c>
      <c r="BS37" s="149" t="n">
        <f aca="false">BS15*BS28/1000</f>
        <v>41.0428235294118</v>
      </c>
      <c r="BT37" s="147" t="n">
        <f aca="false">SUM(BP37,BQ37,BR37,BS37)</f>
        <v>169.536524188752</v>
      </c>
      <c r="BU37" s="149" t="n">
        <f aca="false">BU15*BU28/1000</f>
        <v>46.7180246153846</v>
      </c>
      <c r="BV37" s="149" t="n">
        <f aca="false">BV15*BV28/1000</f>
        <v>42.2905271428571</v>
      </c>
      <c r="BW37" s="149" t="n">
        <f aca="false">BW15*BW28/1000</f>
        <v>58.759204</v>
      </c>
      <c r="BX37" s="149" t="n">
        <f aca="false">BX15*BX28/1000</f>
        <v>47.1992470588235</v>
      </c>
      <c r="BY37" s="147" t="n">
        <f aca="false">SUM(BU37,BV37,BW37,BX37)</f>
        <v>194.967002817065</v>
      </c>
      <c r="BZ37" s="147" t="n">
        <f aca="false">BZ15*BZ28/1000</f>
        <v>224.212053239625</v>
      </c>
      <c r="CA37" s="147" t="n">
        <f aca="false">CA15*CA28/1000</f>
        <v>257.843861225569</v>
      </c>
      <c r="CB37" s="147" t="n">
        <f aca="false">CB15*CB28/1000</f>
        <v>296.520440409404</v>
      </c>
      <c r="CC37" s="50"/>
    </row>
    <row r="38" s="51" customFormat="true" ht="15" hidden="false" customHeight="true" outlineLevel="0" collapsed="false">
      <c r="A38" s="145" t="s">
        <v>170</v>
      </c>
      <c r="B38" s="146"/>
      <c r="C38" s="147"/>
      <c r="D38" s="147"/>
      <c r="E38" s="147"/>
      <c r="F38" s="147"/>
      <c r="G38" s="147"/>
      <c r="H38" s="149"/>
      <c r="I38" s="149"/>
      <c r="J38" s="149"/>
      <c r="K38" s="149"/>
      <c r="L38" s="147"/>
      <c r="M38" s="149"/>
      <c r="N38" s="149"/>
      <c r="O38" s="149"/>
      <c r="P38" s="149"/>
      <c r="Q38" s="147"/>
      <c r="R38" s="149"/>
      <c r="S38" s="149"/>
      <c r="T38" s="149"/>
      <c r="U38" s="149" t="n">
        <f aca="false">U58*U$39</f>
        <v>0</v>
      </c>
      <c r="V38" s="148" t="n">
        <v>100.8</v>
      </c>
      <c r="W38" s="149" t="n">
        <f aca="false">W58*W$39</f>
        <v>60.79</v>
      </c>
      <c r="X38" s="149" t="n">
        <f aca="false">X58*X$39</f>
        <v>83.046</v>
      </c>
      <c r="Y38" s="149" t="n">
        <f aca="false">Y58*Y$39</f>
        <v>54.567</v>
      </c>
      <c r="Z38" s="149" t="n">
        <f aca="false">Z58*Z$39</f>
        <v>78.196</v>
      </c>
      <c r="AA38" s="148" t="n">
        <v>276.5</v>
      </c>
      <c r="AB38" s="149" t="n">
        <f aca="false">AB58*AB$39</f>
        <v>33.354</v>
      </c>
      <c r="AC38" s="149" t="n">
        <f aca="false">AC58*AC$39</f>
        <v>83.46</v>
      </c>
      <c r="AD38" s="149" t="n">
        <f aca="false">AD58*AD$39</f>
        <v>83.224</v>
      </c>
      <c r="AE38" s="149" t="n">
        <f aca="false">AE58*AE$39</f>
        <v>121.215</v>
      </c>
      <c r="AF38" s="148" t="n">
        <v>339.1</v>
      </c>
      <c r="AG38" s="149" t="n">
        <f aca="false">AG58*AG$39</f>
        <v>50.67</v>
      </c>
      <c r="AH38" s="149" t="n">
        <f aca="false">AH58*AH$39</f>
        <v>74.032</v>
      </c>
      <c r="AI38" s="149" t="n">
        <f aca="false">AI58*AI$39</f>
        <v>69.768</v>
      </c>
      <c r="AJ38" s="149" t="n">
        <f aca="false">AJ58*AJ$39</f>
        <v>93.924</v>
      </c>
      <c r="AK38" s="148" t="n">
        <v>274.4</v>
      </c>
      <c r="AL38" s="149" t="n">
        <f aca="false">AL58*AL$39</f>
        <v>47.52</v>
      </c>
      <c r="AM38" s="149" t="n">
        <f aca="false">AM58*AM$39</f>
        <v>97.544</v>
      </c>
      <c r="AN38" s="149" t="n">
        <f aca="false">AN58*AN$39</f>
        <v>92.868</v>
      </c>
      <c r="AO38" s="149" t="n">
        <f aca="false">AO58*AO$39</f>
        <v>95.952</v>
      </c>
      <c r="AP38" s="148" t="n">
        <v>350.1</v>
      </c>
      <c r="AQ38" s="149" t="n">
        <f aca="false">AQ58*AQ$39</f>
        <v>93.864</v>
      </c>
      <c r="AR38" s="149" t="n">
        <f aca="false">AR58*AR$39</f>
        <v>117.984</v>
      </c>
      <c r="AS38" s="149" t="n">
        <f aca="false">AS58*AS$39</f>
        <v>123.333</v>
      </c>
      <c r="AT38" s="149" t="n">
        <f aca="false">AT58*AT$39</f>
        <v>173.165</v>
      </c>
      <c r="AU38" s="148" t="n">
        <v>513.7</v>
      </c>
      <c r="AV38" s="149" t="n">
        <f aca="false">AV58*AV$39</f>
        <v>160.104</v>
      </c>
      <c r="AW38" s="149" t="n">
        <f aca="false">AW58*AW$39</f>
        <v>165.62</v>
      </c>
      <c r="AX38" s="149" t="n">
        <f aca="false">AX58*AX$39</f>
        <v>170.188</v>
      </c>
      <c r="AY38" s="149" t="n">
        <f aca="false">AY58*AY$39</f>
        <v>142.437</v>
      </c>
      <c r="AZ38" s="148" t="n">
        <v>659.6</v>
      </c>
      <c r="BA38" s="149" t="n">
        <f aca="false">BA58*BA$39</f>
        <v>160.254</v>
      </c>
      <c r="BB38" s="149" t="n">
        <f aca="false">BB58*BB$39</f>
        <v>112.122</v>
      </c>
      <c r="BC38" s="149" t="n">
        <f aca="false">BC58*BC$39</f>
        <v>106.164</v>
      </c>
      <c r="BD38" s="149" t="n">
        <f aca="false">BD58*BD$39</f>
        <v>170.475</v>
      </c>
      <c r="BE38" s="148" t="n">
        <v>536.1</v>
      </c>
      <c r="BF38" s="149" t="n">
        <f aca="false">BF58*BF$39</f>
        <v>118.977</v>
      </c>
      <c r="BG38" s="149" t="n">
        <f aca="false">BG58*BG$39</f>
        <v>47.609</v>
      </c>
      <c r="BH38" s="149" t="n">
        <f aca="false">BH58*BH$39</f>
        <v>118.52</v>
      </c>
      <c r="BI38" s="149" t="n">
        <f aca="false">BI58*BI$39</f>
        <v>284.636</v>
      </c>
      <c r="BJ38" s="148" t="n">
        <v>645.5</v>
      </c>
      <c r="BK38" s="149" t="n">
        <f aca="false">BK58*BK$39</f>
        <v>172.212</v>
      </c>
      <c r="BL38" s="149" t="n">
        <f aca="false">BL58*BL$39</f>
        <v>111.922</v>
      </c>
      <c r="BM38" s="149" t="n">
        <f aca="false">BM58*BM$39</f>
        <v>222.152</v>
      </c>
      <c r="BN38" s="149" t="n">
        <f aca="false">BN58*BN$39</f>
        <v>303.36</v>
      </c>
      <c r="BO38" s="150" t="n">
        <f aca="false">SUM(BK38,BL38,BM38,BN38)</f>
        <v>809.646</v>
      </c>
      <c r="BP38" s="149" t="n">
        <f aca="false">BP17*BP30/1000</f>
        <v>210.481333333333</v>
      </c>
      <c r="BQ38" s="149" t="n">
        <f aca="false">BQ17*BQ30/1000</f>
        <v>130.575666666667</v>
      </c>
      <c r="BR38" s="149" t="n">
        <f aca="false">BR17*BR30/1000</f>
        <v>259.177333333333</v>
      </c>
      <c r="BS38" s="149" t="n">
        <f aca="false">BS17*BS30/1000</f>
        <v>353.92</v>
      </c>
      <c r="BT38" s="147" t="n">
        <f aca="false">SUM(BP38,BQ38,BR38,BS38)</f>
        <v>954.154333333333</v>
      </c>
      <c r="BU38" s="149" t="n">
        <f aca="false">BU17*BU30/1000</f>
        <v>221.0054</v>
      </c>
      <c r="BV38" s="149" t="n">
        <f aca="false">BV17*BV30/1000</f>
        <v>137.10445</v>
      </c>
      <c r="BW38" s="149" t="n">
        <f aca="false">BW17*BW30/1000</f>
        <v>272.1362</v>
      </c>
      <c r="BX38" s="149" t="n">
        <f aca="false">BX17*BX30/1000</f>
        <v>371.616</v>
      </c>
      <c r="BY38" s="147" t="n">
        <f aca="false">SUM(BU38,BV38,BW38,BX38)</f>
        <v>1001.86205</v>
      </c>
      <c r="BZ38" s="147" t="n">
        <f aca="false">BZ17*BZ30/1000</f>
        <v>1051.9551525</v>
      </c>
      <c r="CA38" s="147" t="n">
        <f aca="false">CA17*CA30/1000</f>
        <v>1104.552910125</v>
      </c>
      <c r="CB38" s="147" t="n">
        <f aca="false">CB17*CB30/1000</f>
        <v>1159.78055563125</v>
      </c>
      <c r="CC38" s="50"/>
    </row>
    <row r="39" s="157" customFormat="true" ht="15" hidden="false" customHeight="true" outlineLevel="0" collapsed="false">
      <c r="A39" s="151" t="s">
        <v>171</v>
      </c>
      <c r="B39" s="152"/>
      <c r="C39" s="153" t="n">
        <f aca="false">C298</f>
        <v>1174.858</v>
      </c>
      <c r="D39" s="153" t="n">
        <f aca="false">D298</f>
        <v>3894.742</v>
      </c>
      <c r="E39" s="153" t="n">
        <f aca="false">E33+E34+E35+E36+E37+E38</f>
        <v>4883.913</v>
      </c>
      <c r="F39" s="153" t="n">
        <f aca="false">F33+F34+F35+F36+F37+F38</f>
        <v>3801.632</v>
      </c>
      <c r="G39" s="153" t="n">
        <f aca="false">G33+G34+G35+G36+G37+G38</f>
        <v>3993.129</v>
      </c>
      <c r="H39" s="154" t="n">
        <f aca="false">H298</f>
        <v>1030</v>
      </c>
      <c r="I39" s="154" t="n">
        <f aca="false">I298</f>
        <v>1243</v>
      </c>
      <c r="J39" s="154" t="n">
        <f aca="false">J298</f>
        <v>884.5</v>
      </c>
      <c r="K39" s="154" t="n">
        <f aca="false">K298</f>
        <v>1085.3</v>
      </c>
      <c r="L39" s="153" t="n">
        <f aca="false">L33+L34+L35+L36+L37+L38</f>
        <v>4242.79</v>
      </c>
      <c r="M39" s="154" t="n">
        <f aca="false">M298</f>
        <v>1246.5</v>
      </c>
      <c r="N39" s="154" t="n">
        <f aca="false">N298</f>
        <v>1134.5</v>
      </c>
      <c r="O39" s="154" t="n">
        <f aca="false">O298</f>
        <v>975.3</v>
      </c>
      <c r="P39" s="154" t="n">
        <f aca="false">P298</f>
        <v>880.9</v>
      </c>
      <c r="Q39" s="153" t="n">
        <f aca="false">Q33+Q34+Q35+Q36+Q37+Q38</f>
        <v>4237.183</v>
      </c>
      <c r="R39" s="154" t="n">
        <f aca="false">R298</f>
        <v>859.8</v>
      </c>
      <c r="S39" s="154" t="n">
        <f aca="false">S298</f>
        <v>1265.4</v>
      </c>
      <c r="T39" s="154" t="n">
        <f aca="false">T298</f>
        <v>1257.7</v>
      </c>
      <c r="U39" s="154" t="n">
        <f aca="false">U298</f>
        <v>1289.1</v>
      </c>
      <c r="V39" s="153" t="n">
        <f aca="false">V33+V34+V35+V36+V37+V38</f>
        <v>4672</v>
      </c>
      <c r="W39" s="154" t="n">
        <f aca="false">W298</f>
        <v>1215.8</v>
      </c>
      <c r="X39" s="154" t="n">
        <f aca="false">X298</f>
        <v>1384.1</v>
      </c>
      <c r="Y39" s="154" t="n">
        <f aca="false">Y298</f>
        <v>1818.9</v>
      </c>
      <c r="Z39" s="154" t="n">
        <f aca="false">Z298</f>
        <v>1954.9</v>
      </c>
      <c r="AA39" s="153" t="n">
        <f aca="false">AA33+AA34+AA35+AA36+AA37+AA38</f>
        <v>6373.7</v>
      </c>
      <c r="AB39" s="154" t="n">
        <f aca="false">AB298</f>
        <v>1667.7</v>
      </c>
      <c r="AC39" s="154" t="n">
        <f aca="false">AC298</f>
        <v>2086.5</v>
      </c>
      <c r="AD39" s="154" t="n">
        <f aca="false">AD298</f>
        <v>2080.6</v>
      </c>
      <c r="AE39" s="154" t="n">
        <f aca="false">AE298</f>
        <v>2424.3</v>
      </c>
      <c r="AF39" s="153" t="n">
        <f aca="false">AF33+AF34+AF35+AF36+AF37+AF38</f>
        <v>8259.1</v>
      </c>
      <c r="AG39" s="154" t="n">
        <f aca="false">AG298</f>
        <v>1689</v>
      </c>
      <c r="AH39" s="154" t="n">
        <f aca="false">AH298</f>
        <v>1850.8</v>
      </c>
      <c r="AI39" s="154" t="n">
        <f aca="false">AI298</f>
        <v>2325.6</v>
      </c>
      <c r="AJ39" s="154" t="n">
        <f aca="false">AJ298</f>
        <v>3130.8</v>
      </c>
      <c r="AK39" s="153" t="n">
        <f aca="false">AK33+AK34+AK35+AK36+AK37+AK38</f>
        <v>8996.2</v>
      </c>
      <c r="AL39" s="154" t="n">
        <f aca="false">AL298</f>
        <v>1584</v>
      </c>
      <c r="AM39" s="154" t="n">
        <f aca="false">AM298</f>
        <v>2438.6</v>
      </c>
      <c r="AN39" s="154" t="n">
        <f aca="false">AN298</f>
        <v>3095.6</v>
      </c>
      <c r="AO39" s="154" t="n">
        <f aca="false">AO298</f>
        <v>3198.4</v>
      </c>
      <c r="AP39" s="153" t="n">
        <f aca="false">AP33+AP34+AP35+AP36+AP37+AP38</f>
        <v>10316.6</v>
      </c>
      <c r="AQ39" s="154" t="n">
        <f aca="false">AQ298</f>
        <v>3128.8</v>
      </c>
      <c r="AR39" s="154" t="n">
        <f aca="false">AR298</f>
        <v>2949.6</v>
      </c>
      <c r="AS39" s="154" t="n">
        <f aca="false">AS298</f>
        <v>4111.1</v>
      </c>
      <c r="AT39" s="154" t="n">
        <f aca="false">AT298</f>
        <v>3463.3</v>
      </c>
      <c r="AU39" s="153" t="n">
        <f aca="false">AU33+AU34+AU35+AU36+AU37+AU38</f>
        <v>13652.8</v>
      </c>
      <c r="AV39" s="154" t="n">
        <f aca="false">AV298</f>
        <v>2287.2</v>
      </c>
      <c r="AW39" s="154" t="n">
        <f aca="false">AW298</f>
        <v>4140.5</v>
      </c>
      <c r="AX39" s="154" t="n">
        <f aca="false">AX298</f>
        <v>4254.7</v>
      </c>
      <c r="AY39" s="154" t="n">
        <f aca="false">AY298</f>
        <v>4747.9</v>
      </c>
      <c r="AZ39" s="153" t="n">
        <f aca="false">AZ33+AZ34+AZ35+AZ36+AZ37+AZ38</f>
        <v>15430.3</v>
      </c>
      <c r="BA39" s="154" t="n">
        <f aca="false">BA298</f>
        <v>5341.8</v>
      </c>
      <c r="BB39" s="154" t="n">
        <f aca="false">BB298</f>
        <v>5606.1</v>
      </c>
      <c r="BC39" s="154" t="n">
        <f aca="false">BC298</f>
        <v>5308.2</v>
      </c>
      <c r="BD39" s="154" t="n">
        <f aca="false">BD298</f>
        <v>5682.5</v>
      </c>
      <c r="BE39" s="153" t="n">
        <f aca="false">BE33+BE34+BE35+BE36+BE37+BE38</f>
        <v>21938.6</v>
      </c>
      <c r="BF39" s="154" t="n">
        <f aca="false">BF298</f>
        <v>3965.9</v>
      </c>
      <c r="BG39" s="154" t="n">
        <f aca="false">BG298</f>
        <v>4760.9</v>
      </c>
      <c r="BH39" s="154" t="n">
        <f aca="false">BH298</f>
        <v>5926</v>
      </c>
      <c r="BI39" s="154" t="n">
        <f aca="false">BI298</f>
        <v>7115.9</v>
      </c>
      <c r="BJ39" s="153" t="n">
        <f aca="false">BJ33+BJ34+BJ35+BJ36+BJ37+BJ38</f>
        <v>21768.7</v>
      </c>
      <c r="BK39" s="154" t="n">
        <f aca="false">BK298</f>
        <v>5740.4</v>
      </c>
      <c r="BL39" s="154" t="n">
        <f aca="false">BL298</f>
        <v>5596.1</v>
      </c>
      <c r="BM39" s="154" t="n">
        <f aca="false">BM298</f>
        <v>5553.8</v>
      </c>
      <c r="BN39" s="154" t="n">
        <f aca="false">BN298</f>
        <v>7584</v>
      </c>
      <c r="BO39" s="155" t="n">
        <f aca="false">BO33+BO34+BO35+BO36+BO37+BO38</f>
        <v>24474.3</v>
      </c>
      <c r="BP39" s="154" t="n">
        <f aca="false">BP33+BP34+BP35+BP36+BP37+BP38</f>
        <v>6188.21007589744</v>
      </c>
      <c r="BQ39" s="154" t="n">
        <f aca="false">BQ33+BQ34+BQ35+BQ36+BQ37+BQ38</f>
        <v>6663.07644835917</v>
      </c>
      <c r="BR39" s="154" t="n">
        <f aca="false">BR33+BR34+BR35+BR36+BR37+BR38</f>
        <v>7318.76929524721</v>
      </c>
      <c r="BS39" s="154" t="n">
        <f aca="false">BS33+BS34+BS35+BS36+BS37+BS38</f>
        <v>7841.70645862461</v>
      </c>
      <c r="BT39" s="153" t="n">
        <f aca="false">BT33+BT34+BT35+BT36+BT37+BT38</f>
        <v>28011.7622781284</v>
      </c>
      <c r="BU39" s="154" t="n">
        <f aca="false">BU33+BU34+BU35+BU36+BU37+BU38</f>
        <v>6467.35542461538</v>
      </c>
      <c r="BV39" s="154" t="n">
        <f aca="false">BV33+BV34+BV35+BV36+BV37+BV38</f>
        <v>6814.46148756221</v>
      </c>
      <c r="BW39" s="154" t="n">
        <f aca="false">BW33+BW34+BW35+BW36+BW37+BW38</f>
        <v>7874.75188697608</v>
      </c>
      <c r="BX39" s="154" t="n">
        <f aca="false">BX33+BX34+BX35+BX36+BX37+BX38</f>
        <v>8455.78110636065</v>
      </c>
      <c r="BY39" s="153" t="n">
        <f aca="false">BY33+BY34+BY35+BY36+BY37+BY38</f>
        <v>29612.3499055143</v>
      </c>
      <c r="BZ39" s="153" t="n">
        <f aca="false">BZ33+BZ34+BZ35+BZ36+BZ37+BZ38</f>
        <v>37372.2764916616</v>
      </c>
      <c r="CA39" s="153" t="n">
        <f aca="false">CA33+CA34+CA35+CA36+CA37+CA38</f>
        <v>39553.9208984015</v>
      </c>
      <c r="CB39" s="153" t="n">
        <f aca="false">CB33+CB34+CB35+CB36+CB37+CB38</f>
        <v>41876.1332435507</v>
      </c>
      <c r="CC39" s="156"/>
    </row>
    <row r="40" s="51" customFormat="true" ht="15" hidden="false" customHeight="true" outlineLevel="0" collapsed="false">
      <c r="A40" s="145" t="s">
        <v>172</v>
      </c>
      <c r="B40" s="158"/>
      <c r="C40" s="159" t="n">
        <f aca="false">C299</f>
        <v>421.205</v>
      </c>
      <c r="D40" s="159" t="n">
        <f aca="false">D299</f>
        <v>613.196</v>
      </c>
      <c r="E40" s="159" t="n">
        <f aca="false">E299</f>
        <v>767.122</v>
      </c>
      <c r="F40" s="159" t="n">
        <f aca="false">F299</f>
        <v>929.923</v>
      </c>
      <c r="G40" s="159" t="n">
        <f aca="false">G299</f>
        <v>1252.197</v>
      </c>
      <c r="H40" s="48" t="n">
        <f aca="false">H299</f>
        <v>366.5</v>
      </c>
      <c r="I40" s="48" t="n">
        <f aca="false">I299</f>
        <v>400.6</v>
      </c>
      <c r="J40" s="48" t="n">
        <f aca="false">J299</f>
        <v>437.7</v>
      </c>
      <c r="K40" s="48" t="n">
        <f aca="false">K299</f>
        <v>408.7</v>
      </c>
      <c r="L40" s="159" t="n">
        <f aca="false">L299</f>
        <v>1613.487</v>
      </c>
      <c r="M40" s="48" t="n">
        <f aca="false">M299</f>
        <v>403.4</v>
      </c>
      <c r="N40" s="48" t="n">
        <f aca="false">N299</f>
        <v>519.6</v>
      </c>
      <c r="O40" s="48" t="n">
        <f aca="false">O299</f>
        <v>573.9</v>
      </c>
      <c r="P40" s="48" t="n">
        <f aca="false">P299</f>
        <v>553.3</v>
      </c>
      <c r="Q40" s="159" t="n">
        <f aca="false">Q299</f>
        <v>2050.192</v>
      </c>
      <c r="R40" s="48" t="n">
        <f aca="false">R299</f>
        <v>473.4</v>
      </c>
      <c r="S40" s="48" t="n">
        <f aca="false">S299</f>
        <v>474.2</v>
      </c>
      <c r="T40" s="48" t="n">
        <f aca="false">T299</f>
        <v>556.9</v>
      </c>
      <c r="U40" s="48" t="n">
        <f aca="false">U299</f>
        <v>618.3</v>
      </c>
      <c r="V40" s="159" t="n">
        <f aca="false">V299</f>
        <v>2122.8</v>
      </c>
      <c r="W40" s="48" t="n">
        <f aca="false">W299</f>
        <v>727.8</v>
      </c>
      <c r="X40" s="48" t="n">
        <f aca="false">X299</f>
        <v>717.3</v>
      </c>
      <c r="Y40" s="48" t="n">
        <f aca="false">Y299</f>
        <v>628.5</v>
      </c>
      <c r="Z40" s="48" t="n">
        <f aca="false">Z299</f>
        <v>605.5</v>
      </c>
      <c r="AA40" s="159" t="n">
        <f aca="false">AA299</f>
        <v>2679.1</v>
      </c>
      <c r="AB40" s="48" t="n">
        <f aca="false">AB299</f>
        <v>617.3</v>
      </c>
      <c r="AC40" s="48" t="n">
        <f aca="false">AC299</f>
        <v>653.9</v>
      </c>
      <c r="AD40" s="48" t="n">
        <f aca="false">AD299</f>
        <v>695.5</v>
      </c>
      <c r="AE40" s="48" t="n">
        <f aca="false">AE299</f>
        <v>718.2</v>
      </c>
      <c r="AF40" s="159" t="n">
        <f aca="false">AF299</f>
        <v>2684.9</v>
      </c>
      <c r="AG40" s="48" t="n">
        <f aca="false">AG299</f>
        <v>540.1</v>
      </c>
      <c r="AH40" s="48" t="n">
        <f aca="false">AH299</f>
        <v>717.1</v>
      </c>
      <c r="AI40" s="48" t="n">
        <f aca="false">AI299</f>
        <v>660.9</v>
      </c>
      <c r="AJ40" s="48" t="n">
        <f aca="false">AJ299</f>
        <v>905.7</v>
      </c>
      <c r="AK40" s="159" t="n">
        <f aca="false">AK299</f>
        <v>2823.8</v>
      </c>
      <c r="AL40" s="48" t="n">
        <f aca="false">AL299</f>
        <v>856.6</v>
      </c>
      <c r="AM40" s="48" t="n">
        <f aca="false">AM299</f>
        <v>887.1</v>
      </c>
      <c r="AN40" s="48" t="n">
        <f aca="false">AN299</f>
        <v>862.4</v>
      </c>
      <c r="AO40" s="48" t="n">
        <f aca="false">AO299</f>
        <v>1055.8</v>
      </c>
      <c r="AP40" s="159" t="n">
        <f aca="false">AP299</f>
        <v>3661.9</v>
      </c>
      <c r="AQ40" s="48" t="n">
        <f aca="false">AQ299</f>
        <v>1235.1</v>
      </c>
      <c r="AR40" s="48" t="n">
        <f aca="false">AR299</f>
        <v>1070.6</v>
      </c>
      <c r="AS40" s="48" t="n">
        <f aca="false">AS299</f>
        <v>1130.2</v>
      </c>
      <c r="AT40" s="48" t="n">
        <f aca="false">AT299</f>
        <v>1522.3</v>
      </c>
      <c r="AU40" s="159" t="n">
        <f aca="false">AU299</f>
        <v>4958.2</v>
      </c>
      <c r="AV40" s="48" t="n">
        <f aca="false">AV299</f>
        <v>1247.2</v>
      </c>
      <c r="AW40" s="48" t="n">
        <f aca="false">AW299</f>
        <v>1290</v>
      </c>
      <c r="AX40" s="48" t="n">
        <f aca="false">AX299</f>
        <v>1523.6</v>
      </c>
      <c r="AY40" s="48" t="n">
        <f aca="false">AY299</f>
        <v>1682.3</v>
      </c>
      <c r="AZ40" s="159" t="n">
        <f aca="false">AZ299</f>
        <v>5743.1</v>
      </c>
      <c r="BA40" s="48" t="n">
        <f aca="false">BA299</f>
        <v>1404.4</v>
      </c>
      <c r="BB40" s="48" t="n">
        <f aca="false">BB299</f>
        <v>1296.2</v>
      </c>
      <c r="BC40" s="48" t="n">
        <f aca="false">BC299</f>
        <v>1364.8</v>
      </c>
      <c r="BD40" s="48" t="n">
        <f aca="false">BD299</f>
        <v>1554.5</v>
      </c>
      <c r="BE40" s="159" t="n">
        <f aca="false">BE299</f>
        <v>5619.9</v>
      </c>
      <c r="BF40" s="48" t="n">
        <f aca="false">BF299</f>
        <v>1324.1</v>
      </c>
      <c r="BG40" s="48" t="n">
        <f aca="false">BG299</f>
        <v>1481.9</v>
      </c>
      <c r="BH40" s="48" t="n">
        <f aca="false">BH299</f>
        <v>1541.3</v>
      </c>
      <c r="BI40" s="48" t="n">
        <f aca="false">BI299</f>
        <v>2146.9</v>
      </c>
      <c r="BJ40" s="159" t="n">
        <f aca="false">BJ299</f>
        <v>6494.2</v>
      </c>
      <c r="BK40" s="48" t="n">
        <f aca="false">BK299</f>
        <v>2001.1</v>
      </c>
      <c r="BL40" s="48" t="n">
        <f aca="false">BL299</f>
        <v>2095.6</v>
      </c>
      <c r="BM40" s="48" t="n">
        <f aca="false">BM299</f>
        <v>1962.2</v>
      </c>
      <c r="BN40" s="48" t="n">
        <f aca="false">BN299</f>
        <v>2134.1</v>
      </c>
      <c r="BO40" s="160" t="n">
        <f aca="false">BO299</f>
        <v>8193</v>
      </c>
      <c r="BP40" s="48" t="n">
        <f aca="false">BK40*(1+BP50)</f>
        <v>2401.32</v>
      </c>
      <c r="BQ40" s="48" t="n">
        <f aca="false">BL40*(1+BQ50)</f>
        <v>2200.38</v>
      </c>
      <c r="BR40" s="48" t="n">
        <f aca="false">BM40*(1+BR50)</f>
        <v>2060.31</v>
      </c>
      <c r="BS40" s="48" t="n">
        <f aca="false">BN40*(1+BS50)</f>
        <v>2240.805</v>
      </c>
      <c r="BT40" s="159" t="n">
        <f aca="false">SUM(BP40,BQ40,BR40,BS40)</f>
        <v>8902.815</v>
      </c>
      <c r="BU40" s="48" t="n">
        <f aca="false">BP40*(1+BU50)</f>
        <v>2425.3332</v>
      </c>
      <c r="BV40" s="48" t="n">
        <f aca="false">BQ40*(1+BV50)</f>
        <v>2222.3838</v>
      </c>
      <c r="BW40" s="48" t="n">
        <f aca="false">BR40*(1+BW50)</f>
        <v>2080.9131</v>
      </c>
      <c r="BX40" s="48" t="n">
        <f aca="false">BS40*(1+BX50)</f>
        <v>2263.21305</v>
      </c>
      <c r="BY40" s="159" t="n">
        <f aca="false">SUM(BU40,BV40,BW40,BX40)</f>
        <v>8991.84315</v>
      </c>
      <c r="BZ40" s="159" t="n">
        <f aca="false">BY40*(1+BZ50)</f>
        <v>9171.680013</v>
      </c>
      <c r="CA40" s="159" t="n">
        <f aca="false">BZ40*(1+CA50)</f>
        <v>9355.11361326</v>
      </c>
      <c r="CB40" s="159" t="n">
        <f aca="false">CA40*(1+CB50)</f>
        <v>9542.2158855252</v>
      </c>
      <c r="CC40" s="50"/>
    </row>
    <row r="41" s="157" customFormat="true" ht="15" hidden="false" customHeight="true" outlineLevel="0" collapsed="false">
      <c r="A41" s="151" t="s">
        <v>173</v>
      </c>
      <c r="B41" s="161"/>
      <c r="C41" s="162" t="n">
        <f aca="false">C39+C40</f>
        <v>1596.063</v>
      </c>
      <c r="D41" s="162" t="n">
        <f aca="false">D39+D40</f>
        <v>4507.938</v>
      </c>
      <c r="E41" s="162" t="n">
        <f aca="false">E39+E40</f>
        <v>5651.035</v>
      </c>
      <c r="F41" s="162" t="n">
        <f aca="false">F39+F40</f>
        <v>4731.555</v>
      </c>
      <c r="G41" s="162" t="n">
        <f aca="false">G39+G40</f>
        <v>5245.326</v>
      </c>
      <c r="H41" s="163" t="n">
        <f aca="false">H39+H40</f>
        <v>1396.5</v>
      </c>
      <c r="I41" s="163" t="n">
        <f aca="false">I39+I40</f>
        <v>1643.6</v>
      </c>
      <c r="J41" s="163" t="n">
        <f aca="false">J39+J40</f>
        <v>1322.2</v>
      </c>
      <c r="K41" s="163" t="n">
        <f aca="false">K39+K40</f>
        <v>1494</v>
      </c>
      <c r="L41" s="162" t="n">
        <f aca="false">L39+L40</f>
        <v>5856.277</v>
      </c>
      <c r="M41" s="163" t="n">
        <f aca="false">M39+M40</f>
        <v>1649.9</v>
      </c>
      <c r="N41" s="163" t="n">
        <f aca="false">N39+N40</f>
        <v>1654.1</v>
      </c>
      <c r="O41" s="163" t="n">
        <f aca="false">O39+O40</f>
        <v>1549.2</v>
      </c>
      <c r="P41" s="163" t="n">
        <f aca="false">P39+P40</f>
        <v>1434.2</v>
      </c>
      <c r="Q41" s="162" t="n">
        <f aca="false">Q39+Q40</f>
        <v>6287.375</v>
      </c>
      <c r="R41" s="163" t="n">
        <f aca="false">R39+R40</f>
        <v>1333.2</v>
      </c>
      <c r="S41" s="163" t="n">
        <f aca="false">S39+S40</f>
        <v>1739.6</v>
      </c>
      <c r="T41" s="163" t="n">
        <f aca="false">T39+T40</f>
        <v>1814.6</v>
      </c>
      <c r="U41" s="163" t="n">
        <f aca="false">U39+U40</f>
        <v>1907.4</v>
      </c>
      <c r="V41" s="162" t="n">
        <f aca="false">V39+V40</f>
        <v>6794.8</v>
      </c>
      <c r="W41" s="163" t="n">
        <f aca="false">W39+W40</f>
        <v>1943.6</v>
      </c>
      <c r="X41" s="163" t="n">
        <f aca="false">X39+X40</f>
        <v>2101.4</v>
      </c>
      <c r="Y41" s="163" t="n">
        <f aca="false">Y39+Y40</f>
        <v>2447.4</v>
      </c>
      <c r="Z41" s="163" t="n">
        <f aca="false">Z39+Z40</f>
        <v>2560.4</v>
      </c>
      <c r="AA41" s="162" t="n">
        <f aca="false">AA39+AA40</f>
        <v>9052.8</v>
      </c>
      <c r="AB41" s="163" t="n">
        <f aca="false">AB39+AB40</f>
        <v>2285</v>
      </c>
      <c r="AC41" s="163" t="n">
        <f aca="false">AC39+AC40</f>
        <v>2740.4</v>
      </c>
      <c r="AD41" s="163" t="n">
        <f aca="false">AD39+AD40</f>
        <v>2776.1</v>
      </c>
      <c r="AE41" s="163" t="n">
        <f aca="false">AE39+AE40</f>
        <v>3142.5</v>
      </c>
      <c r="AF41" s="162" t="n">
        <f aca="false">AF39+AF40</f>
        <v>10944</v>
      </c>
      <c r="AG41" s="163" t="n">
        <f aca="false">AG39+AG40</f>
        <v>2229.1</v>
      </c>
      <c r="AH41" s="163" t="n">
        <f aca="false">AH39+AH40</f>
        <v>2567.9</v>
      </c>
      <c r="AI41" s="163" t="n">
        <f aca="false">AI39+AI40</f>
        <v>2986.5</v>
      </c>
      <c r="AJ41" s="163" t="n">
        <f aca="false">AJ39+AJ40</f>
        <v>4036.5</v>
      </c>
      <c r="AK41" s="162" t="n">
        <f aca="false">AK39+AK40</f>
        <v>11820</v>
      </c>
      <c r="AL41" s="163" t="n">
        <f aca="false">AL39+AL40</f>
        <v>2440.6</v>
      </c>
      <c r="AM41" s="163" t="n">
        <f aca="false">AM39+AM40</f>
        <v>3325.7</v>
      </c>
      <c r="AN41" s="163" t="n">
        <f aca="false">AN39+AN40</f>
        <v>3958</v>
      </c>
      <c r="AO41" s="163" t="n">
        <f aca="false">AO39+AO40</f>
        <v>4254.2</v>
      </c>
      <c r="AP41" s="162" t="n">
        <f aca="false">AP39+AP40</f>
        <v>13978.5</v>
      </c>
      <c r="AQ41" s="163" t="n">
        <f aca="false">AQ39+AQ40</f>
        <v>4363.9</v>
      </c>
      <c r="AR41" s="163" t="n">
        <f aca="false">AR39+AR40</f>
        <v>4020.2</v>
      </c>
      <c r="AS41" s="163" t="n">
        <f aca="false">AS39+AS40</f>
        <v>5241.3</v>
      </c>
      <c r="AT41" s="163" t="n">
        <f aca="false">AT39+AT40</f>
        <v>4985.6</v>
      </c>
      <c r="AU41" s="162" t="n">
        <f aca="false">AU39+AU40</f>
        <v>18611</v>
      </c>
      <c r="AV41" s="163" t="n">
        <f aca="false">AV39+AV40</f>
        <v>3534.4</v>
      </c>
      <c r="AW41" s="163" t="n">
        <f aca="false">AW39+AW40</f>
        <v>5430.5</v>
      </c>
      <c r="AX41" s="163" t="n">
        <f aca="false">AX39+AX40</f>
        <v>5778.3</v>
      </c>
      <c r="AY41" s="163" t="n">
        <f aca="false">AY39+AY40</f>
        <v>6430.2</v>
      </c>
      <c r="AZ41" s="162" t="n">
        <f aca="false">AZ39+AZ40</f>
        <v>21173.4</v>
      </c>
      <c r="BA41" s="163" t="n">
        <f aca="false">BA39+BA40</f>
        <v>6746.2</v>
      </c>
      <c r="BB41" s="163" t="n">
        <f aca="false">BB39+BB40</f>
        <v>6902.3</v>
      </c>
      <c r="BC41" s="163" t="n">
        <f aca="false">BC39+BC40</f>
        <v>6673</v>
      </c>
      <c r="BD41" s="163" t="n">
        <f aca="false">BD39+BD40</f>
        <v>7237</v>
      </c>
      <c r="BE41" s="162" t="n">
        <f aca="false">BE39+BE40</f>
        <v>27558.5</v>
      </c>
      <c r="BF41" s="163" t="n">
        <f aca="false">BF39+BF40</f>
        <v>5290</v>
      </c>
      <c r="BG41" s="163" t="n">
        <f aca="false">BG39+BG40</f>
        <v>6242.8</v>
      </c>
      <c r="BH41" s="163" t="n">
        <f aca="false">BH39+BH40</f>
        <v>7467.3</v>
      </c>
      <c r="BI41" s="163" t="n">
        <f aca="false">BI39+BI40</f>
        <v>9262.8</v>
      </c>
      <c r="BJ41" s="162" t="n">
        <f aca="false">BJ39+BJ40</f>
        <v>28262.9</v>
      </c>
      <c r="BK41" s="163" t="n">
        <f aca="false">BK39+BK40</f>
        <v>7741.5</v>
      </c>
      <c r="BL41" s="163" t="n">
        <f aca="false">BL39+BL40</f>
        <v>7691.7</v>
      </c>
      <c r="BM41" s="163" t="n">
        <f aca="false">BM39+BM40</f>
        <v>7516</v>
      </c>
      <c r="BN41" s="163" t="n">
        <f aca="false">BN39+BN40</f>
        <v>9718.1</v>
      </c>
      <c r="BO41" s="164" t="n">
        <f aca="false">BO39+BO40</f>
        <v>32667.3</v>
      </c>
      <c r="BP41" s="163" t="n">
        <f aca="false">BP39+BP40</f>
        <v>8589.53007589744</v>
      </c>
      <c r="BQ41" s="163" t="n">
        <f aca="false">BQ39+BQ40</f>
        <v>8863.45644835917</v>
      </c>
      <c r="BR41" s="163" t="n">
        <f aca="false">BR39+BR40</f>
        <v>9379.07929524721</v>
      </c>
      <c r="BS41" s="163" t="n">
        <f aca="false">BS39+BS40</f>
        <v>10082.5114586246</v>
      </c>
      <c r="BT41" s="162" t="n">
        <f aca="false">BT39+BT40</f>
        <v>36914.5772781284</v>
      </c>
      <c r="BU41" s="163" t="n">
        <f aca="false">BU39+BU40</f>
        <v>8892.68862461538</v>
      </c>
      <c r="BV41" s="163" t="n">
        <f aca="false">BV39+BV40</f>
        <v>9036.84528756221</v>
      </c>
      <c r="BW41" s="163" t="n">
        <f aca="false">BW39+BW40</f>
        <v>9955.66498697608</v>
      </c>
      <c r="BX41" s="163" t="n">
        <f aca="false">BX39+BX40</f>
        <v>10718.9941563606</v>
      </c>
      <c r="BY41" s="162" t="n">
        <f aca="false">BY39+BY40</f>
        <v>38604.1930555143</v>
      </c>
      <c r="BZ41" s="162" t="n">
        <f aca="false">BZ39+BZ40</f>
        <v>46543.9565046616</v>
      </c>
      <c r="CA41" s="162" t="n">
        <f aca="false">CA39+CA40</f>
        <v>48909.0345116615</v>
      </c>
      <c r="CB41" s="162" t="n">
        <f aca="false">CB39+CB40</f>
        <v>51418.3491290759</v>
      </c>
      <c r="CC41" s="156"/>
    </row>
    <row r="42" s="139" customFormat="true" ht="15" hidden="false" customHeight="true" outlineLevel="0" collapsed="false">
      <c r="A42" s="165"/>
      <c r="B42" s="166"/>
      <c r="C42" s="167"/>
      <c r="D42" s="167"/>
      <c r="E42" s="167"/>
      <c r="F42" s="167"/>
      <c r="G42" s="167"/>
      <c r="H42" s="168"/>
      <c r="I42" s="168"/>
      <c r="J42" s="168"/>
      <c r="K42" s="168"/>
      <c r="L42" s="167"/>
      <c r="M42" s="168"/>
      <c r="N42" s="168"/>
      <c r="O42" s="168"/>
      <c r="P42" s="168"/>
      <c r="Q42" s="167"/>
      <c r="R42" s="168"/>
      <c r="S42" s="168"/>
      <c r="T42" s="168"/>
      <c r="U42" s="168"/>
      <c r="V42" s="167"/>
      <c r="W42" s="168"/>
      <c r="X42" s="168"/>
      <c r="Y42" s="168"/>
      <c r="Z42" s="168"/>
      <c r="AA42" s="167"/>
      <c r="AB42" s="168"/>
      <c r="AC42" s="168"/>
      <c r="AD42" s="168"/>
      <c r="AE42" s="168"/>
      <c r="AF42" s="167"/>
      <c r="AG42" s="168"/>
      <c r="AH42" s="168"/>
      <c r="AI42" s="168"/>
      <c r="AJ42" s="168"/>
      <c r="AK42" s="167"/>
      <c r="AL42" s="168"/>
      <c r="AM42" s="168"/>
      <c r="AN42" s="168"/>
      <c r="AO42" s="168"/>
      <c r="AP42" s="167"/>
      <c r="AQ42" s="168"/>
      <c r="AR42" s="168"/>
      <c r="AS42" s="168"/>
      <c r="AT42" s="168"/>
      <c r="AU42" s="167"/>
      <c r="AV42" s="168"/>
      <c r="AW42" s="168"/>
      <c r="AX42" s="168"/>
      <c r="AY42" s="168"/>
      <c r="AZ42" s="167"/>
      <c r="BA42" s="168"/>
      <c r="BB42" s="168"/>
      <c r="BC42" s="168"/>
      <c r="BD42" s="168"/>
      <c r="BE42" s="167"/>
      <c r="BF42" s="168"/>
      <c r="BG42" s="168"/>
      <c r="BH42" s="168"/>
      <c r="BI42" s="168"/>
      <c r="BJ42" s="167"/>
      <c r="BK42" s="168"/>
      <c r="BL42" s="168"/>
      <c r="BM42" s="168"/>
      <c r="BN42" s="168"/>
      <c r="BO42" s="169"/>
      <c r="BP42" s="168"/>
      <c r="BQ42" s="168"/>
      <c r="BR42" s="168"/>
      <c r="BS42" s="168"/>
      <c r="BT42" s="167"/>
      <c r="BU42" s="168"/>
      <c r="BV42" s="168"/>
      <c r="BW42" s="168"/>
      <c r="BX42" s="168"/>
      <c r="BY42" s="167"/>
      <c r="BZ42" s="167"/>
      <c r="CA42" s="167"/>
      <c r="CB42" s="167"/>
      <c r="CC42" s="138"/>
    </row>
    <row r="43" s="139" customFormat="true" ht="15" hidden="false" customHeight="true" outlineLevel="0" collapsed="false">
      <c r="A43" s="131" t="s">
        <v>174</v>
      </c>
      <c r="B43" s="166"/>
      <c r="C43" s="167"/>
      <c r="D43" s="167"/>
      <c r="E43" s="167"/>
      <c r="F43" s="167" t="n">
        <f aca="false">IFERROR(F33/E33-1,"n/a")</f>
        <v>-0.633696563285834</v>
      </c>
      <c r="G43" s="167" t="n">
        <f aca="false">IFERROR(G33/F33-1,"n/a")</f>
        <v>0.375286041189931</v>
      </c>
      <c r="H43" s="168"/>
      <c r="I43" s="168"/>
      <c r="J43" s="168"/>
      <c r="K43" s="168"/>
      <c r="L43" s="167" t="n">
        <f aca="false">IFERROR(L33/G33-1,"n/a")</f>
        <v>3.98910149750416</v>
      </c>
      <c r="M43" s="134" t="n">
        <f aca="false">IFERROR(M33/H33-1,"n/a")</f>
        <v>-1</v>
      </c>
      <c r="N43" s="168" t="n">
        <f aca="false">IFERROR(N33/I33-1,"n/a")</f>
        <v>0.0952534191472243</v>
      </c>
      <c r="O43" s="134" t="n">
        <f aca="false">IFERROR(O33/J33-1,"n/a")</f>
        <v>-1</v>
      </c>
      <c r="P43" s="134" t="n">
        <f aca="false">IFERROR(P33/K33-1,"n/a")</f>
        <v>-1</v>
      </c>
      <c r="Q43" s="167" t="n">
        <f aca="false">IFERROR(Q33/L33-1,"n/a")</f>
        <v>-0.764968567092998</v>
      </c>
      <c r="R43" s="134" t="str">
        <f aca="false">IFERROR(R33/M33-1,"n/a")</f>
        <v>n/a</v>
      </c>
      <c r="S43" s="168" t="n">
        <f aca="false">IFERROR(S33/N33-1,"n/a")</f>
        <v>0.487174966945791</v>
      </c>
      <c r="T43" s="134" t="str">
        <f aca="false">IFERROR(T33/O33-1,"n/a")</f>
        <v>n/a</v>
      </c>
      <c r="U43" s="134" t="str">
        <f aca="false">IFERROR(U33/P33-1,"n/a")</f>
        <v>n/a</v>
      </c>
      <c r="V43" s="167" t="n">
        <f aca="false">IFERROR(V33/Q33-1,"n/a")</f>
        <v>3.6102762760206</v>
      </c>
      <c r="W43" s="134" t="str">
        <f aca="false">IFERROR(W33/R33-1,"n/a")</f>
        <v>n/a</v>
      </c>
      <c r="X43" s="168" t="n">
        <f aca="false">IFERROR(X33/S33-1,"n/a")</f>
        <v>1.18760866129287</v>
      </c>
      <c r="Y43" s="168" t="n">
        <f aca="false">IFERROR(Y33/T33-1,"n/a")</f>
        <v>3.33863401447086</v>
      </c>
      <c r="Z43" s="168" t="n">
        <f aca="false">IFERROR(Z33/U33-1,"n/a")</f>
        <v>2.44655538395357</v>
      </c>
      <c r="AA43" s="167" t="n">
        <f aca="false">IFERROR(AA33/V33-1,"n/a")</f>
        <v>2.39027393044014</v>
      </c>
      <c r="AB43" s="134" t="str">
        <f aca="false">IFERROR(AB33/W33-1,"n/a")</f>
        <v>n/a</v>
      </c>
      <c r="AC43" s="168" t="n">
        <f aca="false">IFERROR(AC33/X33-1,"n/a")</f>
        <v>2.01495556679431</v>
      </c>
      <c r="AD43" s="168" t="n">
        <f aca="false">IFERROR(AD33/Y33-1,"n/a")</f>
        <v>0.361759723956656</v>
      </c>
      <c r="AE43" s="168" t="n">
        <f aca="false">IFERROR(AE33/Z33-1,"n/a")</f>
        <v>0.190510000511535</v>
      </c>
      <c r="AF43" s="167" t="n">
        <f aca="false">IFERROR(AF33/AA33-1,"n/a")</f>
        <v>0.706854289605084</v>
      </c>
      <c r="AG43" s="134" t="n">
        <f aca="false">IFERROR(AG33/AB33-1,"n/a")</f>
        <v>2.18299796983013</v>
      </c>
      <c r="AH43" s="168" t="n">
        <f aca="false">IFERROR(AH33/AC33-1,"n/a")</f>
        <v>0.136514497963096</v>
      </c>
      <c r="AI43" s="168" t="n">
        <f aca="false">IFERROR(AI33/AD33-1,"n/a")</f>
        <v>0.430725752186869</v>
      </c>
      <c r="AJ43" s="168" t="n">
        <f aca="false">IFERROR(AJ33/AE33-1,"n/a")</f>
        <v>0.560471063812235</v>
      </c>
      <c r="AK43" s="167" t="n">
        <f aca="false">IFERROR(AK33/AF33-1,"n/a")</f>
        <v>0.489122918993671</v>
      </c>
      <c r="AL43" s="134" t="n">
        <f aca="false">IFERROR(AL33/AG33-1,"n/a")</f>
        <v>-0.0621669626998223</v>
      </c>
      <c r="AM43" s="168" t="n">
        <f aca="false">IFERROR(AM33/AH33-1,"n/a")</f>
        <v>0.25331959284581</v>
      </c>
      <c r="AN43" s="168" t="n">
        <f aca="false">IFERROR(AN33/AI33-1,"n/a")</f>
        <v>1.74538828689371</v>
      </c>
      <c r="AO43" s="168" t="n">
        <f aca="false">IFERROR(AO33/AJ33-1,"n/a")</f>
        <v>0.268183079790116</v>
      </c>
      <c r="AP43" s="167" t="n">
        <f aca="false">IFERROR(AP33/AK33-1,"n/a")</f>
        <v>0.594385112690646</v>
      </c>
      <c r="AQ43" s="134" t="n">
        <f aca="false">IFERROR(AQ33/AL33-1,"n/a")</f>
        <v>2.23223140495868</v>
      </c>
      <c r="AR43" s="168" t="n">
        <f aca="false">IFERROR(AR33/AM33-1,"n/a")</f>
        <v>0.395630532020264</v>
      </c>
      <c r="AS43" s="168" t="n">
        <f aca="false">IFERROR(AS33/AN33-1,"n/a")</f>
        <v>0.0865833029872312</v>
      </c>
      <c r="AT43" s="168" t="n">
        <f aca="false">IFERROR(AT33/AO33-1,"n/a")</f>
        <v>0.383606733922516</v>
      </c>
      <c r="AU43" s="167" t="n">
        <f aca="false">IFERROR(AU33/AP33-1,"n/a")</f>
        <v>0.407769165285183</v>
      </c>
      <c r="AV43" s="134" t="n">
        <f aca="false">IFERROR(AV33/AQ33-1,"n/a")</f>
        <v>-0.472044660359669</v>
      </c>
      <c r="AW43" s="168" t="n">
        <f aca="false">IFERROR(AW33/AR33-1,"n/a")</f>
        <v>0.497332971702378</v>
      </c>
      <c r="AX43" s="168" t="n">
        <f aca="false">IFERROR(AX33/AS33-1,"n/a")</f>
        <v>-0.0225662772061547</v>
      </c>
      <c r="AY43" s="168" t="n">
        <f aca="false">IFERROR(AY33/AT33-1,"n/a")</f>
        <v>0.460325600489104</v>
      </c>
      <c r="AZ43" s="167" t="n">
        <f aca="false">IFERROR(AZ33/AU33-1,"n/a")</f>
        <v>0.121148949713558</v>
      </c>
      <c r="BA43" s="134" t="n">
        <f aca="false">IFERROR(BA33/AV33-1,"n/a")</f>
        <v>3.8506941641779</v>
      </c>
      <c r="BB43" s="168" t="n">
        <f aca="false">IFERROR(BB33/AW33-1,"n/a")</f>
        <v>0.0436828281608503</v>
      </c>
      <c r="BC43" s="168" t="n">
        <f aca="false">IFERROR(BC33/AX33-1,"n/a")</f>
        <v>-0.143798069677962</v>
      </c>
      <c r="BD43" s="168" t="n">
        <f aca="false">IFERROR(BD33/AY33-1,"n/a")</f>
        <v>-0.0229837380306913</v>
      </c>
      <c r="BE43" s="167" t="n">
        <f aca="false">IFERROR(BE33/AZ33-1,"n/a")</f>
        <v>0.295047762338013</v>
      </c>
      <c r="BF43" s="134" t="n">
        <f aca="false">IFERROR(BF33/BA33-1,"n/a")</f>
        <v>-0.367561634793654</v>
      </c>
      <c r="BG43" s="168" t="n">
        <f aca="false">IFERROR(BG33/BB33-1,"n/a")</f>
        <v>-0.288478235821309</v>
      </c>
      <c r="BH43" s="168" t="n">
        <f aca="false">IFERROR(BH33/BC33-1,"n/a")</f>
        <v>0.116385968878339</v>
      </c>
      <c r="BI43" s="168" t="n">
        <f aca="false">IFERROR(BI33/BD33-1,"n/a")</f>
        <v>0.314860536735592</v>
      </c>
      <c r="BJ43" s="167" t="n">
        <f aca="false">IFERROR(BJ33/BE33-1,"n/a")</f>
        <v>-0.087965804471723</v>
      </c>
      <c r="BK43" s="134" t="n">
        <f aca="false">IFERROR(BK33/BF33-1,"n/a")</f>
        <v>0.762100164774266</v>
      </c>
      <c r="BL43" s="168" t="n">
        <f aca="false">IFERROR(BL33/BG33-1,"n/a")</f>
        <v>0.820019120808684</v>
      </c>
      <c r="BM43" s="168" t="n">
        <f aca="false">IFERROR(BM33/BH33-1,"n/a")</f>
        <v>0.0175227809652379</v>
      </c>
      <c r="BN43" s="168" t="n">
        <f aca="false">IFERROR(BN33/BI33-1,"n/a")</f>
        <v>0.218036871151726</v>
      </c>
      <c r="BO43" s="169" t="n">
        <f aca="false">IFERROR(BO33/BJ33-1,"n/a")</f>
        <v>0.400186987766482</v>
      </c>
      <c r="BP43" s="168" t="n">
        <f aca="false">IFERROR(BP33/BK33-1,"n/a")</f>
        <v>0.0214285714285716</v>
      </c>
      <c r="BQ43" s="168" t="n">
        <f aca="false">IFERROR(BQ33/BL33-1,"n/a")</f>
        <v>0.418181818181818</v>
      </c>
      <c r="BR43" s="168" t="n">
        <f aca="false">IFERROR(BR33/BM33-1,"n/a")</f>
        <v>1</v>
      </c>
      <c r="BS43" s="168" t="n">
        <f aca="false">IFERROR(BS33/BN33-1,"n/a")</f>
        <v>0.285714285714286</v>
      </c>
      <c r="BT43" s="167" t="n">
        <f aca="false">IFERROR(BT33/BO33-1,"n/a")</f>
        <v>0.372716316012485</v>
      </c>
      <c r="BU43" s="168" t="n">
        <f aca="false">IFERROR(BU33/BP33-1,"n/a")</f>
        <v>0.15</v>
      </c>
      <c r="BV43" s="168" t="n">
        <f aca="false">IFERROR(BV33/BQ33-1,"n/a")</f>
        <v>0.1</v>
      </c>
      <c r="BW43" s="168" t="n">
        <f aca="false">IFERROR(BW33/BR33-1,"n/a")</f>
        <v>0.0999999999999999</v>
      </c>
      <c r="BX43" s="168" t="n">
        <f aca="false">IFERROR(BX33/BS33-1,"n/a")</f>
        <v>0.0999999999999999</v>
      </c>
      <c r="BY43" s="167" t="n">
        <f aca="false">IFERROR(BY33/BT33-1,"n/a")</f>
        <v>0.110264669185841</v>
      </c>
      <c r="BZ43" s="167" t="n">
        <f aca="false">IFERROR(BZ33/BY33-1,"n/a")</f>
        <v>0.392857142857143</v>
      </c>
      <c r="CA43" s="167" t="n">
        <f aca="false">IFERROR(CA33/BZ33-1,"n/a")</f>
        <v>0.05</v>
      </c>
      <c r="CB43" s="167" t="n">
        <f aca="false">IFERROR(CB33/CA33-1,"n/a")</f>
        <v>0.0500000000000003</v>
      </c>
      <c r="CC43" s="138"/>
    </row>
    <row r="44" s="139" customFormat="true" ht="15" hidden="false" customHeight="true" outlineLevel="0" collapsed="false">
      <c r="A44" s="131" t="s">
        <v>175</v>
      </c>
      <c r="B44" s="166"/>
      <c r="C44" s="167"/>
      <c r="D44" s="167"/>
      <c r="E44" s="167"/>
      <c r="F44" s="167" t="n">
        <f aca="false">IFERROR(F34/E34-1,"n/a")</f>
        <v>-0.234959801325511</v>
      </c>
      <c r="G44" s="167" t="n">
        <f aca="false">IFERROR(G34/F34-1,"n/a")</f>
        <v>0.149342539704871</v>
      </c>
      <c r="H44" s="168"/>
      <c r="I44" s="168"/>
      <c r="J44" s="168"/>
      <c r="K44" s="168"/>
      <c r="L44" s="167" t="n">
        <f aca="false">IFERROR(L34/G34-1,"n/a")</f>
        <v>0.114396393907942</v>
      </c>
      <c r="M44" s="134" t="n">
        <f aca="false">IFERROR(M34/H34-1,"n/a")</f>
        <v>0.321659427695452</v>
      </c>
      <c r="N44" s="168" t="n">
        <f aca="false">IFERROR(N34/I34-1,"n/a")</f>
        <v>-0.20764633596492</v>
      </c>
      <c r="O44" s="134" t="n">
        <f aca="false">IFERROR(O34/J34-1,"n/a")</f>
        <v>0.0413981533823253</v>
      </c>
      <c r="P44" s="134" t="n">
        <f aca="false">IFERROR(P34/K34-1,"n/a")</f>
        <v>-0.295905079823579</v>
      </c>
      <c r="Q44" s="167" t="n">
        <f aca="false">IFERROR(Q34/L34-1,"n/a")</f>
        <v>-0.0687997129151932</v>
      </c>
      <c r="R44" s="134" t="n">
        <f aca="false">IFERROR(R34/M34-1,"n/a")</f>
        <v>-0.343470633436272</v>
      </c>
      <c r="S44" s="168" t="n">
        <f aca="false">IFERROR(S34/N34-1,"n/a")</f>
        <v>0.0730249761507607</v>
      </c>
      <c r="T44" s="134" t="n">
        <f aca="false">IFERROR(T34/O34-1,"n/a")</f>
        <v>0.460227923836406</v>
      </c>
      <c r="U44" s="134" t="n">
        <f aca="false">IFERROR(U34/P34-1,"n/a")</f>
        <v>0.44306485791047</v>
      </c>
      <c r="V44" s="167" t="n">
        <f aca="false">IFERROR(V34/Q34-1,"n/a")</f>
        <v>0.086537642058613</v>
      </c>
      <c r="W44" s="134" t="n">
        <f aca="false">IFERROR(W34/R34-1,"n/a")</f>
        <v>0.324552957561517</v>
      </c>
      <c r="X44" s="168" t="n">
        <f aca="false">IFERROR(X34/S34-1,"n/a")</f>
        <v>-0.0789016162977383</v>
      </c>
      <c r="Y44" s="168" t="n">
        <f aca="false">IFERROR(Y34/T34-1,"n/a")</f>
        <v>0.183263822128416</v>
      </c>
      <c r="Z44" s="168" t="n">
        <f aca="false">IFERROR(Z34/U34-1,"n/a")</f>
        <v>0.196100347332619</v>
      </c>
      <c r="AA44" s="167" t="n">
        <f aca="false">IFERROR(AA34/V34-1,"n/a")</f>
        <v>0.141728479267911</v>
      </c>
      <c r="AB44" s="134" t="n">
        <f aca="false">IFERROR(AB34/W34-1,"n/a")</f>
        <v>0.334616735505039</v>
      </c>
      <c r="AC44" s="168" t="n">
        <f aca="false">IFERROR(AC34/X34-1,"n/a")</f>
        <v>0.154162677913446</v>
      </c>
      <c r="AD44" s="168" t="n">
        <f aca="false">IFERROR(AD34/Y34-1,"n/a")</f>
        <v>0.0530941865264805</v>
      </c>
      <c r="AE44" s="168" t="n">
        <f aca="false">IFERROR(AE34/Z34-1,"n/a")</f>
        <v>0.262259487149507</v>
      </c>
      <c r="AF44" s="167" t="n">
        <f aca="false">IFERROR(AF34/AA34-1,"n/a")</f>
        <v>0.1965201374023</v>
      </c>
      <c r="AG44" s="134" t="n">
        <f aca="false">IFERROR(AG34/AB34-1,"n/a")</f>
        <v>-0.156023265575343</v>
      </c>
      <c r="AH44" s="168" t="n">
        <f aca="false">IFERROR(AH34/AC34-1,"n/a")</f>
        <v>-0.257786450309815</v>
      </c>
      <c r="AI44" s="168" t="n">
        <f aca="false">IFERROR(AI34/AD34-1,"n/a")</f>
        <v>-0.0171469105397314</v>
      </c>
      <c r="AJ44" s="168" t="n">
        <f aca="false">IFERROR(AJ34/AE34-1,"n/a")</f>
        <v>0.268767761502507</v>
      </c>
      <c r="AK44" s="167" t="n">
        <f aca="false">IFERROR(AK34/AF34-1,"n/a")</f>
        <v>-0.0206370009777611</v>
      </c>
      <c r="AL44" s="134" t="n">
        <f aca="false">IFERROR(AL34/AG34-1,"n/a")</f>
        <v>-0.187211367673179</v>
      </c>
      <c r="AM44" s="168" t="n">
        <f aca="false">IFERROR(AM34/AH34-1,"n/a")</f>
        <v>0.317592392478928</v>
      </c>
      <c r="AN44" s="168" t="n">
        <f aca="false">IFERROR(AN34/AI34-1,"n/a")</f>
        <v>-0.451901090673628</v>
      </c>
      <c r="AO44" s="168" t="n">
        <f aca="false">IFERROR(AO34/AJ34-1,"n/a")</f>
        <v>-0.179077917100148</v>
      </c>
      <c r="AP44" s="167" t="n">
        <f aca="false">IFERROR(AP34/AK34-1,"n/a")</f>
        <v>-0.16795887588419</v>
      </c>
      <c r="AQ44" s="134" t="n">
        <f aca="false">IFERROR(AQ34/AL34-1,"n/a")</f>
        <v>0.785324397824398</v>
      </c>
      <c r="AR44" s="168" t="n">
        <f aca="false">IFERROR(AR34/AM34-1,"n/a")</f>
        <v>0.00303852870399468</v>
      </c>
      <c r="AS44" s="168" t="n">
        <f aca="false">IFERROR(AS34/AN34-1,"n/a")</f>
        <v>1.02368953783865</v>
      </c>
      <c r="AT44" s="168" t="n">
        <f aca="false">IFERROR(AT34/AO34-1,"n/a")</f>
        <v>-0.157804596742816</v>
      </c>
      <c r="AU44" s="167" t="n">
        <f aca="false">IFERROR(AU34/AP34-1,"n/a")</f>
        <v>0.266173091651774</v>
      </c>
      <c r="AV44" s="134" t="n">
        <f aca="false">IFERROR(AV34/AQ34-1,"n/a")</f>
        <v>-0.268984914344158</v>
      </c>
      <c r="AW44" s="168" t="n">
        <f aca="false">IFERROR(AW34/AR34-1,"n/a")</f>
        <v>0.362462906236539</v>
      </c>
      <c r="AX44" s="168" t="n">
        <f aca="false">IFERROR(AX34/AS34-1,"n/a")</f>
        <v>0.00258826713045157</v>
      </c>
      <c r="AY44" s="168" t="n">
        <f aca="false">IFERROR(AY34/AT34-1,"n/a")</f>
        <v>0.214241578016013</v>
      </c>
      <c r="AZ44" s="167" t="n">
        <f aca="false">IFERROR(AZ34/AU34-1,"n/a")</f>
        <v>0.0558311154125333</v>
      </c>
      <c r="BA44" s="134" t="n">
        <f aca="false">IFERROR(BA34/AV34-1,"n/a")</f>
        <v>0.490757071733161</v>
      </c>
      <c r="BB44" s="168" t="n">
        <f aca="false">IFERROR(BB34/AW34-1,"n/a")</f>
        <v>1.01043571812803</v>
      </c>
      <c r="BC44" s="168" t="n">
        <f aca="false">IFERROR(BC34/AX34-1,"n/a")</f>
        <v>0.931780945095253</v>
      </c>
      <c r="BD44" s="168" t="n">
        <f aca="false">IFERROR(BD34/AY34-1,"n/a")</f>
        <v>0.467100225634559</v>
      </c>
      <c r="BE44" s="167" t="n">
        <f aca="false">IFERROR(BE34/AZ34-1,"n/a")</f>
        <v>0.72202807218562</v>
      </c>
      <c r="BF44" s="134" t="n">
        <f aca="false">IFERROR(BF34/BA34-1,"n/a")</f>
        <v>-0.0348440600546632</v>
      </c>
      <c r="BG44" s="168" t="n">
        <f aca="false">IFERROR(BG34/BB34-1,"n/a")</f>
        <v>-0.133433006102318</v>
      </c>
      <c r="BH44" s="168" t="n">
        <f aca="false">IFERROR(BH34/BC34-1,"n/a")</f>
        <v>0.116385968878339</v>
      </c>
      <c r="BI44" s="168" t="n">
        <f aca="false">IFERROR(BI34/BD34-1,"n/a")</f>
        <v>0.351109824715771</v>
      </c>
      <c r="BJ44" s="167" t="n">
        <f aca="false">IFERROR(BJ34/BE34-1,"n/a")</f>
        <v>0.0720385033379911</v>
      </c>
      <c r="BK44" s="134" t="n">
        <f aca="false">IFERROR(BK34/BF34-1,"n/a")</f>
        <v>0.224756433208487</v>
      </c>
      <c r="BL44" s="168" t="n">
        <f aca="false">IFERROR(BL34/BG34-1,"n/a")</f>
        <v>0.0108689533491568</v>
      </c>
      <c r="BM44" s="168" t="n">
        <f aca="false">IFERROR(BM34/BH34-1,"n/a")</f>
        <v>0.015291371357858</v>
      </c>
      <c r="BN44" s="168" t="n">
        <f aca="false">IFERROR(BN34/BI34-1,"n/a")</f>
        <v>0.0397875729344008</v>
      </c>
      <c r="BO44" s="169" t="n">
        <f aca="false">IFERROR(BO34/BJ34-1,"n/a")</f>
        <v>0.0574357091134787</v>
      </c>
      <c r="BP44" s="168" t="n">
        <f aca="false">IFERROR(BP34/BK34-1,"n/a")</f>
        <v>-0.0800000000000003</v>
      </c>
      <c r="BQ44" s="168" t="n">
        <f aca="false">IFERROR(BQ34/BL34-1,"n/a")</f>
        <v>-0.258064516129032</v>
      </c>
      <c r="BR44" s="168" t="n">
        <f aca="false">IFERROR(BR34/BM34-1,"n/a")</f>
        <v>-0.364473684210527</v>
      </c>
      <c r="BS44" s="168" t="n">
        <f aca="false">IFERROR(BS34/BN34-1,"n/a")</f>
        <v>-0.378378378378378</v>
      </c>
      <c r="BT44" s="167" t="n">
        <f aca="false">IFERROR(BT34/BO34-1,"n/a")</f>
        <v>-0.290834069580837</v>
      </c>
      <c r="BU44" s="168" t="n">
        <f aca="false">IFERROR(BU34/BP34-1,"n/a")</f>
        <v>-0.1</v>
      </c>
      <c r="BV44" s="168" t="n">
        <f aca="false">IFERROR(BV34/BQ34-1,"n/a")</f>
        <v>-0.1</v>
      </c>
      <c r="BW44" s="168" t="n">
        <f aca="false">IFERROR(BW34/BR34-1,"n/a")</f>
        <v>0.0800000000000001</v>
      </c>
      <c r="BX44" s="168" t="n">
        <f aca="false">IFERROR(BX34/BS34-1,"n/a")</f>
        <v>0.0800000000000001</v>
      </c>
      <c r="BY44" s="167" t="n">
        <f aca="false">IFERROR(BY34/BT34-1,"n/a")</f>
        <v>-0.00760371590536435</v>
      </c>
      <c r="BZ44" s="167" t="n">
        <f aca="false">IFERROR(BZ34/BY34-1,"n/a")</f>
        <v>0.0705652027601291</v>
      </c>
      <c r="CA44" s="167" t="n">
        <f aca="false">IFERROR(CA34/BZ34-1,"n/a")</f>
        <v>0.0839472677946307</v>
      </c>
      <c r="CB44" s="167" t="n">
        <f aca="false">IFERROR(CB34/CA34-1,"n/a")</f>
        <v>0.0839472677946307</v>
      </c>
      <c r="CC44" s="138"/>
    </row>
    <row r="45" s="139" customFormat="true" ht="15" hidden="false" customHeight="true" outlineLevel="0" collapsed="false">
      <c r="A45" s="131" t="s">
        <v>176</v>
      </c>
      <c r="B45" s="166"/>
      <c r="C45" s="167"/>
      <c r="D45" s="167"/>
      <c r="E45" s="167"/>
      <c r="F45" s="167" t="n">
        <f aca="false">IFERROR(F35/E35-1,"n/a")</f>
        <v>-0.644277857139737</v>
      </c>
      <c r="G45" s="167" t="n">
        <f aca="false">IFERROR(G35/F35-1,"n/a")</f>
        <v>-0.533096723485779</v>
      </c>
      <c r="H45" s="168"/>
      <c r="I45" s="168"/>
      <c r="J45" s="168"/>
      <c r="K45" s="168"/>
      <c r="L45" s="167" t="n">
        <f aca="false">IFERROR(L35/G35-1,"n/a")</f>
        <v>-0.142244667140114</v>
      </c>
      <c r="M45" s="134" t="str">
        <f aca="false">IFERROR(M35/H35-1,"n/a")</f>
        <v>n/a</v>
      </c>
      <c r="N45" s="168" t="n">
        <f aca="false">IFERROR(N35/I35-1,"n/a")</f>
        <v>-0.0872888173773129</v>
      </c>
      <c r="O45" s="134" t="str">
        <f aca="false">IFERROR(O35/J35-1,"n/a")</f>
        <v>n/a</v>
      </c>
      <c r="P45" s="134" t="n">
        <f aca="false">IFERROR(P35/K35-1,"n/a")</f>
        <v>1.43499493227679</v>
      </c>
      <c r="Q45" s="167" t="n">
        <f aca="false">IFERROR(Q35/L35-1,"n/a")</f>
        <v>2.29710833767747</v>
      </c>
      <c r="R45" s="134" t="n">
        <f aca="false">IFERROR(R35/M35-1,"n/a")</f>
        <v>0.149618933012435</v>
      </c>
      <c r="S45" s="168" t="n">
        <f aca="false">IFERROR(S35/N35-1,"n/a")</f>
        <v>2.34614367562803</v>
      </c>
      <c r="T45" s="134" t="n">
        <f aca="false">IFERROR(T35/O35-1,"n/a")</f>
        <v>-0.14029871150757</v>
      </c>
      <c r="U45" s="134" t="n">
        <f aca="false">IFERROR(U35/P35-1,"n/a")</f>
        <v>-0.0244068566239074</v>
      </c>
      <c r="V45" s="167" t="n">
        <f aca="false">IFERROR(V35/Q35-1,"n/a")</f>
        <v>0.087219359758933</v>
      </c>
      <c r="W45" s="134" t="n">
        <f aca="false">IFERROR(W35/R35-1,"n/a")</f>
        <v>0.414049779018376</v>
      </c>
      <c r="X45" s="168" t="n">
        <f aca="false">IFERROR(X35/S35-1,"n/a")</f>
        <v>0.0938043306464358</v>
      </c>
      <c r="Y45" s="168" t="n">
        <f aca="false">IFERROR(Y35/T35-1,"n/a")</f>
        <v>0.446211338156953</v>
      </c>
      <c r="Z45" s="168" t="n">
        <f aca="false">IFERROR(Z35/U35-1,"n/a")</f>
        <v>2.03296873787914</v>
      </c>
      <c r="AA45" s="167" t="n">
        <f aca="false">IFERROR(AA35/V35-1,"n/a")</f>
        <v>0.798973481608212</v>
      </c>
      <c r="AB45" s="134" t="n">
        <f aca="false">IFERROR(AB35/W35-1,"n/a")</f>
        <v>0.0973515380819214</v>
      </c>
      <c r="AC45" s="168" t="n">
        <f aca="false">IFERROR(AC35/X35-1,"n/a")</f>
        <v>1.00997037786287</v>
      </c>
      <c r="AD45" s="168" t="n">
        <f aca="false">IFERROR(AD35/Y35-1,"n/a")</f>
        <v>0.715817252185387</v>
      </c>
      <c r="AE45" s="168" t="n">
        <f aca="false">IFERROR(AE35/Z35-1,"n/a")</f>
        <v>-0.0699140621003633</v>
      </c>
      <c r="AF45" s="167" t="n">
        <f aca="false">IFERROR(AF35/AA35-1,"n/a")</f>
        <v>0.304327151688065</v>
      </c>
      <c r="AG45" s="134" t="n">
        <f aca="false">IFERROR(AG35/AB35-1,"n/a")</f>
        <v>0.0127720813095882</v>
      </c>
      <c r="AH45" s="168" t="n">
        <f aca="false">IFERROR(AH35/AC35-1,"n/a")</f>
        <v>-0.556482147136353</v>
      </c>
      <c r="AI45" s="168" t="n">
        <f aca="false">IFERROR(AI35/AD35-1,"n/a")</f>
        <v>1.60809381909065</v>
      </c>
      <c r="AJ45" s="168" t="n">
        <f aca="false">IFERROR(AJ35/AE35-1,"n/a")</f>
        <v>0.721899104896259</v>
      </c>
      <c r="AK45" s="167" t="n">
        <f aca="false">IFERROR(AK35/AF35-1,"n/a")</f>
        <v>0.462632154575283</v>
      </c>
      <c r="AL45" s="134" t="n">
        <f aca="false">IFERROR(AL35/AG35-1,"n/a")</f>
        <v>0.641207815275311</v>
      </c>
      <c r="AM45" s="168" t="n">
        <f aca="false">IFERROR(AM35/AH35-1,"n/a")</f>
        <v>2.29398098119732</v>
      </c>
      <c r="AN45" s="168" t="n">
        <f aca="false">IFERROR(AN35/AI35-1,"n/a")</f>
        <v>-0.80984323553983</v>
      </c>
      <c r="AO45" s="168" t="n">
        <f aca="false">IFERROR(AO35/AJ35-1,"n/a")</f>
        <v>0.0215919253864825</v>
      </c>
      <c r="AP45" s="167" t="n">
        <f aca="false">IFERROR(AP35/AK35-1,"n/a")</f>
        <v>0.064307078763709</v>
      </c>
      <c r="AQ45" s="134" t="n">
        <f aca="false">IFERROR(AQ35/AL35-1,"n/a")</f>
        <v>-0.435642135642136</v>
      </c>
      <c r="AR45" s="168" t="n">
        <f aca="false">IFERROR(AR35/AM35-1,"n/a")</f>
        <v>0.209546461084229</v>
      </c>
      <c r="AS45" s="168" t="n">
        <f aca="false">IFERROR(AS35/AN35-1,"n/a")</f>
        <v>2.98413877761985</v>
      </c>
      <c r="AT45" s="168" t="n">
        <f aca="false">IFERROR(AT35/AO35-1,"n/a")</f>
        <v>-0.187883004002001</v>
      </c>
      <c r="AU45" s="167" t="n">
        <f aca="false">IFERROR(AU35/AP35-1,"n/a")</f>
        <v>0.0114754098360654</v>
      </c>
      <c r="AV45" s="134" t="n">
        <f aca="false">IFERROR(AV35/AQ35-1,"n/a")</f>
        <v>1.19304525696753</v>
      </c>
      <c r="AW45" s="168" t="n">
        <f aca="false">IFERROR(AW35/AR35-1,"n/a")</f>
        <v>0.122999728776783</v>
      </c>
      <c r="AX45" s="168" t="n">
        <f aca="false">IFERROR(AX35/AS35-1,"n/a")</f>
        <v>0.0349298241346596</v>
      </c>
      <c r="AY45" s="168" t="n">
        <f aca="false">IFERROR(AY35/AT35-1,"n/a")</f>
        <v>0.827890547550988</v>
      </c>
      <c r="AZ45" s="167" t="n">
        <f aca="false">IFERROR(AZ35/AU35-1,"n/a")</f>
        <v>0.444084278768234</v>
      </c>
      <c r="BA45" s="134" t="n">
        <f aca="false">IFERROR(BA35/AV35-1,"n/a")</f>
        <v>0.167759706190976</v>
      </c>
      <c r="BB45" s="168" t="n">
        <f aca="false">IFERROR(BB35/AW35-1,"n/a")</f>
        <v>-0.323016543895665</v>
      </c>
      <c r="BC45" s="168" t="n">
        <f aca="false">IFERROR(BC35/AX35-1,"n/a")</f>
        <v>0.663478036054246</v>
      </c>
      <c r="BD45" s="168" t="n">
        <f aca="false">IFERROR(BD35/AY35-1,"n/a")</f>
        <v>0.496056151140504</v>
      </c>
      <c r="BE45" s="167" t="n">
        <f aca="false">IFERROR(BE35/AZ35-1,"n/a")</f>
        <v>0.250921917588584</v>
      </c>
      <c r="BF45" s="134" t="n">
        <f aca="false">IFERROR(BF35/BA35-1,"n/a")</f>
        <v>-0.257572353888202</v>
      </c>
      <c r="BG45" s="168" t="n">
        <f aca="false">IFERROR(BG35/BB35-1,"n/a")</f>
        <v>1.97232478906905</v>
      </c>
      <c r="BH45" s="168" t="n">
        <f aca="false">IFERROR(BH35/BC35-1,"n/a")</f>
        <v>-0.162710523341246</v>
      </c>
      <c r="BI45" s="168" t="n">
        <f aca="false">IFERROR(BI35/BD35-1,"n/a")</f>
        <v>-0.499100747910251</v>
      </c>
      <c r="BJ45" s="167" t="n">
        <f aca="false">IFERROR(BJ35/BE35-1,"n/a")</f>
        <v>-0.00743399128428612</v>
      </c>
      <c r="BK45" s="134" t="n">
        <f aca="false">IFERROR(BK35/BF35-1,"n/a")</f>
        <v>-0.0350403859569498</v>
      </c>
      <c r="BL45" s="168" t="n">
        <f aca="false">IFERROR(BL35/BG35-1,"n/a")</f>
        <v>-0.664163138422207</v>
      </c>
      <c r="BM45" s="168" t="n">
        <f aca="false">IFERROR(BM35/BH35-1,"n/a")</f>
        <v>-0.375205309933626</v>
      </c>
      <c r="BN45" s="168" t="n">
        <f aca="false">IFERROR(BN35/BI35-1,"n/a")</f>
        <v>0.0657822622577606</v>
      </c>
      <c r="BO45" s="169" t="n">
        <f aca="false">IFERROR(BO35/BJ35-1,"n/a")</f>
        <v>-0.367915805785124</v>
      </c>
      <c r="BP45" s="168" t="n">
        <f aca="false">IFERROR(BP35/BK35-1,"n/a")</f>
        <v>1.93333333333333</v>
      </c>
      <c r="BQ45" s="168" t="n">
        <f aca="false">IFERROR(BQ35/BL35-1,"n/a")</f>
        <v>1.3</v>
      </c>
      <c r="BR45" s="168" t="n">
        <f aca="false">IFERROR(BR35/BM35-1,"n/a")</f>
        <v>1.3</v>
      </c>
      <c r="BS45" s="168" t="n">
        <f aca="false">IFERROR(BS35/BN35-1,"n/a")</f>
        <v>0.84</v>
      </c>
      <c r="BT45" s="167" t="n">
        <f aca="false">IFERROR(BT35/BO35-1,"n/a")</f>
        <v>1.30600412132999</v>
      </c>
      <c r="BU45" s="168" t="n">
        <f aca="false">IFERROR(BU35/BP35-1,"n/a")</f>
        <v>0.00499999999999989</v>
      </c>
      <c r="BV45" s="168" t="n">
        <f aca="false">IFERROR(BV35/BQ35-1,"n/a")</f>
        <v>0.00500000000000012</v>
      </c>
      <c r="BW45" s="168" t="n">
        <f aca="false">IFERROR(BW35/BR35-1,"n/a")</f>
        <v>0.00500000000000012</v>
      </c>
      <c r="BX45" s="168" t="n">
        <f aca="false">IFERROR(BX35/BS35-1,"n/a")</f>
        <v>0.00499999999999989</v>
      </c>
      <c r="BY45" s="167" t="n">
        <f aca="false">IFERROR(BY35/BT35-1,"n/a")</f>
        <v>0.00499999999999989</v>
      </c>
      <c r="BZ45" s="167" t="n">
        <f aca="false">IFERROR(BZ35/BY35-1,"n/a")</f>
        <v>0.00596186602713633</v>
      </c>
      <c r="CA45" s="167" t="n">
        <f aca="false">IFERROR(CA35/BZ35-1,"n/a")</f>
        <v>0.00596186602713633</v>
      </c>
      <c r="CB45" s="167" t="n">
        <f aca="false">IFERROR(CB35/CA35-1,"n/a")</f>
        <v>0.00596186602713611</v>
      </c>
      <c r="CC45" s="138"/>
    </row>
    <row r="46" s="139" customFormat="true" ht="15" hidden="false" customHeight="true" outlineLevel="0" collapsed="false">
      <c r="A46" s="131" t="s">
        <v>177</v>
      </c>
      <c r="B46" s="166"/>
      <c r="C46" s="167"/>
      <c r="D46" s="167"/>
      <c r="E46" s="167"/>
      <c r="F46" s="167" t="n">
        <f aca="false">IFERROR(F36/E36-1,"n/a")</f>
        <v>-0.01978043800158</v>
      </c>
      <c r="G46" s="167" t="n">
        <f aca="false">IFERROR(G36/F36-1,"n/a")</f>
        <v>-0.207203130436315</v>
      </c>
      <c r="H46" s="168"/>
      <c r="I46" s="168"/>
      <c r="J46" s="168"/>
      <c r="K46" s="168"/>
      <c r="L46" s="167" t="n">
        <f aca="false">IFERROR(L36/G36-1,"n/a")</f>
        <v>-0.470266772029281</v>
      </c>
      <c r="M46" s="134" t="n">
        <f aca="false">IFERROR(M36/H36-1,"n/a")</f>
        <v>-0.145745288406625</v>
      </c>
      <c r="N46" s="168" t="n">
        <f aca="false">IFERROR(N36/I36-1,"n/a")</f>
        <v>4.47626709573612</v>
      </c>
      <c r="O46" s="134" t="n">
        <f aca="false">IFERROR(O36/J36-1,"n/a")</f>
        <v>1.48097795364613</v>
      </c>
      <c r="P46" s="134" t="n">
        <f aca="false">IFERROR(P36/K36-1,"n/a")</f>
        <v>1.07425494230986</v>
      </c>
      <c r="Q46" s="167" t="n">
        <f aca="false">IFERROR(Q36/L36-1,"n/a")</f>
        <v>0.960328862509045</v>
      </c>
      <c r="R46" s="134" t="n">
        <f aca="false">IFERROR(R36/M36-1,"n/a")</f>
        <v>-0.195266746891296</v>
      </c>
      <c r="S46" s="168" t="n">
        <f aca="false">IFERROR(S36/N36-1,"n/a")</f>
        <v>0.0224327897752317</v>
      </c>
      <c r="T46" s="134" t="n">
        <f aca="false">IFERROR(T36/O36-1,"n/a")</f>
        <v>-0.426865807671714</v>
      </c>
      <c r="U46" s="134" t="n">
        <f aca="false">IFERROR(U36/P36-1,"n/a")</f>
        <v>-0.363743602146027</v>
      </c>
      <c r="V46" s="167" t="n">
        <f aca="false">IFERROR(V36/Q36-1,"n/a")</f>
        <v>-0.287586594270736</v>
      </c>
      <c r="W46" s="134" t="n">
        <f aca="false">IFERROR(W36/R36-1,"n/a")</f>
        <v>0.515053334662546</v>
      </c>
      <c r="X46" s="168" t="n">
        <f aca="false">IFERROR(X36/S36-1,"n/a")</f>
        <v>-0.105069184016553</v>
      </c>
      <c r="Y46" s="168" t="n">
        <f aca="false">IFERROR(Y36/T36-1,"n/a")</f>
        <v>0.205176115130794</v>
      </c>
      <c r="Z46" s="168" t="n">
        <f aca="false">IFERROR(Z36/U36-1,"n/a")</f>
        <v>0.51648436893957</v>
      </c>
      <c r="AA46" s="167" t="n">
        <f aca="false">IFERROR(AA36/V36-1,"n/a")</f>
        <v>0.282710718978787</v>
      </c>
      <c r="AB46" s="134" t="n">
        <f aca="false">IFERROR(AB36/W36-1,"n/a")</f>
        <v>0.280243461095575</v>
      </c>
      <c r="AC46" s="168" t="n">
        <f aca="false">IFERROR(AC36/X36-1,"n/a")</f>
        <v>0.674975314885726</v>
      </c>
      <c r="AD46" s="168" t="n">
        <f aca="false">IFERROR(AD36/Y36-1,"n/a")</f>
        <v>0.0294903513112319</v>
      </c>
      <c r="AE46" s="168" t="n">
        <f aca="false">IFERROR(AE36/Z36-1,"n/a")</f>
        <v>0.240114583866182</v>
      </c>
      <c r="AF46" s="167" t="n">
        <f aca="false">IFERROR(AF36/AA36-1,"n/a")</f>
        <v>0.258744328991658</v>
      </c>
      <c r="AG46" s="134" t="n">
        <f aca="false">IFERROR(AG36/AB36-1,"n/a")</f>
        <v>-0.348932233443836</v>
      </c>
      <c r="AH46" s="168" t="n">
        <f aca="false">IFERROR(AH36/AC36-1,"n/a")</f>
        <v>-0.0242607236999761</v>
      </c>
      <c r="AI46" s="168" t="n">
        <f aca="false">IFERROR(AI36/AD36-1,"n/a")</f>
        <v>-0.254830337402672</v>
      </c>
      <c r="AJ46" s="168" t="n">
        <f aca="false">IFERROR(AJ36/AE36-1,"n/a")</f>
        <v>-0.225145402796683</v>
      </c>
      <c r="AK46" s="167" t="n">
        <f aca="false">IFERROR(AK36/AF36-1,"n/a")</f>
        <v>-0.209743053133357</v>
      </c>
      <c r="AL46" s="134" t="n">
        <f aca="false">IFERROR(AL36/AG36-1,"n/a")</f>
        <v>0.354647720544701</v>
      </c>
      <c r="AM46" s="168" t="n">
        <f aca="false">IFERROR(AM36/AH36-1,"n/a")</f>
        <v>0.197811265889935</v>
      </c>
      <c r="AN46" s="168" t="n">
        <f aca="false">IFERROR(AN36/AI36-1,"n/a")</f>
        <v>0.77479646829492</v>
      </c>
      <c r="AO46" s="168" t="n">
        <f aca="false">IFERROR(AO36/AJ36-1,"n/a")</f>
        <v>0.872918529875218</v>
      </c>
      <c r="AP46" s="167" t="n">
        <f aca="false">IFERROR(AP36/AK36-1,"n/a")</f>
        <v>0.489333529498308</v>
      </c>
      <c r="AQ46" s="134" t="n">
        <f aca="false">IFERROR(AQ36/AL36-1,"n/a")</f>
        <v>0.671367521367521</v>
      </c>
      <c r="AR46" s="168" t="n">
        <f aca="false">IFERROR(AR36/AM36-1,"n/a")</f>
        <v>0.330501107192652</v>
      </c>
      <c r="AS46" s="168" t="n">
        <f aca="false">IFERROR(AS36/AN36-1,"n/a")</f>
        <v>0.162040476805789</v>
      </c>
      <c r="AT46" s="168" t="n">
        <f aca="false">IFERROR(AT36/AO36-1,"n/a")</f>
        <v>-0.0156157624266683</v>
      </c>
      <c r="AU46" s="167" t="n">
        <f aca="false">IFERROR(AU36/AP36-1,"n/a")</f>
        <v>0.305245480588758</v>
      </c>
      <c r="AV46" s="134" t="n">
        <f aca="false">IFERROR(AV36/AQ36-1,"n/a")</f>
        <v>-0.202528997466354</v>
      </c>
      <c r="AW46" s="168" t="n">
        <f aca="false">IFERROR(AW36/AR36-1,"n/a")</f>
        <v>0.276136055428163</v>
      </c>
      <c r="AX46" s="168" t="n">
        <f aca="false">IFERROR(AX36/AS36-1,"n/a")</f>
        <v>0.478471177335228</v>
      </c>
      <c r="AY46" s="168" t="n">
        <f aca="false">IFERROR(AY36/AT36-1,"n/a")</f>
        <v>0.645101492795889</v>
      </c>
      <c r="AZ46" s="167" t="n">
        <f aca="false">IFERROR(AZ36/AU36-1,"n/a")</f>
        <v>0.251570423068191</v>
      </c>
      <c r="BA46" s="134" t="n">
        <f aca="false">IFERROR(BA36/AV36-1,"n/a")</f>
        <v>0.751639559286464</v>
      </c>
      <c r="BB46" s="168" t="n">
        <f aca="false">IFERROR(BB36/AW36-1,"n/a")</f>
        <v>0.218570220987804</v>
      </c>
      <c r="BC46" s="168" t="n">
        <f aca="false">IFERROR(BC36/AX36-1,"n/a")</f>
        <v>0.247608527040684</v>
      </c>
      <c r="BD46" s="168" t="n">
        <f aca="false">IFERROR(BD36/AY36-1,"n/a")</f>
        <v>0.196844920912403</v>
      </c>
      <c r="BE46" s="167" t="n">
        <f aca="false">IFERROR(BE36/AZ36-1,"n/a")</f>
        <v>0.331861885468948</v>
      </c>
      <c r="BF46" s="134" t="n">
        <f aca="false">IFERROR(BF36/BA36-1,"n/a")</f>
        <v>-0.340064314567291</v>
      </c>
      <c r="BG46" s="168" t="n">
        <f aca="false">IFERROR(BG36/BB36-1,"n/a")</f>
        <v>-0.150764345980272</v>
      </c>
      <c r="BH46" s="168" t="n">
        <f aca="false">IFERROR(BH36/BC36-1,"n/a")</f>
        <v>0.116385968878339</v>
      </c>
      <c r="BI46" s="168" t="n">
        <f aca="false">IFERROR(BI36/BD36-1,"n/a")</f>
        <v>-0.0608139023317196</v>
      </c>
      <c r="BJ46" s="167" t="n">
        <f aca="false">IFERROR(BJ36/BE36-1,"n/a")</f>
        <v>-0.0959364358683315</v>
      </c>
      <c r="BK46" s="134" t="n">
        <f aca="false">IFERROR(BK36/BF36-1,"n/a")</f>
        <v>-0.0953503618346403</v>
      </c>
      <c r="BL46" s="168" t="n">
        <f aca="false">IFERROR(BL36/BG36-1,"n/a")</f>
        <v>-0.477587104212322</v>
      </c>
      <c r="BM46" s="168" t="n">
        <f aca="false">IFERROR(BM36/BH36-1,"n/a")</f>
        <v>-0.718842389470132</v>
      </c>
      <c r="BN46" s="168" t="n">
        <f aca="false">IFERROR(BN36/BI36-1,"n/a")</f>
        <v>-0.407898743190133</v>
      </c>
      <c r="BO46" s="169" t="n">
        <f aca="false">IFERROR(BO36/BJ36-1,"n/a")</f>
        <v>-0.469326034552029</v>
      </c>
      <c r="BP46" s="168" t="n">
        <f aca="false">IFERROR(BP36/BK36-1,"n/a")</f>
        <v>1</v>
      </c>
      <c r="BQ46" s="168" t="n">
        <f aca="false">IFERROR(BQ36/BL36-1,"n/a")</f>
        <v>1.875</v>
      </c>
      <c r="BR46" s="168" t="n">
        <f aca="false">IFERROR(BR36/BM36-1,"n/a")</f>
        <v>3.18181818181818</v>
      </c>
      <c r="BS46" s="168" t="n">
        <f aca="false">IFERROR(BS36/BN36-1,"n/a")</f>
        <v>0.586206896551724</v>
      </c>
      <c r="BT46" s="167" t="n">
        <f aca="false">IFERROR(BT36/BO36-1,"n/a")</f>
        <v>1.38088671261999</v>
      </c>
      <c r="BU46" s="168" t="n">
        <f aca="false">IFERROR(BU36/BP36-1,"n/a")</f>
        <v>-0.1</v>
      </c>
      <c r="BV46" s="168" t="n">
        <f aca="false">IFERROR(BV36/BQ36-1,"n/a")</f>
        <v>-0.1</v>
      </c>
      <c r="BW46" s="168" t="n">
        <f aca="false">IFERROR(BW36/BR36-1,"n/a")</f>
        <v>-0.0499999999999998</v>
      </c>
      <c r="BX46" s="168" t="n">
        <f aca="false">IFERROR(BX36/BS36-1,"n/a")</f>
        <v>-0.0499999999999999</v>
      </c>
      <c r="BY46" s="167" t="n">
        <f aca="false">IFERROR(BY36/BT36-1,"n/a")</f>
        <v>-0.0741985985721142</v>
      </c>
      <c r="BZ46" s="167" t="n">
        <f aca="false">IFERROR(BZ36/BY36-1,"n/a")</f>
        <v>0.0815236180818479</v>
      </c>
      <c r="CA46" s="167" t="n">
        <f aca="false">IFERROR(CA36/BZ36-1,"n/a")</f>
        <v>0.0815236180818475</v>
      </c>
      <c r="CB46" s="167" t="n">
        <f aca="false">IFERROR(CB36/CA36-1,"n/a")</f>
        <v>0.0815236180818479</v>
      </c>
      <c r="CC46" s="138"/>
    </row>
    <row r="47" s="139" customFormat="true" ht="15" hidden="false" customHeight="true" outlineLevel="0" collapsed="false">
      <c r="A47" s="131" t="s">
        <v>178</v>
      </c>
      <c r="B47" s="166"/>
      <c r="C47" s="167"/>
      <c r="D47" s="167"/>
      <c r="E47" s="167"/>
      <c r="F47" s="167" t="n">
        <f aca="false">IFERROR(F37/E37-1,"n/a")</f>
        <v>-0.116163972671221</v>
      </c>
      <c r="G47" s="167" t="n">
        <f aca="false">IFERROR(G37/F37-1,"n/a")</f>
        <v>0.0226060069005825</v>
      </c>
      <c r="H47" s="168"/>
      <c r="I47" s="168"/>
      <c r="J47" s="168"/>
      <c r="K47" s="168"/>
      <c r="L47" s="167" t="n">
        <f aca="false">IFERROR(L37/G37-1,"n/a")</f>
        <v>-0.0563811349976031</v>
      </c>
      <c r="M47" s="134" t="n">
        <f aca="false">IFERROR(M37/H37-1,"n/a")</f>
        <v>1.42038834951456</v>
      </c>
      <c r="N47" s="168" t="n">
        <f aca="false">IFERROR(N37/I37-1,"n/a")</f>
        <v>0.825422365245374</v>
      </c>
      <c r="O47" s="134" t="n">
        <f aca="false">IFERROR(O37/J37-1,"n/a")</f>
        <v>0.102656868287168</v>
      </c>
      <c r="P47" s="134" t="n">
        <f aca="false">IFERROR(P37/K37-1,"n/a")</f>
        <v>0.623329954851193</v>
      </c>
      <c r="Q47" s="167" t="n">
        <f aca="false">IFERROR(Q37/L37-1,"n/a")</f>
        <v>0.426260257913247</v>
      </c>
      <c r="R47" s="134" t="n">
        <f aca="false">IFERROR(R37/M37-1,"n/a")</f>
        <v>-0.310228640192539</v>
      </c>
      <c r="S47" s="168" t="n">
        <f aca="false">IFERROR(S37/N37-1,"n/a")</f>
        <v>0.115381225209343</v>
      </c>
      <c r="T47" s="134" t="n">
        <f aca="false">IFERROR(T37/O37-1,"n/a")</f>
        <v>0.289551932738644</v>
      </c>
      <c r="U47" s="134" t="n">
        <f aca="false">IFERROR(U37/P37-1,"n/a")</f>
        <v>-0.26830514246793</v>
      </c>
      <c r="V47" s="167" t="n">
        <f aca="false">IFERROR(V37/Q37-1,"n/a")</f>
        <v>0.0685517014630939</v>
      </c>
      <c r="W47" s="134" t="n">
        <f aca="false">IFERROR(W37/R37-1,"n/a")</f>
        <v>-0.292975110490812</v>
      </c>
      <c r="X47" s="168" t="n">
        <f aca="false">IFERROR(X37/S37-1,"n/a")</f>
        <v>0.0938043306464358</v>
      </c>
      <c r="Y47" s="168" t="n">
        <f aca="false">IFERROR(Y37/T37-1,"n/a")</f>
        <v>-0.276894330921523</v>
      </c>
      <c r="Z47" s="168" t="n">
        <f aca="false">IFERROR(Z37/U37-1,"n/a")</f>
        <v>0.51648436893957</v>
      </c>
      <c r="AA47" s="167" t="n">
        <f aca="false">IFERROR(AA37/V37-1,"n/a")</f>
        <v>0.085897435897436</v>
      </c>
      <c r="AB47" s="134" t="n">
        <f aca="false">IFERROR(AB37/W37-1,"n/a")</f>
        <v>0.371689422602402</v>
      </c>
      <c r="AC47" s="168" t="n">
        <f aca="false">IFERROR(AC37/X37-1,"n/a")</f>
        <v>-0.246261108301423</v>
      </c>
      <c r="AD47" s="168" t="n">
        <f aca="false">IFERROR(AD37/Y37-1,"n/a")</f>
        <v>0.143878168123591</v>
      </c>
      <c r="AE47" s="168" t="n">
        <f aca="false">IFERROR(AE37/Z37-1,"n/a")</f>
        <v>0.240114583866182</v>
      </c>
      <c r="AF47" s="167" t="n">
        <f aca="false">IFERROR(AF37/AA37-1,"n/a")</f>
        <v>0.164108618654073</v>
      </c>
      <c r="AG47" s="134" t="n">
        <f aca="false">IFERROR(AG37/AB37-1,"n/a")</f>
        <v>1.02554416261918</v>
      </c>
      <c r="AH47" s="168" t="n">
        <f aca="false">IFERROR(AH37/AC37-1,"n/a")</f>
        <v>-0.112964294272706</v>
      </c>
      <c r="AI47" s="168" t="n">
        <f aca="false">IFERROR(AI37/AD37-1,"n/a")</f>
        <v>0.117754493895992</v>
      </c>
      <c r="AJ47" s="168" t="n">
        <f aca="false">IFERROR(AJ37/AE37-1,"n/a")</f>
        <v>1.58284865734439</v>
      </c>
      <c r="AK47" s="167" t="n">
        <f aca="false">IFERROR(AK37/AF37-1,"n/a")</f>
        <v>0.35395537525355</v>
      </c>
      <c r="AL47" s="134" t="n">
        <f aca="false">IFERROR(AL37/AG37-1,"n/a")</f>
        <v>0.406749555950266</v>
      </c>
      <c r="AM47" s="168" t="n">
        <f aca="false">IFERROR(AM37/AH37-1,"n/a")</f>
        <v>0.317592392478928</v>
      </c>
      <c r="AN47" s="168" t="n">
        <f aca="false">IFERROR(AN37/AI37-1,"n/a")</f>
        <v>0.33109735122119</v>
      </c>
      <c r="AO47" s="168" t="n">
        <f aca="false">IFERROR(AO37/AJ37-1,"n/a")</f>
        <v>-0.489204037306759</v>
      </c>
      <c r="AP47" s="167" t="n">
        <f aca="false">IFERROR(AP37/AK37-1,"n/a")</f>
        <v>0.0966292134831461</v>
      </c>
      <c r="AQ47" s="134" t="n">
        <f aca="false">IFERROR(AQ37/AL37-1,"n/a")</f>
        <v>-0.341582491582491</v>
      </c>
      <c r="AR47" s="168" t="n">
        <f aca="false">IFERROR(AR37/AM37-1,"n/a")</f>
        <v>0.209546461084229</v>
      </c>
      <c r="AS47" s="168" t="n">
        <f aca="false">IFERROR(AS37/AN37-1,"n/a")</f>
        <v>0.328046259206616</v>
      </c>
      <c r="AT47" s="168" t="n">
        <f aca="false">IFERROR(AT37/AO37-1,"n/a")</f>
        <v>0.0828226613306651</v>
      </c>
      <c r="AU47" s="167" t="n">
        <f aca="false">IFERROR(AU37/AP37-1,"n/a")</f>
        <v>-0.0280054644808743</v>
      </c>
      <c r="AV47" s="134" t="n">
        <f aca="false">IFERROR(AV37/AQ37-1,"n/a")</f>
        <v>0.462030171311685</v>
      </c>
      <c r="AW47" s="168" t="n">
        <f aca="false">IFERROR(AW37/AR37-1,"n/a")</f>
        <v>0.403749660970979</v>
      </c>
      <c r="AX47" s="168" t="n">
        <f aca="false">IFERROR(AX37/AS37-1,"n/a")</f>
        <v>0.0349298241346596</v>
      </c>
      <c r="AY47" s="168" t="n">
        <f aca="false">IFERROR(AY37/AT37-1,"n/a")</f>
        <v>0.37091791066324</v>
      </c>
      <c r="AZ47" s="167" t="n">
        <f aca="false">IFERROR(AZ37/AU37-1,"n/a")</f>
        <v>0.486296556570625</v>
      </c>
      <c r="BA47" s="134" t="n">
        <f aca="false">IFERROR(BA37/AV37-1,"n/a")</f>
        <v>0.167759706190976</v>
      </c>
      <c r="BB47" s="168" t="n">
        <f aca="false">IFERROR(BB37/AW37-1,"n/a")</f>
        <v>0.353966912208671</v>
      </c>
      <c r="BC47" s="168" t="n">
        <f aca="false">IFERROR(BC37/AX37-1,"n/a")</f>
        <v>0.247608527040684</v>
      </c>
      <c r="BD47" s="168" t="n">
        <f aca="false">IFERROR(BD37/AY37-1,"n/a")</f>
        <v>1.39368984182481</v>
      </c>
      <c r="BE47" s="167" t="n">
        <f aca="false">IFERROR(BE37/AZ37-1,"n/a")</f>
        <v>0.316312056737589</v>
      </c>
      <c r="BF47" s="134" t="n">
        <f aca="false">IFERROR(BF37/BA37-1,"n/a")</f>
        <v>-0.257572353888203</v>
      </c>
      <c r="BG47" s="168" t="n">
        <f aca="false">IFERROR(BG37/BB37-1,"n/a")</f>
        <v>0.698471308039457</v>
      </c>
      <c r="BH47" s="168" t="n">
        <f aca="false">IFERROR(BH37/BC37-1,"n/a")</f>
        <v>1.23277193775668</v>
      </c>
      <c r="BI47" s="168" t="n">
        <f aca="false">IFERROR(BI37/BD37-1,"n/a")</f>
        <v>0.252248130224374</v>
      </c>
      <c r="BJ47" s="167" t="n">
        <f aca="false">IFERROR(BJ37/BE37-1,"n/a")</f>
        <v>0.326149425287356</v>
      </c>
      <c r="BK47" s="134" t="n">
        <f aca="false">IFERROR(BK37/BF37-1,"n/a")</f>
        <v>0.447439421064575</v>
      </c>
      <c r="BL47" s="168" t="n">
        <f aca="false">IFERROR(BL37/BG37-1,"n/a")</f>
        <v>-0.412285492238862</v>
      </c>
      <c r="BM47" s="168" t="n">
        <f aca="false">IFERROR(BM37/BH37-1,"n/a")</f>
        <v>-0.531403982450219</v>
      </c>
      <c r="BN47" s="168" t="n">
        <f aca="false">IFERROR(BN37/BI37-1,"n/a")</f>
        <v>-0.46710886887112</v>
      </c>
      <c r="BO47" s="169" t="n">
        <f aca="false">IFERROR(BO37/BJ37-1,"n/a")</f>
        <v>-0.337099133261105</v>
      </c>
      <c r="BP47" s="168" t="n">
        <f aca="false">IFERROR(BP37/BK37-1,"n/a")</f>
        <v>-0.292307692307692</v>
      </c>
      <c r="BQ47" s="168" t="n">
        <f aca="false">IFERROR(BQ37/BL37-1,"n/a")</f>
        <v>-0.342857142857143</v>
      </c>
      <c r="BR47" s="168" t="n">
        <f aca="false">IFERROR(BR37/BM37-1,"n/a")</f>
        <v>-0.08</v>
      </c>
      <c r="BS47" s="168" t="n">
        <f aca="false">IFERROR(BS37/BN37-1,"n/a")</f>
        <v>-0.458823529411765</v>
      </c>
      <c r="BT47" s="167" t="n">
        <f aca="false">IFERROR(BT37/BO37-1,"n/a")</f>
        <v>-0.307287545757172</v>
      </c>
      <c r="BU47" s="168" t="n">
        <f aca="false">IFERROR(BU37/BP37-1,"n/a")</f>
        <v>0.15</v>
      </c>
      <c r="BV47" s="168" t="n">
        <f aca="false">IFERROR(BV37/BQ37-1,"n/a")</f>
        <v>0.15</v>
      </c>
      <c r="BW47" s="168" t="n">
        <f aca="false">IFERROR(BW37/BR37-1,"n/a")</f>
        <v>0.15</v>
      </c>
      <c r="BX47" s="168" t="n">
        <f aca="false">IFERROR(BX37/BS37-1,"n/a")</f>
        <v>0.15</v>
      </c>
      <c r="BY47" s="167" t="n">
        <f aca="false">IFERROR(BY37/BT37-1,"n/a")</f>
        <v>0.15</v>
      </c>
      <c r="BZ47" s="167" t="n">
        <f aca="false">IFERROR(BZ37/BY37-1,"n/a")</f>
        <v>0.15</v>
      </c>
      <c r="CA47" s="167" t="n">
        <f aca="false">IFERROR(CA37/BZ37-1,"n/a")</f>
        <v>0.15</v>
      </c>
      <c r="CB47" s="167" t="n">
        <f aca="false">IFERROR(CB37/CA37-1,"n/a")</f>
        <v>0.15</v>
      </c>
      <c r="CC47" s="138"/>
    </row>
    <row r="48" s="139" customFormat="true" ht="15" hidden="false" customHeight="true" outlineLevel="0" collapsed="false">
      <c r="A48" s="170" t="s">
        <v>179</v>
      </c>
      <c r="B48" s="171"/>
      <c r="C48" s="172"/>
      <c r="D48" s="172"/>
      <c r="E48" s="172"/>
      <c r="F48" s="172"/>
      <c r="G48" s="172"/>
      <c r="H48" s="173"/>
      <c r="I48" s="173"/>
      <c r="J48" s="173"/>
      <c r="K48" s="173"/>
      <c r="L48" s="172"/>
      <c r="M48" s="173"/>
      <c r="N48" s="173"/>
      <c r="O48" s="173"/>
      <c r="P48" s="173"/>
      <c r="Q48" s="172"/>
      <c r="R48" s="173"/>
      <c r="S48" s="173"/>
      <c r="T48" s="173"/>
      <c r="U48" s="173"/>
      <c r="V48" s="172"/>
      <c r="W48" s="173"/>
      <c r="X48" s="173"/>
      <c r="Y48" s="173"/>
      <c r="Z48" s="173" t="str">
        <f aca="false">IFERROR(Z38/U38-1,"n/a")</f>
        <v>n/a</v>
      </c>
      <c r="AA48" s="172" t="n">
        <f aca="false">IFERROR(AA38/V38-1,"n/a")</f>
        <v>1.74305555555556</v>
      </c>
      <c r="AB48" s="173" t="n">
        <f aca="false">IFERROR(AB38/W38-1,"n/a")</f>
        <v>-0.451324230959039</v>
      </c>
      <c r="AC48" s="173" t="n">
        <f aca="false">IFERROR(AC38/X38-1,"n/a")</f>
        <v>0.00498518893143585</v>
      </c>
      <c r="AD48" s="173" t="n">
        <f aca="false">IFERROR(AD38/Y38-1,"n/a")</f>
        <v>0.525170890831455</v>
      </c>
      <c r="AE48" s="173" t="n">
        <f aca="false">IFERROR(AE38/Z38-1,"n/a")</f>
        <v>0.550143229832728</v>
      </c>
      <c r="AF48" s="172" t="n">
        <f aca="false">IFERROR(AF38/AA38-1,"n/a")</f>
        <v>0.226401446654611</v>
      </c>
      <c r="AG48" s="173" t="n">
        <f aca="false">IFERROR(AG38/AB38-1,"n/a")</f>
        <v>0.519158121964382</v>
      </c>
      <c r="AH48" s="173" t="n">
        <f aca="false">IFERROR(AH38/AC38-1,"n/a")</f>
        <v>-0.112964294272706</v>
      </c>
      <c r="AI48" s="173" t="n">
        <f aca="false">IFERROR(AI38/AD38-1,"n/a")</f>
        <v>-0.161684129578006</v>
      </c>
      <c r="AJ48" s="173" t="n">
        <f aca="false">IFERROR(AJ38/AE38-1,"n/a")</f>
        <v>-0.225145402796683</v>
      </c>
      <c r="AK48" s="172" t="n">
        <f aca="false">IFERROR(AK38/AF38-1,"n/a")</f>
        <v>-0.190799174284872</v>
      </c>
      <c r="AL48" s="173" t="n">
        <f aca="false">IFERROR(AL38/AG38-1,"n/a")</f>
        <v>-0.0621669626998224</v>
      </c>
      <c r="AM48" s="173" t="n">
        <f aca="false">IFERROR(AM38/AH38-1,"n/a")</f>
        <v>0.317592392478928</v>
      </c>
      <c r="AN48" s="173" t="n">
        <f aca="false">IFERROR(AN38/AI38-1,"n/a")</f>
        <v>0.33109735122119</v>
      </c>
      <c r="AO48" s="173" t="n">
        <f aca="false">IFERROR(AO38/AJ38-1,"n/a")</f>
        <v>0.0215919253864825</v>
      </c>
      <c r="AP48" s="172" t="n">
        <f aca="false">IFERROR(AP38/AK38-1,"n/a")</f>
        <v>0.275874635568513</v>
      </c>
      <c r="AQ48" s="173" t="n">
        <f aca="false">IFERROR(AQ38/AL38-1,"n/a")</f>
        <v>0.975252525252526</v>
      </c>
      <c r="AR48" s="173" t="n">
        <f aca="false">IFERROR(AR38/AM38-1,"n/a")</f>
        <v>0.209546461084229</v>
      </c>
      <c r="AS48" s="173" t="n">
        <f aca="false">IFERROR(AS38/AN38-1,"n/a")</f>
        <v>0.328046259206616</v>
      </c>
      <c r="AT48" s="173" t="n">
        <f aca="false">IFERROR(AT38/AO38-1,"n/a")</f>
        <v>0.804704435551108</v>
      </c>
      <c r="AU48" s="172" t="n">
        <f aca="false">IFERROR(AU38/AP38-1,"n/a")</f>
        <v>0.467295058554699</v>
      </c>
      <c r="AV48" s="173" t="n">
        <f aca="false">IFERROR(AV38/AQ38-1,"n/a")</f>
        <v>0.705701866530299</v>
      </c>
      <c r="AW48" s="173" t="n">
        <f aca="false">IFERROR(AW38/AR38-1,"n/a")</f>
        <v>0.403749660970979</v>
      </c>
      <c r="AX48" s="173" t="n">
        <f aca="false">IFERROR(AX38/AS38-1,"n/a")</f>
        <v>0.379906432179546</v>
      </c>
      <c r="AY48" s="173" t="n">
        <f aca="false">IFERROR(AY38/AT38-1,"n/a")</f>
        <v>-0.177449253602056</v>
      </c>
      <c r="AZ48" s="172" t="n">
        <f aca="false">IFERROR(AZ38/AU38-1,"n/a")</f>
        <v>0.284017909285575</v>
      </c>
      <c r="BA48" s="173" t="n">
        <f aca="false">IFERROR(BA38/AV38-1,"n/a")</f>
        <v>0.000936891020836272</v>
      </c>
      <c r="BB48" s="173" t="n">
        <f aca="false">IFERROR(BB38/AW38-1,"n/a")</f>
        <v>-0.323016543895665</v>
      </c>
      <c r="BC48" s="173" t="n">
        <f aca="false">IFERROR(BC38/AX38-1,"n/a")</f>
        <v>-0.376195736479658</v>
      </c>
      <c r="BD48" s="173" t="n">
        <f aca="false">IFERROR(BD38/AY38-1,"n/a")</f>
        <v>0.196844920912403</v>
      </c>
      <c r="BE48" s="172" t="n">
        <f aca="false">IFERROR(BE38/AZ38-1,"n/a")</f>
        <v>-0.187234687689509</v>
      </c>
      <c r="BF48" s="173" t="n">
        <f aca="false">IFERROR(BF38/BA38-1,"n/a")</f>
        <v>-0.257572353888202</v>
      </c>
      <c r="BG48" s="173" t="n">
        <f aca="false">IFERROR(BG38/BB38-1,"n/a")</f>
        <v>-0.575382172990136</v>
      </c>
      <c r="BH48" s="173" t="n">
        <f aca="false">IFERROR(BH38/BC38-1,"n/a")</f>
        <v>0.116385968878339</v>
      </c>
      <c r="BI48" s="173" t="n">
        <f aca="false">IFERROR(BI38/BD38-1,"n/a")</f>
        <v>0.669664173632498</v>
      </c>
      <c r="BJ48" s="172" t="n">
        <f aca="false">IFERROR(BJ38/BE38-1,"n/a")</f>
        <v>0.204066405521358</v>
      </c>
      <c r="BK48" s="173" t="n">
        <f aca="false">IFERROR(BK38/BF38-1,"n/a")</f>
        <v>0.447439421064575</v>
      </c>
      <c r="BL48" s="173" t="n">
        <f aca="false">IFERROR(BL38/BG38-1,"n/a")</f>
        <v>1.35085803104455</v>
      </c>
      <c r="BM48" s="173" t="n">
        <f aca="false">IFERROR(BM38/BH38-1,"n/a")</f>
        <v>0.874384070199123</v>
      </c>
      <c r="BN48" s="173" t="n">
        <f aca="false">IFERROR(BN38/BI38-1,"n/a")</f>
        <v>0.0657822622577606</v>
      </c>
      <c r="BO48" s="174" t="n">
        <f aca="false">IFERROR(BO38/BJ38-1,"n/a")</f>
        <v>0.254292796281952</v>
      </c>
      <c r="BP48" s="173" t="n">
        <f aca="false">IFERROR(BP38/BK38-1,"n/a")</f>
        <v>0.222222222222222</v>
      </c>
      <c r="BQ48" s="173" t="n">
        <f aca="false">IFERROR(BQ38/BL38-1,"n/a")</f>
        <v>0.166666666666667</v>
      </c>
      <c r="BR48" s="173" t="n">
        <f aca="false">IFERROR(BR38/BM38-1,"n/a")</f>
        <v>0.166666666666667</v>
      </c>
      <c r="BS48" s="173" t="n">
        <f aca="false">IFERROR(BS38/BN38-1,"n/a")</f>
        <v>0.166666666666667</v>
      </c>
      <c r="BT48" s="172" t="n">
        <f aca="false">IFERROR(BT38/BO38-1,"n/a")</f>
        <v>0.17848335363027</v>
      </c>
      <c r="BU48" s="173" t="n">
        <f aca="false">IFERROR(BU38/BP38-1,"n/a")</f>
        <v>0.05</v>
      </c>
      <c r="BV48" s="173" t="n">
        <f aca="false">IFERROR(BV38/BQ38-1,"n/a")</f>
        <v>0.05</v>
      </c>
      <c r="BW48" s="173" t="n">
        <f aca="false">IFERROR(BW38/BR38-1,"n/a")</f>
        <v>0.0500000000000003</v>
      </c>
      <c r="BX48" s="173" t="n">
        <f aca="false">IFERROR(BX38/BS38-1,"n/a")</f>
        <v>0.0499999999999998</v>
      </c>
      <c r="BY48" s="172" t="n">
        <f aca="false">IFERROR(BY38/BT38-1,"n/a")</f>
        <v>0.05</v>
      </c>
      <c r="BZ48" s="172" t="n">
        <f aca="false">IFERROR(BZ38/BY38-1,"n/a")</f>
        <v>0.0500000000000003</v>
      </c>
      <c r="CA48" s="172" t="n">
        <f aca="false">IFERROR(CA38/BZ38-1,"n/a")</f>
        <v>0.05</v>
      </c>
      <c r="CB48" s="172" t="n">
        <f aca="false">IFERROR(CB38/CA38-1,"n/a")</f>
        <v>0.05</v>
      </c>
      <c r="CC48" s="138"/>
    </row>
    <row r="49" s="181" customFormat="true" ht="15" hidden="false" customHeight="true" outlineLevel="0" collapsed="false">
      <c r="A49" s="175" t="s">
        <v>180</v>
      </c>
      <c r="B49" s="176"/>
      <c r="C49" s="177"/>
      <c r="D49" s="177" t="n">
        <f aca="false">IFERROR(D39/C39-1,"n/a")</f>
        <v>2.31507467285408</v>
      </c>
      <c r="E49" s="177" t="n">
        <f aca="false">IFERROR(E39/D39-1,"n/a")</f>
        <v>0.253976001491241</v>
      </c>
      <c r="F49" s="177" t="n">
        <f aca="false">IFERROR(F39/E39-1,"n/a")</f>
        <v>-0.221601203788847</v>
      </c>
      <c r="G49" s="177" t="n">
        <f aca="false">IFERROR(G39/F39-1,"n/a")</f>
        <v>0.0503723137852374</v>
      </c>
      <c r="H49" s="178"/>
      <c r="I49" s="178"/>
      <c r="J49" s="178"/>
      <c r="K49" s="178"/>
      <c r="L49" s="177" t="n">
        <f aca="false">IFERROR(L39/G39-1,"n/a")</f>
        <v>0.0625226482790815</v>
      </c>
      <c r="M49" s="178" t="n">
        <f aca="false">IFERROR(M39/H39-1,"n/a")</f>
        <v>0.210194174757282</v>
      </c>
      <c r="N49" s="178" t="n">
        <f aca="false">IFERROR(N39/I39-1,"n/a")</f>
        <v>-0.087288817377313</v>
      </c>
      <c r="O49" s="178" t="n">
        <f aca="false">IFERROR(O39/J39-1,"n/a")</f>
        <v>0.102656868287168</v>
      </c>
      <c r="P49" s="178" t="n">
        <f aca="false">IFERROR(P39/K39-1,"n/a")</f>
        <v>-0.188335022574403</v>
      </c>
      <c r="Q49" s="177" t="n">
        <f aca="false">IFERROR(Q39/L39-1,"n/a")</f>
        <v>-0.00132153606471208</v>
      </c>
      <c r="R49" s="178" t="n">
        <f aca="false">IFERROR(R39/M39-1,"n/a")</f>
        <v>-0.310228640192539</v>
      </c>
      <c r="S49" s="178" t="n">
        <f aca="false">IFERROR(S39/N39-1,"n/a")</f>
        <v>0.115381225209343</v>
      </c>
      <c r="T49" s="178" t="n">
        <f aca="false">IFERROR(T39/O39-1,"n/a")</f>
        <v>0.289551932738645</v>
      </c>
      <c r="U49" s="178" t="n">
        <f aca="false">IFERROR(U39/P39-1,"n/a")</f>
        <v>0.463389715064139</v>
      </c>
      <c r="V49" s="177" t="n">
        <f aca="false">IFERROR(V39/Q39-1,"n/a")</f>
        <v>0.102619358191515</v>
      </c>
      <c r="W49" s="178" t="n">
        <f aca="false">IFERROR(W39/R39-1,"n/a")</f>
        <v>0.414049779018376</v>
      </c>
      <c r="X49" s="178" t="n">
        <f aca="false">IFERROR(X39/S39-1,"n/a")</f>
        <v>0.0938043306464358</v>
      </c>
      <c r="Y49" s="178" t="n">
        <f aca="false">IFERROR(Y39/T39-1,"n/a")</f>
        <v>0.446211338156953</v>
      </c>
      <c r="Z49" s="178" t="n">
        <f aca="false">IFERROR(Z39/U39-1,"n/a")</f>
        <v>0.51648436893957</v>
      </c>
      <c r="AA49" s="177" t="n">
        <f aca="false">IFERROR(AA39/V39-1,"n/a")</f>
        <v>0.364233732876712</v>
      </c>
      <c r="AB49" s="178" t="n">
        <f aca="false">IFERROR(AB39/W39-1,"n/a")</f>
        <v>0.371689422602402</v>
      </c>
      <c r="AC49" s="178" t="n">
        <f aca="false">IFERROR(AC39/X39-1,"n/a")</f>
        <v>0.507477783397154</v>
      </c>
      <c r="AD49" s="178" t="n">
        <f aca="false">IFERROR(AD39/Y39-1,"n/a")</f>
        <v>0.143878168123591</v>
      </c>
      <c r="AE49" s="178" t="n">
        <f aca="false">IFERROR(AE39/Z39-1,"n/a")</f>
        <v>0.240114583866182</v>
      </c>
      <c r="AF49" s="177" t="n">
        <f aca="false">IFERROR(AF39/AA39-1,"n/a")</f>
        <v>0.295809341512779</v>
      </c>
      <c r="AG49" s="178" t="n">
        <f aca="false">IFERROR(AG39/AB39-1,"n/a")</f>
        <v>0.012772081309588</v>
      </c>
      <c r="AH49" s="178" t="n">
        <f aca="false">IFERROR(AH39/AC39-1,"n/a")</f>
        <v>-0.112964294272705</v>
      </c>
      <c r="AI49" s="178" t="n">
        <f aca="false">IFERROR(AI39/AD39-1,"n/a")</f>
        <v>0.117754493895992</v>
      </c>
      <c r="AJ49" s="178" t="n">
        <f aca="false">IFERROR(AJ39/AE39-1,"n/a")</f>
        <v>0.291424328672195</v>
      </c>
      <c r="AK49" s="177" t="n">
        <f aca="false">IFERROR(AK39/AF39-1,"n/a")</f>
        <v>0.0892470123863374</v>
      </c>
      <c r="AL49" s="178" t="n">
        <f aca="false">IFERROR(AL39/AG39-1,"n/a")</f>
        <v>-0.0621669626998224</v>
      </c>
      <c r="AM49" s="178" t="n">
        <f aca="false">IFERROR(AM39/AH39-1,"n/a")</f>
        <v>0.317592392478928</v>
      </c>
      <c r="AN49" s="178" t="n">
        <f aca="false">IFERROR(AN39/AI39-1,"n/a")</f>
        <v>0.33109735122119</v>
      </c>
      <c r="AO49" s="178" t="n">
        <f aca="false">IFERROR(AO39/AJ39-1,"n/a")</f>
        <v>0.0215919253864825</v>
      </c>
      <c r="AP49" s="177" t="n">
        <f aca="false">IFERROR(AP39/AK39-1,"n/a")</f>
        <v>0.146773081967942</v>
      </c>
      <c r="AQ49" s="178" t="n">
        <f aca="false">IFERROR(AQ39/AL39-1,"n/a")</f>
        <v>0.975252525252525</v>
      </c>
      <c r="AR49" s="178" t="n">
        <f aca="false">IFERROR(AR39/AM39-1,"n/a")</f>
        <v>0.209546461084229</v>
      </c>
      <c r="AS49" s="178" t="n">
        <f aca="false">IFERROR(AS39/AN39-1,"n/a")</f>
        <v>0.328046259206616</v>
      </c>
      <c r="AT49" s="178" t="n">
        <f aca="false">IFERROR(AT39/AO39-1,"n/a")</f>
        <v>0.0828226613306649</v>
      </c>
      <c r="AU49" s="177" t="n">
        <f aca="false">IFERROR(AU39/AP39-1,"n/a")</f>
        <v>0.323381734292306</v>
      </c>
      <c r="AV49" s="178" t="n">
        <f aca="false">IFERROR(AV39/AQ39-1,"n/a")</f>
        <v>-0.268984914344158</v>
      </c>
      <c r="AW49" s="178" t="n">
        <f aca="false">IFERROR(AW39/AR39-1,"n/a")</f>
        <v>0.403749660970979</v>
      </c>
      <c r="AX49" s="178" t="n">
        <f aca="false">IFERROR(AX39/AS39-1,"n/a")</f>
        <v>0.0349298241346596</v>
      </c>
      <c r="AY49" s="178" t="n">
        <f aca="false">IFERROR(AY39/AT39-1,"n/a")</f>
        <v>0.370917910663241</v>
      </c>
      <c r="AZ49" s="177" t="n">
        <f aca="false">IFERROR(AZ39/AU39-1,"n/a")</f>
        <v>0.130193073948201</v>
      </c>
      <c r="BA49" s="178" t="n">
        <f aca="false">IFERROR(BA39/AV39-1,"n/a")</f>
        <v>1.33551941238195</v>
      </c>
      <c r="BB49" s="178" t="n">
        <f aca="false">IFERROR(BB39/AW39-1,"n/a")</f>
        <v>0.353966912208671</v>
      </c>
      <c r="BC49" s="178" t="n">
        <f aca="false">IFERROR(BC39/AX39-1,"n/a")</f>
        <v>0.247608527040684</v>
      </c>
      <c r="BD49" s="178" t="n">
        <f aca="false">IFERROR(BD39/AY39-1,"n/a")</f>
        <v>0.196844920912403</v>
      </c>
      <c r="BE49" s="177" t="n">
        <f aca="false">IFERROR(BE39/AZ39-1,"n/a")</f>
        <v>0.421787003493127</v>
      </c>
      <c r="BF49" s="178" t="n">
        <f aca="false">IFERROR(BF39/BA39-1,"n/a")</f>
        <v>-0.257572353888202</v>
      </c>
      <c r="BG49" s="178" t="n">
        <f aca="false">IFERROR(BG39/BB39-1,"n/a")</f>
        <v>-0.150764345980272</v>
      </c>
      <c r="BH49" s="178" t="n">
        <f aca="false">IFERROR(BH39/BC39-1,"n/a")</f>
        <v>0.116385968878339</v>
      </c>
      <c r="BI49" s="178" t="n">
        <f aca="false">IFERROR(BI39/BD39-1,"n/a")</f>
        <v>0.252248130224374</v>
      </c>
      <c r="BJ49" s="177" t="n">
        <f aca="false">IFERROR(BJ39/BE39-1,"n/a")</f>
        <v>-0.00774434102449551</v>
      </c>
      <c r="BK49" s="178" t="n">
        <f aca="false">IFERROR(BK39/BF39-1,"n/a")</f>
        <v>0.447439421064575</v>
      </c>
      <c r="BL49" s="178" t="n">
        <f aca="false">IFERROR(BL39/BG39-1,"n/a")</f>
        <v>0.175429015522275</v>
      </c>
      <c r="BM49" s="178" t="n">
        <f aca="false">IFERROR(BM39/BH39-1,"n/a")</f>
        <v>-0.0628079649004387</v>
      </c>
      <c r="BN49" s="178" t="n">
        <f aca="false">IFERROR(BN39/BI39-1,"n/a")</f>
        <v>0.0657822622577606</v>
      </c>
      <c r="BO49" s="179" t="n">
        <f aca="false">IFERROR(BO39/BJ39-1,"n/a")</f>
        <v>0.124288542724186</v>
      </c>
      <c r="BP49" s="178" t="n">
        <f aca="false">IFERROR(BP39/BK39-1,"n/a")</f>
        <v>0.0780102564102565</v>
      </c>
      <c r="BQ49" s="178" t="n">
        <f aca="false">IFERROR(BQ39/BL39-1,"n/a")</f>
        <v>0.190664292696551</v>
      </c>
      <c r="BR49" s="178" t="n">
        <f aca="false">IFERROR(BR39/BM39-1,"n/a")</f>
        <v>0.317794896331738</v>
      </c>
      <c r="BS49" s="178" t="n">
        <f aca="false">IFERROR(BS39/BN39-1,"n/a")</f>
        <v>0.0339802819916411</v>
      </c>
      <c r="BT49" s="177" t="n">
        <f aca="false">IFERROR(BT39/BO39-1,"n/a")</f>
        <v>0.144537832670533</v>
      </c>
      <c r="BU49" s="178" t="n">
        <f aca="false">IFERROR(BU39/BP39-1,"n/a")</f>
        <v>0.0451092230700436</v>
      </c>
      <c r="BV49" s="178" t="n">
        <f aca="false">IFERROR(BV39/BQ39-1,"n/a")</f>
        <v>0.0227199913397846</v>
      </c>
      <c r="BW49" s="178" t="n">
        <f aca="false">IFERROR(BW39/BR39-1,"n/a")</f>
        <v>0.0759666781804314</v>
      </c>
      <c r="BX49" s="178" t="n">
        <f aca="false">IFERROR(BX39/BS39-1,"n/a")</f>
        <v>0.0783088031892165</v>
      </c>
      <c r="BY49" s="177" t="n">
        <f aca="false">IFERROR(BY39/BT39-1,"n/a")</f>
        <v>0.0571398404532244</v>
      </c>
      <c r="BZ49" s="177" t="n">
        <f aca="false">IFERROR(BZ39/BY39-1,"n/a")</f>
        <v>0.262050347605214</v>
      </c>
      <c r="CA49" s="177" t="n">
        <f aca="false">IFERROR(CA39/BZ39-1,"n/a")</f>
        <v>0.0583760105496047</v>
      </c>
      <c r="CB49" s="177" t="n">
        <f aca="false">IFERROR(CB39/CA39-1,"n/a")</f>
        <v>0.0587100416950837</v>
      </c>
      <c r="CC49" s="180"/>
    </row>
    <row r="50" s="139" customFormat="true" ht="15" hidden="false" customHeight="true" outlineLevel="0" collapsed="false">
      <c r="A50" s="170" t="s">
        <v>181</v>
      </c>
      <c r="B50" s="171"/>
      <c r="C50" s="172"/>
      <c r="D50" s="172" t="n">
        <f aca="false">IFERROR(D40/C40-1,"n/a")</f>
        <v>0.455813677425482</v>
      </c>
      <c r="E50" s="172" t="n">
        <f aca="false">IFERROR(E40/D40-1,"n/a")</f>
        <v>0.251022511562371</v>
      </c>
      <c r="F50" s="172" t="n">
        <f aca="false">IFERROR(F40/E40-1,"n/a")</f>
        <v>0.21222308837447</v>
      </c>
      <c r="G50" s="172" t="n">
        <f aca="false">IFERROR(G40/F40-1,"n/a")</f>
        <v>0.34655987646289</v>
      </c>
      <c r="H50" s="173"/>
      <c r="I50" s="173"/>
      <c r="J50" s="173"/>
      <c r="K50" s="173"/>
      <c r="L50" s="172" t="n">
        <f aca="false">IFERROR(L40/G40-1,"n/a")</f>
        <v>0.288524888655699</v>
      </c>
      <c r="M50" s="173" t="n">
        <f aca="false">IFERROR(M40/H40-1,"n/a")</f>
        <v>0.100682128240109</v>
      </c>
      <c r="N50" s="173" t="n">
        <f aca="false">IFERROR(N40/I40-1,"n/a")</f>
        <v>0.297054418372441</v>
      </c>
      <c r="O50" s="173" t="n">
        <f aca="false">IFERROR(O40/J40-1,"n/a")</f>
        <v>0.31117203564085</v>
      </c>
      <c r="P50" s="173" t="n">
        <f aca="false">IFERROR(P40/K40-1,"n/a")</f>
        <v>0.353804746758013</v>
      </c>
      <c r="Q50" s="172" t="n">
        <f aca="false">IFERROR(Q40/L40-1,"n/a")</f>
        <v>0.270659137631726</v>
      </c>
      <c r="R50" s="173" t="n">
        <f aca="false">IFERROR(R40/M40-1,"n/a")</f>
        <v>0.173525037183937</v>
      </c>
      <c r="S50" s="173" t="n">
        <f aca="false">IFERROR(S40/N40-1,"n/a")</f>
        <v>-0.0873749037721324</v>
      </c>
      <c r="T50" s="173" t="n">
        <f aca="false">IFERROR(T40/O40-1,"n/a")</f>
        <v>-0.0296218853458791</v>
      </c>
      <c r="U50" s="173" t="n">
        <f aca="false">IFERROR(U40/P40-1,"n/a")</f>
        <v>0.117476956443159</v>
      </c>
      <c r="V50" s="172" t="n">
        <f aca="false">IFERROR(V40/Q40-1,"n/a")</f>
        <v>0.0354152196477209</v>
      </c>
      <c r="W50" s="173" t="n">
        <f aca="false">IFERROR(W40/R40-1,"n/a")</f>
        <v>0.537389100126743</v>
      </c>
      <c r="X50" s="173" t="n">
        <f aca="false">IFERROR(X40/S40-1,"n/a")</f>
        <v>0.512652889076339</v>
      </c>
      <c r="Y50" s="173" t="n">
        <f aca="false">IFERROR(Y40/T40-1,"n/a")</f>
        <v>0.128568863350691</v>
      </c>
      <c r="Z50" s="173" t="n">
        <f aca="false">IFERROR(Z40/U40-1,"n/a")</f>
        <v>-0.0207019246320556</v>
      </c>
      <c r="AA50" s="172" t="n">
        <f aca="false">IFERROR(AA40/V40-1,"n/a")</f>
        <v>0.262059543998493</v>
      </c>
      <c r="AB50" s="173" t="n">
        <f aca="false">IFERROR(AB40/W40-1,"n/a")</f>
        <v>-0.15182742511679</v>
      </c>
      <c r="AC50" s="173" t="n">
        <f aca="false">IFERROR(AC40/X40-1,"n/a")</f>
        <v>-0.0883870068311724</v>
      </c>
      <c r="AD50" s="173" t="n">
        <f aca="false">IFERROR(AD40/Y40-1,"n/a")</f>
        <v>0.106603023070804</v>
      </c>
      <c r="AE50" s="173" t="n">
        <f aca="false">IFERROR(AE40/Z40-1,"n/a")</f>
        <v>0.186127167630058</v>
      </c>
      <c r="AF50" s="172" t="n">
        <f aca="false">IFERROR(AF40/AA40-1,"n/a")</f>
        <v>0.00216490612519138</v>
      </c>
      <c r="AG50" s="173" t="n">
        <f aca="false">IFERROR(AG40/AB40-1,"n/a")</f>
        <v>-0.125060748420541</v>
      </c>
      <c r="AH50" s="173" t="n">
        <f aca="false">IFERROR(AH40/AC40-1,"n/a")</f>
        <v>0.0966508640464903</v>
      </c>
      <c r="AI50" s="173" t="n">
        <f aca="false">IFERROR(AI40/AD40-1,"n/a")</f>
        <v>-0.0497483824586629</v>
      </c>
      <c r="AJ50" s="173" t="n">
        <f aca="false">IFERROR(AJ40/AE40-1,"n/a")</f>
        <v>0.261069340016708</v>
      </c>
      <c r="AK50" s="172" t="n">
        <f aca="false">IFERROR(AK40/AF40-1,"n/a")</f>
        <v>0.0517337703452643</v>
      </c>
      <c r="AL50" s="173" t="n">
        <f aca="false">IFERROR(AL40/AG40-1,"n/a")</f>
        <v>0.586002592112572</v>
      </c>
      <c r="AM50" s="173" t="n">
        <f aca="false">IFERROR(AM40/AH40-1,"n/a")</f>
        <v>0.237065960117139</v>
      </c>
      <c r="AN50" s="173" t="n">
        <f aca="false">IFERROR(AN40/AI40-1,"n/a")</f>
        <v>0.304887274928128</v>
      </c>
      <c r="AO50" s="173" t="n">
        <f aca="false">IFERROR(AO40/AJ40-1,"n/a")</f>
        <v>0.165728166059401</v>
      </c>
      <c r="AP50" s="172" t="n">
        <f aca="false">IFERROR(AP40/AK40-1,"n/a")</f>
        <v>0.296798640130321</v>
      </c>
      <c r="AQ50" s="173" t="n">
        <f aca="false">IFERROR(AQ40/AL40-1,"n/a")</f>
        <v>0.441863180014009</v>
      </c>
      <c r="AR50" s="173" t="n">
        <f aca="false">IFERROR(AR40/AM40-1,"n/a")</f>
        <v>0.206853793258933</v>
      </c>
      <c r="AS50" s="173" t="n">
        <f aca="false">IFERROR(AS40/AN40-1,"n/a")</f>
        <v>0.310528756957329</v>
      </c>
      <c r="AT50" s="173" t="n">
        <f aca="false">IFERROR(AT40/AO40-1,"n/a")</f>
        <v>0.441845046410305</v>
      </c>
      <c r="AU50" s="172" t="n">
        <f aca="false">IFERROR(AU40/AP40-1,"n/a")</f>
        <v>0.353996559163276</v>
      </c>
      <c r="AV50" s="173" t="n">
        <f aca="false">IFERROR(AV40/AQ40-1,"n/a")</f>
        <v>0.00979677758885922</v>
      </c>
      <c r="AW50" s="173" t="n">
        <f aca="false">IFERROR(AW40/AR40-1,"n/a")</f>
        <v>0.204931813936111</v>
      </c>
      <c r="AX50" s="173" t="n">
        <f aca="false">IFERROR(AX40/AS40-1,"n/a")</f>
        <v>0.348079985843214</v>
      </c>
      <c r="AY50" s="173" t="n">
        <f aca="false">IFERROR(AY40/AT40-1,"n/a")</f>
        <v>0.105104118767654</v>
      </c>
      <c r="AZ50" s="172" t="n">
        <f aca="false">IFERROR(AZ40/AU40-1,"n/a")</f>
        <v>0.158303416562462</v>
      </c>
      <c r="BA50" s="173" t="n">
        <f aca="false">IFERROR(BA40/AV40-1,"n/a")</f>
        <v>0.126042334830019</v>
      </c>
      <c r="BB50" s="173" t="n">
        <f aca="false">IFERROR(BB40/AW40-1,"n/a")</f>
        <v>0.00480620155038758</v>
      </c>
      <c r="BC50" s="173" t="n">
        <f aca="false">IFERROR(BC40/AX40-1,"n/a")</f>
        <v>-0.104226831189289</v>
      </c>
      <c r="BD50" s="173" t="n">
        <f aca="false">IFERROR(BD40/AY40-1,"n/a")</f>
        <v>-0.0759674255483568</v>
      </c>
      <c r="BE50" s="172" t="n">
        <f aca="false">IFERROR(BE40/AZ40-1,"n/a")</f>
        <v>-0.0214518291515037</v>
      </c>
      <c r="BF50" s="173" t="n">
        <f aca="false">IFERROR(BF40/BA40-1,"n/a")</f>
        <v>-0.0571774423241244</v>
      </c>
      <c r="BG50" s="173" t="n">
        <f aca="false">IFERROR(BG40/BB40-1,"n/a")</f>
        <v>0.143264928251813</v>
      </c>
      <c r="BH50" s="173" t="n">
        <f aca="false">IFERROR(BH40/BC40-1,"n/a")</f>
        <v>0.129322977725674</v>
      </c>
      <c r="BI50" s="173" t="n">
        <f aca="false">IFERROR(BI40/BD40-1,"n/a")</f>
        <v>0.381087166291412</v>
      </c>
      <c r="BJ50" s="172" t="n">
        <f aca="false">IFERROR(BJ40/BE40-1,"n/a")</f>
        <v>0.155572163205751</v>
      </c>
      <c r="BK50" s="173" t="n">
        <f aca="false">IFERROR(BK40/BF40-1,"n/a")</f>
        <v>0.511290688014501</v>
      </c>
      <c r="BL50" s="173" t="n">
        <f aca="false">IFERROR(BL40/BG40-1,"n/a")</f>
        <v>0.414130508131453</v>
      </c>
      <c r="BM50" s="173" t="n">
        <f aca="false">IFERROR(BM40/BH40-1,"n/a")</f>
        <v>0.273081165250114</v>
      </c>
      <c r="BN50" s="173" t="n">
        <f aca="false">IFERROR(BN40/BI40-1,"n/a")</f>
        <v>-0.00596208486655148</v>
      </c>
      <c r="BO50" s="174" t="n">
        <f aca="false">IFERROR(BO40/BJ40-1,"n/a")</f>
        <v>0.261587262480367</v>
      </c>
      <c r="BP50" s="182" t="n">
        <v>0.2</v>
      </c>
      <c r="BQ50" s="182" t="n">
        <v>0.05</v>
      </c>
      <c r="BR50" s="182" t="n">
        <v>0.05</v>
      </c>
      <c r="BS50" s="182" t="n">
        <v>0.05</v>
      </c>
      <c r="BT50" s="172" t="n">
        <f aca="false">IFERROR(BT40/BO40-1,"n/a")</f>
        <v>0.0866367630904432</v>
      </c>
      <c r="BU50" s="182" t="n">
        <v>0.01</v>
      </c>
      <c r="BV50" s="182" t="n">
        <v>0.01</v>
      </c>
      <c r="BW50" s="182" t="n">
        <v>0.01</v>
      </c>
      <c r="BX50" s="182" t="n">
        <v>0.01</v>
      </c>
      <c r="BY50" s="172" t="n">
        <f aca="false">IFERROR(BY40/BT40-1,"n/a")</f>
        <v>0.01</v>
      </c>
      <c r="BZ50" s="183" t="n">
        <v>0.02</v>
      </c>
      <c r="CA50" s="183" t="n">
        <v>0.02</v>
      </c>
      <c r="CB50" s="183" t="n">
        <v>0.02</v>
      </c>
      <c r="CC50" s="138"/>
    </row>
    <row r="51" s="181" customFormat="true" ht="15" hidden="false" customHeight="true" outlineLevel="0" collapsed="false">
      <c r="A51" s="175" t="s">
        <v>182</v>
      </c>
      <c r="B51" s="176"/>
      <c r="C51" s="177"/>
      <c r="D51" s="177" t="n">
        <f aca="false">D41/C41-1</f>
        <v>1.82441106648046</v>
      </c>
      <c r="E51" s="177" t="n">
        <f aca="false">E41/D41-1</f>
        <v>0.253574250577537</v>
      </c>
      <c r="F51" s="177" t="n">
        <f aca="false">F41/E41-1</f>
        <v>-0.162710016837624</v>
      </c>
      <c r="G51" s="177" t="n">
        <f aca="false">G41/F41-1</f>
        <v>0.10858396446834</v>
      </c>
      <c r="H51" s="178"/>
      <c r="I51" s="178"/>
      <c r="J51" s="178"/>
      <c r="K51" s="178"/>
      <c r="L51" s="177" t="n">
        <f aca="false">L41/G41-1</f>
        <v>0.116475315356948</v>
      </c>
      <c r="M51" s="178" t="n">
        <f aca="false">M41/H41-1</f>
        <v>0.181453634085213</v>
      </c>
      <c r="N51" s="178" t="n">
        <f aca="false">N41/I41-1</f>
        <v>0.00638841567291304</v>
      </c>
      <c r="O51" s="178" t="n">
        <f aca="false">O41/J41-1</f>
        <v>0.171683557706852</v>
      </c>
      <c r="P51" s="178" t="n">
        <f aca="false">P41/K41-1</f>
        <v>-0.0400267737617136</v>
      </c>
      <c r="Q51" s="177" t="n">
        <f aca="false">Q41/L41-1</f>
        <v>0.0736129797139036</v>
      </c>
      <c r="R51" s="178" t="n">
        <f aca="false">R41/M41-1</f>
        <v>-0.19195102733499</v>
      </c>
      <c r="S51" s="178" t="n">
        <f aca="false">S41/N41-1</f>
        <v>0.0516897406444594</v>
      </c>
      <c r="T51" s="178" t="n">
        <f aca="false">T41/O41-1</f>
        <v>0.17131422669765</v>
      </c>
      <c r="U51" s="178" t="n">
        <f aca="false">U41/P41-1</f>
        <v>0.329940036257147</v>
      </c>
      <c r="V51" s="177" t="n">
        <f aca="false">V41/Q41-1</f>
        <v>0.080705381816736</v>
      </c>
      <c r="W51" s="178" t="n">
        <f aca="false">W41/R41-1</f>
        <v>0.457845784578458</v>
      </c>
      <c r="X51" s="178" t="n">
        <f aca="false">X41/S41-1</f>
        <v>0.207978845711658</v>
      </c>
      <c r="Y51" s="178" t="n">
        <f aca="false">Y41/T41-1</f>
        <v>0.348726992174584</v>
      </c>
      <c r="Z51" s="178" t="n">
        <f aca="false">Z41/U41-1</f>
        <v>0.342350844080948</v>
      </c>
      <c r="AA51" s="177" t="n">
        <f aca="false">AA41/V41-1</f>
        <v>0.332312945193383</v>
      </c>
      <c r="AB51" s="178" t="n">
        <f aca="false">AB41/W41-1</f>
        <v>0.175653426630994</v>
      </c>
      <c r="AC51" s="178" t="n">
        <f aca="false">AC41/X41-1</f>
        <v>0.304082992290854</v>
      </c>
      <c r="AD51" s="178" t="n">
        <f aca="false">AD41/Y41-1</f>
        <v>0.134305793903734</v>
      </c>
      <c r="AE51" s="178" t="n">
        <f aca="false">AE41/Z41-1</f>
        <v>0.227347289486018</v>
      </c>
      <c r="AF51" s="177" t="n">
        <f aca="false">AF41/AA41-1</f>
        <v>0.208907741251326</v>
      </c>
      <c r="AG51" s="178" t="n">
        <f aca="false">AG41/AB41-1</f>
        <v>-0.0244638949671773</v>
      </c>
      <c r="AH51" s="178" t="n">
        <f aca="false">AH41/AC41-1</f>
        <v>-0.0629470150343016</v>
      </c>
      <c r="AI51" s="178" t="n">
        <f aca="false">AI41/AD41-1</f>
        <v>0.0757897770253233</v>
      </c>
      <c r="AJ51" s="178" t="n">
        <f aca="false">AJ41/AE41-1</f>
        <v>0.284486873508353</v>
      </c>
      <c r="AK51" s="177" t="n">
        <f aca="false">AK41/AF41-1</f>
        <v>0.0800438596491229</v>
      </c>
      <c r="AL51" s="178" t="n">
        <f aca="false">AL41/AG41-1</f>
        <v>0.0948813422457495</v>
      </c>
      <c r="AM51" s="178" t="n">
        <f aca="false">AM41/AH41-1</f>
        <v>0.295104949569687</v>
      </c>
      <c r="AN51" s="178" t="n">
        <f aca="false">AN41/AI41-1</f>
        <v>0.325297170601038</v>
      </c>
      <c r="AO51" s="178" t="n">
        <f aca="false">AO41/AJ41-1</f>
        <v>0.0539328626285147</v>
      </c>
      <c r="AP51" s="177" t="n">
        <f aca="false">AP41/AK41-1</f>
        <v>0.182614213197969</v>
      </c>
      <c r="AQ51" s="178" t="n">
        <f aca="false">AQ41/AL41-1</f>
        <v>0.788043923625338</v>
      </c>
      <c r="AR51" s="178" t="n">
        <f aca="false">AR41/AM41-1</f>
        <v>0.208828216616051</v>
      </c>
      <c r="AS51" s="178" t="n">
        <f aca="false">AS41/AN41-1</f>
        <v>0.324229408792319</v>
      </c>
      <c r="AT51" s="178" t="n">
        <f aca="false">AT41/AO41-1</f>
        <v>0.171924216068826</v>
      </c>
      <c r="AU51" s="177" t="n">
        <f aca="false">AU41/AP41-1</f>
        <v>0.331401795614694</v>
      </c>
      <c r="AV51" s="178" t="n">
        <f aca="false">AV41/AQ41-1</f>
        <v>-0.190082265863104</v>
      </c>
      <c r="AW51" s="178" t="n">
        <f aca="false">AW41/AR41-1</f>
        <v>0.350803442614795</v>
      </c>
      <c r="AX51" s="178" t="n">
        <f aca="false">AX41/AS41-1</f>
        <v>0.102455497681873</v>
      </c>
      <c r="AY51" s="178" t="n">
        <f aca="false">AY41/AT41-1</f>
        <v>0.289754492939666</v>
      </c>
      <c r="AZ51" s="177" t="n">
        <f aca="false">AZ41/AU41-1</f>
        <v>0.137682016012036</v>
      </c>
      <c r="BA51" s="178" t="n">
        <f aca="false">BA41/AV41-1</f>
        <v>0.908725667722952</v>
      </c>
      <c r="BB51" s="178" t="n">
        <f aca="false">BB41/AW41-1</f>
        <v>0.271024767516803</v>
      </c>
      <c r="BC51" s="178" t="n">
        <f aca="false">BC41/AX41-1</f>
        <v>0.154837928110344</v>
      </c>
      <c r="BD51" s="178" t="n">
        <f aca="false">BD41/AY41-1</f>
        <v>0.125470436378339</v>
      </c>
      <c r="BE51" s="177" t="n">
        <f aca="false">BE41/AZ41-1</f>
        <v>0.30156233765007</v>
      </c>
      <c r="BF51" s="178" t="n">
        <f aca="false">BF41/BA41-1</f>
        <v>-0.215854851620171</v>
      </c>
      <c r="BG51" s="178" t="n">
        <f aca="false">BG41/BB41-1</f>
        <v>-0.095547860857975</v>
      </c>
      <c r="BH51" s="178" t="n">
        <f aca="false">BH41/BC41-1</f>
        <v>0.119031919676307</v>
      </c>
      <c r="BI51" s="178" t="n">
        <f aca="false">BI41/BD41-1</f>
        <v>0.279922619870112</v>
      </c>
      <c r="BJ51" s="177" t="n">
        <f aca="false">BJ41/BE41-1</f>
        <v>0.0255601719977505</v>
      </c>
      <c r="BK51" s="178" t="n">
        <f aca="false">BK41/BF41-1</f>
        <v>0.463421550094518</v>
      </c>
      <c r="BL51" s="178" t="n">
        <f aca="false">BL41/BG41-1</f>
        <v>0.232091369257385</v>
      </c>
      <c r="BM51" s="178" t="n">
        <f aca="false">BM41/BH41-1</f>
        <v>0.00652176824287221</v>
      </c>
      <c r="BN51" s="178" t="n">
        <f aca="false">BN41/BI41-1</f>
        <v>0.0491536036619595</v>
      </c>
      <c r="BO51" s="179" t="n">
        <f aca="false">BO41/BJ41-1</f>
        <v>0.155836803725024</v>
      </c>
      <c r="BP51" s="178" t="n">
        <f aca="false">BP41/BK41-1</f>
        <v>0.109543379951874</v>
      </c>
      <c r="BQ51" s="178" t="n">
        <f aca="false">BQ41/BL41-1</f>
        <v>0.152340373176173</v>
      </c>
      <c r="BR51" s="178" t="n">
        <f aca="false">BR41/BM41-1</f>
        <v>0.24788175828196</v>
      </c>
      <c r="BS51" s="178" t="n">
        <f aca="false">BS41/BN41-1</f>
        <v>0.0374982207041092</v>
      </c>
      <c r="BT51" s="177" t="n">
        <f aca="false">BT41/BO41-1</f>
        <v>0.130016171465913</v>
      </c>
      <c r="BU51" s="178" t="n">
        <f aca="false">BU41/BP41-1</f>
        <v>0.0352939620723403</v>
      </c>
      <c r="BV51" s="178" t="n">
        <f aca="false">BV41/BQ41-1</f>
        <v>0.0195622148326957</v>
      </c>
      <c r="BW51" s="178" t="n">
        <f aca="false">BW41/BR41-1</f>
        <v>0.061475724170607</v>
      </c>
      <c r="BX51" s="178" t="n">
        <f aca="false">BX41/BS41-1</f>
        <v>0.0631273964178434</v>
      </c>
      <c r="BY51" s="177" t="n">
        <f aca="false">BY41/BT41-1</f>
        <v>0.0457709637213424</v>
      </c>
      <c r="BZ51" s="177" t="n">
        <f aca="false">BZ41/BY41-1</f>
        <v>0.205671011895769</v>
      </c>
      <c r="CA51" s="177" t="n">
        <f aca="false">CA41/BZ41-1</f>
        <v>0.0508138582237441</v>
      </c>
      <c r="CB51" s="177" t="n">
        <f aca="false">CB41/CA41-1</f>
        <v>0.0513057483646726</v>
      </c>
      <c r="CC51" s="180"/>
    </row>
    <row r="52" s="139" customFormat="true" ht="15" hidden="true" customHeight="true" outlineLevel="1" collapsed="false">
      <c r="A52" s="131"/>
      <c r="B52" s="166"/>
      <c r="C52" s="167"/>
      <c r="D52" s="167"/>
      <c r="E52" s="167"/>
      <c r="F52" s="167"/>
      <c r="G52" s="167"/>
      <c r="H52" s="168"/>
      <c r="I52" s="168"/>
      <c r="J52" s="168"/>
      <c r="K52" s="168"/>
      <c r="L52" s="167"/>
      <c r="M52" s="168"/>
      <c r="N52" s="168"/>
      <c r="O52" s="168"/>
      <c r="P52" s="168"/>
      <c r="Q52" s="167"/>
      <c r="R52" s="168"/>
      <c r="S52" s="168"/>
      <c r="T52" s="168"/>
      <c r="U52" s="168"/>
      <c r="V52" s="167"/>
      <c r="W52" s="168"/>
      <c r="X52" s="168"/>
      <c r="Y52" s="168"/>
      <c r="Z52" s="168"/>
      <c r="AA52" s="167"/>
      <c r="AB52" s="168"/>
      <c r="AC52" s="168"/>
      <c r="AD52" s="168"/>
      <c r="AE52" s="168"/>
      <c r="AF52" s="167"/>
      <c r="AG52" s="168"/>
      <c r="AH52" s="168"/>
      <c r="AI52" s="168"/>
      <c r="AJ52" s="168"/>
      <c r="AK52" s="167"/>
      <c r="AL52" s="168"/>
      <c r="AM52" s="168"/>
      <c r="AN52" s="168"/>
      <c r="AO52" s="168"/>
      <c r="AP52" s="167"/>
      <c r="AQ52" s="168"/>
      <c r="AR52" s="168"/>
      <c r="AS52" s="168"/>
      <c r="AT52" s="168"/>
      <c r="AU52" s="167"/>
      <c r="AV52" s="168"/>
      <c r="AW52" s="168"/>
      <c r="AX52" s="168"/>
      <c r="AY52" s="168"/>
      <c r="AZ52" s="167"/>
      <c r="BA52" s="168"/>
      <c r="BB52" s="168"/>
      <c r="BC52" s="168"/>
      <c r="BD52" s="168"/>
      <c r="BE52" s="167"/>
      <c r="BF52" s="168"/>
      <c r="BG52" s="168"/>
      <c r="BH52" s="168"/>
      <c r="BI52" s="168"/>
      <c r="BJ52" s="167"/>
      <c r="BK52" s="168"/>
      <c r="BL52" s="168"/>
      <c r="BM52" s="168"/>
      <c r="BN52" s="168"/>
      <c r="BO52" s="169"/>
      <c r="BP52" s="168"/>
      <c r="BQ52" s="168"/>
      <c r="BR52" s="168"/>
      <c r="BS52" s="168"/>
      <c r="BT52" s="167"/>
      <c r="BU52" s="168"/>
      <c r="BV52" s="168"/>
      <c r="BW52" s="168"/>
      <c r="BX52" s="168"/>
      <c r="BY52" s="167"/>
      <c r="BZ52" s="167"/>
      <c r="CA52" s="167"/>
      <c r="CB52" s="167"/>
      <c r="CC52" s="138"/>
    </row>
    <row r="53" s="192" customFormat="true" ht="15" hidden="true" customHeight="true" outlineLevel="1" collapsed="false">
      <c r="A53" s="184" t="s">
        <v>183</v>
      </c>
      <c r="B53" s="185"/>
      <c r="C53" s="186"/>
      <c r="D53" s="186"/>
      <c r="E53" s="187" t="n">
        <f aca="false">E33/E$39</f>
        <v>0.0244271345537891</v>
      </c>
      <c r="F53" s="187" t="n">
        <f aca="false">F33/F$39</f>
        <v>0.0114950631728689</v>
      </c>
      <c r="G53" s="187" t="n">
        <f aca="false">G33/G$39</f>
        <v>0.0150508536037779</v>
      </c>
      <c r="H53" s="188" t="n">
        <v>0.06</v>
      </c>
      <c r="I53" s="188" t="n">
        <v>0.05</v>
      </c>
      <c r="J53" s="188" t="n">
        <v>0.14</v>
      </c>
      <c r="K53" s="188" t="n">
        <v>0.06</v>
      </c>
      <c r="L53" s="187" t="n">
        <f aca="false">L33/L$39</f>
        <v>0.0706716570935634</v>
      </c>
      <c r="M53" s="188" t="n">
        <v>0</v>
      </c>
      <c r="N53" s="188" t="n">
        <v>0.06</v>
      </c>
      <c r="O53" s="188" t="n">
        <v>0</v>
      </c>
      <c r="P53" s="188" t="n">
        <v>0</v>
      </c>
      <c r="Q53" s="187" t="n">
        <f aca="false">Q33/Q$39</f>
        <v>0.0166320406741932</v>
      </c>
      <c r="R53" s="188" t="n">
        <v>0</v>
      </c>
      <c r="S53" s="188" t="n">
        <v>0.08</v>
      </c>
      <c r="T53" s="188" t="n">
        <v>0.07</v>
      </c>
      <c r="U53" s="188" t="n">
        <v>0.11</v>
      </c>
      <c r="V53" s="187" t="n">
        <f aca="false">V33/V$39</f>
        <v>0.0695419520547945</v>
      </c>
      <c r="W53" s="188" t="n">
        <v>0</v>
      </c>
      <c r="X53" s="188" t="n">
        <v>0.16</v>
      </c>
      <c r="Y53" s="188" t="n">
        <v>0.21</v>
      </c>
      <c r="Z53" s="188" t="n">
        <v>0.25</v>
      </c>
      <c r="AA53" s="187" t="n">
        <f aca="false">AA33/AA$39</f>
        <v>0.172819555360309</v>
      </c>
      <c r="AB53" s="188" t="n">
        <v>0.07</v>
      </c>
      <c r="AC53" s="188" t="n">
        <v>0.32</v>
      </c>
      <c r="AD53" s="188" t="n">
        <v>0.25</v>
      </c>
      <c r="AE53" s="188" t="n">
        <v>0.24</v>
      </c>
      <c r="AF53" s="187" t="n">
        <f aca="false">AF33/AF$39</f>
        <v>0.227639815476263</v>
      </c>
      <c r="AG53" s="188" t="n">
        <v>0.22</v>
      </c>
      <c r="AH53" s="188" t="n">
        <v>0.41</v>
      </c>
      <c r="AI53" s="188" t="n">
        <v>0.32</v>
      </c>
      <c r="AJ53" s="188" t="n">
        <v>0.29</v>
      </c>
      <c r="AK53" s="187" t="n">
        <f aca="false">AK33/AK39</f>
        <v>0.311209177208155</v>
      </c>
      <c r="AL53" s="188" t="n">
        <v>0.22</v>
      </c>
      <c r="AM53" s="188" t="n">
        <v>0.39</v>
      </c>
      <c r="AN53" s="188" t="n">
        <v>0.66</v>
      </c>
      <c r="AO53" s="188" t="n">
        <v>0.36</v>
      </c>
      <c r="AP53" s="187" t="n">
        <f aca="false">AP33/AP39</f>
        <v>0.432681309733827</v>
      </c>
      <c r="AQ53" s="188" t="n">
        <v>0.36</v>
      </c>
      <c r="AR53" s="188" t="n">
        <v>0.45</v>
      </c>
      <c r="AS53" s="188" t="n">
        <v>0.54</v>
      </c>
      <c r="AT53" s="188" t="n">
        <v>0.46</v>
      </c>
      <c r="AU53" s="187" t="n">
        <f aca="false">AU33/AU39</f>
        <v>0.460271885620532</v>
      </c>
      <c r="AV53" s="188" t="n">
        <v>0.26</v>
      </c>
      <c r="AW53" s="188" t="n">
        <v>0.48</v>
      </c>
      <c r="AX53" s="188" t="n">
        <v>0.51</v>
      </c>
      <c r="AY53" s="188" t="n">
        <v>0.49</v>
      </c>
      <c r="AZ53" s="187" t="n">
        <f aca="false">AZ33/AZ39</f>
        <v>0.456588659974207</v>
      </c>
      <c r="BA53" s="188" t="n">
        <v>0.54</v>
      </c>
      <c r="BB53" s="188" t="n">
        <v>0.37</v>
      </c>
      <c r="BC53" s="188" t="n">
        <v>0.35</v>
      </c>
      <c r="BD53" s="188" t="n">
        <v>0.4</v>
      </c>
      <c r="BE53" s="187" t="n">
        <f aca="false">BE33/BE39</f>
        <v>0.415887978266617</v>
      </c>
      <c r="BF53" s="188" t="n">
        <v>0.46</v>
      </c>
      <c r="BG53" s="188" t="n">
        <v>0.31</v>
      </c>
      <c r="BH53" s="188" t="n">
        <v>0.35</v>
      </c>
      <c r="BI53" s="188" t="n">
        <v>0.42</v>
      </c>
      <c r="BJ53" s="187" t="n">
        <f aca="false">BJ33/BJ39</f>
        <v>0.382264443903403</v>
      </c>
      <c r="BK53" s="188" t="n">
        <v>0.56</v>
      </c>
      <c r="BL53" s="188" t="n">
        <v>0.48</v>
      </c>
      <c r="BM53" s="188" t="n">
        <v>0.38</v>
      </c>
      <c r="BN53" s="188" t="n">
        <v>0.48</v>
      </c>
      <c r="BO53" s="189" t="n">
        <f aca="false">BO33/BO39</f>
        <v>0.476071470889872</v>
      </c>
      <c r="BP53" s="190" t="n">
        <f aca="false">+BP33/BP$39</f>
        <v>0.530607196544441</v>
      </c>
      <c r="BQ53" s="190" t="n">
        <f aca="false">+BQ33/BQ$39</f>
        <v>0.571720573887035</v>
      </c>
      <c r="BR53" s="190" t="n">
        <f aca="false">+BR33/BR$39</f>
        <v>0.57672100727933</v>
      </c>
      <c r="BS53" s="190" t="n">
        <f aca="false">+BS33/BS$39</f>
        <v>0.596861340483325</v>
      </c>
      <c r="BT53" s="186" t="n">
        <f aca="false">+BT33/BT$39</f>
        <v>0.570982502302928</v>
      </c>
      <c r="BU53" s="190" t="n">
        <f aca="false">+BU33/BU$39</f>
        <v>0.583860770296935</v>
      </c>
      <c r="BV53" s="190" t="n">
        <f aca="false">+BV33/BV$39</f>
        <v>0.61492161745257</v>
      </c>
      <c r="BW53" s="190" t="n">
        <f aca="false">+BW33/BW$39</f>
        <v>0.589602931830645</v>
      </c>
      <c r="BX53" s="190" t="n">
        <f aca="false">+BX33/BX$39</f>
        <v>0.608867768295915</v>
      </c>
      <c r="BY53" s="186" t="n">
        <f aca="false">+BY33/BY$39</f>
        <v>0.599676291415217</v>
      </c>
      <c r="BZ53" s="186" t="n">
        <f aca="false">+BZ33/BZ39</f>
        <v>0.66183049470626</v>
      </c>
      <c r="CA53" s="186" t="n">
        <f aca="false">+CA33/CA39</f>
        <v>0.65659275391239</v>
      </c>
      <c r="CB53" s="186" t="n">
        <f aca="false">+CB33/CB39</f>
        <v>0.65119094412686</v>
      </c>
      <c r="CC53" s="191"/>
    </row>
    <row r="54" s="192" customFormat="true" ht="15" hidden="true" customHeight="true" outlineLevel="1" collapsed="false">
      <c r="A54" s="184" t="s">
        <v>184</v>
      </c>
      <c r="B54" s="185"/>
      <c r="C54" s="186"/>
      <c r="D54" s="186"/>
      <c r="E54" s="187" t="n">
        <f aca="false">E34/E$39</f>
        <v>0.726696401021066</v>
      </c>
      <c r="F54" s="187" t="n">
        <f aca="false">F34/F$39</f>
        <v>0.714225101219687</v>
      </c>
      <c r="G54" s="187" t="n">
        <f aca="false">G34/G$39</f>
        <v>0.781522209775843</v>
      </c>
      <c r="H54" s="188" t="n">
        <v>0.76</v>
      </c>
      <c r="I54" s="188" t="n">
        <v>0.91</v>
      </c>
      <c r="J54" s="188" t="n">
        <v>0.72</v>
      </c>
      <c r="K54" s="188" t="n">
        <v>0.83</v>
      </c>
      <c r="L54" s="187" t="n">
        <f aca="false">L34/L$39</f>
        <v>0.819677146406021</v>
      </c>
      <c r="M54" s="188" t="n">
        <v>0.83</v>
      </c>
      <c r="N54" s="188" t="n">
        <v>0.79</v>
      </c>
      <c r="O54" s="188" t="n">
        <v>0.68</v>
      </c>
      <c r="P54" s="188" t="n">
        <v>0.72</v>
      </c>
      <c r="Q54" s="187" t="n">
        <f aca="false">Q34/Q$39</f>
        <v>0.764293635653688</v>
      </c>
      <c r="R54" s="188" t="n">
        <v>0.79</v>
      </c>
      <c r="S54" s="188" t="n">
        <v>0.76</v>
      </c>
      <c r="T54" s="188" t="n">
        <v>0.77</v>
      </c>
      <c r="U54" s="188" t="n">
        <v>0.71</v>
      </c>
      <c r="V54" s="187" t="n">
        <f aca="false">V34/V$39</f>
        <v>0.753146404109589</v>
      </c>
      <c r="W54" s="188" t="n">
        <v>0.74</v>
      </c>
      <c r="X54" s="188" t="n">
        <v>0.64</v>
      </c>
      <c r="Y54" s="188" t="n">
        <v>0.63</v>
      </c>
      <c r="Z54" s="188" t="n">
        <v>0.56</v>
      </c>
      <c r="AA54" s="187" t="n">
        <f aca="false">AA34/AA$39</f>
        <v>0.63030892574172</v>
      </c>
      <c r="AB54" s="188" t="n">
        <v>0.72</v>
      </c>
      <c r="AC54" s="188" t="n">
        <v>0.49</v>
      </c>
      <c r="AD54" s="188" t="n">
        <v>0.58</v>
      </c>
      <c r="AE54" s="188" t="n">
        <v>0.57</v>
      </c>
      <c r="AF54" s="187" t="n">
        <f aca="false">AF34/AF$39</f>
        <v>0.582012567955346</v>
      </c>
      <c r="AG54" s="188" t="n">
        <v>0.6</v>
      </c>
      <c r="AH54" s="188" t="n">
        <v>0.41</v>
      </c>
      <c r="AI54" s="188" t="n">
        <v>0.51</v>
      </c>
      <c r="AJ54" s="188" t="n">
        <v>0.56</v>
      </c>
      <c r="AK54" s="187" t="n">
        <f aca="false">AK34/AK39</f>
        <v>0.52329872612881</v>
      </c>
      <c r="AL54" s="188" t="n">
        <v>0.52</v>
      </c>
      <c r="AM54" s="188" t="n">
        <v>0.41</v>
      </c>
      <c r="AN54" s="188" t="n">
        <v>0.21</v>
      </c>
      <c r="AO54" s="188" t="n">
        <v>0.45</v>
      </c>
      <c r="AP54" s="187" t="n">
        <f aca="false">AP34/AP39</f>
        <v>0.379679351724405</v>
      </c>
      <c r="AQ54" s="188" t="n">
        <v>0.47</v>
      </c>
      <c r="AR54" s="188" t="n">
        <v>0.34</v>
      </c>
      <c r="AS54" s="188" t="n">
        <v>0.32</v>
      </c>
      <c r="AT54" s="188" t="n">
        <v>0.35</v>
      </c>
      <c r="AU54" s="187" t="n">
        <f aca="false">AU34/AU39</f>
        <v>0.363266143208719</v>
      </c>
      <c r="AV54" s="188" t="n">
        <v>0.47</v>
      </c>
      <c r="AW54" s="188" t="n">
        <v>0.33</v>
      </c>
      <c r="AX54" s="188" t="n">
        <v>0.31</v>
      </c>
      <c r="AY54" s="188" t="n">
        <v>0.31</v>
      </c>
      <c r="AZ54" s="187" t="n">
        <f aca="false">AZ34/AZ39</f>
        <v>0.339364756356001</v>
      </c>
      <c r="BA54" s="188" t="n">
        <v>0.3</v>
      </c>
      <c r="BB54" s="188" t="n">
        <v>0.49</v>
      </c>
      <c r="BC54" s="188" t="n">
        <v>0.48</v>
      </c>
      <c r="BD54" s="188" t="n">
        <v>0.38</v>
      </c>
      <c r="BE54" s="187" t="n">
        <f aca="false">BE34/BE39</f>
        <v>0.411028962650306</v>
      </c>
      <c r="BF54" s="188" t="n">
        <v>0.39</v>
      </c>
      <c r="BG54" s="188" t="n">
        <v>0.5</v>
      </c>
      <c r="BH54" s="188" t="n">
        <v>0.48</v>
      </c>
      <c r="BI54" s="188" t="n">
        <v>0.41</v>
      </c>
      <c r="BJ54" s="187" t="n">
        <f aca="false">BJ34/BJ39</f>
        <v>0.4440779651518</v>
      </c>
      <c r="BK54" s="188" t="n">
        <v>0.33</v>
      </c>
      <c r="BL54" s="188" t="n">
        <v>0.43</v>
      </c>
      <c r="BM54" s="188" t="n">
        <v>0.52</v>
      </c>
      <c r="BN54" s="188" t="n">
        <v>0.4</v>
      </c>
      <c r="BO54" s="189" t="n">
        <f aca="false">BO34/BO39</f>
        <v>0.417672047821592</v>
      </c>
      <c r="BP54" s="190" t="n">
        <f aca="false">+BP34/BP$39</f>
        <v>0.281629973550511</v>
      </c>
      <c r="BQ54" s="190" t="n">
        <f aca="false">+BQ34/BQ$39</f>
        <v>0.267944759930601</v>
      </c>
      <c r="BR54" s="190" t="n">
        <f aca="false">+BR34/BR$39</f>
        <v>0.250777784259481</v>
      </c>
      <c r="BS54" s="190" t="n">
        <f aca="false">+BS34/BS$39</f>
        <v>0.24047716671125</v>
      </c>
      <c r="BT54" s="186" t="n">
        <f aca="false">+BT34/BT$39</f>
        <v>0.258793355665982</v>
      </c>
      <c r="BU54" s="190" t="n">
        <f aca="false">+BU34/BU$39</f>
        <v>0.242526781507958</v>
      </c>
      <c r="BV54" s="190" t="n">
        <f aca="false">+BV34/BV$39</f>
        <v>0.235793067486272</v>
      </c>
      <c r="BW54" s="190" t="n">
        <f aca="false">+BW34/BW$39</f>
        <v>0.251717838937408</v>
      </c>
      <c r="BX54" s="190" t="n">
        <f aca="false">+BX34/BX$39</f>
        <v>0.240854326033519</v>
      </c>
      <c r="BY54" s="186" t="n">
        <f aca="false">+BY34/BY$39</f>
        <v>0.242943794835311</v>
      </c>
      <c r="BZ54" s="186" t="n">
        <f aca="false">+BZ34/BZ39</f>
        <v>0.206083040562292</v>
      </c>
      <c r="CA54" s="186" t="n">
        <f aca="false">+CA34/CA39</f>
        <v>0.211062180670843</v>
      </c>
      <c r="CB54" s="186" t="n">
        <f aca="false">+CB34/CB39</f>
        <v>0.216093420353924</v>
      </c>
      <c r="CC54" s="191"/>
    </row>
    <row r="55" s="192" customFormat="true" ht="15" hidden="true" customHeight="true" outlineLevel="1" collapsed="false">
      <c r="A55" s="184" t="s">
        <v>185</v>
      </c>
      <c r="B55" s="185"/>
      <c r="C55" s="186"/>
      <c r="D55" s="186"/>
      <c r="E55" s="187" t="n">
        <f aca="false">E35/E$39</f>
        <v>0.0468699995270186</v>
      </c>
      <c r="F55" s="187" t="n">
        <f aca="false">F35/F$39</f>
        <v>0.0214192220604204</v>
      </c>
      <c r="G55" s="187" t="n">
        <f aca="false">G35/G$39</f>
        <v>0.00952110487790402</v>
      </c>
      <c r="H55" s="188" t="n">
        <v>0</v>
      </c>
      <c r="I55" s="188" t="n">
        <v>0.01</v>
      </c>
      <c r="J55" s="188" t="n">
        <v>0</v>
      </c>
      <c r="K55" s="188" t="n">
        <v>0.01</v>
      </c>
      <c r="L55" s="187" t="n">
        <f aca="false">L35/L$39</f>
        <v>0.00768621590981406</v>
      </c>
      <c r="M55" s="188" t="n">
        <v>0.03</v>
      </c>
      <c r="N55" s="188" t="n">
        <v>0.01</v>
      </c>
      <c r="O55" s="188" t="n">
        <v>0.03</v>
      </c>
      <c r="P55" s="188" t="n">
        <v>0.03</v>
      </c>
      <c r="Q55" s="187" t="n">
        <f aca="false">Q35/Q$39</f>
        <v>0.0253758216248862</v>
      </c>
      <c r="R55" s="188" t="n">
        <v>0.05</v>
      </c>
      <c r="S55" s="188" t="n">
        <v>0.03</v>
      </c>
      <c r="T55" s="188" t="n">
        <v>0.02</v>
      </c>
      <c r="U55" s="188" t="n">
        <v>0.02</v>
      </c>
      <c r="V55" s="187" t="n">
        <f aca="false">V35/V$39</f>
        <v>0.025021404109589</v>
      </c>
      <c r="W55" s="188" t="n">
        <v>0.05</v>
      </c>
      <c r="X55" s="188" t="n">
        <v>0.03</v>
      </c>
      <c r="Y55" s="188" t="n">
        <v>0.02</v>
      </c>
      <c r="Z55" s="188" t="n">
        <v>0.04</v>
      </c>
      <c r="AA55" s="187" t="n">
        <f aca="false">AA35/AA$39</f>
        <v>0.0329949636788679</v>
      </c>
      <c r="AB55" s="188" t="n">
        <v>0.04</v>
      </c>
      <c r="AC55" s="188" t="n">
        <v>0.04</v>
      </c>
      <c r="AD55" s="188" t="n">
        <v>0.03</v>
      </c>
      <c r="AE55" s="188" t="n">
        <v>0.03</v>
      </c>
      <c r="AF55" s="187" t="n">
        <f aca="false">AF35/AF$39</f>
        <v>0.0332118511702244</v>
      </c>
      <c r="AG55" s="188" t="n">
        <v>0.04</v>
      </c>
      <c r="AH55" s="188" t="n">
        <v>0.02</v>
      </c>
      <c r="AI55" s="188" t="n">
        <v>0.07</v>
      </c>
      <c r="AJ55" s="188" t="n">
        <v>0.04</v>
      </c>
      <c r="AK55" s="187" t="n">
        <f aca="false">AK35/AK39</f>
        <v>0.0445966074564816</v>
      </c>
      <c r="AL55" s="188" t="n">
        <v>0.07</v>
      </c>
      <c r="AM55" s="188" t="n">
        <v>0.05</v>
      </c>
      <c r="AN55" s="188" t="n">
        <v>0.01</v>
      </c>
      <c r="AO55" s="188" t="n">
        <v>0.04</v>
      </c>
      <c r="AP55" s="187" t="n">
        <f aca="false">AP35/AP39</f>
        <v>0.0413896051024562</v>
      </c>
      <c r="AQ55" s="188" t="n">
        <v>0.02</v>
      </c>
      <c r="AR55" s="188" t="n">
        <v>0.05</v>
      </c>
      <c r="AS55" s="188" t="n">
        <v>0.03</v>
      </c>
      <c r="AT55" s="188" t="n">
        <v>0.03</v>
      </c>
      <c r="AU55" s="187" t="n">
        <f aca="false">AU35/AU39</f>
        <v>0.0316345365053322</v>
      </c>
      <c r="AV55" s="188" t="n">
        <v>0.06</v>
      </c>
      <c r="AW55" s="188" t="n">
        <v>0.04</v>
      </c>
      <c r="AX55" s="188" t="n">
        <v>0.03</v>
      </c>
      <c r="AY55" s="188" t="n">
        <v>0.04</v>
      </c>
      <c r="AZ55" s="187" t="n">
        <f aca="false">AZ35/AZ39</f>
        <v>0.0404204714101476</v>
      </c>
      <c r="BA55" s="188" t="n">
        <v>0.03</v>
      </c>
      <c r="BB55" s="188" t="n">
        <v>0.02</v>
      </c>
      <c r="BC55" s="188" t="n">
        <v>0.04</v>
      </c>
      <c r="BD55" s="188" t="n">
        <v>0.05</v>
      </c>
      <c r="BE55" s="187" t="n">
        <f aca="false">BE35/BE39</f>
        <v>0.035562889154276</v>
      </c>
      <c r="BF55" s="188" t="n">
        <v>0.03</v>
      </c>
      <c r="BG55" s="188" t="n">
        <v>0.07</v>
      </c>
      <c r="BH55" s="188" t="n">
        <v>0.03</v>
      </c>
      <c r="BI55" s="188" t="n">
        <v>0.02</v>
      </c>
      <c r="BJ55" s="187" t="n">
        <f aca="false">BJ35/BJ39</f>
        <v>0.0355740122285667</v>
      </c>
      <c r="BK55" s="188" t="n">
        <v>0.02</v>
      </c>
      <c r="BL55" s="188" t="n">
        <v>0.02</v>
      </c>
      <c r="BM55" s="188" t="n">
        <v>0.02</v>
      </c>
      <c r="BN55" s="188" t="n">
        <v>0.02</v>
      </c>
      <c r="BO55" s="189" t="n">
        <f aca="false">BO35/BO39</f>
        <v>0.02</v>
      </c>
      <c r="BP55" s="190" t="n">
        <f aca="false">+BP35/BP$39</f>
        <v>0.054421250927635</v>
      </c>
      <c r="BQ55" s="190" t="n">
        <f aca="false">+BQ35/BQ$39</f>
        <v>0.0386338956179006</v>
      </c>
      <c r="BR55" s="190" t="n">
        <f aca="false">+BR35/BR$39</f>
        <v>0.0349067978090121</v>
      </c>
      <c r="BS55" s="190" t="n">
        <f aca="false">+BS35/BS$39</f>
        <v>0.0355906206732649</v>
      </c>
      <c r="BT55" s="186" t="n">
        <f aca="false">+BT35/BT$39</f>
        <v>0.0402958129562119</v>
      </c>
      <c r="BU55" s="190" t="n">
        <f aca="false">+BU35/BU$39</f>
        <v>0.0523326710500263</v>
      </c>
      <c r="BV55" s="190" t="n">
        <f aca="false">+BV35/BV$39</f>
        <v>0.037964511718526</v>
      </c>
      <c r="BW55" s="190" t="n">
        <f aca="false">+BW35/BW$39</f>
        <v>0.0326044779169028</v>
      </c>
      <c r="BX55" s="190" t="n">
        <f aca="false">+BX35/BX$39</f>
        <v>0.0331709930131719</v>
      </c>
      <c r="BY55" s="186" t="n">
        <f aca="false">+BY35/BY$39</f>
        <v>0.0383083585267495</v>
      </c>
      <c r="BZ55" s="186" t="n">
        <f aca="false">+BZ35/BZ39</f>
        <v>0.0305350320620175</v>
      </c>
      <c r="CA55" s="186" t="n">
        <f aca="false">+CA35/CA39</f>
        <v>0.0290228402062462</v>
      </c>
      <c r="CB55" s="186" t="n">
        <f aca="false">+CB35/CB39</f>
        <v>0.0275768334496363</v>
      </c>
      <c r="CC55" s="191"/>
    </row>
    <row r="56" s="192" customFormat="true" ht="15" hidden="true" customHeight="true" outlineLevel="1" collapsed="false">
      <c r="A56" s="184" t="s">
        <v>186</v>
      </c>
      <c r="B56" s="185"/>
      <c r="C56" s="186"/>
      <c r="D56" s="186"/>
      <c r="E56" s="187" t="n">
        <f aca="false">E36/E$39</f>
        <v>0.18971918623448</v>
      </c>
      <c r="F56" s="187" t="n">
        <f aca="false">F36/F$39</f>
        <v>0.238908973830187</v>
      </c>
      <c r="G56" s="187" t="n">
        <f aca="false">G36/G$39</f>
        <v>0.180322999832963</v>
      </c>
      <c r="H56" s="188" t="n">
        <v>0.17</v>
      </c>
      <c r="I56" s="188" t="n">
        <v>0.02</v>
      </c>
      <c r="J56" s="188" t="n">
        <v>0.12</v>
      </c>
      <c r="K56" s="188" t="n">
        <v>0.09</v>
      </c>
      <c r="L56" s="187" t="n">
        <f aca="false">L36/L$39</f>
        <v>0.0899021634349096</v>
      </c>
      <c r="M56" s="188" t="n">
        <v>0.12</v>
      </c>
      <c r="N56" s="188" t="n">
        <v>0.12</v>
      </c>
      <c r="O56" s="188" t="n">
        <v>0.27</v>
      </c>
      <c r="P56" s="188" t="n">
        <v>0.23</v>
      </c>
      <c r="Q56" s="187" t="n">
        <f aca="false">Q36/Q$39</f>
        <v>0.176471018598913</v>
      </c>
      <c r="R56" s="188" t="n">
        <v>0.14</v>
      </c>
      <c r="S56" s="188" t="n">
        <v>0.11</v>
      </c>
      <c r="T56" s="188" t="n">
        <v>0.12</v>
      </c>
      <c r="U56" s="188" t="n">
        <v>0.1</v>
      </c>
      <c r="V56" s="187" t="n">
        <f aca="false">V36/V$39</f>
        <v>0.114019691780822</v>
      </c>
      <c r="W56" s="188" t="n">
        <v>0.15</v>
      </c>
      <c r="X56" s="188" t="n">
        <v>0.09</v>
      </c>
      <c r="Y56" s="188" t="n">
        <v>0.1</v>
      </c>
      <c r="Z56" s="188" t="n">
        <v>0.1</v>
      </c>
      <c r="AA56" s="187" t="n">
        <f aca="false">AA36/AA$39</f>
        <v>0.10720617537694</v>
      </c>
      <c r="AB56" s="188" t="n">
        <v>0.14</v>
      </c>
      <c r="AC56" s="188" t="n">
        <v>0.1</v>
      </c>
      <c r="AD56" s="188" t="n">
        <v>0.09</v>
      </c>
      <c r="AE56" s="188" t="n">
        <v>0.1</v>
      </c>
      <c r="AF56" s="187" t="n">
        <f aca="false">AF36/AF$39</f>
        <v>0.104139676235909</v>
      </c>
      <c r="AG56" s="188" t="n">
        <v>0.09</v>
      </c>
      <c r="AH56" s="188" t="n">
        <v>0.11</v>
      </c>
      <c r="AI56" s="188" t="n">
        <v>0.06</v>
      </c>
      <c r="AJ56" s="188" t="n">
        <v>0.06</v>
      </c>
      <c r="AK56" s="187" t="n">
        <f aca="false">AK36/AK39</f>
        <v>0.0755541228518708</v>
      </c>
      <c r="AL56" s="188" t="n">
        <v>0.13</v>
      </c>
      <c r="AM56" s="188" t="n">
        <v>0.1</v>
      </c>
      <c r="AN56" s="188" t="n">
        <v>0.08</v>
      </c>
      <c r="AO56" s="188" t="n">
        <v>0.11</v>
      </c>
      <c r="AP56" s="187" t="n">
        <f aca="false">AP36/AP39</f>
        <v>0.0981234127522634</v>
      </c>
      <c r="AQ56" s="188" t="n">
        <v>0.11</v>
      </c>
      <c r="AR56" s="188" t="n">
        <v>0.11</v>
      </c>
      <c r="AS56" s="188" t="n">
        <v>0.07</v>
      </c>
      <c r="AT56" s="188" t="n">
        <v>0.1</v>
      </c>
      <c r="AU56" s="187" t="n">
        <f aca="false">AU36/AU39</f>
        <v>0.0967786827610454</v>
      </c>
      <c r="AV56" s="188" t="n">
        <v>0.12</v>
      </c>
      <c r="AW56" s="188" t="n">
        <v>0.1</v>
      </c>
      <c r="AX56" s="188" t="n">
        <v>0.1</v>
      </c>
      <c r="AY56" s="188" t="n">
        <v>0.12</v>
      </c>
      <c r="AZ56" s="187" t="n">
        <f aca="false">AZ36/AZ39</f>
        <v>0.107172251997693</v>
      </c>
      <c r="BA56" s="188" t="n">
        <v>0.09</v>
      </c>
      <c r="BB56" s="188" t="n">
        <v>0.09</v>
      </c>
      <c r="BC56" s="188" t="n">
        <v>0.1</v>
      </c>
      <c r="BD56" s="188" t="n">
        <v>0.12</v>
      </c>
      <c r="BE56" s="187" t="n">
        <f aca="false">BE36/BE39</f>
        <v>0.100393826406425</v>
      </c>
      <c r="BF56" s="188" t="n">
        <v>0.08</v>
      </c>
      <c r="BG56" s="188" t="n">
        <v>0.09</v>
      </c>
      <c r="BH56" s="188" t="n">
        <v>0.1</v>
      </c>
      <c r="BI56" s="188" t="n">
        <v>0.09</v>
      </c>
      <c r="BJ56" s="187" t="n">
        <f aca="false">BJ36/BJ39</f>
        <v>0.0914707814430811</v>
      </c>
      <c r="BK56" s="188" t="n">
        <v>0.05</v>
      </c>
      <c r="BL56" s="188" t="n">
        <v>0.04</v>
      </c>
      <c r="BM56" s="188" t="n">
        <v>0.03</v>
      </c>
      <c r="BN56" s="188" t="n">
        <v>0.05</v>
      </c>
      <c r="BO56" s="189" t="n">
        <f aca="false">BO36/BO39</f>
        <v>0.0431750039837707</v>
      </c>
      <c r="BP56" s="190" t="n">
        <f aca="false">+BP36/BP$39</f>
        <v>0.0927634958993778</v>
      </c>
      <c r="BQ56" s="190" t="n">
        <f aca="false">+BQ36/BQ$39</f>
        <v>0.0965847390447515</v>
      </c>
      <c r="BR56" s="190" t="n">
        <f aca="false">+BR36/BR$39</f>
        <v>0.095200357660942</v>
      </c>
      <c r="BS56" s="190" t="n">
        <f aca="false">+BS36/BS$39</f>
        <v>0.0767039238647951</v>
      </c>
      <c r="BT56" s="186" t="n">
        <f aca="false">+BT36/BT$39</f>
        <v>0.0898133642838398</v>
      </c>
      <c r="BU56" s="190" t="n">
        <f aca="false">+BU36/BU$39</f>
        <v>0.0798836566231745</v>
      </c>
      <c r="BV56" s="190" t="n">
        <f aca="false">+BV36/BV$39</f>
        <v>0.0849951754892374</v>
      </c>
      <c r="BW56" s="190" t="n">
        <f aca="false">+BW36/BW$39</f>
        <v>0.0840549634221375</v>
      </c>
      <c r="BX56" s="190" t="n">
        <f aca="false">+BX36/BX$39</f>
        <v>0.0675768643045834</v>
      </c>
      <c r="BY56" s="186" t="n">
        <f aca="false">+BY36/BY$39</f>
        <v>0.0786550041338748</v>
      </c>
      <c r="BZ56" s="186" t="n">
        <f aca="false">+BZ36/BZ39</f>
        <v>0.0674040023938261</v>
      </c>
      <c r="CA56" s="186" t="n">
        <f aca="false">+CA36/CA39</f>
        <v>0.0688781867838374</v>
      </c>
      <c r="CB56" s="186" t="n">
        <f aca="false">+CB36/CB39</f>
        <v>0.0703624059880485</v>
      </c>
      <c r="CC56" s="191"/>
    </row>
    <row r="57" s="192" customFormat="true" ht="15" hidden="true" customHeight="true" outlineLevel="1" collapsed="false">
      <c r="A57" s="184" t="s">
        <v>187</v>
      </c>
      <c r="B57" s="185"/>
      <c r="C57" s="186"/>
      <c r="D57" s="186"/>
      <c r="E57" s="187" t="n">
        <f aca="false">E37/E$39</f>
        <v>0.0122872786636453</v>
      </c>
      <c r="F57" s="187" t="n">
        <f aca="false">F37/F$39</f>
        <v>0.0139516397168374</v>
      </c>
      <c r="G57" s="187" t="n">
        <f aca="false">G37/G$39</f>
        <v>0.0135828319095126</v>
      </c>
      <c r="H57" s="188" t="n">
        <v>0.01</v>
      </c>
      <c r="I57" s="188" t="n">
        <v>0.01</v>
      </c>
      <c r="J57" s="188" t="n">
        <v>0.02</v>
      </c>
      <c r="K57" s="188" t="n">
        <v>0.01</v>
      </c>
      <c r="L57" s="187" t="n">
        <f aca="false">L37/L$39</f>
        <v>0.0120628171556924</v>
      </c>
      <c r="M57" s="188" t="n">
        <v>0.02</v>
      </c>
      <c r="N57" s="188" t="n">
        <v>0.02</v>
      </c>
      <c r="O57" s="188" t="n">
        <v>0.02</v>
      </c>
      <c r="P57" s="188" t="n">
        <v>0.02</v>
      </c>
      <c r="Q57" s="187" t="n">
        <f aca="false">Q37/Q$39</f>
        <v>0.0172274834483193</v>
      </c>
      <c r="R57" s="188" t="n">
        <v>0.02</v>
      </c>
      <c r="S57" s="188" t="n">
        <v>0.02</v>
      </c>
      <c r="T57" s="188" t="n">
        <v>0.02</v>
      </c>
      <c r="U57" s="188" t="n">
        <v>0.01</v>
      </c>
      <c r="V57" s="187" t="n">
        <f aca="false">V37/V$39</f>
        <v>0.0166952054794521</v>
      </c>
      <c r="W57" s="188" t="n">
        <v>0.01</v>
      </c>
      <c r="X57" s="188" t="n">
        <v>0.02</v>
      </c>
      <c r="Y57" s="188" t="n">
        <v>0.01</v>
      </c>
      <c r="Z57" s="188" t="n">
        <v>0.01</v>
      </c>
      <c r="AA57" s="187" t="n">
        <f aca="false">AA37/AA$39</f>
        <v>0.0132889844203524</v>
      </c>
      <c r="AB57" s="188" t="n">
        <v>0.01</v>
      </c>
      <c r="AC57" s="188" t="n">
        <v>0.01</v>
      </c>
      <c r="AD57" s="188" t="n">
        <v>0.01</v>
      </c>
      <c r="AE57" s="188" t="n">
        <v>0.01</v>
      </c>
      <c r="AF57" s="187" t="n">
        <f aca="false">AF37/AF$39</f>
        <v>0.0119383467932341</v>
      </c>
      <c r="AG57" s="188" t="n">
        <v>0.02</v>
      </c>
      <c r="AH57" s="188" t="n">
        <v>0.01</v>
      </c>
      <c r="AI57" s="188" t="n">
        <v>0.01</v>
      </c>
      <c r="AJ57" s="188" t="n">
        <v>0.02</v>
      </c>
      <c r="AK57" s="187" t="n">
        <f aca="false">AK37/AK39</f>
        <v>0.0148395989417754</v>
      </c>
      <c r="AL57" s="188" t="n">
        <v>0.03</v>
      </c>
      <c r="AM57" s="188" t="n">
        <v>0.01</v>
      </c>
      <c r="AN57" s="188" t="n">
        <v>0.01</v>
      </c>
      <c r="AO57" s="188" t="n">
        <v>0.01</v>
      </c>
      <c r="AP57" s="187" t="n">
        <f aca="false">AP37/AP39</f>
        <v>0.0141907217494136</v>
      </c>
      <c r="AQ57" s="188" t="n">
        <v>0.01</v>
      </c>
      <c r="AR57" s="188" t="n">
        <v>0.01</v>
      </c>
      <c r="AS57" s="188" t="n">
        <v>0.01</v>
      </c>
      <c r="AT57" s="188" t="n">
        <v>0.01</v>
      </c>
      <c r="AU57" s="187" t="n">
        <f aca="false">AU37/AU39</f>
        <v>0.0104227704207196</v>
      </c>
      <c r="AV57" s="188" t="n">
        <v>0.02</v>
      </c>
      <c r="AW57" s="188" t="n">
        <v>0.01</v>
      </c>
      <c r="AX57" s="188" t="n">
        <v>0.01</v>
      </c>
      <c r="AY57" s="188" t="n">
        <v>0.01</v>
      </c>
      <c r="AZ57" s="187" t="n">
        <f aca="false">AZ37/AZ39</f>
        <v>0.0137067976643358</v>
      </c>
      <c r="BA57" s="188" t="n">
        <v>0.01</v>
      </c>
      <c r="BB57" s="188" t="n">
        <v>0.01</v>
      </c>
      <c r="BC57" s="188" t="n">
        <v>0.01</v>
      </c>
      <c r="BD57" s="188" t="n">
        <v>0.02</v>
      </c>
      <c r="BE57" s="187" t="n">
        <f aca="false">BE37/BE39</f>
        <v>0.0126899619848122</v>
      </c>
      <c r="BF57" s="188" t="n">
        <v>0.01</v>
      </c>
      <c r="BG57" s="188" t="n">
        <v>0.02</v>
      </c>
      <c r="BH57" s="188" t="n">
        <v>0.02</v>
      </c>
      <c r="BI57" s="188" t="n">
        <v>0.02</v>
      </c>
      <c r="BJ57" s="187" t="n">
        <f aca="false">BJ37/BJ39</f>
        <v>0.016960130830045</v>
      </c>
      <c r="BK57" s="188" t="n">
        <v>0.01</v>
      </c>
      <c r="BL57" s="188" t="n">
        <v>0.01</v>
      </c>
      <c r="BM57" s="188" t="n">
        <v>0.01</v>
      </c>
      <c r="BN57" s="188" t="n">
        <v>0.01</v>
      </c>
      <c r="BO57" s="189" t="n">
        <f aca="false">BO37/BO39</f>
        <v>0.01</v>
      </c>
      <c r="BP57" s="190" t="n">
        <f aca="false">+BP37/BP$39</f>
        <v>0.00656480124826366</v>
      </c>
      <c r="BQ57" s="190" t="n">
        <f aca="false">+BQ37/BQ$39</f>
        <v>0.00551912794541437</v>
      </c>
      <c r="BR57" s="190" t="n">
        <f aca="false">+BR37/BR$39</f>
        <v>0.00698135956180241</v>
      </c>
      <c r="BS57" s="190" t="n">
        <f aca="false">+BS37/BS$39</f>
        <v>0.0052339148048919</v>
      </c>
      <c r="BT57" s="186" t="n">
        <f aca="false">+BT37/BT$39</f>
        <v>0.0060523333914313</v>
      </c>
      <c r="BU57" s="190" t="n">
        <f aca="false">+BU37/BU$39</f>
        <v>0.00722366741088193</v>
      </c>
      <c r="BV57" s="190" t="n">
        <f aca="false">+BV37/BV$39</f>
        <v>0.006205996940484</v>
      </c>
      <c r="BW57" s="190" t="n">
        <f aca="false">+BW37/BW$39</f>
        <v>0.00746172131431606</v>
      </c>
      <c r="BX57" s="190" t="n">
        <f aca="false">+BX37/BX$39</f>
        <v>0.00558189083481821</v>
      </c>
      <c r="BY57" s="186" t="n">
        <f aca="false">+BY37/BY$39</f>
        <v>0.00658397605860922</v>
      </c>
      <c r="BZ57" s="186" t="n">
        <f aca="false">+BZ37/BZ39</f>
        <v>0.00599942187866588</v>
      </c>
      <c r="CA57" s="186" t="n">
        <f aca="false">+CA37/CA39</f>
        <v>0.00651879397463195</v>
      </c>
      <c r="CB57" s="186" t="n">
        <f aca="false">+CB37/CB39</f>
        <v>0.00708089351719385</v>
      </c>
      <c r="CC57" s="191"/>
    </row>
    <row r="58" s="192" customFormat="true" ht="15" hidden="true" customHeight="true" outlineLevel="1" collapsed="false">
      <c r="A58" s="193" t="s">
        <v>188</v>
      </c>
      <c r="B58" s="194"/>
      <c r="C58" s="195"/>
      <c r="D58" s="195"/>
      <c r="E58" s="196" t="n">
        <f aca="false">E38/E$39</f>
        <v>0</v>
      </c>
      <c r="F58" s="196" t="n">
        <f aca="false">F38/F$39</f>
        <v>0</v>
      </c>
      <c r="G58" s="196" t="n">
        <f aca="false">G38/G$39</f>
        <v>0</v>
      </c>
      <c r="H58" s="197" t="n">
        <v>0</v>
      </c>
      <c r="I58" s="197" t="n">
        <v>0</v>
      </c>
      <c r="J58" s="197" t="n">
        <v>0</v>
      </c>
      <c r="K58" s="197" t="n">
        <v>0</v>
      </c>
      <c r="L58" s="196" t="n">
        <f aca="false">L38/L$39</f>
        <v>0</v>
      </c>
      <c r="M58" s="197" t="n">
        <v>0</v>
      </c>
      <c r="N58" s="197" t="n">
        <v>0</v>
      </c>
      <c r="O58" s="197" t="n">
        <v>0</v>
      </c>
      <c r="P58" s="197" t="n">
        <v>0</v>
      </c>
      <c r="Q58" s="196" t="n">
        <f aca="false">Q38/Q$39</f>
        <v>0</v>
      </c>
      <c r="R58" s="197" t="n">
        <v>0</v>
      </c>
      <c r="S58" s="197" t="n">
        <v>0</v>
      </c>
      <c r="T58" s="197" t="n">
        <v>0</v>
      </c>
      <c r="U58" s="197" t="n">
        <v>0</v>
      </c>
      <c r="V58" s="196" t="n">
        <f aca="false">V38/V$39</f>
        <v>0.0215753424657534</v>
      </c>
      <c r="W58" s="197" t="n">
        <v>0.05</v>
      </c>
      <c r="X58" s="197" t="n">
        <v>0.06</v>
      </c>
      <c r="Y58" s="197" t="n">
        <v>0.03</v>
      </c>
      <c r="Z58" s="197" t="n">
        <v>0.04</v>
      </c>
      <c r="AA58" s="196" t="n">
        <f aca="false">AA38/AA$39</f>
        <v>0.0433813954218115</v>
      </c>
      <c r="AB58" s="197" t="n">
        <v>0.02</v>
      </c>
      <c r="AC58" s="197" t="n">
        <v>0.04</v>
      </c>
      <c r="AD58" s="197" t="n">
        <v>0.04</v>
      </c>
      <c r="AE58" s="197" t="n">
        <v>0.05</v>
      </c>
      <c r="AF58" s="196" t="n">
        <f aca="false">AF38/AF$39</f>
        <v>0.0410577423690233</v>
      </c>
      <c r="AG58" s="197" t="n">
        <v>0.03</v>
      </c>
      <c r="AH58" s="197" t="n">
        <v>0.04</v>
      </c>
      <c r="AI58" s="197" t="n">
        <v>0.03</v>
      </c>
      <c r="AJ58" s="197" t="n">
        <v>0.03</v>
      </c>
      <c r="AK58" s="196" t="n">
        <f aca="false">AK38/AK39</f>
        <v>0.0305017674129077</v>
      </c>
      <c r="AL58" s="197" t="n">
        <v>0.03</v>
      </c>
      <c r="AM58" s="197" t="n">
        <v>0.04</v>
      </c>
      <c r="AN58" s="197" t="n">
        <v>0.03</v>
      </c>
      <c r="AO58" s="197" t="n">
        <v>0.03</v>
      </c>
      <c r="AP58" s="196" t="n">
        <f aca="false">AP38/AP39</f>
        <v>0.0339355989376345</v>
      </c>
      <c r="AQ58" s="197" t="n">
        <v>0.03</v>
      </c>
      <c r="AR58" s="197" t="n">
        <v>0.04</v>
      </c>
      <c r="AS58" s="197" t="n">
        <v>0.03</v>
      </c>
      <c r="AT58" s="197" t="n">
        <v>0.05</v>
      </c>
      <c r="AU58" s="196" t="n">
        <f aca="false">AU38/AU39</f>
        <v>0.0376259814836517</v>
      </c>
      <c r="AV58" s="197" t="n">
        <v>0.07</v>
      </c>
      <c r="AW58" s="197" t="n">
        <v>0.04</v>
      </c>
      <c r="AX58" s="197" t="n">
        <v>0.04</v>
      </c>
      <c r="AY58" s="197" t="n">
        <v>0.03</v>
      </c>
      <c r="AZ58" s="196" t="n">
        <f aca="false">AZ38/AZ39</f>
        <v>0.0427470625976164</v>
      </c>
      <c r="BA58" s="197" t="n">
        <v>0.03</v>
      </c>
      <c r="BB58" s="197" t="n">
        <v>0.02</v>
      </c>
      <c r="BC58" s="197" t="n">
        <v>0.02</v>
      </c>
      <c r="BD58" s="197" t="n">
        <v>0.03</v>
      </c>
      <c r="BE58" s="196" t="n">
        <f aca="false">BE38/BE39</f>
        <v>0.0244363815375639</v>
      </c>
      <c r="BF58" s="197" t="n">
        <v>0.03</v>
      </c>
      <c r="BG58" s="197" t="n">
        <v>0.01</v>
      </c>
      <c r="BH58" s="197" t="n">
        <v>0.02</v>
      </c>
      <c r="BI58" s="197" t="n">
        <v>0.04</v>
      </c>
      <c r="BJ58" s="196" t="n">
        <f aca="false">BJ38/BJ39</f>
        <v>0.0296526664431041</v>
      </c>
      <c r="BK58" s="197" t="n">
        <v>0.03</v>
      </c>
      <c r="BL58" s="197" t="n">
        <v>0.02</v>
      </c>
      <c r="BM58" s="197" t="n">
        <v>0.04</v>
      </c>
      <c r="BN58" s="197" t="n">
        <v>0.04</v>
      </c>
      <c r="BO58" s="198" t="n">
        <f aca="false">BO38/BO39</f>
        <v>0.0330814773047646</v>
      </c>
      <c r="BP58" s="199" t="n">
        <f aca="false">+BP38/BP$39</f>
        <v>0.0340132818297719</v>
      </c>
      <c r="BQ58" s="199" t="n">
        <f aca="false">+BQ38/BQ$39</f>
        <v>0.0195969035742974</v>
      </c>
      <c r="BR58" s="199" t="n">
        <f aca="false">+BR38/BR$39</f>
        <v>0.0354126934294325</v>
      </c>
      <c r="BS58" s="199" t="n">
        <f aca="false">+BS38/BS$39</f>
        <v>0.0451330334624736</v>
      </c>
      <c r="BT58" s="195" t="n">
        <f aca="false">+BT38/BT$39</f>
        <v>0.0340626313996081</v>
      </c>
      <c r="BU58" s="199" t="n">
        <f aca="false">+BU38/BU$39</f>
        <v>0.0341724531110246</v>
      </c>
      <c r="BV58" s="199" t="n">
        <f aca="false">+BV38/BV$39</f>
        <v>0.0201196309129113</v>
      </c>
      <c r="BW58" s="199" t="n">
        <f aca="false">+BW38/BW$39</f>
        <v>0.0345580665785905</v>
      </c>
      <c r="BX58" s="199" t="n">
        <f aca="false">+BX38/BX$39</f>
        <v>0.0439481575179922</v>
      </c>
      <c r="BY58" s="195" t="n">
        <f aca="false">+BY38/BY$39</f>
        <v>0.0338325750302389</v>
      </c>
      <c r="BZ58" s="195" t="n">
        <f aca="false">+BZ38/BZ39</f>
        <v>0.0281480083969386</v>
      </c>
      <c r="CA58" s="195" t="n">
        <f aca="false">+CA38/CA39</f>
        <v>0.0279252444520522</v>
      </c>
      <c r="CB58" s="195" t="n">
        <f aca="false">+CB38/CB39</f>
        <v>0.0276955025643364</v>
      </c>
      <c r="CC58" s="191"/>
    </row>
    <row r="59" s="208" customFormat="true" ht="15" hidden="true" customHeight="true" outlineLevel="1" collapsed="false">
      <c r="A59" s="200" t="s">
        <v>189</v>
      </c>
      <c r="B59" s="201"/>
      <c r="C59" s="202"/>
      <c r="D59" s="202"/>
      <c r="E59" s="203" t="n">
        <f aca="false">SUM(E53:E58)</f>
        <v>1</v>
      </c>
      <c r="F59" s="203" t="n">
        <f aca="false">SUM(F53:F58)</f>
        <v>1</v>
      </c>
      <c r="G59" s="203" t="n">
        <f aca="false">SUM(G53:G58)</f>
        <v>1</v>
      </c>
      <c r="H59" s="204" t="n">
        <f aca="false">SUM(H53:H58)</f>
        <v>1</v>
      </c>
      <c r="I59" s="204" t="n">
        <f aca="false">SUM(I53:I58)</f>
        <v>1</v>
      </c>
      <c r="J59" s="204" t="n">
        <f aca="false">SUM(J53:J58)</f>
        <v>1</v>
      </c>
      <c r="K59" s="204" t="n">
        <f aca="false">SUM(K53:K58)</f>
        <v>1</v>
      </c>
      <c r="L59" s="203" t="n">
        <f aca="false">SUM(L53:L58)</f>
        <v>1</v>
      </c>
      <c r="M59" s="204" t="n">
        <f aca="false">SUM(M53:M58)</f>
        <v>1</v>
      </c>
      <c r="N59" s="204" t="n">
        <f aca="false">SUM(N53:N58)</f>
        <v>1</v>
      </c>
      <c r="O59" s="204" t="n">
        <f aca="false">SUM(O53:O58)</f>
        <v>1</v>
      </c>
      <c r="P59" s="204" t="n">
        <f aca="false">SUM(P53:P58)</f>
        <v>1</v>
      </c>
      <c r="Q59" s="203" t="n">
        <f aca="false">SUM(Q53:Q58)</f>
        <v>1</v>
      </c>
      <c r="R59" s="204" t="n">
        <f aca="false">SUM(R53:R58)</f>
        <v>1</v>
      </c>
      <c r="S59" s="204" t="n">
        <f aca="false">SUM(S53:S58)</f>
        <v>1</v>
      </c>
      <c r="T59" s="204" t="n">
        <f aca="false">SUM(T53:T58)</f>
        <v>1</v>
      </c>
      <c r="U59" s="204" t="n">
        <f aca="false">SUM(U53:U58)</f>
        <v>0.95</v>
      </c>
      <c r="V59" s="203" t="n">
        <f aca="false">SUM(V53:V58)</f>
        <v>1</v>
      </c>
      <c r="W59" s="204" t="n">
        <f aca="false">SUM(W53:W58)</f>
        <v>1</v>
      </c>
      <c r="X59" s="204" t="n">
        <f aca="false">SUM(X53:X58)</f>
        <v>1</v>
      </c>
      <c r="Y59" s="204" t="n">
        <f aca="false">SUM(Y53:Y58)</f>
        <v>1</v>
      </c>
      <c r="Z59" s="204" t="n">
        <f aca="false">SUM(Z53:Z58)</f>
        <v>1</v>
      </c>
      <c r="AA59" s="203" t="n">
        <f aca="false">SUM(AA53:AA58)</f>
        <v>1</v>
      </c>
      <c r="AB59" s="204" t="n">
        <f aca="false">SUM(AB53:AB58)</f>
        <v>1</v>
      </c>
      <c r="AC59" s="204" t="n">
        <f aca="false">SUM(AC53:AC58)</f>
        <v>1</v>
      </c>
      <c r="AD59" s="204" t="n">
        <f aca="false">SUM(AD53:AD58)</f>
        <v>1</v>
      </c>
      <c r="AE59" s="204" t="n">
        <f aca="false">SUM(AE53:AE58)</f>
        <v>1</v>
      </c>
      <c r="AF59" s="203" t="n">
        <f aca="false">SUM(AF53:AF58)</f>
        <v>1</v>
      </c>
      <c r="AG59" s="204" t="n">
        <f aca="false">SUM(AG53:AG58)</f>
        <v>1</v>
      </c>
      <c r="AH59" s="204" t="n">
        <f aca="false">SUM(AH53:AH58)</f>
        <v>1</v>
      </c>
      <c r="AI59" s="204" t="n">
        <f aca="false">SUM(AI53:AI58)</f>
        <v>1</v>
      </c>
      <c r="AJ59" s="204" t="n">
        <f aca="false">SUM(AJ53:AJ58)</f>
        <v>1</v>
      </c>
      <c r="AK59" s="203" t="n">
        <f aca="false">SUM(AK53:AK58)</f>
        <v>1</v>
      </c>
      <c r="AL59" s="204" t="n">
        <f aca="false">SUM(AL53:AL58)</f>
        <v>1</v>
      </c>
      <c r="AM59" s="204" t="n">
        <f aca="false">SUM(AM53:AM58)</f>
        <v>1</v>
      </c>
      <c r="AN59" s="204" t="n">
        <f aca="false">SUM(AN53:AN58)</f>
        <v>1</v>
      </c>
      <c r="AO59" s="204" t="n">
        <f aca="false">SUM(AO53:AO58)</f>
        <v>1</v>
      </c>
      <c r="AP59" s="203" t="n">
        <f aca="false">SUM(AP53:AP58)</f>
        <v>1</v>
      </c>
      <c r="AQ59" s="204" t="n">
        <f aca="false">SUM(AQ53:AQ58)</f>
        <v>1</v>
      </c>
      <c r="AR59" s="204" t="n">
        <f aca="false">SUM(AR53:AR58)</f>
        <v>1</v>
      </c>
      <c r="AS59" s="204" t="n">
        <f aca="false">SUM(AS53:AS58)</f>
        <v>1</v>
      </c>
      <c r="AT59" s="204" t="n">
        <f aca="false">SUM(AT53:AT58)</f>
        <v>1</v>
      </c>
      <c r="AU59" s="203" t="n">
        <f aca="false">SUM(AU53:AU58)</f>
        <v>1</v>
      </c>
      <c r="AV59" s="204" t="n">
        <f aca="false">SUM(AV53:AV58)</f>
        <v>1</v>
      </c>
      <c r="AW59" s="204" t="n">
        <f aca="false">SUM(AW53:AW58)</f>
        <v>1</v>
      </c>
      <c r="AX59" s="204" t="n">
        <f aca="false">SUM(AX53:AX58)</f>
        <v>1</v>
      </c>
      <c r="AY59" s="204" t="n">
        <f aca="false">SUM(AY53:AY58)</f>
        <v>1</v>
      </c>
      <c r="AZ59" s="203" t="n">
        <f aca="false">SUM(AZ53:AZ58)</f>
        <v>1</v>
      </c>
      <c r="BA59" s="204" t="n">
        <f aca="false">SUM(BA53:BA58)</f>
        <v>1</v>
      </c>
      <c r="BB59" s="204" t="n">
        <f aca="false">SUM(BB53:BB58)</f>
        <v>1</v>
      </c>
      <c r="BC59" s="204" t="n">
        <f aca="false">SUM(BC53:BC58)</f>
        <v>1</v>
      </c>
      <c r="BD59" s="204" t="n">
        <f aca="false">SUM(BD53:BD58)</f>
        <v>1</v>
      </c>
      <c r="BE59" s="203" t="n">
        <f aca="false">SUM(BE53:BE58)</f>
        <v>1</v>
      </c>
      <c r="BF59" s="204" t="n">
        <f aca="false">SUM(BF53:BF58)</f>
        <v>1</v>
      </c>
      <c r="BG59" s="204" t="n">
        <f aca="false">SUM(BG53:BG58)</f>
        <v>1</v>
      </c>
      <c r="BH59" s="204" t="n">
        <f aca="false">SUM(BH53:BH58)</f>
        <v>1</v>
      </c>
      <c r="BI59" s="204" t="n">
        <f aca="false">SUM(BI53:BI58)</f>
        <v>1</v>
      </c>
      <c r="BJ59" s="203" t="n">
        <f aca="false">SUM(BJ53:BJ58)</f>
        <v>1</v>
      </c>
      <c r="BK59" s="204" t="n">
        <f aca="false">SUM(BK53:BK58)</f>
        <v>1</v>
      </c>
      <c r="BL59" s="204" t="n">
        <f aca="false">SUM(BL53:BL58)</f>
        <v>1</v>
      </c>
      <c r="BM59" s="204" t="n">
        <f aca="false">SUM(BM53:BM58)</f>
        <v>1</v>
      </c>
      <c r="BN59" s="204" t="n">
        <f aca="false">SUM(BN53:BN58)</f>
        <v>1</v>
      </c>
      <c r="BO59" s="205" t="n">
        <f aca="false">SUM(BO53:BO58)</f>
        <v>1</v>
      </c>
      <c r="BP59" s="206" t="n">
        <f aca="false">SUM(BP53:BP58)</f>
        <v>1</v>
      </c>
      <c r="BQ59" s="206" t="n">
        <f aca="false">SUM(BQ53:BQ58)</f>
        <v>1</v>
      </c>
      <c r="BR59" s="206" t="n">
        <f aca="false">SUM(BR53:BR58)</f>
        <v>1</v>
      </c>
      <c r="BS59" s="206" t="n">
        <f aca="false">SUM(BS53:BS58)</f>
        <v>1</v>
      </c>
      <c r="BT59" s="202" t="n">
        <f aca="false">SUM(BT53:BT58)</f>
        <v>1</v>
      </c>
      <c r="BU59" s="206" t="n">
        <f aca="false">SUM(BU53:BU58)</f>
        <v>1</v>
      </c>
      <c r="BV59" s="206" t="n">
        <f aca="false">SUM(BV53:BV58)</f>
        <v>1</v>
      </c>
      <c r="BW59" s="206" t="n">
        <f aca="false">SUM(BW53:BW58)</f>
        <v>1</v>
      </c>
      <c r="BX59" s="206" t="n">
        <f aca="false">SUM(BX53:BX58)</f>
        <v>1</v>
      </c>
      <c r="BY59" s="202" t="n">
        <f aca="false">SUM(BY53:BY58)</f>
        <v>1</v>
      </c>
      <c r="BZ59" s="202" t="n">
        <f aca="false">SUM(BZ53:BZ58)</f>
        <v>1</v>
      </c>
      <c r="CA59" s="202" t="n">
        <f aca="false">SUM(CA53:CA58)</f>
        <v>1</v>
      </c>
      <c r="CB59" s="202" t="n">
        <f aca="false">SUM(CB53:CB58)</f>
        <v>1</v>
      </c>
      <c r="CC59" s="207"/>
    </row>
    <row r="60" s="84" customFormat="true" ht="15" hidden="false" customHeight="true" outlineLevel="0" collapsed="false">
      <c r="A60" s="140"/>
      <c r="B60" s="141"/>
      <c r="C60" s="142"/>
      <c r="D60" s="142"/>
      <c r="E60" s="142"/>
      <c r="F60" s="142"/>
      <c r="G60" s="142"/>
      <c r="H60" s="143"/>
      <c r="I60" s="143"/>
      <c r="J60" s="143"/>
      <c r="K60" s="143"/>
      <c r="L60" s="142"/>
      <c r="M60" s="143"/>
      <c r="N60" s="143"/>
      <c r="O60" s="143"/>
      <c r="P60" s="143"/>
      <c r="Q60" s="142"/>
      <c r="R60" s="143"/>
      <c r="S60" s="143"/>
      <c r="T60" s="143"/>
      <c r="U60" s="143"/>
      <c r="V60" s="142"/>
      <c r="W60" s="143"/>
      <c r="X60" s="143"/>
      <c r="Y60" s="143"/>
      <c r="Z60" s="143"/>
      <c r="AA60" s="142"/>
      <c r="AB60" s="143"/>
      <c r="AC60" s="143"/>
      <c r="AD60" s="143"/>
      <c r="AE60" s="143"/>
      <c r="AF60" s="142"/>
      <c r="AG60" s="143"/>
      <c r="AH60" s="143"/>
      <c r="AI60" s="143"/>
      <c r="AJ60" s="143"/>
      <c r="AK60" s="142"/>
      <c r="AL60" s="143"/>
      <c r="AM60" s="143"/>
      <c r="AN60" s="143"/>
      <c r="AO60" s="143"/>
      <c r="AP60" s="142"/>
      <c r="AQ60" s="143"/>
      <c r="AR60" s="143"/>
      <c r="AS60" s="143"/>
      <c r="AT60" s="143"/>
      <c r="AU60" s="142"/>
      <c r="AV60" s="143"/>
      <c r="AW60" s="143"/>
      <c r="AX60" s="143"/>
      <c r="AY60" s="143"/>
      <c r="AZ60" s="142"/>
      <c r="BA60" s="143"/>
      <c r="BB60" s="143"/>
      <c r="BC60" s="143"/>
      <c r="BD60" s="143"/>
      <c r="BE60" s="142"/>
      <c r="BF60" s="143"/>
      <c r="BG60" s="143"/>
      <c r="BH60" s="143"/>
      <c r="BI60" s="143"/>
      <c r="BJ60" s="142"/>
      <c r="BK60" s="143"/>
      <c r="BL60" s="143"/>
      <c r="BM60" s="143"/>
      <c r="BN60" s="143"/>
      <c r="BO60" s="144"/>
      <c r="BP60" s="143"/>
      <c r="BQ60" s="143"/>
      <c r="BR60" s="143"/>
      <c r="BS60" s="143"/>
      <c r="BT60" s="142"/>
      <c r="BU60" s="143"/>
      <c r="BV60" s="143"/>
      <c r="BW60" s="143"/>
      <c r="BX60" s="143"/>
      <c r="BY60" s="142"/>
      <c r="BZ60" s="142"/>
      <c r="CA60" s="142"/>
      <c r="CB60" s="142"/>
      <c r="CC60" s="83"/>
    </row>
    <row r="61" s="51" customFormat="true" ht="15" hidden="false" customHeight="true" outlineLevel="0" collapsed="false">
      <c r="A61" s="209" t="s">
        <v>165</v>
      </c>
      <c r="B61" s="146"/>
      <c r="C61" s="147"/>
      <c r="D61" s="147"/>
      <c r="E61" s="147" t="n">
        <f aca="false">E33</f>
        <v>119.3</v>
      </c>
      <c r="F61" s="147" t="n">
        <f aca="false">F33</f>
        <v>43.7</v>
      </c>
      <c r="G61" s="147" t="n">
        <f aca="false">G33</f>
        <v>60.1</v>
      </c>
      <c r="H61" s="149" t="n">
        <f aca="false">H33</f>
        <v>61.8</v>
      </c>
      <c r="I61" s="149" t="n">
        <f aca="false">I33</f>
        <v>62.15</v>
      </c>
      <c r="J61" s="149" t="n">
        <f aca="false">J33</f>
        <v>123.83</v>
      </c>
      <c r="K61" s="149" t="n">
        <f aca="false">K33</f>
        <v>65.118</v>
      </c>
      <c r="L61" s="147" t="n">
        <f aca="false">L33</f>
        <v>299.845</v>
      </c>
      <c r="M61" s="149" t="n">
        <f aca="false">M33</f>
        <v>0</v>
      </c>
      <c r="N61" s="149" t="n">
        <f aca="false">N33</f>
        <v>68.07</v>
      </c>
      <c r="O61" s="149" t="n">
        <f aca="false">O33</f>
        <v>0</v>
      </c>
      <c r="P61" s="149" t="n">
        <f aca="false">P33</f>
        <v>0</v>
      </c>
      <c r="Q61" s="147" t="n">
        <f aca="false">Q33</f>
        <v>70.473</v>
      </c>
      <c r="R61" s="149" t="n">
        <f aca="false">R33</f>
        <v>0</v>
      </c>
      <c r="S61" s="149" t="n">
        <f aca="false">S33</f>
        <v>101.232</v>
      </c>
      <c r="T61" s="149" t="n">
        <f aca="false">T33</f>
        <v>88.039</v>
      </c>
      <c r="U61" s="149" t="n">
        <f aca="false">U33</f>
        <v>141.801</v>
      </c>
      <c r="V61" s="147" t="n">
        <f aca="false">V33</f>
        <v>324.9</v>
      </c>
      <c r="W61" s="149" t="n">
        <f aca="false">W33</f>
        <v>0</v>
      </c>
      <c r="X61" s="149" t="n">
        <f aca="false">X33</f>
        <v>221.456</v>
      </c>
      <c r="Y61" s="149" t="n">
        <f aca="false">Y33</f>
        <v>381.969</v>
      </c>
      <c r="Z61" s="149" t="n">
        <f aca="false">Z33</f>
        <v>488.725</v>
      </c>
      <c r="AA61" s="147" t="n">
        <f aca="false">AA33</f>
        <v>1101.5</v>
      </c>
      <c r="AB61" s="149" t="n">
        <f aca="false">AB33</f>
        <v>116.739</v>
      </c>
      <c r="AC61" s="149" t="n">
        <f aca="false">AC33</f>
        <v>667.68</v>
      </c>
      <c r="AD61" s="149" t="n">
        <f aca="false">AD33</f>
        <v>520.15</v>
      </c>
      <c r="AE61" s="149" t="n">
        <f aca="false">AE33</f>
        <v>581.832</v>
      </c>
      <c r="AF61" s="147" t="n">
        <f aca="false">AF33</f>
        <v>1880.1</v>
      </c>
      <c r="AG61" s="149" t="n">
        <f aca="false">AG33</f>
        <v>371.58</v>
      </c>
      <c r="AH61" s="149" t="n">
        <f aca="false">AH33</f>
        <v>758.828</v>
      </c>
      <c r="AI61" s="149" t="n">
        <f aca="false">AI33</f>
        <v>744.192</v>
      </c>
      <c r="AJ61" s="149" t="n">
        <f aca="false">AJ33</f>
        <v>907.932</v>
      </c>
      <c r="AK61" s="147" t="n">
        <f aca="false">AK33</f>
        <v>2799.7</v>
      </c>
      <c r="AL61" s="149" t="n">
        <f aca="false">AL33</f>
        <v>348.48</v>
      </c>
      <c r="AM61" s="149" t="n">
        <f aca="false">AM33</f>
        <v>951.054</v>
      </c>
      <c r="AN61" s="149" t="n">
        <f aca="false">AN33</f>
        <v>2043.096</v>
      </c>
      <c r="AO61" s="149" t="n">
        <f aca="false">AO33</f>
        <v>1151.424</v>
      </c>
      <c r="AP61" s="147" t="n">
        <f aca="false">AP33</f>
        <v>4463.8</v>
      </c>
      <c r="AQ61" s="149" t="n">
        <f aca="false">AQ33</f>
        <v>1126.368</v>
      </c>
      <c r="AR61" s="149" t="n">
        <f aca="false">AR33</f>
        <v>1327.32</v>
      </c>
      <c r="AS61" s="149" t="n">
        <f aca="false">AS33</f>
        <v>2219.994</v>
      </c>
      <c r="AT61" s="149" t="n">
        <f aca="false">AT33</f>
        <v>1593.118</v>
      </c>
      <c r="AU61" s="147" t="n">
        <f aca="false">AU33</f>
        <v>6284</v>
      </c>
      <c r="AV61" s="149" t="n">
        <f aca="false">AV33</f>
        <v>594.672</v>
      </c>
      <c r="AW61" s="149" t="n">
        <f aca="false">AW33</f>
        <v>1987.44</v>
      </c>
      <c r="AX61" s="149" t="n">
        <f aca="false">AX33</f>
        <v>2169.897</v>
      </c>
      <c r="AY61" s="149" t="n">
        <f aca="false">AY33</f>
        <v>2326.471</v>
      </c>
      <c r="AZ61" s="147" t="n">
        <f aca="false">AZ33</f>
        <v>7045.3</v>
      </c>
      <c r="BA61" s="149" t="n">
        <f aca="false">BA33</f>
        <v>2884.572</v>
      </c>
      <c r="BB61" s="149" t="n">
        <f aca="false">BB33</f>
        <v>2074.257</v>
      </c>
      <c r="BC61" s="149" t="n">
        <f aca="false">BC33</f>
        <v>1857.87</v>
      </c>
      <c r="BD61" s="149" t="n">
        <f aca="false">BD33</f>
        <v>2273</v>
      </c>
      <c r="BE61" s="147" t="n">
        <f aca="false">BE33</f>
        <v>9124</v>
      </c>
      <c r="BF61" s="149" t="n">
        <f aca="false">BF33</f>
        <v>1824.314</v>
      </c>
      <c r="BG61" s="149" t="n">
        <f aca="false">BG33</f>
        <v>1475.879</v>
      </c>
      <c r="BH61" s="149" t="n">
        <f aca="false">BH33</f>
        <v>2074.1</v>
      </c>
      <c r="BI61" s="149" t="n">
        <f aca="false">BI33</f>
        <v>2988.678</v>
      </c>
      <c r="BJ61" s="147" t="n">
        <f aca="false">BJ33</f>
        <v>8321.4</v>
      </c>
      <c r="BK61" s="149" t="n">
        <f aca="false">BK33</f>
        <v>3214.624</v>
      </c>
      <c r="BL61" s="149" t="n">
        <f aca="false">BL33</f>
        <v>2686.128</v>
      </c>
      <c r="BM61" s="149" t="n">
        <f aca="false">BM33</f>
        <v>2110.444</v>
      </c>
      <c r="BN61" s="149" t="n">
        <f aca="false">BN33</f>
        <v>3640.32</v>
      </c>
      <c r="BO61" s="150" t="n">
        <f aca="false">BO33</f>
        <v>11651.516</v>
      </c>
      <c r="BP61" s="149" t="n">
        <f aca="false">BP33</f>
        <v>3283.5088</v>
      </c>
      <c r="BQ61" s="149" t="n">
        <f aca="false">BQ33</f>
        <v>3809.41789090909</v>
      </c>
      <c r="BR61" s="149" t="n">
        <f aca="false">BR33</f>
        <v>4220.888</v>
      </c>
      <c r="BS61" s="149" t="n">
        <f aca="false">BS33</f>
        <v>4680.41142857143</v>
      </c>
      <c r="BT61" s="147" t="n">
        <f aca="false">BT33</f>
        <v>15994.2261194805</v>
      </c>
      <c r="BU61" s="149" t="n">
        <f aca="false">BU33</f>
        <v>3776.03512</v>
      </c>
      <c r="BV61" s="149" t="n">
        <f aca="false">BV33</f>
        <v>4190.35968</v>
      </c>
      <c r="BW61" s="149" t="n">
        <f aca="false">BW33</f>
        <v>4642.9768</v>
      </c>
      <c r="BX61" s="149" t="n">
        <f aca="false">BX33</f>
        <v>5148.45257142857</v>
      </c>
      <c r="BY61" s="147" t="n">
        <f aca="false">BY33</f>
        <v>17757.8241714286</v>
      </c>
      <c r="BZ61" s="147" t="n">
        <f aca="false">BZ33</f>
        <v>24734.1122387755</v>
      </c>
      <c r="CA61" s="147" t="n">
        <f aca="false">CA33</f>
        <v>25970.8178507143</v>
      </c>
      <c r="CB61" s="147" t="n">
        <f aca="false">CB33</f>
        <v>27269.35874325</v>
      </c>
      <c r="CC61" s="50"/>
    </row>
    <row r="62" s="51" customFormat="true" ht="15" hidden="false" customHeight="true" outlineLevel="0" collapsed="false">
      <c r="A62" s="210" t="s">
        <v>174</v>
      </c>
      <c r="B62" s="211"/>
      <c r="C62" s="133"/>
      <c r="D62" s="133"/>
      <c r="E62" s="133"/>
      <c r="F62" s="133" t="n">
        <f aca="false">F61/E61-1</f>
        <v>-0.633696563285834</v>
      </c>
      <c r="G62" s="133" t="n">
        <f aca="false">G61/F61-1</f>
        <v>0.375286041189931</v>
      </c>
      <c r="H62" s="134"/>
      <c r="I62" s="134"/>
      <c r="J62" s="134"/>
      <c r="K62" s="134"/>
      <c r="L62" s="133" t="n">
        <f aca="false">IFERROR(L61/G61-1,"N/A")</f>
        <v>3.98910149750416</v>
      </c>
      <c r="M62" s="134" t="n">
        <f aca="false">IFERROR(M61/H61-1,"N/A")</f>
        <v>-1</v>
      </c>
      <c r="N62" s="134" t="n">
        <f aca="false">IFERROR(N61/I61-1,"N/A")</f>
        <v>0.0952534191472243</v>
      </c>
      <c r="O62" s="134" t="n">
        <f aca="false">IFERROR(O61/J61-1,"N/A")</f>
        <v>-1</v>
      </c>
      <c r="P62" s="134" t="n">
        <f aca="false">IFERROR(P61/K61-1,"N/A")</f>
        <v>-1</v>
      </c>
      <c r="Q62" s="133" t="n">
        <f aca="false">IFERROR(Q61/L61-1,"N/A")</f>
        <v>-0.764968567092998</v>
      </c>
      <c r="R62" s="134" t="str">
        <f aca="false">IFERROR(R61/M61-1,"N/A")</f>
        <v>N/A</v>
      </c>
      <c r="S62" s="134" t="n">
        <f aca="false">IFERROR(S61/N61-1,"N/A")</f>
        <v>0.487174966945791</v>
      </c>
      <c r="T62" s="134" t="str">
        <f aca="false">IFERROR(T61/O61-1,"N/A")</f>
        <v>N/A</v>
      </c>
      <c r="U62" s="134" t="str">
        <f aca="false">IFERROR(U61/P61-1,"N/A")</f>
        <v>N/A</v>
      </c>
      <c r="V62" s="133" t="n">
        <f aca="false">IFERROR(V61/Q61-1,"N/A")</f>
        <v>3.6102762760206</v>
      </c>
      <c r="W62" s="134" t="str">
        <f aca="false">IFERROR(W61/R61-1,"N/A")</f>
        <v>N/A</v>
      </c>
      <c r="X62" s="134" t="n">
        <f aca="false">IFERROR(X61/S61-1,"N/A")</f>
        <v>1.18760866129287</v>
      </c>
      <c r="Y62" s="134" t="n">
        <f aca="false">IFERROR(Y61/T61-1,"N/A")</f>
        <v>3.33863401447086</v>
      </c>
      <c r="Z62" s="134" t="n">
        <f aca="false">IFERROR(Z61/U61-1,"N/A")</f>
        <v>2.44655538395357</v>
      </c>
      <c r="AA62" s="133" t="n">
        <f aca="false">IFERROR(AA61/V61-1,"N/A")</f>
        <v>2.39027393044014</v>
      </c>
      <c r="AB62" s="134" t="str">
        <f aca="false">IFERROR(AB61/W61-1,"N/A")</f>
        <v>N/A</v>
      </c>
      <c r="AC62" s="134" t="n">
        <f aca="false">IFERROR(AC61/X61-1,"N/A")</f>
        <v>2.01495556679431</v>
      </c>
      <c r="AD62" s="134" t="n">
        <f aca="false">IFERROR(AD61/Y61-1,"N/A")</f>
        <v>0.361759723956656</v>
      </c>
      <c r="AE62" s="134" t="n">
        <f aca="false">IFERROR(AE61/Z61-1,"N/A")</f>
        <v>0.190510000511535</v>
      </c>
      <c r="AF62" s="133" t="n">
        <f aca="false">IFERROR(AF61/AA61-1,"N/A")</f>
        <v>0.706854289605084</v>
      </c>
      <c r="AG62" s="134" t="n">
        <f aca="false">AG61/AB61-1</f>
        <v>2.18299796983013</v>
      </c>
      <c r="AH62" s="134" t="n">
        <f aca="false">AH61/AC61-1</f>
        <v>0.136514497963096</v>
      </c>
      <c r="AI62" s="134" t="n">
        <f aca="false">AI61/AD61-1</f>
        <v>0.430725752186869</v>
      </c>
      <c r="AJ62" s="134" t="n">
        <f aca="false">AJ61/AE61-1</f>
        <v>0.560471063812235</v>
      </c>
      <c r="AK62" s="133" t="n">
        <f aca="false">AK61/AF61-1</f>
        <v>0.489122918993671</v>
      </c>
      <c r="AL62" s="134" t="n">
        <f aca="false">AL61/AG61-1</f>
        <v>-0.0621669626998223</v>
      </c>
      <c r="AM62" s="134" t="n">
        <f aca="false">AM61/AH61-1</f>
        <v>0.25331959284581</v>
      </c>
      <c r="AN62" s="134" t="n">
        <f aca="false">AN61/AI61-1</f>
        <v>1.74538828689371</v>
      </c>
      <c r="AO62" s="134" t="n">
        <f aca="false">AO61/AJ61-1</f>
        <v>0.268183079790116</v>
      </c>
      <c r="AP62" s="133" t="n">
        <f aca="false">AP61/AK61-1</f>
        <v>0.594385112690646</v>
      </c>
      <c r="AQ62" s="134" t="n">
        <f aca="false">AQ61/AL61-1</f>
        <v>2.23223140495868</v>
      </c>
      <c r="AR62" s="134" t="n">
        <f aca="false">AR61/AM61-1</f>
        <v>0.395630532020264</v>
      </c>
      <c r="AS62" s="134" t="n">
        <f aca="false">AS61/AN61-1</f>
        <v>0.0865833029872312</v>
      </c>
      <c r="AT62" s="134" t="n">
        <f aca="false">AT61/AO61-1</f>
        <v>0.383606733922516</v>
      </c>
      <c r="AU62" s="133" t="n">
        <f aca="false">AU61/AP61-1</f>
        <v>0.407769165285183</v>
      </c>
      <c r="AV62" s="134" t="n">
        <f aca="false">AV61/AQ61-1</f>
        <v>-0.472044660359669</v>
      </c>
      <c r="AW62" s="134" t="n">
        <f aca="false">AW61/AR61-1</f>
        <v>0.497332971702378</v>
      </c>
      <c r="AX62" s="134" t="n">
        <f aca="false">AX61/AS61-1</f>
        <v>-0.0225662772061547</v>
      </c>
      <c r="AY62" s="134" t="n">
        <f aca="false">AY61/AT61-1</f>
        <v>0.460325600489104</v>
      </c>
      <c r="AZ62" s="133" t="n">
        <f aca="false">AZ61/AU61-1</f>
        <v>0.121148949713558</v>
      </c>
      <c r="BA62" s="134" t="n">
        <f aca="false">BA61/AV61-1</f>
        <v>3.8506941641779</v>
      </c>
      <c r="BB62" s="134" t="n">
        <f aca="false">BB61/AW61-1</f>
        <v>0.0436828281608503</v>
      </c>
      <c r="BC62" s="134" t="n">
        <f aca="false">BC61/AX61-1</f>
        <v>-0.143798069677962</v>
      </c>
      <c r="BD62" s="134" t="n">
        <f aca="false">BD61/AY61-1</f>
        <v>-0.0229837380306913</v>
      </c>
      <c r="BE62" s="133" t="n">
        <f aca="false">BE61/AZ61-1</f>
        <v>0.295047762338013</v>
      </c>
      <c r="BF62" s="134" t="n">
        <f aca="false">BF61/BA61-1</f>
        <v>-0.367561634793654</v>
      </c>
      <c r="BG62" s="134" t="n">
        <f aca="false">BG61/BB61-1</f>
        <v>-0.288478235821309</v>
      </c>
      <c r="BH62" s="134" t="n">
        <f aca="false">BH61/BC61-1</f>
        <v>0.116385968878339</v>
      </c>
      <c r="BI62" s="134" t="n">
        <f aca="false">BI61/BD61-1</f>
        <v>0.314860536735592</v>
      </c>
      <c r="BJ62" s="133" t="n">
        <f aca="false">BJ61/BE61-1</f>
        <v>-0.087965804471723</v>
      </c>
      <c r="BK62" s="134" t="n">
        <f aca="false">BK61/BF61-1</f>
        <v>0.762100164774266</v>
      </c>
      <c r="BL62" s="134" t="n">
        <f aca="false">BL61/BG61-1</f>
        <v>0.820019120808684</v>
      </c>
      <c r="BM62" s="134" t="n">
        <f aca="false">BM61/BH61-1</f>
        <v>0.0175227809652379</v>
      </c>
      <c r="BN62" s="134" t="n">
        <f aca="false">BN61/BI61-1</f>
        <v>0.218036871151726</v>
      </c>
      <c r="BO62" s="135" t="n">
        <f aca="false">BO61/BJ61-1</f>
        <v>0.400186987766482</v>
      </c>
      <c r="BP62" s="134" t="n">
        <f aca="false">BP61/BK61-1</f>
        <v>0.0214285714285716</v>
      </c>
      <c r="BQ62" s="134" t="n">
        <f aca="false">BQ61/BL61-1</f>
        <v>0.418181818181818</v>
      </c>
      <c r="BR62" s="134" t="n">
        <f aca="false">BR61/BM61-1</f>
        <v>1</v>
      </c>
      <c r="BS62" s="134" t="n">
        <f aca="false">BS61/BN61-1</f>
        <v>0.285714285714286</v>
      </c>
      <c r="BT62" s="133" t="n">
        <f aca="false">BT61/BO61-1</f>
        <v>0.372716316012485</v>
      </c>
      <c r="BU62" s="134" t="n">
        <f aca="false">BU61/BP61-1</f>
        <v>0.15</v>
      </c>
      <c r="BV62" s="134" t="n">
        <f aca="false">BV61/BQ61-1</f>
        <v>0.1</v>
      </c>
      <c r="BW62" s="134" t="n">
        <f aca="false">BW61/BR61-1</f>
        <v>0.0999999999999999</v>
      </c>
      <c r="BX62" s="134" t="n">
        <f aca="false">BX61/BS61-1</f>
        <v>0.0999999999999999</v>
      </c>
      <c r="BY62" s="133" t="n">
        <f aca="false">BY61/BT61-1</f>
        <v>0.110264669185841</v>
      </c>
      <c r="BZ62" s="133" t="n">
        <f aca="false">BZ61/BY61-1</f>
        <v>0.392857142857143</v>
      </c>
      <c r="CA62" s="133" t="n">
        <f aca="false">CA61/BZ61-1</f>
        <v>0.05</v>
      </c>
      <c r="CB62" s="133" t="n">
        <f aca="false">CB61/CA61-1</f>
        <v>0.0500000000000003</v>
      </c>
      <c r="CC62" s="50"/>
    </row>
    <row r="63" s="51" customFormat="true" ht="15" hidden="false" customHeight="true" outlineLevel="0" collapsed="false">
      <c r="A63" s="209" t="s">
        <v>190</v>
      </c>
      <c r="B63" s="146"/>
      <c r="C63" s="147"/>
      <c r="D63" s="147"/>
      <c r="E63" s="147" t="n">
        <f aca="false">E34+E35+E36+E37</f>
        <v>4764.613</v>
      </c>
      <c r="F63" s="147" t="n">
        <f aca="false">F34+F35+F36+F37</f>
        <v>3757.932</v>
      </c>
      <c r="G63" s="147" t="n">
        <f aca="false">G34+G35+G36+G37</f>
        <v>3933.029</v>
      </c>
      <c r="H63" s="149" t="n">
        <f aca="false">H34+H35+H36+H37</f>
        <v>968.2</v>
      </c>
      <c r="I63" s="149" t="n">
        <f aca="false">I34+I35+I36+I37</f>
        <v>1180.85</v>
      </c>
      <c r="J63" s="149" t="n">
        <f aca="false">J34+J35+J36+J37</f>
        <v>760.67</v>
      </c>
      <c r="K63" s="149" t="n">
        <f aca="false">K34+K35+K36+K37</f>
        <v>1020.182</v>
      </c>
      <c r="L63" s="147" t="n">
        <f aca="false">L34+L35+L36+L37</f>
        <v>3942.945</v>
      </c>
      <c r="M63" s="149" t="n">
        <f aca="false">M34+M35+M36+M37</f>
        <v>1246.5</v>
      </c>
      <c r="N63" s="149" t="n">
        <f aca="false">N34+N35+N36+N37</f>
        <v>1066.43</v>
      </c>
      <c r="O63" s="149" t="n">
        <f aca="false">O34+O35+O36+O37</f>
        <v>975.3</v>
      </c>
      <c r="P63" s="149" t="n">
        <f aca="false">P34+P35+P36+P37</f>
        <v>880.9</v>
      </c>
      <c r="Q63" s="147" t="n">
        <f aca="false">Q34+Q35+Q36+Q37</f>
        <v>4166.71</v>
      </c>
      <c r="R63" s="149" t="n">
        <f aca="false">R34+R35+R36+R37</f>
        <v>859.8</v>
      </c>
      <c r="S63" s="149" t="n">
        <f aca="false">S34+S35+S36+S37</f>
        <v>1164.168</v>
      </c>
      <c r="T63" s="149" t="n">
        <f aca="false">T34+T35+T36+T37</f>
        <v>1169.661</v>
      </c>
      <c r="U63" s="149" t="n">
        <f aca="false">U34+U35+U36+U37</f>
        <v>1082.844</v>
      </c>
      <c r="V63" s="147" t="n">
        <f aca="false">V34+V35+V36+V37</f>
        <v>4246.3</v>
      </c>
      <c r="W63" s="149" t="n">
        <f aca="false">W34+W35+W36+W37</f>
        <v>1155.01</v>
      </c>
      <c r="X63" s="149" t="n">
        <f aca="false">X34+X35+X36+X37</f>
        <v>1079.598</v>
      </c>
      <c r="Y63" s="149" t="n">
        <f aca="false">Y34+Y35+Y36+Y37</f>
        <v>1382.364</v>
      </c>
      <c r="Z63" s="149" t="n">
        <f aca="false">Z34+Z35+Z36+Z37</f>
        <v>1387.979</v>
      </c>
      <c r="AA63" s="147" t="n">
        <f aca="false">AA34+AA35+AA36+AA37</f>
        <v>4995.7</v>
      </c>
      <c r="AB63" s="149" t="n">
        <f aca="false">AB34+AB35+AB36+AB37</f>
        <v>1517.607</v>
      </c>
      <c r="AC63" s="149" t="n">
        <f aca="false">AC34+AC35+AC36+AC37</f>
        <v>1335.36</v>
      </c>
      <c r="AD63" s="149" t="n">
        <f aca="false">AD34+AD35+AD36+AD37</f>
        <v>1477.226</v>
      </c>
      <c r="AE63" s="149" t="n">
        <f aca="false">AE34+AE35+AE36+AE37</f>
        <v>1721.253</v>
      </c>
      <c r="AF63" s="147" t="n">
        <f aca="false">AF34+AF35+AF36+AF37</f>
        <v>6039.9</v>
      </c>
      <c r="AG63" s="149" t="n">
        <f aca="false">AG34+AG35+AG36+AG37</f>
        <v>1266.75</v>
      </c>
      <c r="AH63" s="149" t="n">
        <f aca="false">AH34+AH35+AH36+AH37</f>
        <v>1017.94</v>
      </c>
      <c r="AI63" s="149" t="n">
        <f aca="false">AI34+AI35+AI36+AI37</f>
        <v>1511.64</v>
      </c>
      <c r="AJ63" s="149" t="n">
        <f aca="false">AJ34+AJ35+AJ36+AJ37</f>
        <v>2128.944</v>
      </c>
      <c r="AK63" s="147" t="n">
        <f aca="false">AK34+AK35+AK36+AK37</f>
        <v>5922.1</v>
      </c>
      <c r="AL63" s="149" t="n">
        <f aca="false">AL34+AL35+AL36+AL37</f>
        <v>1188</v>
      </c>
      <c r="AM63" s="149" t="n">
        <f aca="false">AM34+AM35+AM36+AM37</f>
        <v>1390.002</v>
      </c>
      <c r="AN63" s="149" t="n">
        <f aca="false">AN34+AN35+AN36+AN37</f>
        <v>959.636</v>
      </c>
      <c r="AO63" s="149" t="n">
        <f aca="false">AO34+AO35+AO36+AO37</f>
        <v>1951.024</v>
      </c>
      <c r="AP63" s="147" t="n">
        <f aca="false">AP34+AP35+AP36+AP37</f>
        <v>5502.7</v>
      </c>
      <c r="AQ63" s="149" t="n">
        <f aca="false">AQ34+AQ35+AQ36+AQ37</f>
        <v>1908.568</v>
      </c>
      <c r="AR63" s="149" t="n">
        <f aca="false">AR34+AR35+AR36+AR37</f>
        <v>1504.296</v>
      </c>
      <c r="AS63" s="149" t="n">
        <f aca="false">AS34+AS35+AS36+AS37</f>
        <v>1767.773</v>
      </c>
      <c r="AT63" s="149" t="n">
        <f aca="false">AT34+AT35+AT36+AT37</f>
        <v>1697.017</v>
      </c>
      <c r="AU63" s="147" t="n">
        <f aca="false">AU34+AU35+AU36+AU37</f>
        <v>6855.1</v>
      </c>
      <c r="AV63" s="149" t="n">
        <f aca="false">AV34+AV35+AV36+AV37</f>
        <v>1532.424</v>
      </c>
      <c r="AW63" s="149" t="n">
        <f aca="false">AW34+AW35+AW36+AW37</f>
        <v>1987.44</v>
      </c>
      <c r="AX63" s="149" t="n">
        <f aca="false">AX34+AX35+AX36+AX37</f>
        <v>1914.615</v>
      </c>
      <c r="AY63" s="149" t="n">
        <f aca="false">AY34+AY35+AY36+AY37</f>
        <v>2278.992</v>
      </c>
      <c r="AZ63" s="147" t="n">
        <f aca="false">AZ34+AZ35+AZ36+AZ37</f>
        <v>7725.4</v>
      </c>
      <c r="BA63" s="149" t="n">
        <f aca="false">BA34+BA35+BA36+BA37</f>
        <v>2296.974</v>
      </c>
      <c r="BB63" s="149" t="n">
        <f aca="false">BB34+BB35+BB36+BB37</f>
        <v>3419.721</v>
      </c>
      <c r="BC63" s="149" t="n">
        <f aca="false">BC34+BC35+BC36+BC37</f>
        <v>3344.166</v>
      </c>
      <c r="BD63" s="149" t="n">
        <f aca="false">BD34+BD35+BD36+BD37</f>
        <v>3239.025</v>
      </c>
      <c r="BE63" s="147" t="n">
        <f aca="false">BE34+BE35+BE36+BE37</f>
        <v>12278.5</v>
      </c>
      <c r="BF63" s="149" t="n">
        <f aca="false">BF34+BF35+BF36+BF37</f>
        <v>2022.609</v>
      </c>
      <c r="BG63" s="149" t="n">
        <f aca="false">BG34+BG35+BG36+BG37</f>
        <v>3237.412</v>
      </c>
      <c r="BH63" s="149" t="n">
        <f aca="false">BH34+BH35+BH36+BH37</f>
        <v>3733.38</v>
      </c>
      <c r="BI63" s="149" t="n">
        <f aca="false">BI34+BI35+BI36+BI37</f>
        <v>3842.586</v>
      </c>
      <c r="BJ63" s="147" t="n">
        <f aca="false">BJ34+BJ35+BJ36+BJ37</f>
        <v>12801.8</v>
      </c>
      <c r="BK63" s="149" t="n">
        <f aca="false">BK34+BK35+BK36+BK37</f>
        <v>2353.564</v>
      </c>
      <c r="BL63" s="149" t="n">
        <f aca="false">BL34+BL35+BL36+BL37</f>
        <v>2798.05</v>
      </c>
      <c r="BM63" s="149" t="n">
        <f aca="false">BM34+BM35+BM36+BM37</f>
        <v>3221.204</v>
      </c>
      <c r="BN63" s="149" t="n">
        <f aca="false">BN34+BN35+BN36+BN37</f>
        <v>3640.32</v>
      </c>
      <c r="BO63" s="150" t="n">
        <f aca="false">BO34+BO35+BO36+BO37</f>
        <v>12013.138</v>
      </c>
      <c r="BP63" s="149" t="n">
        <f aca="false">BP34+BP35+BP36+BP37</f>
        <v>2694.2199425641</v>
      </c>
      <c r="BQ63" s="149" t="n">
        <f aca="false">BQ34+BQ35+BQ36+BQ37</f>
        <v>2723.08289078341</v>
      </c>
      <c r="BR63" s="149" t="n">
        <f aca="false">BR34+BR35+BR36+BR37</f>
        <v>2838.70396191388</v>
      </c>
      <c r="BS63" s="149" t="n">
        <f aca="false">BS34+BS35+BS36+BS37</f>
        <v>2807.37503005318</v>
      </c>
      <c r="BT63" s="147" t="n">
        <f aca="false">BT34+BT35+BT36+BT37</f>
        <v>11063.3818253146</v>
      </c>
      <c r="BU63" s="149" t="n">
        <f aca="false">BU34+BU35+BU36+BU37</f>
        <v>2470.31490461538</v>
      </c>
      <c r="BV63" s="149" t="n">
        <f aca="false">BV34+BV35+BV36+BV37</f>
        <v>2486.99735756221</v>
      </c>
      <c r="BW63" s="149" t="n">
        <f aca="false">BW34+BW35+BW36+BW37</f>
        <v>2959.63888697608</v>
      </c>
      <c r="BX63" s="149" t="n">
        <f aca="false">BX34+BX35+BX36+BX37</f>
        <v>2935.71253493208</v>
      </c>
      <c r="BY63" s="147" t="n">
        <f aca="false">BY34+BY35+BY36+BY37</f>
        <v>10852.6636840858</v>
      </c>
      <c r="BZ63" s="147" t="n">
        <f aca="false">BZ34+BZ35+BZ36+BZ37</f>
        <v>11586.2091003861</v>
      </c>
      <c r="CA63" s="147" t="n">
        <f aca="false">CA34+CA35+CA36+CA37</f>
        <v>12478.5501375623</v>
      </c>
      <c r="CB63" s="147" t="n">
        <f aca="false">CB34+CB35+CB36+CB37</f>
        <v>13446.9939446695</v>
      </c>
      <c r="CC63" s="50"/>
    </row>
    <row r="64" s="51" customFormat="true" ht="15" hidden="false" customHeight="true" outlineLevel="0" collapsed="false">
      <c r="A64" s="210" t="s">
        <v>191</v>
      </c>
      <c r="B64" s="211"/>
      <c r="C64" s="133"/>
      <c r="D64" s="133"/>
      <c r="E64" s="133"/>
      <c r="F64" s="133" t="n">
        <f aca="false">F63/E63-1</f>
        <v>-0.211282847106365</v>
      </c>
      <c r="G64" s="133" t="n">
        <f aca="false">G63/F63-1</f>
        <v>0.0465939777515929</v>
      </c>
      <c r="H64" s="134"/>
      <c r="I64" s="134"/>
      <c r="J64" s="134"/>
      <c r="K64" s="134"/>
      <c r="L64" s="133" t="n">
        <f aca="false">L63/G63-1</f>
        <v>0.00252121202259126</v>
      </c>
      <c r="M64" s="134" t="n">
        <f aca="false">M63/H63-1</f>
        <v>0.287440611443917</v>
      </c>
      <c r="N64" s="134" t="n">
        <f aca="false">N63/I63-1</f>
        <v>-0.0968963035101834</v>
      </c>
      <c r="O64" s="134" t="n">
        <f aca="false">O63/J63-1</f>
        <v>0.282159149171126</v>
      </c>
      <c r="P64" s="134" t="n">
        <f aca="false">P63/K63-1</f>
        <v>-0.136526619760003</v>
      </c>
      <c r="Q64" s="133" t="n">
        <f aca="false">Q63/L63-1</f>
        <v>0.0567507281993536</v>
      </c>
      <c r="R64" s="134" t="n">
        <f aca="false">R63/M63-1</f>
        <v>-0.310228640192539</v>
      </c>
      <c r="S64" s="134" t="n">
        <f aca="false">S63/N63-1</f>
        <v>0.0916497097793574</v>
      </c>
      <c r="T64" s="134" t="n">
        <f aca="false">T63/O63-1</f>
        <v>0.199283297446939</v>
      </c>
      <c r="U64" s="134" t="n">
        <f aca="false">U63/P63-1</f>
        <v>0.229247360653877</v>
      </c>
      <c r="V64" s="133" t="n">
        <f aca="false">V63/Q63-1</f>
        <v>0.019101401345426</v>
      </c>
      <c r="W64" s="134" t="n">
        <f aca="false">W63/R63-1</f>
        <v>0.343347290067457</v>
      </c>
      <c r="X64" s="134" t="n">
        <f aca="false">X63/S63-1</f>
        <v>-0.072644154451935</v>
      </c>
      <c r="Y64" s="134" t="n">
        <f aca="false">Y63/T63-1</f>
        <v>0.181850125805682</v>
      </c>
      <c r="Z64" s="134" t="n">
        <f aca="false">Z63/U63-1</f>
        <v>0.281790359460827</v>
      </c>
      <c r="AA64" s="133" t="n">
        <f aca="false">AA63/V63-1</f>
        <v>0.176483055836846</v>
      </c>
      <c r="AB64" s="134" t="n">
        <f aca="false">AB63/W63-1</f>
        <v>0.313934078492827</v>
      </c>
      <c r="AC64" s="134" t="n">
        <f aca="false">AC63/X63-1</f>
        <v>0.236904847915613</v>
      </c>
      <c r="AD64" s="134" t="n">
        <f aca="false">AD63/Y63-1</f>
        <v>0.0686230254838809</v>
      </c>
      <c r="AE64" s="134" t="n">
        <f aca="false">AE63/Z63-1</f>
        <v>0.240114583866182</v>
      </c>
      <c r="AF64" s="133" t="n">
        <f aca="false">AF63/AA63-1</f>
        <v>0.209019756991012</v>
      </c>
      <c r="AG64" s="134" t="n">
        <f aca="false">AG63/AB63-1</f>
        <v>-0.165297735184405</v>
      </c>
      <c r="AH64" s="134" t="n">
        <f aca="false">AH63/AC63-1</f>
        <v>-0.237703690390606</v>
      </c>
      <c r="AI64" s="134" t="n">
        <f aca="false">AI63/AD63-1</f>
        <v>0.0232963676512601</v>
      </c>
      <c r="AJ64" s="134" t="n">
        <f aca="false">AJ63/AE63-1</f>
        <v>0.236857103517032</v>
      </c>
      <c r="AK64" s="133" t="n">
        <f aca="false">AK63/AF63-1</f>
        <v>-0.0195036341661288</v>
      </c>
      <c r="AL64" s="134" t="n">
        <f aca="false">AL63/AG63-1</f>
        <v>-0.0621669626998224</v>
      </c>
      <c r="AM64" s="134" t="n">
        <f aca="false">AM63/AH63-1</f>
        <v>0.365504843114525</v>
      </c>
      <c r="AN64" s="134" t="n">
        <f aca="false">AN63/AI63-1</f>
        <v>-0.365168955571432</v>
      </c>
      <c r="AO64" s="134" t="n">
        <f aca="false">AO63/AJ63-1</f>
        <v>-0.0835719492856556</v>
      </c>
      <c r="AP64" s="133" t="n">
        <f aca="false">AP63/AK63-1</f>
        <v>-0.0708194728221407</v>
      </c>
      <c r="AQ64" s="134" t="n">
        <f aca="false">AQ63/AL63-1</f>
        <v>0.606538720538721</v>
      </c>
      <c r="AR64" s="134" t="n">
        <f aca="false">AR63/AM63-1</f>
        <v>0.0822257809700995</v>
      </c>
      <c r="AS64" s="134" t="n">
        <f aca="false">AS63/AN63-1</f>
        <v>0.842128682125306</v>
      </c>
      <c r="AT64" s="134" t="n">
        <f aca="false">AT63/AO63-1</f>
        <v>-0.130191632701597</v>
      </c>
      <c r="AU64" s="133" t="n">
        <f aca="false">AU63/AP63-1</f>
        <v>0.245770258236866</v>
      </c>
      <c r="AV64" s="134" t="n">
        <f aca="false">AV63/AQ63-1</f>
        <v>-0.197081791164895</v>
      </c>
      <c r="AW64" s="134" t="n">
        <f aca="false">AW63/AR63-1</f>
        <v>0.321176151502098</v>
      </c>
      <c r="AX64" s="134" t="n">
        <f aca="false">AX63/AS63-1</f>
        <v>0.0830660950246438</v>
      </c>
      <c r="AY64" s="134" t="n">
        <f aca="false">AY63/AT63-1</f>
        <v>0.342939994119093</v>
      </c>
      <c r="AZ64" s="133" t="n">
        <f aca="false">AZ63/AU63-1</f>
        <v>0.126956572478884</v>
      </c>
      <c r="BA64" s="134" t="n">
        <f aca="false">BA63/AV63-1</f>
        <v>0.498915443767522</v>
      </c>
      <c r="BB64" s="134" t="n">
        <f aca="false">BB63/AW63-1</f>
        <v>0.720666284265185</v>
      </c>
      <c r="BC64" s="134" t="n">
        <f aca="false">BC63/AX63-1</f>
        <v>0.746651937856958</v>
      </c>
      <c r="BD64" s="134" t="n">
        <f aca="false">BD63/AY63-1</f>
        <v>0.421253343583479</v>
      </c>
      <c r="BE64" s="133" t="n">
        <f aca="false">BE63/AZ63-1</f>
        <v>0.589367540839309</v>
      </c>
      <c r="BF64" s="134" t="n">
        <f aca="false">BF63/BA63-1</f>
        <v>-0.119446280192984</v>
      </c>
      <c r="BG64" s="134" t="n">
        <f aca="false">BG63/BB63-1</f>
        <v>-0.0533110742075159</v>
      </c>
      <c r="BH64" s="134" t="n">
        <f aca="false">BH63/BC63-1</f>
        <v>0.116385968878339</v>
      </c>
      <c r="BI64" s="134" t="n">
        <f aca="false">BI63/BD63-1</f>
        <v>0.186340333896775</v>
      </c>
      <c r="BJ64" s="133" t="n">
        <f aca="false">BJ63/BE63-1</f>
        <v>0.0426192124445168</v>
      </c>
      <c r="BK64" s="134" t="n">
        <f aca="false">BK63/BF63-1</f>
        <v>0.163627769875443</v>
      </c>
      <c r="BL64" s="134" t="n">
        <f aca="false">BL63/BG63-1</f>
        <v>-0.135713959174797</v>
      </c>
      <c r="BM64" s="134" t="n">
        <f aca="false">BM63/BH63-1</f>
        <v>-0.137188285146436</v>
      </c>
      <c r="BN64" s="134" t="n">
        <f aca="false">BN63/BI63-1</f>
        <v>-0.0526379891042127</v>
      </c>
      <c r="BO64" s="135" t="n">
        <f aca="false">BO63/BJ63-1</f>
        <v>-0.0616055554687622</v>
      </c>
      <c r="BP64" s="134" t="n">
        <f aca="false">BP63/BK63-1</f>
        <v>0.144740462789243</v>
      </c>
      <c r="BQ64" s="134" t="n">
        <f aca="false">BQ63/BL63-1</f>
        <v>-0.0267926267281104</v>
      </c>
      <c r="BR64" s="134" t="n">
        <f aca="false">BR63/BM63-1</f>
        <v>-0.118744431611945</v>
      </c>
      <c r="BS64" s="134" t="n">
        <f aca="false">BS63/BN63-1</f>
        <v>-0.228810920453923</v>
      </c>
      <c r="BT64" s="133" t="n">
        <f aca="false">BT63/BO63-1</f>
        <v>-0.0790597905963818</v>
      </c>
      <c r="BU64" s="134" t="n">
        <f aca="false">BU63/BP63-1</f>
        <v>-0.0831057013614214</v>
      </c>
      <c r="BV64" s="134" t="n">
        <f aca="false">BV63/BQ63-1</f>
        <v>-0.0866978871705511</v>
      </c>
      <c r="BW64" s="134" t="n">
        <f aca="false">BW63/BR63-1</f>
        <v>0.0426021616500885</v>
      </c>
      <c r="BX64" s="134" t="n">
        <f aca="false">BX63/BS63-1</f>
        <v>0.0457144141787385</v>
      </c>
      <c r="BY64" s="133" t="n">
        <f aca="false">BY63/BT63-1</f>
        <v>-0.0190464493186578</v>
      </c>
      <c r="BZ64" s="133" t="n">
        <f aca="false">BZ63/BY63-1</f>
        <v>0.0675912787545396</v>
      </c>
      <c r="CA64" s="133" t="n">
        <f aca="false">CA63/BZ63-1</f>
        <v>0.077017515344727</v>
      </c>
      <c r="CB64" s="133" t="n">
        <f aca="false">CB63/CA63-1</f>
        <v>0.0776086802097347</v>
      </c>
      <c r="CC64" s="50"/>
    </row>
    <row r="65" s="84" customFormat="true" ht="15" hidden="false" customHeight="true" outlineLevel="0" collapsed="false">
      <c r="A65" s="140"/>
      <c r="B65" s="141"/>
      <c r="C65" s="142"/>
      <c r="D65" s="142"/>
      <c r="E65" s="142"/>
      <c r="F65" s="142"/>
      <c r="G65" s="142"/>
      <c r="H65" s="143"/>
      <c r="I65" s="143"/>
      <c r="J65" s="143"/>
      <c r="K65" s="143"/>
      <c r="L65" s="142"/>
      <c r="M65" s="143"/>
      <c r="N65" s="143"/>
      <c r="O65" s="143"/>
      <c r="P65" s="143"/>
      <c r="Q65" s="142"/>
      <c r="R65" s="143"/>
      <c r="S65" s="143"/>
      <c r="T65" s="143"/>
      <c r="U65" s="143"/>
      <c r="V65" s="142"/>
      <c r="W65" s="143"/>
      <c r="X65" s="143"/>
      <c r="Y65" s="143"/>
      <c r="Z65" s="143"/>
      <c r="AA65" s="142"/>
      <c r="AB65" s="143"/>
      <c r="AC65" s="143"/>
      <c r="AD65" s="143"/>
      <c r="AE65" s="143"/>
      <c r="AF65" s="142"/>
      <c r="AG65" s="143"/>
      <c r="AH65" s="143"/>
      <c r="AI65" s="143"/>
      <c r="AJ65" s="143"/>
      <c r="AK65" s="142"/>
      <c r="AL65" s="143"/>
      <c r="AM65" s="143"/>
      <c r="AN65" s="143"/>
      <c r="AO65" s="143"/>
      <c r="AP65" s="142"/>
      <c r="AQ65" s="143"/>
      <c r="AR65" s="143"/>
      <c r="AS65" s="143"/>
      <c r="AT65" s="143"/>
      <c r="AU65" s="142"/>
      <c r="AV65" s="143"/>
      <c r="AW65" s="143"/>
      <c r="AX65" s="143"/>
      <c r="AY65" s="143"/>
      <c r="AZ65" s="142"/>
      <c r="BA65" s="143"/>
      <c r="BB65" s="143"/>
      <c r="BC65" s="143"/>
      <c r="BD65" s="143"/>
      <c r="BE65" s="142"/>
      <c r="BF65" s="143"/>
      <c r="BG65" s="143"/>
      <c r="BH65" s="143"/>
      <c r="BI65" s="143"/>
      <c r="BJ65" s="142"/>
      <c r="BK65" s="143"/>
      <c r="BL65" s="143"/>
      <c r="BM65" s="143"/>
      <c r="BN65" s="143"/>
      <c r="BO65" s="144"/>
      <c r="BP65" s="143"/>
      <c r="BQ65" s="143"/>
      <c r="BR65" s="143"/>
      <c r="BS65" s="143"/>
      <c r="BT65" s="142"/>
      <c r="BU65" s="143"/>
      <c r="BV65" s="143"/>
      <c r="BW65" s="143"/>
      <c r="BX65" s="143"/>
      <c r="BY65" s="142"/>
      <c r="BZ65" s="142"/>
      <c r="CA65" s="142"/>
      <c r="CB65" s="142"/>
      <c r="CC65" s="83"/>
    </row>
    <row r="66" s="45" customFormat="true" ht="15" hidden="false" customHeight="true" outlineLevel="0" collapsed="false">
      <c r="A66" s="212" t="s">
        <v>192</v>
      </c>
      <c r="B66" s="213"/>
      <c r="C66" s="214"/>
      <c r="D66" s="214"/>
      <c r="E66" s="214"/>
      <c r="F66" s="214"/>
      <c r="G66" s="214"/>
      <c r="H66" s="215"/>
      <c r="I66" s="215"/>
      <c r="J66" s="215"/>
      <c r="K66" s="215"/>
      <c r="L66" s="214"/>
      <c r="M66" s="215"/>
      <c r="N66" s="215"/>
      <c r="O66" s="215"/>
      <c r="P66" s="215"/>
      <c r="Q66" s="214"/>
      <c r="R66" s="215"/>
      <c r="S66" s="215"/>
      <c r="T66" s="215"/>
      <c r="U66" s="215"/>
      <c r="V66" s="214"/>
      <c r="W66" s="215"/>
      <c r="X66" s="215"/>
      <c r="Y66" s="215"/>
      <c r="Z66" s="215"/>
      <c r="AA66" s="214"/>
      <c r="AB66" s="215"/>
      <c r="AC66" s="215"/>
      <c r="AD66" s="215"/>
      <c r="AE66" s="215"/>
      <c r="AF66" s="214"/>
      <c r="AG66" s="215"/>
      <c r="AH66" s="215"/>
      <c r="AI66" s="215"/>
      <c r="AJ66" s="215"/>
      <c r="AK66" s="214"/>
      <c r="AL66" s="215"/>
      <c r="AM66" s="215"/>
      <c r="AN66" s="215"/>
      <c r="AO66" s="215"/>
      <c r="AP66" s="214"/>
      <c r="AQ66" s="215"/>
      <c r="AR66" s="215"/>
      <c r="AS66" s="215"/>
      <c r="AT66" s="215"/>
      <c r="AU66" s="214"/>
      <c r="AV66" s="216" t="n">
        <v>1400</v>
      </c>
      <c r="AW66" s="216" t="n">
        <v>300</v>
      </c>
      <c r="AX66" s="216" t="n">
        <v>200</v>
      </c>
      <c r="AY66" s="216" t="n">
        <v>1000</v>
      </c>
      <c r="AZ66" s="217" t="n">
        <v>2800</v>
      </c>
      <c r="BA66" s="215"/>
      <c r="BB66" s="215"/>
      <c r="BC66" s="215"/>
      <c r="BD66" s="215"/>
      <c r="BE66" s="214"/>
      <c r="BF66" s="215"/>
      <c r="BG66" s="215"/>
      <c r="BH66" s="215"/>
      <c r="BI66" s="215"/>
      <c r="BJ66" s="214"/>
      <c r="BK66" s="215"/>
      <c r="BL66" s="215"/>
      <c r="BM66" s="215"/>
      <c r="BN66" s="215"/>
      <c r="BO66" s="218"/>
      <c r="BP66" s="215"/>
      <c r="BQ66" s="215"/>
      <c r="BR66" s="215"/>
      <c r="BS66" s="215"/>
      <c r="BT66" s="214"/>
      <c r="BU66" s="215"/>
      <c r="BV66" s="215"/>
      <c r="BW66" s="215"/>
      <c r="BX66" s="215"/>
      <c r="BY66" s="214"/>
      <c r="BZ66" s="214"/>
      <c r="CA66" s="214"/>
      <c r="CB66" s="214"/>
      <c r="CC66" s="92"/>
    </row>
    <row r="67" s="45" customFormat="true" ht="15" hidden="false" customHeight="true" outlineLevel="0" collapsed="false">
      <c r="A67" s="212" t="s">
        <v>193</v>
      </c>
      <c r="B67" s="213"/>
      <c r="C67" s="214"/>
      <c r="D67" s="214"/>
      <c r="E67" s="214"/>
      <c r="F67" s="214"/>
      <c r="G67" s="214"/>
      <c r="H67" s="215"/>
      <c r="I67" s="215"/>
      <c r="J67" s="215"/>
      <c r="K67" s="215"/>
      <c r="L67" s="214"/>
      <c r="M67" s="215"/>
      <c r="N67" s="215"/>
      <c r="O67" s="215"/>
      <c r="P67" s="215"/>
      <c r="Q67" s="214"/>
      <c r="R67" s="215"/>
      <c r="S67" s="215"/>
      <c r="T67" s="215"/>
      <c r="U67" s="215"/>
      <c r="V67" s="214"/>
      <c r="W67" s="215"/>
      <c r="X67" s="215"/>
      <c r="Y67" s="215"/>
      <c r="Z67" s="215"/>
      <c r="AA67" s="214"/>
      <c r="AB67" s="215"/>
      <c r="AC67" s="215"/>
      <c r="AD67" s="215"/>
      <c r="AE67" s="215"/>
      <c r="AF67" s="214"/>
      <c r="AG67" s="215"/>
      <c r="AH67" s="215"/>
      <c r="AI67" s="215"/>
      <c r="AJ67" s="215"/>
      <c r="AK67" s="214"/>
      <c r="AL67" s="215"/>
      <c r="AM67" s="215"/>
      <c r="AN67" s="215"/>
      <c r="AO67" s="215"/>
      <c r="AP67" s="214"/>
      <c r="AQ67" s="215"/>
      <c r="AR67" s="215"/>
      <c r="AS67" s="215"/>
      <c r="AT67" s="215"/>
      <c r="AU67" s="214"/>
      <c r="AV67" s="216" t="n">
        <v>4900</v>
      </c>
      <c r="AW67" s="216" t="n">
        <v>5700</v>
      </c>
      <c r="AX67" s="216" t="n">
        <v>6000</v>
      </c>
      <c r="AY67" s="216" t="n">
        <v>7400</v>
      </c>
      <c r="AZ67" s="217" t="n">
        <v>24000</v>
      </c>
      <c r="BA67" s="215"/>
      <c r="BB67" s="215"/>
      <c r="BC67" s="215"/>
      <c r="BD67" s="215"/>
      <c r="BE67" s="214"/>
      <c r="BF67" s="215"/>
      <c r="BG67" s="215"/>
      <c r="BH67" s="215"/>
      <c r="BI67" s="215"/>
      <c r="BJ67" s="214"/>
      <c r="BK67" s="215"/>
      <c r="BL67" s="215"/>
      <c r="BM67" s="215"/>
      <c r="BN67" s="215"/>
      <c r="BO67" s="218"/>
      <c r="BP67" s="215"/>
      <c r="BQ67" s="215"/>
      <c r="BR67" s="215"/>
      <c r="BS67" s="215"/>
      <c r="BT67" s="214"/>
      <c r="BU67" s="215"/>
      <c r="BV67" s="215"/>
      <c r="BW67" s="215"/>
      <c r="BX67" s="215"/>
      <c r="BY67" s="214"/>
      <c r="BZ67" s="214"/>
      <c r="CA67" s="214"/>
      <c r="CB67" s="214"/>
      <c r="CC67" s="92"/>
    </row>
    <row r="68" s="45" customFormat="true" ht="15" hidden="false" customHeight="true" outlineLevel="0" collapsed="false">
      <c r="A68" s="212"/>
      <c r="B68" s="213"/>
      <c r="C68" s="214"/>
      <c r="D68" s="214"/>
      <c r="E68" s="214"/>
      <c r="F68" s="214"/>
      <c r="G68" s="214"/>
      <c r="H68" s="215"/>
      <c r="I68" s="215"/>
      <c r="J68" s="215"/>
      <c r="K68" s="215"/>
      <c r="L68" s="214"/>
      <c r="M68" s="215"/>
      <c r="N68" s="215"/>
      <c r="O68" s="215"/>
      <c r="P68" s="215"/>
      <c r="Q68" s="214"/>
      <c r="R68" s="215"/>
      <c r="S68" s="215"/>
      <c r="T68" s="215"/>
      <c r="U68" s="215"/>
      <c r="V68" s="214"/>
      <c r="W68" s="215"/>
      <c r="X68" s="215"/>
      <c r="Y68" s="215"/>
      <c r="Z68" s="215"/>
      <c r="AA68" s="214"/>
      <c r="AB68" s="215"/>
      <c r="AC68" s="215"/>
      <c r="AD68" s="215"/>
      <c r="AE68" s="215"/>
      <c r="AF68" s="214"/>
      <c r="AG68" s="215"/>
      <c r="AH68" s="215"/>
      <c r="AI68" s="215"/>
      <c r="AJ68" s="215"/>
      <c r="AK68" s="214"/>
      <c r="AL68" s="215"/>
      <c r="AM68" s="215"/>
      <c r="AN68" s="215"/>
      <c r="AO68" s="215"/>
      <c r="AP68" s="214"/>
      <c r="AQ68" s="215"/>
      <c r="AR68" s="215"/>
      <c r="AS68" s="215"/>
      <c r="AT68" s="215"/>
      <c r="AU68" s="214"/>
      <c r="AV68" s="215"/>
      <c r="AW68" s="215"/>
      <c r="AX68" s="215"/>
      <c r="AY68" s="215"/>
      <c r="AZ68" s="214"/>
      <c r="BA68" s="215"/>
      <c r="BB68" s="215"/>
      <c r="BC68" s="215"/>
      <c r="BD68" s="215"/>
      <c r="BE68" s="214"/>
      <c r="BF68" s="215"/>
      <c r="BG68" s="215"/>
      <c r="BH68" s="215"/>
      <c r="BI68" s="215"/>
      <c r="BJ68" s="214"/>
      <c r="BK68" s="215"/>
      <c r="BL68" s="215"/>
      <c r="BM68" s="215"/>
      <c r="BN68" s="215"/>
      <c r="BO68" s="218"/>
      <c r="BP68" s="215"/>
      <c r="BQ68" s="215"/>
      <c r="BR68" s="215"/>
      <c r="BS68" s="215"/>
      <c r="BT68" s="214"/>
      <c r="BU68" s="215"/>
      <c r="BV68" s="215"/>
      <c r="BW68" s="215"/>
      <c r="BX68" s="215"/>
      <c r="BY68" s="214"/>
      <c r="BZ68" s="214"/>
      <c r="CA68" s="214"/>
      <c r="CB68" s="214"/>
      <c r="CC68" s="92"/>
    </row>
    <row r="69" s="157" customFormat="true" ht="15" hidden="false" customHeight="true" outlineLevel="0" collapsed="false">
      <c r="A69" s="219" t="s">
        <v>194</v>
      </c>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c r="AA69" s="219"/>
      <c r="AB69" s="219"/>
      <c r="AC69" s="219"/>
      <c r="AD69" s="219"/>
      <c r="AE69" s="219"/>
      <c r="AF69" s="219"/>
      <c r="AG69" s="219"/>
      <c r="AH69" s="219"/>
      <c r="AI69" s="219"/>
      <c r="AJ69" s="219"/>
      <c r="AK69" s="219"/>
      <c r="AL69" s="219"/>
      <c r="AM69" s="219"/>
      <c r="AN69" s="219"/>
      <c r="AO69" s="219"/>
      <c r="AP69" s="219"/>
      <c r="AQ69" s="219"/>
      <c r="AR69" s="219"/>
      <c r="AS69" s="219"/>
      <c r="AT69" s="219"/>
      <c r="AU69" s="219"/>
      <c r="AV69" s="219"/>
      <c r="AW69" s="219"/>
      <c r="AX69" s="219"/>
      <c r="AY69" s="219"/>
      <c r="AZ69" s="219"/>
      <c r="BA69" s="219"/>
      <c r="BB69" s="219"/>
      <c r="BC69" s="219"/>
      <c r="BD69" s="219"/>
      <c r="BE69" s="219"/>
      <c r="BF69" s="219"/>
      <c r="BG69" s="219"/>
      <c r="BH69" s="219"/>
      <c r="BI69" s="219"/>
      <c r="BJ69" s="219"/>
      <c r="BK69" s="219"/>
      <c r="BL69" s="219"/>
      <c r="BM69" s="219"/>
      <c r="BN69" s="219"/>
      <c r="BO69" s="220"/>
      <c r="BP69" s="219"/>
      <c r="BQ69" s="219"/>
      <c r="BR69" s="219"/>
      <c r="BS69" s="219"/>
      <c r="BT69" s="219"/>
      <c r="BU69" s="219"/>
      <c r="BV69" s="219"/>
      <c r="BW69" s="219"/>
      <c r="BX69" s="219"/>
      <c r="BY69" s="219"/>
      <c r="BZ69" s="219"/>
      <c r="CA69" s="219"/>
      <c r="CB69" s="219"/>
      <c r="CC69" s="156"/>
    </row>
    <row r="70" s="157" customFormat="true" ht="15" hidden="true" customHeight="true" outlineLevel="1" collapsed="false">
      <c r="A70" s="221" t="s">
        <v>195</v>
      </c>
      <c r="B70" s="222"/>
      <c r="C70" s="223" t="n">
        <f aca="false">C329</f>
        <v>1596.063</v>
      </c>
      <c r="D70" s="223" t="n">
        <f aca="false">D329</f>
        <v>4507.938</v>
      </c>
      <c r="E70" s="223" t="n">
        <f aca="false">E329</f>
        <v>5651.035</v>
      </c>
      <c r="F70" s="223" t="n">
        <f aca="false">F329</f>
        <v>4731.555</v>
      </c>
      <c r="G70" s="223" t="n">
        <f aca="false">G329</f>
        <v>5245.326</v>
      </c>
      <c r="H70" s="224" t="n">
        <f aca="false">H329</f>
        <v>1396.5</v>
      </c>
      <c r="I70" s="224" t="n">
        <f aca="false">I329</f>
        <v>1643.6</v>
      </c>
      <c r="J70" s="224" t="n">
        <f aca="false">J329</f>
        <v>1322.2</v>
      </c>
      <c r="K70" s="224" t="n">
        <f aca="false">K329</f>
        <v>1494</v>
      </c>
      <c r="L70" s="223" t="n">
        <f aca="false">L329</f>
        <v>5856.277</v>
      </c>
      <c r="M70" s="224" t="n">
        <f aca="false">M329</f>
        <v>1649.9</v>
      </c>
      <c r="N70" s="224" t="n">
        <f aca="false">N329</f>
        <v>1654.1</v>
      </c>
      <c r="O70" s="224" t="n">
        <f aca="false">O329</f>
        <v>1549.2</v>
      </c>
      <c r="P70" s="224" t="n">
        <f aca="false">P329</f>
        <v>1434.2</v>
      </c>
      <c r="Q70" s="223" t="n">
        <f aca="false">Q329</f>
        <v>6287.375</v>
      </c>
      <c r="R70" s="224" t="n">
        <f aca="false">R329</f>
        <v>1333.2</v>
      </c>
      <c r="S70" s="224" t="n">
        <f aca="false">S329</f>
        <v>1739.6</v>
      </c>
      <c r="T70" s="224" t="n">
        <f aca="false">T329</f>
        <v>1814.6</v>
      </c>
      <c r="U70" s="224" t="n">
        <f aca="false">U329</f>
        <v>1907.4</v>
      </c>
      <c r="V70" s="223" t="n">
        <f aca="false">V329</f>
        <v>6794.8</v>
      </c>
      <c r="W70" s="224" t="n">
        <f aca="false">W329</f>
        <v>1943.6</v>
      </c>
      <c r="X70" s="224" t="n">
        <f aca="false">X329</f>
        <v>2101.4</v>
      </c>
      <c r="Y70" s="224" t="n">
        <f aca="false">Y329</f>
        <v>2447.4</v>
      </c>
      <c r="Z70" s="224" t="n">
        <f aca="false">Z329</f>
        <v>2560.4</v>
      </c>
      <c r="AA70" s="223" t="n">
        <f aca="false">AA329</f>
        <v>9052.8</v>
      </c>
      <c r="AB70" s="224" t="n">
        <f aca="false">AB329</f>
        <v>2285</v>
      </c>
      <c r="AC70" s="224" t="n">
        <f aca="false">AC329</f>
        <v>2740.4</v>
      </c>
      <c r="AD70" s="224" t="n">
        <f aca="false">AD329</f>
        <v>2776.1</v>
      </c>
      <c r="AE70" s="224" t="n">
        <f aca="false">AE329</f>
        <v>3142.5</v>
      </c>
      <c r="AF70" s="223" t="n">
        <f aca="false">AF329</f>
        <v>10944</v>
      </c>
      <c r="AG70" s="224" t="n">
        <f aca="false">AG329</f>
        <v>2229.1</v>
      </c>
      <c r="AH70" s="224" t="n">
        <f aca="false">AH329</f>
        <v>2567.9</v>
      </c>
      <c r="AI70" s="224" t="n">
        <f aca="false">AI329</f>
        <v>2986.5</v>
      </c>
      <c r="AJ70" s="224" t="n">
        <f aca="false">AJ329</f>
        <v>4036.5</v>
      </c>
      <c r="AK70" s="223" t="n">
        <f aca="false">AK329</f>
        <v>11820</v>
      </c>
      <c r="AL70" s="224" t="n">
        <f aca="false">AL329</f>
        <v>2440.6</v>
      </c>
      <c r="AM70" s="224" t="n">
        <f aca="false">AM329</f>
        <v>3325.7</v>
      </c>
      <c r="AN70" s="224" t="n">
        <f aca="false">AN329</f>
        <v>3958</v>
      </c>
      <c r="AO70" s="224" t="n">
        <f aca="false">AO329</f>
        <v>4254.2</v>
      </c>
      <c r="AP70" s="223" t="n">
        <f aca="false">AP329</f>
        <v>13978.5</v>
      </c>
      <c r="AQ70" s="224" t="n">
        <f aca="false">AQ329</f>
        <v>4363.9</v>
      </c>
      <c r="AR70" s="224" t="n">
        <f aca="false">AR329</f>
        <v>4020.2</v>
      </c>
      <c r="AS70" s="224" t="n">
        <f aca="false">AS329</f>
        <v>5241.3</v>
      </c>
      <c r="AT70" s="224" t="n">
        <f aca="false">AT329</f>
        <v>4985.6</v>
      </c>
      <c r="AU70" s="223" t="n">
        <f aca="false">AU329</f>
        <v>18611</v>
      </c>
      <c r="AV70" s="224" t="n">
        <f aca="false">AV329</f>
        <v>3534.4</v>
      </c>
      <c r="AW70" s="224" t="n">
        <f aca="false">AW329</f>
        <v>5430.5</v>
      </c>
      <c r="AX70" s="224" t="n">
        <f aca="false">AX329</f>
        <v>5778.3</v>
      </c>
      <c r="AY70" s="224" t="n">
        <f aca="false">AY329</f>
        <v>6430.2</v>
      </c>
      <c r="AZ70" s="223" t="n">
        <f aca="false">AZ329</f>
        <v>21173.4</v>
      </c>
      <c r="BA70" s="224" t="n">
        <f aca="false">BA329</f>
        <v>6746.2</v>
      </c>
      <c r="BB70" s="224" t="n">
        <f aca="false">BB329</f>
        <v>6902.3</v>
      </c>
      <c r="BC70" s="224" t="n">
        <f aca="false">BC329</f>
        <v>6673</v>
      </c>
      <c r="BD70" s="224" t="n">
        <f aca="false">BD329</f>
        <v>7237</v>
      </c>
      <c r="BE70" s="223" t="n">
        <f aca="false">BE329</f>
        <v>27558.5</v>
      </c>
      <c r="BF70" s="224" t="n">
        <f aca="false">BF329</f>
        <v>5290</v>
      </c>
      <c r="BG70" s="224" t="n">
        <f aca="false">BG329</f>
        <v>6242.8</v>
      </c>
      <c r="BH70" s="224" t="n">
        <f aca="false">BH329</f>
        <v>7467.3</v>
      </c>
      <c r="BI70" s="224" t="n">
        <f aca="false">BI329</f>
        <v>9262.8</v>
      </c>
      <c r="BJ70" s="223" t="n">
        <f aca="false">BJ329</f>
        <v>28262.9</v>
      </c>
      <c r="BK70" s="224" t="n">
        <f aca="false">BK329</f>
        <v>7741.5</v>
      </c>
      <c r="BL70" s="224" t="n">
        <f aca="false">BL329</f>
        <v>7691.7</v>
      </c>
      <c r="BM70" s="224" t="n">
        <f aca="false">BM329</f>
        <v>7516</v>
      </c>
      <c r="BN70" s="224" t="n">
        <f aca="false">BN329</f>
        <v>9718.1</v>
      </c>
      <c r="BO70" s="225" t="n">
        <f aca="false">BO329</f>
        <v>32667.3</v>
      </c>
      <c r="BP70" s="224" t="n">
        <f aca="false">BP41</f>
        <v>8589.53007589744</v>
      </c>
      <c r="BQ70" s="224" t="n">
        <f aca="false">BQ41</f>
        <v>8863.45644835917</v>
      </c>
      <c r="BR70" s="224" t="n">
        <f aca="false">BR41</f>
        <v>9379.07929524721</v>
      </c>
      <c r="BS70" s="224" t="n">
        <f aca="false">BS41</f>
        <v>10082.5114586246</v>
      </c>
      <c r="BT70" s="223" t="n">
        <f aca="false">BT41</f>
        <v>36914.5772781284</v>
      </c>
      <c r="BU70" s="224" t="n">
        <f aca="false">BU41</f>
        <v>8892.68862461538</v>
      </c>
      <c r="BV70" s="224" t="n">
        <f aca="false">BV41</f>
        <v>9036.84528756221</v>
      </c>
      <c r="BW70" s="224" t="n">
        <f aca="false">BW41</f>
        <v>9955.66498697608</v>
      </c>
      <c r="BX70" s="224" t="n">
        <f aca="false">BX41</f>
        <v>10718.9941563606</v>
      </c>
      <c r="BY70" s="223" t="n">
        <f aca="false">BY41</f>
        <v>38604.1930555143</v>
      </c>
      <c r="BZ70" s="223" t="n">
        <f aca="false">BZ41</f>
        <v>46543.9565046616</v>
      </c>
      <c r="CA70" s="223" t="n">
        <f aca="false">CA41</f>
        <v>48909.0345116615</v>
      </c>
      <c r="CB70" s="223" t="n">
        <f aca="false">CB41</f>
        <v>51418.3491290759</v>
      </c>
      <c r="CC70" s="156"/>
    </row>
    <row r="71" s="51" customFormat="true" ht="15" hidden="true" customHeight="true" outlineLevel="1" collapsed="false">
      <c r="A71" s="226" t="s">
        <v>196</v>
      </c>
      <c r="B71" s="227"/>
      <c r="C71" s="228" t="n">
        <f aca="false">C70-C72</f>
        <v>1137.671</v>
      </c>
      <c r="D71" s="228" t="n">
        <f aca="false">D70-D72</f>
        <v>2552.768</v>
      </c>
      <c r="E71" s="228" t="n">
        <f aca="false">E70-E72</f>
        <v>3201.645</v>
      </c>
      <c r="F71" s="228" t="n">
        <f aca="false">F70-F72</f>
        <v>2726.298</v>
      </c>
      <c r="G71" s="228" t="n">
        <f aca="false">G70-G72</f>
        <v>3068.064</v>
      </c>
      <c r="H71" s="229" t="n">
        <f aca="false">H70-H72</f>
        <v>787</v>
      </c>
      <c r="I71" s="229" t="n">
        <f aca="false">I70-I72</f>
        <v>891.7</v>
      </c>
      <c r="J71" s="229" t="n">
        <f aca="false">J70-J72</f>
        <v>744.1</v>
      </c>
      <c r="K71" s="229" t="n">
        <f aca="false">K70-K72</f>
        <v>837.1</v>
      </c>
      <c r="L71" s="228" t="n">
        <f aca="false">L70-L72</f>
        <v>3259.903</v>
      </c>
      <c r="M71" s="229" t="n">
        <f aca="false">M70-M72</f>
        <v>871.3</v>
      </c>
      <c r="N71" s="229" t="n">
        <f aca="false">N70-N72</f>
        <v>900.3</v>
      </c>
      <c r="O71" s="229" t="n">
        <f aca="false">O70-O72</f>
        <v>845.7</v>
      </c>
      <c r="P71" s="229" t="n">
        <f aca="false">P70-P72</f>
        <v>774.4</v>
      </c>
      <c r="Q71" s="228" t="n">
        <f aca="false">Q70-Q72</f>
        <v>3391.631</v>
      </c>
      <c r="R71" s="229" t="n">
        <f aca="false">R70-R72</f>
        <v>765.1</v>
      </c>
      <c r="S71" s="229" t="n">
        <f aca="false">S70-S72</f>
        <v>998.2</v>
      </c>
      <c r="T71" s="229" t="n">
        <f aca="false">T70-T72</f>
        <v>980.2</v>
      </c>
      <c r="U71" s="229" t="n">
        <f aca="false">U70-U72</f>
        <v>1006.8</v>
      </c>
      <c r="V71" s="228" t="n">
        <f aca="false">V70-V72</f>
        <v>3750.3</v>
      </c>
      <c r="W71" s="229" t="n">
        <f aca="false">W70-W72</f>
        <v>1019</v>
      </c>
      <c r="X71" s="229" t="n">
        <f aca="false">X70-X72</f>
        <v>1154.9</v>
      </c>
      <c r="Y71" s="229" t="n">
        <f aca="false">Y70-Y72</f>
        <v>1397.9</v>
      </c>
      <c r="Z71" s="229" t="n">
        <f aca="false">Z70-Z72</f>
        <v>1404.3</v>
      </c>
      <c r="AA71" s="228" t="n">
        <f aca="false">AA70-AA72</f>
        <v>4976.1</v>
      </c>
      <c r="AB71" s="229" t="n">
        <f aca="false">AB70-AB72</f>
        <v>1171.5</v>
      </c>
      <c r="AC71" s="229" t="n">
        <f aca="false">AC70-AC72</f>
        <v>1553.5</v>
      </c>
      <c r="AD71" s="229" t="n">
        <f aca="false">AD70-AD72</f>
        <v>1440.2</v>
      </c>
      <c r="AE71" s="229" t="n">
        <f aca="false">AE70-AE72</f>
        <v>1749.6</v>
      </c>
      <c r="AF71" s="228" t="n">
        <f aca="false">AF70-AF72</f>
        <v>5914.8</v>
      </c>
      <c r="AG71" s="229" t="n">
        <f aca="false">AG70-AG72</f>
        <v>1301.1</v>
      </c>
      <c r="AH71" s="229" t="n">
        <f aca="false">AH70-AH72</f>
        <v>1462.7</v>
      </c>
      <c r="AI71" s="229" t="n">
        <f aca="false">AI70-AI72</f>
        <v>1680.1</v>
      </c>
      <c r="AJ71" s="229" t="n">
        <f aca="false">AJ70-AJ72</f>
        <v>2096.3</v>
      </c>
      <c r="AK71" s="228" t="n">
        <f aca="false">AK70-AK72</f>
        <v>6540.2</v>
      </c>
      <c r="AL71" s="229" t="n">
        <f aca="false">AL70-AL72</f>
        <v>1339.2</v>
      </c>
      <c r="AM71" s="229" t="n">
        <f aca="false">AM70-AM72</f>
        <v>1722.5</v>
      </c>
      <c r="AN71" s="229" t="n">
        <f aca="false">AN70-AN72</f>
        <v>2076.6</v>
      </c>
      <c r="AO71" s="229" t="n">
        <f aca="false">AO70-AO72</f>
        <v>2043</v>
      </c>
      <c r="AP71" s="228" t="n">
        <f aca="false">AP70-AP72</f>
        <v>7181.3</v>
      </c>
      <c r="AQ71" s="229" t="n">
        <f aca="false">AQ70-AQ72</f>
        <v>2011.5</v>
      </c>
      <c r="AR71" s="229" t="n">
        <f aca="false">AR70-AR72</f>
        <v>1975.6</v>
      </c>
      <c r="AS71" s="229" t="n">
        <f aca="false">AS70-AS72</f>
        <v>2529.9</v>
      </c>
      <c r="AT71" s="229" t="n">
        <f aca="false">AT70-AT72</f>
        <v>2285</v>
      </c>
      <c r="AU71" s="228" t="n">
        <f aca="false">AU70-AU72</f>
        <v>8802</v>
      </c>
      <c r="AV71" s="229" t="n">
        <f aca="false">AV70-AV72</f>
        <v>1803.4</v>
      </c>
      <c r="AW71" s="229" t="n">
        <f aca="false">AW70-AW72</f>
        <v>2766</v>
      </c>
      <c r="AX71" s="229" t="n">
        <f aca="false">AX70-AX72</f>
        <v>2784.6</v>
      </c>
      <c r="AY71" s="229" t="n">
        <f aca="false">AY70-AY72</f>
        <v>3119.3</v>
      </c>
      <c r="AZ71" s="228" t="n">
        <f aca="false">AZ70-AZ72</f>
        <v>10473.3</v>
      </c>
      <c r="BA71" s="229" t="n">
        <f aca="false">BA70-BA72</f>
        <v>3333</v>
      </c>
      <c r="BB71" s="229" t="n">
        <f aca="false">BB70-BB72</f>
        <v>3358.3</v>
      </c>
      <c r="BC71" s="229" t="n">
        <f aca="false">BC70-BC72</f>
        <v>3211.4</v>
      </c>
      <c r="BD71" s="229" t="n">
        <f aca="false">BD70-BD72</f>
        <v>3519.7</v>
      </c>
      <c r="BE71" s="228" t="n">
        <f aca="false">BE70-BE72</f>
        <v>13422.4</v>
      </c>
      <c r="BF71" s="229" t="n">
        <f aca="false">BF70-BF72</f>
        <v>2593.4</v>
      </c>
      <c r="BG71" s="229" t="n">
        <f aca="false">BG70-BG72</f>
        <v>3030.6</v>
      </c>
      <c r="BH71" s="229" t="n">
        <f aca="false">BH70-BH72</f>
        <v>3673.9</v>
      </c>
      <c r="BI71" s="229" t="n">
        <f aca="false">BI70-BI72</f>
        <v>4473</v>
      </c>
      <c r="BJ71" s="228" t="n">
        <f aca="false">BJ70-BJ72</f>
        <v>13770.9</v>
      </c>
      <c r="BK71" s="229" t="n">
        <f aca="false">BK70-BK72</f>
        <v>3561.8</v>
      </c>
      <c r="BL71" s="229" t="n">
        <f aca="false">BL70-BL72</f>
        <v>3562.2</v>
      </c>
      <c r="BM71" s="229" t="n">
        <f aca="false">BM70-BM72</f>
        <v>3635.7</v>
      </c>
      <c r="BN71" s="229" t="n">
        <f aca="false">BN70-BN72</f>
        <v>4649.6</v>
      </c>
      <c r="BO71" s="230" t="n">
        <f aca="false">BO70-BO72</f>
        <v>15409.3</v>
      </c>
      <c r="BP71" s="229" t="n">
        <f aca="false">BP70-BP72</f>
        <v>4123.76221223054</v>
      </c>
      <c r="BQ71" s="229" t="n">
        <f aca="false">BQ70-BQ72</f>
        <v>4087.13996443144</v>
      </c>
      <c r="BR71" s="229" t="n">
        <f aca="false">BR70-BR72</f>
        <v>4518.16554999523</v>
      </c>
      <c r="BS71" s="229" t="n">
        <f aca="false">BS70-BS72</f>
        <v>4803.78670406858</v>
      </c>
      <c r="BT71" s="228" t="n">
        <f aca="false">BT70-BT72</f>
        <v>17532.8544307258</v>
      </c>
      <c r="BU71" s="229" t="n">
        <f aca="false">BU70-BU72</f>
        <v>4251.52074209512</v>
      </c>
      <c r="BV71" s="229" t="n">
        <f aca="false">BV70-BV72</f>
        <v>3941.17234227789</v>
      </c>
      <c r="BW71" s="229" t="n">
        <f aca="false">BW70-BW72</f>
        <v>4547.03142442947</v>
      </c>
      <c r="BX71" s="229" t="n">
        <f aca="false">BX70-BX72</f>
        <v>5085.59926333036</v>
      </c>
      <c r="BY71" s="228" t="n">
        <f aca="false">BY70-BY72</f>
        <v>17825.3237721328</v>
      </c>
      <c r="BZ71" s="228" t="n">
        <f aca="false">BZ70-BZ72</f>
        <v>21398.3882367078</v>
      </c>
      <c r="CA71" s="228" t="n">
        <f aca="false">CA70-CA72</f>
        <v>22387.9048337612</v>
      </c>
      <c r="CB71" s="228" t="n">
        <f aca="false">CB70-CB72</f>
        <v>23433.6963473162</v>
      </c>
      <c r="CC71" s="50"/>
    </row>
    <row r="72" s="157" customFormat="true" ht="15" hidden="false" customHeight="true" outlineLevel="0" collapsed="false">
      <c r="A72" s="221" t="s">
        <v>197</v>
      </c>
      <c r="B72" s="222"/>
      <c r="C72" s="223" t="n">
        <f aca="false">C333</f>
        <v>458.392</v>
      </c>
      <c r="D72" s="223" t="n">
        <f aca="false">D333</f>
        <v>1955.17</v>
      </c>
      <c r="E72" s="223" t="n">
        <f aca="false">E333</f>
        <v>2449.39</v>
      </c>
      <c r="F72" s="223" t="n">
        <f aca="false">F333</f>
        <v>2005.257</v>
      </c>
      <c r="G72" s="223" t="n">
        <f aca="false">G333</f>
        <v>2177.262</v>
      </c>
      <c r="H72" s="224" t="n">
        <f aca="false">H333</f>
        <v>609.5</v>
      </c>
      <c r="I72" s="224" t="n">
        <f aca="false">I333</f>
        <v>751.9</v>
      </c>
      <c r="J72" s="224" t="n">
        <f aca="false">J333</f>
        <v>578.1</v>
      </c>
      <c r="K72" s="224" t="n">
        <f aca="false">K333</f>
        <v>656.9</v>
      </c>
      <c r="L72" s="223" t="n">
        <f aca="false">L333</f>
        <v>2596.374</v>
      </c>
      <c r="M72" s="224" t="n">
        <f aca="false">M333</f>
        <v>778.6</v>
      </c>
      <c r="N72" s="224" t="n">
        <f aca="false">N333</f>
        <v>753.8</v>
      </c>
      <c r="O72" s="224" t="n">
        <f aca="false">O333</f>
        <v>703.5</v>
      </c>
      <c r="P72" s="224" t="n">
        <f aca="false">P333</f>
        <v>659.8</v>
      </c>
      <c r="Q72" s="223" t="n">
        <f aca="false">Q333</f>
        <v>2895.744</v>
      </c>
      <c r="R72" s="224" t="n">
        <f aca="false">R333</f>
        <v>568.1</v>
      </c>
      <c r="S72" s="224" t="n">
        <f aca="false">S333</f>
        <v>741.4</v>
      </c>
      <c r="T72" s="224" t="n">
        <f aca="false">T333</f>
        <v>834.4</v>
      </c>
      <c r="U72" s="224" t="n">
        <f aca="false">U333</f>
        <v>900.6</v>
      </c>
      <c r="V72" s="223" t="n">
        <f aca="false">V333</f>
        <v>3044.5</v>
      </c>
      <c r="W72" s="224" t="n">
        <f aca="false">W333</f>
        <v>924.6</v>
      </c>
      <c r="X72" s="224" t="n">
        <f aca="false">X333</f>
        <v>946.5</v>
      </c>
      <c r="Y72" s="224" t="n">
        <f aca="false">Y333</f>
        <v>1049.5</v>
      </c>
      <c r="Z72" s="224" t="n">
        <f aca="false">Z333</f>
        <v>1156.1</v>
      </c>
      <c r="AA72" s="223" t="n">
        <f aca="false">AA333</f>
        <v>4076.7</v>
      </c>
      <c r="AB72" s="224" t="n">
        <f aca="false">AB333</f>
        <v>1113.5</v>
      </c>
      <c r="AC72" s="224" t="n">
        <f aca="false">AC333</f>
        <v>1186.9</v>
      </c>
      <c r="AD72" s="224" t="n">
        <f aca="false">AD333</f>
        <v>1335.9</v>
      </c>
      <c r="AE72" s="224" t="n">
        <f aca="false">AE333</f>
        <v>1392.9</v>
      </c>
      <c r="AF72" s="223" t="n">
        <f aca="false">AF333</f>
        <v>5029.2</v>
      </c>
      <c r="AG72" s="224" t="n">
        <f aca="false">AG333</f>
        <v>928</v>
      </c>
      <c r="AH72" s="224" t="n">
        <f aca="false">AH333</f>
        <v>1105.2</v>
      </c>
      <c r="AI72" s="224" t="n">
        <f aca="false">AI333</f>
        <v>1306.4</v>
      </c>
      <c r="AJ72" s="224" t="n">
        <f aca="false">AJ333</f>
        <v>1940.2</v>
      </c>
      <c r="AK72" s="223" t="n">
        <f aca="false">AK333</f>
        <v>5279.8</v>
      </c>
      <c r="AL72" s="224" t="n">
        <f aca="false">AL333</f>
        <v>1101.4</v>
      </c>
      <c r="AM72" s="224" t="n">
        <f aca="false">AM333</f>
        <v>1603.2</v>
      </c>
      <c r="AN72" s="224" t="n">
        <f aca="false">AN333</f>
        <v>1881.4</v>
      </c>
      <c r="AO72" s="224" t="n">
        <f aca="false">AO333</f>
        <v>2211.2</v>
      </c>
      <c r="AP72" s="223" t="n">
        <f aca="false">AP333</f>
        <v>6797.2</v>
      </c>
      <c r="AQ72" s="224" t="n">
        <f aca="false">AQ333</f>
        <v>2352.4</v>
      </c>
      <c r="AR72" s="224" t="n">
        <f aca="false">AR333</f>
        <v>2044.6</v>
      </c>
      <c r="AS72" s="224" t="n">
        <f aca="false">AS333</f>
        <v>2711.4</v>
      </c>
      <c r="AT72" s="224" t="n">
        <f aca="false">AT333</f>
        <v>2700.6</v>
      </c>
      <c r="AU72" s="223" t="n">
        <f aca="false">AU333</f>
        <v>9809</v>
      </c>
      <c r="AV72" s="224" t="n">
        <f aca="false">AV333</f>
        <v>1731</v>
      </c>
      <c r="AW72" s="224" t="n">
        <f aca="false">AW333</f>
        <v>2664.5</v>
      </c>
      <c r="AX72" s="224" t="n">
        <f aca="false">AX333</f>
        <v>2993.7</v>
      </c>
      <c r="AY72" s="224" t="n">
        <f aca="false">AY333</f>
        <v>3310.9</v>
      </c>
      <c r="AZ72" s="223" t="n">
        <f aca="false">AZ333</f>
        <v>10700.1</v>
      </c>
      <c r="BA72" s="224" t="n">
        <f aca="false">BA333</f>
        <v>3413.2</v>
      </c>
      <c r="BB72" s="224" t="n">
        <f aca="false">BB333</f>
        <v>3544</v>
      </c>
      <c r="BC72" s="224" t="n">
        <f aca="false">BC333</f>
        <v>3461.6</v>
      </c>
      <c r="BD72" s="224" t="n">
        <f aca="false">BD333</f>
        <v>3717.3</v>
      </c>
      <c r="BE72" s="223" t="n">
        <f aca="false">BE333</f>
        <v>14136.1</v>
      </c>
      <c r="BF72" s="224" t="n">
        <f aca="false">BF333</f>
        <v>2696.6</v>
      </c>
      <c r="BG72" s="224" t="n">
        <f aca="false">BG333</f>
        <v>3212.2</v>
      </c>
      <c r="BH72" s="224" t="n">
        <f aca="false">BH333</f>
        <v>3793.4</v>
      </c>
      <c r="BI72" s="224" t="n">
        <f aca="false">BI333</f>
        <v>4789.8</v>
      </c>
      <c r="BJ72" s="223" t="n">
        <f aca="false">BJ333</f>
        <v>14492</v>
      </c>
      <c r="BK72" s="224" t="n">
        <f aca="false">BK333</f>
        <v>4179.7</v>
      </c>
      <c r="BL72" s="224" t="n">
        <f aca="false">BL333</f>
        <v>4129.5</v>
      </c>
      <c r="BM72" s="224" t="n">
        <f aca="false">BM333</f>
        <v>3880.3</v>
      </c>
      <c r="BN72" s="224" t="n">
        <f aca="false">BN333</f>
        <v>5068.5</v>
      </c>
      <c r="BO72" s="225" t="n">
        <f aca="false">BO333</f>
        <v>17258</v>
      </c>
      <c r="BP72" s="224" t="n">
        <f aca="false">BP70*BP74</f>
        <v>4465.7678636669</v>
      </c>
      <c r="BQ72" s="224" t="n">
        <f aca="false">BQ70*BQ74</f>
        <v>4776.31648392773</v>
      </c>
      <c r="BR72" s="224" t="n">
        <f aca="false">BR70*BR74</f>
        <v>4860.91374525198</v>
      </c>
      <c r="BS72" s="224" t="n">
        <f aca="false">BS70*BS74</f>
        <v>5278.72475455603</v>
      </c>
      <c r="BT72" s="223" t="n">
        <f aca="false">BS72+BR72+BQ72+BP72</f>
        <v>19381.7228474026</v>
      </c>
      <c r="BU72" s="224" t="n">
        <f aca="false">BU70*BU74</f>
        <v>4641.16788252027</v>
      </c>
      <c r="BV72" s="224" t="n">
        <f aca="false">BV70*BV74</f>
        <v>5095.67294528432</v>
      </c>
      <c r="BW72" s="224" t="n">
        <f aca="false">BW70*BW74</f>
        <v>5408.63356254661</v>
      </c>
      <c r="BX72" s="224" t="n">
        <f aca="false">BX70*BX74</f>
        <v>5633.39489303029</v>
      </c>
      <c r="BY72" s="223" t="n">
        <f aca="false">BX72+BW72+BV72+BU72</f>
        <v>20778.8692833815</v>
      </c>
      <c r="BZ72" s="223" t="n">
        <f aca="false">BZ70*BZ74</f>
        <v>25145.5682679538</v>
      </c>
      <c r="CA72" s="223" t="n">
        <f aca="false">CA70*CA74</f>
        <v>26521.1296779004</v>
      </c>
      <c r="CB72" s="223" t="n">
        <f aca="false">CB70*CB74</f>
        <v>27984.6527817598</v>
      </c>
      <c r="CC72" s="156"/>
    </row>
    <row r="73" s="139" customFormat="true" ht="15" hidden="false" customHeight="true" outlineLevel="0" collapsed="false">
      <c r="A73" s="131" t="s">
        <v>198</v>
      </c>
      <c r="B73" s="132"/>
      <c r="C73" s="133"/>
      <c r="D73" s="133" t="n">
        <f aca="false">D72/C72-1</f>
        <v>3.26527949876961</v>
      </c>
      <c r="E73" s="133" t="n">
        <f aca="false">E72/D72-1</f>
        <v>0.252775973444764</v>
      </c>
      <c r="F73" s="133" t="n">
        <f aca="false">F72/E72-1</f>
        <v>-0.181323921466161</v>
      </c>
      <c r="G73" s="133" t="n">
        <f aca="false">G72/F72-1</f>
        <v>0.0857770350633356</v>
      </c>
      <c r="H73" s="134"/>
      <c r="I73" s="134"/>
      <c r="J73" s="134"/>
      <c r="K73" s="134"/>
      <c r="L73" s="133" t="n">
        <f aca="false">L72/G72-1</f>
        <v>0.192494977637051</v>
      </c>
      <c r="M73" s="134" t="n">
        <f aca="false">M72/H72-1</f>
        <v>0.277440525020509</v>
      </c>
      <c r="N73" s="134" t="n">
        <f aca="false">N72/I72-1</f>
        <v>0.00252693177284224</v>
      </c>
      <c r="O73" s="134" t="n">
        <f aca="false">O72/J72-1</f>
        <v>0.216917488323819</v>
      </c>
      <c r="P73" s="134" t="n">
        <f aca="false">P72/K72-1</f>
        <v>0.0044146749885825</v>
      </c>
      <c r="Q73" s="133" t="n">
        <f aca="false">Q72/L72-1</f>
        <v>0.11530311118506</v>
      </c>
      <c r="R73" s="134" t="n">
        <f aca="false">R72/M72-1</f>
        <v>-0.270357051117391</v>
      </c>
      <c r="S73" s="134" t="n">
        <f aca="false">S72/N72-1</f>
        <v>-0.0164499867338815</v>
      </c>
      <c r="T73" s="134" t="n">
        <f aca="false">T72/O72-1</f>
        <v>0.186069651741294</v>
      </c>
      <c r="U73" s="134" t="n">
        <f aca="false">U72/P72-1</f>
        <v>0.364959078508639</v>
      </c>
      <c r="V73" s="133" t="n">
        <f aca="false">V72/Q72-1</f>
        <v>0.0513705631437036</v>
      </c>
      <c r="W73" s="134" t="n">
        <f aca="false">W72/R72-1</f>
        <v>0.62753036437247</v>
      </c>
      <c r="X73" s="134" t="n">
        <f aca="false">X72/S72-1</f>
        <v>0.276638791475586</v>
      </c>
      <c r="Y73" s="134" t="n">
        <f aca="false">Y72/T72-1</f>
        <v>0.257790028763183</v>
      </c>
      <c r="Z73" s="134" t="n">
        <f aca="false">Z72/U72-1</f>
        <v>0.28369975571841</v>
      </c>
      <c r="AA73" s="133" t="n">
        <f aca="false">AA72/V72-1</f>
        <v>0.339037608802758</v>
      </c>
      <c r="AB73" s="134" t="n">
        <f aca="false">AB72/W72-1</f>
        <v>0.204304564135843</v>
      </c>
      <c r="AC73" s="134" t="n">
        <f aca="false">AC72/X72-1</f>
        <v>0.253988378235606</v>
      </c>
      <c r="AD73" s="134" t="n">
        <f aca="false">AD72/Y72-1</f>
        <v>0.272891853263459</v>
      </c>
      <c r="AE73" s="134" t="n">
        <f aca="false">AE72/Z72-1</f>
        <v>0.20482657209584</v>
      </c>
      <c r="AF73" s="133" t="n">
        <f aca="false">AF72/AA72-1</f>
        <v>0.233644859813085</v>
      </c>
      <c r="AG73" s="134" t="n">
        <f aca="false">AG72/AB72-1</f>
        <v>-0.166591827570723</v>
      </c>
      <c r="AH73" s="134" t="n">
        <f aca="false">AH72/AC72-1</f>
        <v>-0.0688347796781532</v>
      </c>
      <c r="AI73" s="134" t="n">
        <f aca="false">AI72/AD72-1</f>
        <v>-0.0220824912044313</v>
      </c>
      <c r="AJ73" s="134" t="n">
        <f aca="false">AJ72/AE72-1</f>
        <v>0.392921243448919</v>
      </c>
      <c r="AK73" s="133" t="n">
        <f aca="false">AK72/AF72-1</f>
        <v>0.0498289986478961</v>
      </c>
      <c r="AL73" s="134" t="n">
        <f aca="false">AL72/AG72-1</f>
        <v>0.186853448275862</v>
      </c>
      <c r="AM73" s="134" t="n">
        <f aca="false">AM72/AH72-1</f>
        <v>0.450597176981542</v>
      </c>
      <c r="AN73" s="134" t="n">
        <f aca="false">AN72/AI72-1</f>
        <v>0.440140845070423</v>
      </c>
      <c r="AO73" s="134" t="n">
        <f aca="false">AO72/AJ72-1</f>
        <v>0.139676322028657</v>
      </c>
      <c r="AP73" s="133" t="n">
        <f aca="false">AP72/AK72-1</f>
        <v>0.287397249895829</v>
      </c>
      <c r="AQ73" s="134" t="n">
        <f aca="false">AQ72/AL72-1</f>
        <v>1.13582712910841</v>
      </c>
      <c r="AR73" s="134" t="n">
        <f aca="false">AR72/AM72-1</f>
        <v>0.275324351297405</v>
      </c>
      <c r="AS73" s="134" t="n">
        <f aca="false">AS72/AN72-1</f>
        <v>0.441160837674073</v>
      </c>
      <c r="AT73" s="134" t="n">
        <f aca="false">AT72/AO72-1</f>
        <v>0.221327785817655</v>
      </c>
      <c r="AU73" s="133" t="n">
        <f aca="false">AU72/AP72-1</f>
        <v>0.443094215265109</v>
      </c>
      <c r="AV73" s="134" t="n">
        <f aca="false">AV72/AQ72-1</f>
        <v>-0.26415575582384</v>
      </c>
      <c r="AW73" s="134" t="n">
        <f aca="false">AW72/AR72-1</f>
        <v>0.303188887802015</v>
      </c>
      <c r="AX73" s="134" t="n">
        <f aca="false">AX72/AS72-1</f>
        <v>0.104115954857269</v>
      </c>
      <c r="AY73" s="134" t="n">
        <f aca="false">AY72/AT72-1</f>
        <v>0.225986817744205</v>
      </c>
      <c r="AZ73" s="133" t="n">
        <f aca="false">AZ72/AU72-1</f>
        <v>0.0908451422163321</v>
      </c>
      <c r="BA73" s="134" t="n">
        <f aca="false">BA72/AV72-1</f>
        <v>0.971808203350665</v>
      </c>
      <c r="BB73" s="134" t="n">
        <f aca="false">BB72/AW72-1</f>
        <v>0.330080690561081</v>
      </c>
      <c r="BC73" s="134" t="n">
        <f aca="false">BC72/AX72-1</f>
        <v>0.156294885927114</v>
      </c>
      <c r="BD73" s="134" t="n">
        <f aca="false">BD72/AY72-1</f>
        <v>0.122746081125978</v>
      </c>
      <c r="BE73" s="133" t="n">
        <f aca="false">BE72/AZ72-1</f>
        <v>0.32111849421968</v>
      </c>
      <c r="BF73" s="134" t="n">
        <f aca="false">BF72/BA72-1</f>
        <v>-0.20994960740654</v>
      </c>
      <c r="BG73" s="134" t="n">
        <f aca="false">BG72/BB72-1</f>
        <v>-0.0936230248307</v>
      </c>
      <c r="BH73" s="134" t="n">
        <f aca="false">BH72/BC72-1</f>
        <v>0.0958516293043681</v>
      </c>
      <c r="BI73" s="134" t="n">
        <f aca="false">BI72/BD72-1</f>
        <v>0.288515858284239</v>
      </c>
      <c r="BJ73" s="133" t="n">
        <f aca="false">BJ72/BE72-1</f>
        <v>0.0251766753206331</v>
      </c>
      <c r="BK73" s="134" t="n">
        <f aca="false">BK72/BF72-1</f>
        <v>0.549988874879478</v>
      </c>
      <c r="BL73" s="134" t="n">
        <f aca="false">BL72/BG72-1</f>
        <v>0.285567523815454</v>
      </c>
      <c r="BM73" s="134" t="n">
        <f aca="false">BM72/BH72-1</f>
        <v>0.0229082089945696</v>
      </c>
      <c r="BN73" s="134" t="n">
        <f aca="false">BN72/BI72-1</f>
        <v>0.0581861455593138</v>
      </c>
      <c r="BO73" s="135" t="n">
        <f aca="false">BO72/BJ72-1</f>
        <v>0.190863924924096</v>
      </c>
      <c r="BP73" s="134" t="n">
        <f aca="false">BP72/BK72-1</f>
        <v>0.0684422000782115</v>
      </c>
      <c r="BQ73" s="134" t="n">
        <f aca="false">BQ72/BL72-1</f>
        <v>0.156633123605212</v>
      </c>
      <c r="BR73" s="134" t="n">
        <f aca="false">BR72/BM72-1</f>
        <v>0.252715961459677</v>
      </c>
      <c r="BS73" s="134" t="n">
        <f aca="false">BS72/BN72-1</f>
        <v>0.0414767198492703</v>
      </c>
      <c r="BT73" s="133" t="n">
        <f aca="false">BT72/BO72-1</f>
        <v>0.123057297914164</v>
      </c>
      <c r="BU73" s="134" t="n">
        <f aca="false">BU72/BP72-1</f>
        <v>0.0392765643463926</v>
      </c>
      <c r="BV73" s="134" t="n">
        <f aca="false">BV72/BQ72-1</f>
        <v>0.0668625000942102</v>
      </c>
      <c r="BW73" s="134" t="n">
        <f aca="false">BW72/BR72-1</f>
        <v>0.112678365838033</v>
      </c>
      <c r="BX73" s="134" t="n">
        <f aca="false">BX72/BS72-1</f>
        <v>0.0671886023547921</v>
      </c>
      <c r="BY73" s="133" t="n">
        <f aca="false">BY72/BT72-1</f>
        <v>0.0720857710627145</v>
      </c>
      <c r="BZ73" s="133" t="n">
        <f aca="false">BZ72/BY72-1</f>
        <v>0.210150943490688</v>
      </c>
      <c r="CA73" s="133" t="n">
        <f aca="false">CA72/BZ72-1</f>
        <v>0.0547039301434145</v>
      </c>
      <c r="CB73" s="133" t="n">
        <f aca="false">CB72/CA72-1</f>
        <v>0.0551832867466007</v>
      </c>
      <c r="CC73" s="138"/>
    </row>
    <row r="74" s="237" customFormat="true" ht="15" hidden="false" customHeight="true" outlineLevel="0" collapsed="false">
      <c r="A74" s="231" t="s">
        <v>199</v>
      </c>
      <c r="B74" s="232"/>
      <c r="C74" s="233" t="n">
        <f aca="false">C72/C70</f>
        <v>0.287201695672414</v>
      </c>
      <c r="D74" s="233" t="n">
        <f aca="false">D72/D70</f>
        <v>0.433717145178128</v>
      </c>
      <c r="E74" s="233" t="n">
        <f aca="false">E72/E70</f>
        <v>0.433440953736793</v>
      </c>
      <c r="F74" s="233" t="n">
        <f aca="false">F72/F70</f>
        <v>0.423805070426107</v>
      </c>
      <c r="G74" s="233" t="n">
        <f aca="false">G72/G70</f>
        <v>0.41508611666844</v>
      </c>
      <c r="H74" s="234" t="n">
        <f aca="false">H72/H70</f>
        <v>0.436448263515933</v>
      </c>
      <c r="I74" s="234" t="n">
        <f aca="false">I72/I70</f>
        <v>0.457471404234607</v>
      </c>
      <c r="J74" s="234" t="n">
        <f aca="false">J72/J70</f>
        <v>0.437225835728332</v>
      </c>
      <c r="K74" s="234" t="n">
        <f aca="false">K72/K70</f>
        <v>0.439692101740295</v>
      </c>
      <c r="L74" s="233" t="n">
        <f aca="false">L72/L70</f>
        <v>0.443348905798001</v>
      </c>
      <c r="M74" s="234" t="n">
        <f aca="false">M72/M70</f>
        <v>0.471907388326565</v>
      </c>
      <c r="N74" s="234" t="n">
        <f aca="false">N72/N70</f>
        <v>0.455716099389396</v>
      </c>
      <c r="O74" s="234" t="n">
        <f aca="false">O72/O70</f>
        <v>0.454105344694036</v>
      </c>
      <c r="P74" s="234" t="n">
        <f aca="false">P72/P70</f>
        <v>0.460047413192023</v>
      </c>
      <c r="Q74" s="233" t="n">
        <f aca="false">Q72/Q70</f>
        <v>0.460564862124496</v>
      </c>
      <c r="R74" s="234" t="n">
        <f aca="false">R72/R70</f>
        <v>0.426117611761176</v>
      </c>
      <c r="S74" s="234" t="n">
        <f aca="false">S72/S70</f>
        <v>0.426189928719246</v>
      </c>
      <c r="T74" s="234" t="n">
        <f aca="false">T72/T70</f>
        <v>0.459825856938168</v>
      </c>
      <c r="U74" s="234" t="n">
        <f aca="false">U72/U70</f>
        <v>0.472161056936143</v>
      </c>
      <c r="V74" s="233" t="n">
        <f aca="false">V72/V70</f>
        <v>0.448063224818979</v>
      </c>
      <c r="W74" s="234" t="n">
        <f aca="false">W72/W70</f>
        <v>0.475715167729986</v>
      </c>
      <c r="X74" s="234" t="n">
        <f aca="false">X72/X70</f>
        <v>0.450414009707814</v>
      </c>
      <c r="Y74" s="234" t="n">
        <f aca="false">Y72/Y70</f>
        <v>0.428822423796682</v>
      </c>
      <c r="Z74" s="234" t="n">
        <f aca="false">Z72/Z70</f>
        <v>0.451531010779566</v>
      </c>
      <c r="AA74" s="233" t="n">
        <f aca="false">AA72/AA70</f>
        <v>0.450324761399788</v>
      </c>
      <c r="AB74" s="234" t="n">
        <f aca="false">AB72/AB70</f>
        <v>0.487308533916849</v>
      </c>
      <c r="AC74" s="234" t="n">
        <f aca="false">AC72/AC70</f>
        <v>0.433111954459203</v>
      </c>
      <c r="AD74" s="234" t="n">
        <f aca="false">AD72/AD70</f>
        <v>0.481214653650805</v>
      </c>
      <c r="AE74" s="234" t="n">
        <f aca="false">AE72/AE70</f>
        <v>0.443245823389022</v>
      </c>
      <c r="AF74" s="233" t="n">
        <f aca="false">AF72/AF70</f>
        <v>0.459539473684211</v>
      </c>
      <c r="AG74" s="234" t="n">
        <f aca="false">AG72/AG70</f>
        <v>0.416311515858418</v>
      </c>
      <c r="AH74" s="234" t="n">
        <f aca="false">AH72/AH70</f>
        <v>0.430390591533938</v>
      </c>
      <c r="AI74" s="234" t="n">
        <f aca="false">AI72/AI70</f>
        <v>0.437435124727942</v>
      </c>
      <c r="AJ74" s="234" t="n">
        <f aca="false">AJ72/AJ70</f>
        <v>0.480663941533507</v>
      </c>
      <c r="AK74" s="233" t="n">
        <f aca="false">AK72/AK70</f>
        <v>0.44668358714044</v>
      </c>
      <c r="AL74" s="234" t="n">
        <f aca="false">AL72/AL70</f>
        <v>0.451282471523396</v>
      </c>
      <c r="AM74" s="234" t="n">
        <f aca="false">AM72/AM70</f>
        <v>0.482063926391436</v>
      </c>
      <c r="AN74" s="234" t="n">
        <f aca="false">AN72/AN70</f>
        <v>0.475341081354219</v>
      </c>
      <c r="AO74" s="234" t="n">
        <f aca="false">AO72/AO70</f>
        <v>0.519768699167881</v>
      </c>
      <c r="AP74" s="233" t="n">
        <f aca="false">AP72/AP70</f>
        <v>0.486261043745752</v>
      </c>
      <c r="AQ74" s="234" t="n">
        <f aca="false">AQ72/AQ70</f>
        <v>0.539059098512798</v>
      </c>
      <c r="AR74" s="234" t="n">
        <f aca="false">AR72/AR70</f>
        <v>0.508581662603851</v>
      </c>
      <c r="AS74" s="234" t="n">
        <f aca="false">AS72/AS70</f>
        <v>0.517314406731155</v>
      </c>
      <c r="AT74" s="234" t="n">
        <f aca="false">AT72/AT70</f>
        <v>0.541680038510911</v>
      </c>
      <c r="AU74" s="233" t="n">
        <f aca="false">AU72/AU70</f>
        <v>0.527053892859062</v>
      </c>
      <c r="AV74" s="234" t="n">
        <f aca="false">AV72/AV70</f>
        <v>0.489757808963332</v>
      </c>
      <c r="AW74" s="234" t="n">
        <f aca="false">AW72/AW70</f>
        <v>0.490654635853052</v>
      </c>
      <c r="AX74" s="234" t="n">
        <f aca="false">AX72/AX70</f>
        <v>0.518093556928508</v>
      </c>
      <c r="AY74" s="234" t="n">
        <f aca="false">AY72/AY70</f>
        <v>0.514898447948742</v>
      </c>
      <c r="AZ74" s="233" t="n">
        <f aca="false">AZ72/AZ70</f>
        <v>0.505355776587605</v>
      </c>
      <c r="BA74" s="234" t="n">
        <f aca="false">BA72/BA70</f>
        <v>0.505944087041594</v>
      </c>
      <c r="BB74" s="234" t="n">
        <f aca="false">BB72/BB70</f>
        <v>0.513452037726555</v>
      </c>
      <c r="BC74" s="234" t="n">
        <f aca="false">BC72/BC70</f>
        <v>0.518747190169339</v>
      </c>
      <c r="BD74" s="234" t="n">
        <f aca="false">BD72/BD70</f>
        <v>0.51365206577311</v>
      </c>
      <c r="BE74" s="233" t="n">
        <f aca="false">BE72/BE70</f>
        <v>0.512948817969048</v>
      </c>
      <c r="BF74" s="234" t="n">
        <f aca="false">BF72/BF70</f>
        <v>0.509754253308129</v>
      </c>
      <c r="BG74" s="234" t="n">
        <f aca="false">BG72/BG70</f>
        <v>0.514544755558403</v>
      </c>
      <c r="BH74" s="234" t="n">
        <f aca="false">BH72/BH70</f>
        <v>0.508001553439664</v>
      </c>
      <c r="BI74" s="234" t="n">
        <f aca="false">BI72/BI70</f>
        <v>0.517100660707346</v>
      </c>
      <c r="BJ74" s="233" t="n">
        <f aca="false">BJ72/BJ70</f>
        <v>0.512757006535069</v>
      </c>
      <c r="BK74" s="234" t="n">
        <f aca="false">BK72/BK70</f>
        <v>0.539908286507783</v>
      </c>
      <c r="BL74" s="234" t="n">
        <f aca="false">BL72/BL70</f>
        <v>0.536877413315652</v>
      </c>
      <c r="BM74" s="234" t="n">
        <f aca="false">BM72/BM70</f>
        <v>0.516271953166578</v>
      </c>
      <c r="BN74" s="234" t="n">
        <f aca="false">BN72/BN70</f>
        <v>0.521552566859777</v>
      </c>
      <c r="BO74" s="235" t="n">
        <f aca="false">BO72/BO70</f>
        <v>0.528295879977837</v>
      </c>
      <c r="BP74" s="234" t="n">
        <f aca="false">BK74+BP76/10000</f>
        <v>0.519908286507783</v>
      </c>
      <c r="BQ74" s="234" t="n">
        <f aca="false">BL74+BQ76/10000</f>
        <v>0.538877413315652</v>
      </c>
      <c r="BR74" s="234" t="n">
        <f aca="false">BM74+BR76/10000</f>
        <v>0.518271953166578</v>
      </c>
      <c r="BS74" s="234" t="n">
        <f aca="false">BN74+BS76/10000</f>
        <v>0.523552566859777</v>
      </c>
      <c r="BT74" s="233" t="n">
        <f aca="false">BT72/BT70</f>
        <v>0.5250425245662</v>
      </c>
      <c r="BU74" s="234" t="n">
        <f aca="false">BP74+BU76/10000</f>
        <v>0.521908286507783</v>
      </c>
      <c r="BV74" s="234" t="n">
        <f aca="false">BQ74+BV76/10000</f>
        <v>0.563877413315652</v>
      </c>
      <c r="BW74" s="234" t="n">
        <f aca="false">BR74+BW76/10000</f>
        <v>0.543271953166578</v>
      </c>
      <c r="BX74" s="234" t="n">
        <f aca="false">BS74+BX76/10000</f>
        <v>0.525552566859777</v>
      </c>
      <c r="BY74" s="233" t="n">
        <f aca="false">BY72/BY70</f>
        <v>0.538254206052194</v>
      </c>
      <c r="BZ74" s="233" t="n">
        <f aca="false">BY74+BZ76/10000</f>
        <v>0.540254206052194</v>
      </c>
      <c r="CA74" s="233" t="n">
        <f aca="false">BZ74+CA76/10000</f>
        <v>0.542254206052194</v>
      </c>
      <c r="CB74" s="233" t="n">
        <f aca="false">CA74+CB76/10000</f>
        <v>0.544254206052194</v>
      </c>
      <c r="CC74" s="236"/>
    </row>
    <row r="75" s="139" customFormat="true" ht="15" hidden="false" customHeight="true" outlineLevel="0" collapsed="false">
      <c r="A75" s="131" t="str">
        <f aca="false">A282</f>
        <v>Consensus Estimates - Gross Margin, %</v>
      </c>
      <c r="B75" s="132"/>
      <c r="C75" s="133"/>
      <c r="D75" s="133"/>
      <c r="E75" s="133"/>
      <c r="F75" s="133"/>
      <c r="G75" s="133"/>
      <c r="H75" s="134"/>
      <c r="I75" s="134"/>
      <c r="J75" s="134"/>
      <c r="K75" s="134"/>
      <c r="L75" s="133"/>
      <c r="M75" s="134"/>
      <c r="N75" s="134"/>
      <c r="O75" s="134"/>
      <c r="P75" s="134"/>
      <c r="Q75" s="133"/>
      <c r="R75" s="134"/>
      <c r="S75" s="134"/>
      <c r="T75" s="134"/>
      <c r="U75" s="134"/>
      <c r="V75" s="133"/>
      <c r="W75" s="134"/>
      <c r="X75" s="134"/>
      <c r="Y75" s="134"/>
      <c r="Z75" s="134"/>
      <c r="AA75" s="133"/>
      <c r="AB75" s="134"/>
      <c r="AC75" s="134"/>
      <c r="AD75" s="134"/>
      <c r="AE75" s="134"/>
      <c r="AF75" s="133"/>
      <c r="AG75" s="134"/>
      <c r="AH75" s="134"/>
      <c r="AI75" s="134"/>
      <c r="AJ75" s="134"/>
      <c r="AK75" s="133"/>
      <c r="AL75" s="134"/>
      <c r="AM75" s="134"/>
      <c r="AN75" s="134"/>
      <c r="AO75" s="134"/>
      <c r="AP75" s="133"/>
      <c r="AQ75" s="134"/>
      <c r="AR75" s="134"/>
      <c r="AS75" s="134"/>
      <c r="AT75" s="134"/>
      <c r="AU75" s="133"/>
      <c r="AV75" s="134"/>
      <c r="AW75" s="134"/>
      <c r="AX75" s="134"/>
      <c r="AY75" s="134"/>
      <c r="AZ75" s="133"/>
      <c r="BA75" s="134"/>
      <c r="BB75" s="134"/>
      <c r="BC75" s="134"/>
      <c r="BD75" s="134"/>
      <c r="BE75" s="133"/>
      <c r="BF75" s="134"/>
      <c r="BG75" s="134"/>
      <c r="BH75" s="134"/>
      <c r="BI75" s="134"/>
      <c r="BJ75" s="133"/>
      <c r="BK75" s="134"/>
      <c r="BL75" s="134"/>
      <c r="BM75" s="134"/>
      <c r="BN75" s="134"/>
      <c r="BO75" s="135"/>
      <c r="BP75" s="134" t="str">
        <f aca="false">BP282</f>
        <v>N/A</v>
      </c>
      <c r="BQ75" s="134" t="str">
        <f aca="false">BQ282</f>
        <v>N/A</v>
      </c>
      <c r="BR75" s="134" t="str">
        <f aca="false">BR282</f>
        <v>N/A</v>
      </c>
      <c r="BS75" s="134" t="str">
        <f aca="false">BS282</f>
        <v>N/A</v>
      </c>
      <c r="BT75" s="133" t="str">
        <f aca="false">BT282</f>
        <v>N/A</v>
      </c>
      <c r="BU75" s="134" t="str">
        <f aca="false">BU282</f>
        <v>N/A</v>
      </c>
      <c r="BV75" s="134" t="str">
        <f aca="false">BV282</f>
        <v>N/A</v>
      </c>
      <c r="BW75" s="134" t="str">
        <f aca="false">BW282</f>
        <v>N/A</v>
      </c>
      <c r="BX75" s="134" t="str">
        <f aca="false">BX282</f>
        <v>N/A</v>
      </c>
      <c r="BY75" s="133" t="str">
        <f aca="false">BY282</f>
        <v>N/A</v>
      </c>
      <c r="BZ75" s="133" t="str">
        <f aca="false">BZ282</f>
        <v>N/A</v>
      </c>
      <c r="CA75" s="133" t="str">
        <f aca="false">CA282</f>
        <v>N/A</v>
      </c>
      <c r="CB75" s="133" t="str">
        <f aca="false">CB282</f>
        <v>N/A</v>
      </c>
      <c r="CC75" s="138"/>
    </row>
    <row r="76" s="45" customFormat="true" ht="15" hidden="false" customHeight="true" outlineLevel="0" collapsed="false">
      <c r="A76" s="238" t="s">
        <v>200</v>
      </c>
      <c r="B76" s="86"/>
      <c r="C76" s="87"/>
      <c r="D76" s="87" t="n">
        <f aca="false">(D74-C74)*10000</f>
        <v>1465.15449505714</v>
      </c>
      <c r="E76" s="87" t="n">
        <f aca="false">(E74-D74)*10000</f>
        <v>-2.76191441334728</v>
      </c>
      <c r="F76" s="87" t="n">
        <f aca="false">(F74-E74)*10000</f>
        <v>-96.3588331068593</v>
      </c>
      <c r="G76" s="87" t="n">
        <f aca="false">(G74-F74)*10000</f>
        <v>-87.1895375766774</v>
      </c>
      <c r="H76" s="88"/>
      <c r="I76" s="88"/>
      <c r="J76" s="88"/>
      <c r="K76" s="88"/>
      <c r="L76" s="87" t="n">
        <f aca="false">(L74-G74)*10000</f>
        <v>282.627891295613</v>
      </c>
      <c r="M76" s="88" t="n">
        <f aca="false">(M74-H74)*10000</f>
        <v>354.591248106326</v>
      </c>
      <c r="N76" s="88" t="n">
        <f aca="false">(N74-I74)*10000</f>
        <v>-17.5530484521086</v>
      </c>
      <c r="O76" s="88" t="n">
        <f aca="false">(O74-J74)*10000</f>
        <v>168.795089657039</v>
      </c>
      <c r="P76" s="88" t="n">
        <f aca="false">(P74-K74)*10000</f>
        <v>203.553114517289</v>
      </c>
      <c r="Q76" s="87" t="n">
        <f aca="false">(Q74-L74)*10000</f>
        <v>172.159563264945</v>
      </c>
      <c r="R76" s="88" t="n">
        <f aca="false">(R74-M74)*10000</f>
        <v>-457.897765653893</v>
      </c>
      <c r="S76" s="88" t="n">
        <f aca="false">(S74-N74)*10000</f>
        <v>-295.261706701502</v>
      </c>
      <c r="T76" s="88" t="n">
        <f aca="false">(T74-O74)*10000</f>
        <v>57.2051224413261</v>
      </c>
      <c r="U76" s="88" t="n">
        <f aca="false">(U74-P74)*10000</f>
        <v>121.136437441201</v>
      </c>
      <c r="V76" s="87" t="n">
        <f aca="false">(V74-Q74)*10000</f>
        <v>-125.016373055162</v>
      </c>
      <c r="W76" s="88" t="n">
        <f aca="false">(W74-R74)*10000</f>
        <v>495.975559688096</v>
      </c>
      <c r="X76" s="88" t="n">
        <f aca="false">(X74-S74)*10000</f>
        <v>242.240809885679</v>
      </c>
      <c r="Y76" s="88" t="n">
        <f aca="false">(Y74-T74)*10000</f>
        <v>-310.03433141486</v>
      </c>
      <c r="Z76" s="88" t="n">
        <f aca="false">(Z74-U74)*10000</f>
        <v>-206.300461565777</v>
      </c>
      <c r="AA76" s="87" t="n">
        <f aca="false">(AA74-V74)*10000</f>
        <v>22.6153658080858</v>
      </c>
      <c r="AB76" s="88" t="n">
        <f aca="false">(AB74-W74)*10000</f>
        <v>115.933661868635</v>
      </c>
      <c r="AC76" s="88" t="n">
        <f aca="false">(AC74-X74)*10000</f>
        <v>-173.020552486107</v>
      </c>
      <c r="AD76" s="88" t="n">
        <f aca="false">(AD74-Y74)*10000</f>
        <v>523.922298541229</v>
      </c>
      <c r="AE76" s="88" t="n">
        <f aca="false">(AE74-Z74)*10000</f>
        <v>-82.8518739054401</v>
      </c>
      <c r="AF76" s="87" t="n">
        <f aca="false">(AF74-AA74)*10000</f>
        <v>92.1471228442278</v>
      </c>
      <c r="AG76" s="88" t="n">
        <f aca="false">(AG74-AB74)*10000</f>
        <v>-709.970180584308</v>
      </c>
      <c r="AH76" s="88" t="n">
        <f aca="false">(AH74-AC74)*10000</f>
        <v>-27.2136292526481</v>
      </c>
      <c r="AI76" s="88" t="n">
        <f aca="false">(AI74-AD74)*10000</f>
        <v>-437.795289228626</v>
      </c>
      <c r="AJ76" s="88" t="n">
        <f aca="false">(AJ74-AE74)*10000</f>
        <v>374.181181444851</v>
      </c>
      <c r="AK76" s="87" t="n">
        <f aca="false">(AK74-AF74)*10000</f>
        <v>-128.558865437707</v>
      </c>
      <c r="AL76" s="88" t="n">
        <f aca="false">(AL74-AG74)*10000</f>
        <v>349.709556649777</v>
      </c>
      <c r="AM76" s="88" t="n">
        <f aca="false">(AM74-AH74)*10000</f>
        <v>516.733348574981</v>
      </c>
      <c r="AN76" s="88" t="n">
        <f aca="false">(AN74-AI74)*10000</f>
        <v>379.059566262769</v>
      </c>
      <c r="AO76" s="88" t="n">
        <f aca="false">(AO74-AJ74)*10000</f>
        <v>391.047576343744</v>
      </c>
      <c r="AP76" s="87" t="n">
        <f aca="false">(AP74-AK74)*10000</f>
        <v>395.774566053125</v>
      </c>
      <c r="AQ76" s="88" t="n">
        <f aca="false">(AQ74-AL74)*10000</f>
        <v>877.766269894023</v>
      </c>
      <c r="AR76" s="88" t="n">
        <f aca="false">(AR74-AM74)*10000</f>
        <v>265.177362124142</v>
      </c>
      <c r="AS76" s="88" t="n">
        <f aca="false">(AS74-AN74)*10000</f>
        <v>419.733253769352</v>
      </c>
      <c r="AT76" s="88" t="n">
        <f aca="false">(AT74-AO74)*10000</f>
        <v>219.113393430301</v>
      </c>
      <c r="AU76" s="87" t="n">
        <f aca="false">(AU74-AP74)*10000</f>
        <v>407.928491133094</v>
      </c>
      <c r="AV76" s="88" t="n">
        <f aca="false">(AV74-AQ74)*10000</f>
        <v>-493.012895494663</v>
      </c>
      <c r="AW76" s="88" t="n">
        <f aca="false">(AW74-AR74)*10000</f>
        <v>-179.270267507983</v>
      </c>
      <c r="AX76" s="88" t="n">
        <f aca="false">(AX74-AS74)*10000</f>
        <v>7.79150197353862</v>
      </c>
      <c r="AY76" s="88" t="n">
        <f aca="false">(AY74-AT74)*10000</f>
        <v>-267.815905621694</v>
      </c>
      <c r="AZ76" s="87" t="n">
        <f aca="false">(AZ74-AU74)*10000</f>
        <v>-216.981162714566</v>
      </c>
      <c r="BA76" s="88" t="n">
        <f aca="false">(BA74-AV74)*10000</f>
        <v>161.862780782621</v>
      </c>
      <c r="BB76" s="88" t="n">
        <f aca="false">(BB74-AW74)*10000</f>
        <v>227.974018735027</v>
      </c>
      <c r="BC76" s="88" t="n">
        <f aca="false">(BC74-AX74)*10000</f>
        <v>6.53633240830787</v>
      </c>
      <c r="BD76" s="88" t="n">
        <f aca="false">(BD74-AY74)*10000</f>
        <v>-12.4638217563156</v>
      </c>
      <c r="BE76" s="87" t="n">
        <f aca="false">(BE74-AZ74)*10000</f>
        <v>75.9304138144246</v>
      </c>
      <c r="BF76" s="88" t="n">
        <f aca="false">(BF74-BA74)*10000</f>
        <v>38.1016626653463</v>
      </c>
      <c r="BG76" s="88" t="n">
        <f aca="false">(BG74-BB74)*10000</f>
        <v>10.9271783184839</v>
      </c>
      <c r="BH76" s="88" t="n">
        <f aca="false">(BH74-BC74)*10000</f>
        <v>-107.456367296755</v>
      </c>
      <c r="BI76" s="88" t="n">
        <f aca="false">(BI74-BD74)*10000</f>
        <v>34.4859493423522</v>
      </c>
      <c r="BJ76" s="87" t="n">
        <f aca="false">(BJ74-BE74)*10000</f>
        <v>-1.91811433978728</v>
      </c>
      <c r="BK76" s="88" t="n">
        <f aca="false">(BK74-BF74)*10000</f>
        <v>301.540331996542</v>
      </c>
      <c r="BL76" s="88" t="n">
        <f aca="false">(BL74-BG74)*10000</f>
        <v>223.326577572487</v>
      </c>
      <c r="BM76" s="88" t="n">
        <f aca="false">(BM74-BH74)*10000</f>
        <v>82.7039972691446</v>
      </c>
      <c r="BN76" s="88" t="n">
        <f aca="false">(BN74-BI74)*10000</f>
        <v>44.5190615243163</v>
      </c>
      <c r="BO76" s="91" t="n">
        <f aca="false">(BO74-BJ74)*10000</f>
        <v>155.388734427683</v>
      </c>
      <c r="BP76" s="89" t="n">
        <v>-200</v>
      </c>
      <c r="BQ76" s="89" t="n">
        <v>20</v>
      </c>
      <c r="BR76" s="89" t="n">
        <v>20</v>
      </c>
      <c r="BS76" s="89" t="n">
        <v>20</v>
      </c>
      <c r="BT76" s="87" t="n">
        <f aca="false">(BT74-BO74)*10000</f>
        <v>-32.5335541163696</v>
      </c>
      <c r="BU76" s="89" t="n">
        <v>20</v>
      </c>
      <c r="BV76" s="89" t="n">
        <v>250</v>
      </c>
      <c r="BW76" s="89" t="n">
        <v>250</v>
      </c>
      <c r="BX76" s="89" t="n">
        <v>20</v>
      </c>
      <c r="BY76" s="87" t="n">
        <f aca="false">(BY74-BT74)*10000</f>
        <v>132.116814859938</v>
      </c>
      <c r="BZ76" s="90" t="n">
        <v>20</v>
      </c>
      <c r="CA76" s="90" t="n">
        <v>20</v>
      </c>
      <c r="CB76" s="90" t="n">
        <v>20</v>
      </c>
      <c r="CC76" s="92"/>
    </row>
    <row r="77" s="84" customFormat="true" ht="15" hidden="false" customHeight="true" outlineLevel="0" collapsed="false">
      <c r="A77" s="238"/>
      <c r="B77" s="141"/>
      <c r="C77" s="142"/>
      <c r="D77" s="142"/>
      <c r="E77" s="142"/>
      <c r="F77" s="142"/>
      <c r="G77" s="142"/>
      <c r="H77" s="143"/>
      <c r="I77" s="143"/>
      <c r="J77" s="143"/>
      <c r="K77" s="143"/>
      <c r="L77" s="142"/>
      <c r="M77" s="143"/>
      <c r="N77" s="143"/>
      <c r="O77" s="143"/>
      <c r="P77" s="143"/>
      <c r="Q77" s="142"/>
      <c r="R77" s="143"/>
      <c r="S77" s="143"/>
      <c r="T77" s="143"/>
      <c r="U77" s="143"/>
      <c r="V77" s="142"/>
      <c r="W77" s="143"/>
      <c r="X77" s="143"/>
      <c r="Y77" s="143"/>
      <c r="Z77" s="143"/>
      <c r="AA77" s="142"/>
      <c r="AB77" s="143"/>
      <c r="AC77" s="143"/>
      <c r="AD77" s="143"/>
      <c r="AE77" s="143"/>
      <c r="AF77" s="142"/>
      <c r="AG77" s="143"/>
      <c r="AH77" s="143"/>
      <c r="AI77" s="143"/>
      <c r="AJ77" s="143"/>
      <c r="AK77" s="142"/>
      <c r="AL77" s="143"/>
      <c r="AM77" s="143"/>
      <c r="AN77" s="143"/>
      <c r="AO77" s="143"/>
      <c r="AP77" s="142"/>
      <c r="AQ77" s="143"/>
      <c r="AR77" s="143"/>
      <c r="AS77" s="143"/>
      <c r="AT77" s="143"/>
      <c r="AU77" s="142"/>
      <c r="AV77" s="143"/>
      <c r="AW77" s="143"/>
      <c r="AX77" s="143"/>
      <c r="AY77" s="143"/>
      <c r="AZ77" s="142"/>
      <c r="BA77" s="143"/>
      <c r="BB77" s="143"/>
      <c r="BC77" s="143"/>
      <c r="BD77" s="143"/>
      <c r="BE77" s="142"/>
      <c r="BF77" s="143"/>
      <c r="BG77" s="143"/>
      <c r="BH77" s="143"/>
      <c r="BI77" s="143"/>
      <c r="BJ77" s="142"/>
      <c r="BK77" s="143"/>
      <c r="BL77" s="143"/>
      <c r="BM77" s="143"/>
      <c r="BN77" s="143"/>
      <c r="BO77" s="144"/>
      <c r="BP77" s="143"/>
      <c r="BQ77" s="143"/>
      <c r="BR77" s="143"/>
      <c r="BS77" s="143"/>
      <c r="BT77" s="142"/>
      <c r="BU77" s="143"/>
      <c r="BV77" s="143"/>
      <c r="BW77" s="143"/>
      <c r="BX77" s="143"/>
      <c r="BY77" s="142"/>
      <c r="BZ77" s="142"/>
      <c r="CA77" s="142"/>
      <c r="CB77" s="142"/>
      <c r="CC77" s="83"/>
    </row>
    <row r="78" s="51" customFormat="true" ht="15" hidden="false" customHeight="true" outlineLevel="0" collapsed="false">
      <c r="A78" s="239" t="s">
        <v>201</v>
      </c>
      <c r="B78" s="146"/>
      <c r="C78" s="147" t="n">
        <f aca="false">C335</f>
        <v>466.761</v>
      </c>
      <c r="D78" s="147" t="n">
        <f aca="false">D335</f>
        <v>523.426</v>
      </c>
      <c r="E78" s="147" t="n">
        <f aca="false">E335</f>
        <v>590.27</v>
      </c>
      <c r="F78" s="147" t="n">
        <f aca="false">F335</f>
        <v>589.182</v>
      </c>
      <c r="G78" s="147" t="n">
        <f aca="false">G335</f>
        <v>882.029</v>
      </c>
      <c r="H78" s="149" t="n">
        <f aca="false">H335</f>
        <v>279.1</v>
      </c>
      <c r="I78" s="149" t="n">
        <f aca="false">I335</f>
        <v>266.9</v>
      </c>
      <c r="J78" s="149" t="n">
        <f aca="false">J335</f>
        <v>260.1</v>
      </c>
      <c r="K78" s="149" t="n">
        <f aca="false">K335</f>
        <v>268</v>
      </c>
      <c r="L78" s="147" t="n">
        <f aca="false">L335</f>
        <v>1074.035</v>
      </c>
      <c r="M78" s="149" t="n">
        <f aca="false">M335</f>
        <v>261.4</v>
      </c>
      <c r="N78" s="149" t="n">
        <f aca="false">N335</f>
        <v>267.4</v>
      </c>
      <c r="O78" s="149" t="n">
        <f aca="false">O335</f>
        <v>266.3</v>
      </c>
      <c r="P78" s="149" t="n">
        <f aca="false">P335</f>
        <v>273</v>
      </c>
      <c r="Q78" s="147" t="n">
        <f aca="false">Q335</f>
        <v>1068.077</v>
      </c>
      <c r="R78" s="149" t="n">
        <f aca="false">R335</f>
        <v>274.7</v>
      </c>
      <c r="S78" s="149" t="n">
        <f aca="false">S335</f>
        <v>270.3</v>
      </c>
      <c r="T78" s="149" t="n">
        <f aca="false">T335</f>
        <v>273.4</v>
      </c>
      <c r="U78" s="149" t="n">
        <f aca="false">U335</f>
        <v>287.4</v>
      </c>
      <c r="V78" s="147" t="n">
        <f aca="false">V335</f>
        <v>1105.8</v>
      </c>
      <c r="W78" s="149" t="n">
        <f aca="false">W335</f>
        <v>315.1</v>
      </c>
      <c r="X78" s="149" t="n">
        <f aca="false">X335</f>
        <v>312.7</v>
      </c>
      <c r="Y78" s="149" t="n">
        <f aca="false">Y335</f>
        <v>314.5</v>
      </c>
      <c r="Z78" s="149" t="n">
        <f aca="false">Z335</f>
        <v>317.4</v>
      </c>
      <c r="AA78" s="147" t="n">
        <f aca="false">AA335</f>
        <v>1259.7</v>
      </c>
      <c r="AB78" s="149" t="n">
        <f aca="false">AB335</f>
        <v>357.1</v>
      </c>
      <c r="AC78" s="149" t="n">
        <f aca="false">AC335</f>
        <v>380.1</v>
      </c>
      <c r="AD78" s="149" t="n">
        <f aca="false">AD335</f>
        <v>396.3</v>
      </c>
      <c r="AE78" s="149" t="n">
        <f aca="false">AE335</f>
        <v>442.4</v>
      </c>
      <c r="AF78" s="147" t="n">
        <f aca="false">AF335</f>
        <v>1575.9</v>
      </c>
      <c r="AG78" s="149" t="n">
        <f aca="false">AG335</f>
        <v>472.7</v>
      </c>
      <c r="AH78" s="149" t="n">
        <f aca="false">AH335</f>
        <v>487.4</v>
      </c>
      <c r="AI78" s="149" t="n">
        <f aca="false">AI335</f>
        <v>492.3</v>
      </c>
      <c r="AJ78" s="149" t="n">
        <f aca="false">AJ335</f>
        <v>516.1</v>
      </c>
      <c r="AK78" s="147" t="n">
        <f aca="false">AK335</f>
        <v>1968.5</v>
      </c>
      <c r="AL78" s="149" t="n">
        <f aca="false">AL335</f>
        <v>544</v>
      </c>
      <c r="AM78" s="149" t="n">
        <f aca="false">AM335</f>
        <v>566.9</v>
      </c>
      <c r="AN78" s="149" t="n">
        <f aca="false">AN335</f>
        <v>534</v>
      </c>
      <c r="AO78" s="149" t="n">
        <f aca="false">AO335</f>
        <v>555.9</v>
      </c>
      <c r="AP78" s="147" t="n">
        <f aca="false">AP335</f>
        <v>2200.8</v>
      </c>
      <c r="AQ78" s="149" t="n">
        <f aca="false">AQ335</f>
        <v>623.4</v>
      </c>
      <c r="AR78" s="149" t="n">
        <f aca="false">AR335</f>
        <v>633.8</v>
      </c>
      <c r="AS78" s="149" t="n">
        <f aca="false">AS335</f>
        <v>609.2</v>
      </c>
      <c r="AT78" s="149" t="n">
        <f aca="false">AT335</f>
        <v>680.6</v>
      </c>
      <c r="AU78" s="147" t="n">
        <f aca="false">AU335</f>
        <v>2547</v>
      </c>
      <c r="AV78" s="149" t="n">
        <f aca="false">AV335</f>
        <v>738.7</v>
      </c>
      <c r="AW78" s="149" t="n">
        <f aca="false">AW335</f>
        <v>789.1</v>
      </c>
      <c r="AX78" s="149" t="n">
        <f aca="false">AX335</f>
        <v>819.4</v>
      </c>
      <c r="AY78" s="149" t="n">
        <f aca="false">AY335</f>
        <v>906.3</v>
      </c>
      <c r="AZ78" s="147" t="n">
        <f aca="false">AZ335</f>
        <v>3253.5</v>
      </c>
      <c r="BA78" s="149" t="n">
        <f aca="false">BA335</f>
        <v>947.9</v>
      </c>
      <c r="BB78" s="149" t="n">
        <f aca="false">BB335</f>
        <v>999.9</v>
      </c>
      <c r="BC78" s="149" t="n">
        <f aca="false">BC335</f>
        <v>991.4</v>
      </c>
      <c r="BD78" s="149" t="n">
        <f aca="false">BD335</f>
        <v>1041.4</v>
      </c>
      <c r="BE78" s="147" t="n">
        <f aca="false">BE335</f>
        <v>3980.6</v>
      </c>
      <c r="BF78" s="149" t="n">
        <f aca="false">BF335</f>
        <v>1031.9</v>
      </c>
      <c r="BG78" s="149" t="n">
        <f aca="false">BG335</f>
        <v>1100.6</v>
      </c>
      <c r="BH78" s="149" t="n">
        <f aca="false">BH335</f>
        <v>1055.2</v>
      </c>
      <c r="BI78" s="149" t="n">
        <f aca="false">BI335</f>
        <v>1116</v>
      </c>
      <c r="BJ78" s="147" t="n">
        <f aca="false">BJ335</f>
        <v>4303.7</v>
      </c>
      <c r="BK78" s="149" t="n">
        <f aca="false">BK335</f>
        <v>1161.1</v>
      </c>
      <c r="BL78" s="149" t="n">
        <f aca="false">BL335</f>
        <v>1166.7</v>
      </c>
      <c r="BM78" s="149" t="n">
        <f aca="false">BM335</f>
        <v>1108.7</v>
      </c>
      <c r="BN78" s="149" t="n">
        <f aca="false">BN335</f>
        <v>1262.3</v>
      </c>
      <c r="BO78" s="150" t="n">
        <f aca="false">BO335</f>
        <v>4698.8</v>
      </c>
      <c r="BP78" s="149" t="n">
        <f aca="false">BP80*BP70</f>
        <v>1202.39551770315</v>
      </c>
      <c r="BQ78" s="149" t="n">
        <f aca="false">BQ80*BQ70</f>
        <v>954.443429656838</v>
      </c>
      <c r="BR78" s="149" t="n">
        <f aca="false">BR80*BR70</f>
        <v>1242.8403159785</v>
      </c>
      <c r="BS78" s="149" t="n">
        <f aca="false">BS80*BS70</f>
        <v>1289.46898107755</v>
      </c>
      <c r="BT78" s="147" t="n">
        <f aca="false">BS78+BR78+BQ78+BP78</f>
        <v>4689.14824441603</v>
      </c>
      <c r="BU78" s="149" t="n">
        <f aca="false">BU80*BU70</f>
        <v>1227.04744225168</v>
      </c>
      <c r="BV78" s="149" t="n">
        <f aca="false">BV80*BV70</f>
        <v>575.493264420702</v>
      </c>
      <c r="BW78" s="149" t="n">
        <f aca="false">BW80*BW70</f>
        <v>1169.90984962706</v>
      </c>
      <c r="BX78" s="149" t="n">
        <f aca="false">BX80*BX70</f>
        <v>1349.43181230182</v>
      </c>
      <c r="BY78" s="147" t="n">
        <f aca="false">BX78+BW78+BV78+BU78</f>
        <v>4321.88236860127</v>
      </c>
      <c r="BZ78" s="147" t="n">
        <f aca="false">BZ80*BZ70</f>
        <v>5117.68037563665</v>
      </c>
      <c r="CA78" s="147" t="n">
        <f aca="false">CA80*CA70</f>
        <v>5279.91139165537</v>
      </c>
      <c r="CB78" s="147" t="n">
        <f aca="false">CB80*CB70</f>
        <v>5447.96449864525</v>
      </c>
      <c r="CC78" s="50"/>
    </row>
    <row r="79" s="139" customFormat="true" ht="15" hidden="false" customHeight="true" outlineLevel="0" collapsed="false">
      <c r="A79" s="240" t="s">
        <v>202</v>
      </c>
      <c r="B79" s="132"/>
      <c r="C79" s="133"/>
      <c r="D79" s="133" t="n">
        <f aca="false">D78/C78-1</f>
        <v>0.121400459764205</v>
      </c>
      <c r="E79" s="133" t="n">
        <f aca="false">E78/D78-1</f>
        <v>0.127704775842239</v>
      </c>
      <c r="F79" s="133" t="n">
        <f aca="false">F78/E78-1</f>
        <v>-0.00184322428719053</v>
      </c>
      <c r="G79" s="133" t="n">
        <f aca="false">G78/F78-1</f>
        <v>0.497039963882128</v>
      </c>
      <c r="H79" s="134"/>
      <c r="I79" s="134"/>
      <c r="J79" s="134"/>
      <c r="K79" s="134"/>
      <c r="L79" s="133" t="n">
        <f aca="false">L78/G78-1</f>
        <v>0.217686720051155</v>
      </c>
      <c r="M79" s="134" t="n">
        <f aca="false">M78/H78-1</f>
        <v>-0.0634181297026157</v>
      </c>
      <c r="N79" s="134" t="n">
        <f aca="false">N78/I78-1</f>
        <v>0.00187336080929179</v>
      </c>
      <c r="O79" s="134" t="n">
        <f aca="false">O78/J78-1</f>
        <v>0.0238369857747021</v>
      </c>
      <c r="P79" s="134" t="n">
        <f aca="false">P78/K78-1</f>
        <v>0.0186567164179106</v>
      </c>
      <c r="Q79" s="133" t="n">
        <f aca="false">Q78/L78-1</f>
        <v>-0.00554730525541536</v>
      </c>
      <c r="R79" s="134" t="n">
        <f aca="false">R78/M78-1</f>
        <v>0.0508798775822494</v>
      </c>
      <c r="S79" s="134" t="n">
        <f aca="false">S78/N78-1</f>
        <v>0.0108451757666419</v>
      </c>
      <c r="T79" s="134" t="n">
        <f aca="false">T78/O78-1</f>
        <v>0.0266616597822005</v>
      </c>
      <c r="U79" s="134" t="n">
        <f aca="false">U78/P78-1</f>
        <v>0.0527472527472526</v>
      </c>
      <c r="V79" s="133" t="n">
        <f aca="false">V78/Q78-1</f>
        <v>0.0353186146691671</v>
      </c>
      <c r="W79" s="134" t="n">
        <f aca="false">W78/R78-1</f>
        <v>0.147069530396797</v>
      </c>
      <c r="X79" s="134" t="n">
        <f aca="false">X78/S78-1</f>
        <v>0.156862745098039</v>
      </c>
      <c r="Y79" s="134" t="n">
        <f aca="false">Y78/T78-1</f>
        <v>0.150329188002926</v>
      </c>
      <c r="Z79" s="134" t="n">
        <f aca="false">Z78/U78-1</f>
        <v>0.104384133611691</v>
      </c>
      <c r="AA79" s="133" t="n">
        <f aca="false">AA78/V78-1</f>
        <v>0.139175257731959</v>
      </c>
      <c r="AB79" s="134" t="n">
        <f aca="false">AB78/W78-1</f>
        <v>0.133291018724214</v>
      </c>
      <c r="AC79" s="134" t="n">
        <f aca="false">AC78/X78-1</f>
        <v>0.215542053086025</v>
      </c>
      <c r="AD79" s="134" t="n">
        <f aca="false">AD78/Y78-1</f>
        <v>0.260095389507154</v>
      </c>
      <c r="AE79" s="134" t="n">
        <f aca="false">AE78/Z78-1</f>
        <v>0.393824826717077</v>
      </c>
      <c r="AF79" s="133" t="n">
        <f aca="false">AF78/AA78-1</f>
        <v>0.251012145748988</v>
      </c>
      <c r="AG79" s="134" t="n">
        <f aca="false">AG78/AB78-1</f>
        <v>0.323718846261551</v>
      </c>
      <c r="AH79" s="134" t="n">
        <f aca="false">AH78/AC78-1</f>
        <v>0.282294133122862</v>
      </c>
      <c r="AI79" s="134" t="n">
        <f aca="false">AI78/AD78-1</f>
        <v>0.24224072672218</v>
      </c>
      <c r="AJ79" s="134" t="n">
        <f aca="false">AJ78/AE78-1</f>
        <v>0.166591320072332</v>
      </c>
      <c r="AK79" s="133" t="n">
        <f aca="false">AK78/AF78-1</f>
        <v>0.249127482708294</v>
      </c>
      <c r="AL79" s="134" t="n">
        <f aca="false">AL78/AG78-1</f>
        <v>0.150835625132219</v>
      </c>
      <c r="AM79" s="134" t="n">
        <f aca="false">AM78/AH78-1</f>
        <v>0.163110381616742</v>
      </c>
      <c r="AN79" s="134" t="n">
        <f aca="false">AN78/AI78-1</f>
        <v>0.0847044485070079</v>
      </c>
      <c r="AO79" s="134" t="n">
        <f aca="false">AO78/AJ78-1</f>
        <v>0.0771168378221279</v>
      </c>
      <c r="AP79" s="133" t="n">
        <f aca="false">AP78/AK78-1</f>
        <v>0.118008636017272</v>
      </c>
      <c r="AQ79" s="134" t="n">
        <f aca="false">AQ78/AL78-1</f>
        <v>0.145955882352941</v>
      </c>
      <c r="AR79" s="134" t="n">
        <f aca="false">AR78/AM78-1</f>
        <v>0.118010231081319</v>
      </c>
      <c r="AS79" s="134" t="n">
        <f aca="false">AS78/AN78-1</f>
        <v>0.140823970037453</v>
      </c>
      <c r="AT79" s="134" t="n">
        <f aca="false">AT78/AO78-1</f>
        <v>0.224320921028962</v>
      </c>
      <c r="AU79" s="133" t="n">
        <f aca="false">AU78/AP78-1</f>
        <v>0.157306434023991</v>
      </c>
      <c r="AV79" s="134" t="n">
        <f aca="false">AV78/AQ78-1</f>
        <v>0.184953480911133</v>
      </c>
      <c r="AW79" s="134" t="n">
        <f aca="false">AW78/AR78-1</f>
        <v>0.245029977911013</v>
      </c>
      <c r="AX79" s="134" t="n">
        <f aca="false">AX78/AS78-1</f>
        <v>0.345042678923178</v>
      </c>
      <c r="AY79" s="134" t="n">
        <f aca="false">AY78/AT78-1</f>
        <v>0.33161915956509</v>
      </c>
      <c r="AZ79" s="133" t="n">
        <f aca="false">AZ78/AU78-1</f>
        <v>0.277385159010601</v>
      </c>
      <c r="BA79" s="134" t="n">
        <f aca="false">BA78/AV78-1</f>
        <v>0.283200216596724</v>
      </c>
      <c r="BB79" s="134" t="n">
        <f aca="false">BB78/AW78-1</f>
        <v>0.267139779495628</v>
      </c>
      <c r="BC79" s="134" t="n">
        <f aca="false">BC78/AX78-1</f>
        <v>0.209909690017086</v>
      </c>
      <c r="BD79" s="134" t="n">
        <f aca="false">BD78/AY78-1</f>
        <v>0.149067637647578</v>
      </c>
      <c r="BE79" s="133" t="n">
        <f aca="false">BE78/AZ78-1</f>
        <v>0.223482403565391</v>
      </c>
      <c r="BF79" s="134" t="n">
        <f aca="false">BF78/BA78-1</f>
        <v>0.0886169427154764</v>
      </c>
      <c r="BG79" s="134" t="n">
        <f aca="false">BG78/BB78-1</f>
        <v>0.100710071007101</v>
      </c>
      <c r="BH79" s="134" t="n">
        <f aca="false">BH78/BC78-1</f>
        <v>0.0643534395803915</v>
      </c>
      <c r="BI79" s="134" t="n">
        <f aca="false">BI78/BD78-1</f>
        <v>0.0716343383906279</v>
      </c>
      <c r="BJ79" s="133" t="n">
        <f aca="false">BJ78/BE78-1</f>
        <v>0.0811686680399939</v>
      </c>
      <c r="BK79" s="134" t="n">
        <f aca="false">BK78/BF78-1</f>
        <v>0.125205930807249</v>
      </c>
      <c r="BL79" s="134" t="n">
        <f aca="false">BL78/BG78-1</f>
        <v>0.0600581500999455</v>
      </c>
      <c r="BM79" s="134" t="n">
        <f aca="false">BM78/BH78-1</f>
        <v>0.0507012888551934</v>
      </c>
      <c r="BN79" s="134" t="n">
        <f aca="false">BN78/BI78-1</f>
        <v>0.131093189964158</v>
      </c>
      <c r="BO79" s="135" t="n">
        <f aca="false">BO78/BJ78-1</f>
        <v>0.0918047261658574</v>
      </c>
      <c r="BP79" s="134" t="n">
        <f aca="false">BP78/BK78-1</f>
        <v>0.0355658579822122</v>
      </c>
      <c r="BQ79" s="134" t="n">
        <f aca="false">BQ78/BL78-1</f>
        <v>-0.181929005179706</v>
      </c>
      <c r="BR79" s="134" t="n">
        <f aca="false">BR78/BM78-1</f>
        <v>0.120988830142059</v>
      </c>
      <c r="BS79" s="134" t="n">
        <f aca="false">BS78/BN78-1</f>
        <v>0.0215233946585978</v>
      </c>
      <c r="BT79" s="133" t="n">
        <f aca="false">BT78/BO78-1</f>
        <v>-0.00205408946623953</v>
      </c>
      <c r="BU79" s="134" t="n">
        <f aca="false">BU78/BP78-1</f>
        <v>0.0205023423537263</v>
      </c>
      <c r="BV79" s="134" t="n">
        <f aca="false">BV78/BQ78-1</f>
        <v>-0.397037847882073</v>
      </c>
      <c r="BW79" s="134" t="n">
        <f aca="false">BW78/BR78-1</f>
        <v>-0.0586804800373877</v>
      </c>
      <c r="BX79" s="134" t="n">
        <f aca="false">BX78/BS78-1</f>
        <v>0.046501957087921</v>
      </c>
      <c r="BY79" s="133" t="n">
        <f aca="false">BY78/BT78-1</f>
        <v>-0.0783225133161687</v>
      </c>
      <c r="BZ79" s="133" t="n">
        <f aca="false">BZ78/BY78-1</f>
        <v>0.184132269035572</v>
      </c>
      <c r="CA79" s="133" t="n">
        <f aca="false">CA78/BZ78-1</f>
        <v>0.0317001071014584</v>
      </c>
      <c r="CB79" s="133" t="n">
        <f aca="false">CB78/CA78-1</f>
        <v>0.0318287741069832</v>
      </c>
      <c r="CC79" s="138"/>
    </row>
    <row r="80" s="237" customFormat="true" ht="15" hidden="false" customHeight="true" outlineLevel="0" collapsed="false">
      <c r="A80" s="241" t="s">
        <v>203</v>
      </c>
      <c r="B80" s="232"/>
      <c r="C80" s="233" t="n">
        <f aca="false">C78/C70</f>
        <v>0.292445223026911</v>
      </c>
      <c r="D80" s="233" t="n">
        <f aca="false">D78/D70</f>
        <v>0.116112067202344</v>
      </c>
      <c r="E80" s="233" t="n">
        <f aca="false">E78/E70</f>
        <v>0.104453431981929</v>
      </c>
      <c r="F80" s="233" t="n">
        <f aca="false">F78/F70</f>
        <v>0.12452185380916</v>
      </c>
      <c r="G80" s="233" t="n">
        <f aca="false">G78/G70</f>
        <v>0.168155230008583</v>
      </c>
      <c r="H80" s="234" t="n">
        <f aca="false">H78/H70</f>
        <v>0.199856784819191</v>
      </c>
      <c r="I80" s="234" t="n">
        <f aca="false">I78/I70</f>
        <v>0.162387442200049</v>
      </c>
      <c r="J80" s="234" t="n">
        <f aca="false">J78/J70</f>
        <v>0.196717591892301</v>
      </c>
      <c r="K80" s="234" t="n">
        <f aca="false">K78/K70</f>
        <v>0.179384203480589</v>
      </c>
      <c r="L80" s="233" t="n">
        <f aca="false">L78/L70</f>
        <v>0.183398940999546</v>
      </c>
      <c r="M80" s="234" t="n">
        <f aca="false">M78/M70</f>
        <v>0.158433844475423</v>
      </c>
      <c r="N80" s="234" t="n">
        <f aca="false">N78/N70</f>
        <v>0.161658908167584</v>
      </c>
      <c r="O80" s="234" t="n">
        <f aca="false">O78/O70</f>
        <v>0.171895171701523</v>
      </c>
      <c r="P80" s="234" t="n">
        <f aca="false">P78/P70</f>
        <v>0.190350020917585</v>
      </c>
      <c r="Q80" s="233" t="n">
        <f aca="false">Q78/Q70</f>
        <v>0.169876458776516</v>
      </c>
      <c r="R80" s="234" t="n">
        <f aca="false">R78/R70</f>
        <v>0.206045604560456</v>
      </c>
      <c r="S80" s="234" t="n">
        <f aca="false">S78/S70</f>
        <v>0.155380547252242</v>
      </c>
      <c r="T80" s="234" t="n">
        <f aca="false">T78/T70</f>
        <v>0.150666813622837</v>
      </c>
      <c r="U80" s="234" t="n">
        <f aca="false">U78/U70</f>
        <v>0.150676313306071</v>
      </c>
      <c r="V80" s="233" t="n">
        <f aca="false">V78/V70</f>
        <v>0.162742096897628</v>
      </c>
      <c r="W80" s="234" t="n">
        <f aca="false">W78/W70</f>
        <v>0.162121835768677</v>
      </c>
      <c r="X80" s="234" t="n">
        <f aca="false">X78/X70</f>
        <v>0.148805558199296</v>
      </c>
      <c r="Y80" s="234" t="n">
        <f aca="false">Y78/Y70</f>
        <v>0.128503718231593</v>
      </c>
      <c r="Z80" s="234" t="n">
        <f aca="false">Z78/Z70</f>
        <v>0.123965005467896</v>
      </c>
      <c r="AA80" s="233" t="n">
        <f aca="false">AA78/AA70</f>
        <v>0.139150318133616</v>
      </c>
      <c r="AB80" s="234" t="n">
        <f aca="false">AB78/AB70</f>
        <v>0.156280087527352</v>
      </c>
      <c r="AC80" s="234" t="n">
        <f aca="false">AC78/AC70</f>
        <v>0.138702379214713</v>
      </c>
      <c r="AD80" s="234" t="n">
        <f aca="false">AD78/AD70</f>
        <v>0.142754223551025</v>
      </c>
      <c r="AE80" s="234" t="n">
        <f aca="false">AE78/AE70</f>
        <v>0.140779634049324</v>
      </c>
      <c r="AF80" s="233" t="n">
        <f aca="false">AF78/AF70</f>
        <v>0.143996710526316</v>
      </c>
      <c r="AG80" s="234" t="n">
        <f aca="false">AG78/AG70</f>
        <v>0.212058678390382</v>
      </c>
      <c r="AH80" s="234" t="n">
        <f aca="false">AH78/AH70</f>
        <v>0.189804898944663</v>
      </c>
      <c r="AI80" s="234" t="n">
        <f aca="false">AI78/AI70</f>
        <v>0.164841788046208</v>
      </c>
      <c r="AJ80" s="234" t="n">
        <f aca="false">AJ78/AJ70</f>
        <v>0.127858293075684</v>
      </c>
      <c r="AK80" s="233" t="n">
        <f aca="false">AK78/AK70</f>
        <v>0.166539763113367</v>
      </c>
      <c r="AL80" s="234" t="n">
        <f aca="false">AL78/AL70</f>
        <v>0.222896009178071</v>
      </c>
      <c r="AM80" s="234" t="n">
        <f aca="false">AM78/AM70</f>
        <v>0.170460354211144</v>
      </c>
      <c r="AN80" s="234" t="n">
        <f aca="false">AN78/AN70</f>
        <v>0.134916624557858</v>
      </c>
      <c r="AO80" s="234" t="n">
        <f aca="false">AO78/AO70</f>
        <v>0.130670866437873</v>
      </c>
      <c r="AP80" s="233" t="n">
        <f aca="false">AP78/AP70</f>
        <v>0.157441785599313</v>
      </c>
      <c r="AQ80" s="234" t="n">
        <f aca="false">AQ78/AQ70</f>
        <v>0.1428538692454</v>
      </c>
      <c r="AR80" s="234" t="n">
        <f aca="false">AR78/AR70</f>
        <v>0.15765384806726</v>
      </c>
      <c r="AS80" s="234" t="n">
        <f aca="false">AS78/AS70</f>
        <v>0.116230706122527</v>
      </c>
      <c r="AT80" s="234" t="n">
        <f aca="false">AT78/AT70</f>
        <v>0.136513157894737</v>
      </c>
      <c r="AU80" s="233" t="n">
        <f aca="false">AU78/AU70</f>
        <v>0.136854548385363</v>
      </c>
      <c r="AV80" s="234" t="n">
        <f aca="false">AV78/AV70</f>
        <v>0.209002942507922</v>
      </c>
      <c r="AW80" s="234" t="n">
        <f aca="false">AW78/AW70</f>
        <v>0.145308903415892</v>
      </c>
      <c r="AX80" s="234" t="n">
        <f aca="false">AX78/AX70</f>
        <v>0.141806413651074</v>
      </c>
      <c r="AY80" s="234" t="n">
        <f aca="false">AY78/AY70</f>
        <v>0.140944294112158</v>
      </c>
      <c r="AZ80" s="233" t="n">
        <f aca="false">AZ78/AZ70</f>
        <v>0.153659780668197</v>
      </c>
      <c r="BA80" s="234" t="n">
        <f aca="false">BA78/BA70</f>
        <v>0.140508730841066</v>
      </c>
      <c r="BB80" s="234" t="n">
        <f aca="false">BB78/BB70</f>
        <v>0.144864755226519</v>
      </c>
      <c r="BC80" s="234" t="n">
        <f aca="false">BC78/BC70</f>
        <v>0.148568859583396</v>
      </c>
      <c r="BD80" s="234" t="n">
        <f aca="false">BD78/BD70</f>
        <v>0.143899405831146</v>
      </c>
      <c r="BE80" s="233" t="n">
        <f aca="false">BE78/BE70</f>
        <v>0.144441823756736</v>
      </c>
      <c r="BF80" s="234" t="n">
        <f aca="false">BF78/BF70</f>
        <v>0.195066162570889</v>
      </c>
      <c r="BG80" s="234" t="n">
        <f aca="false">BG78/BG70</f>
        <v>0.176299096559236</v>
      </c>
      <c r="BH80" s="234" t="n">
        <f aca="false">BH78/BH70</f>
        <v>0.141309442502645</v>
      </c>
      <c r="BI80" s="234" t="n">
        <f aca="false">BI78/BI70</f>
        <v>0.120481927710843</v>
      </c>
      <c r="BJ80" s="233" t="n">
        <f aca="false">BJ78/BJ70</f>
        <v>0.152273828941828</v>
      </c>
      <c r="BK80" s="234" t="n">
        <f aca="false">BK78/BK70</f>
        <v>0.149983853258412</v>
      </c>
      <c r="BL80" s="234" t="n">
        <f aca="false">BL78/BL70</f>
        <v>0.151682982955654</v>
      </c>
      <c r="BM80" s="234" t="n">
        <f aca="false">BM78/BM70</f>
        <v>0.147511974454497</v>
      </c>
      <c r="BN80" s="234" t="n">
        <f aca="false">BN78/BN70</f>
        <v>0.129891645486258</v>
      </c>
      <c r="BO80" s="235" t="n">
        <f aca="false">BO78/BO70</f>
        <v>0.143838027630077</v>
      </c>
      <c r="BP80" s="234" t="n">
        <f aca="false">BK80-BP81/10000</f>
        <v>0.139983853258412</v>
      </c>
      <c r="BQ80" s="234" t="n">
        <f aca="false">BL80-BQ81/10000</f>
        <v>0.107682982955654</v>
      </c>
      <c r="BR80" s="234" t="n">
        <f aca="false">BM80-BR81/10000</f>
        <v>0.132511974454497</v>
      </c>
      <c r="BS80" s="234" t="n">
        <f aca="false">BN80-BS81/10000</f>
        <v>0.127891645486258</v>
      </c>
      <c r="BT80" s="233" t="n">
        <f aca="false">BT78/BT70</f>
        <v>0.127027006406879</v>
      </c>
      <c r="BU80" s="234" t="n">
        <f aca="false">BP80-BU81/10000</f>
        <v>0.137983853258412</v>
      </c>
      <c r="BV80" s="234" t="n">
        <f aca="false">BQ80-BV81/10000</f>
        <v>0.0636829829556535</v>
      </c>
      <c r="BW80" s="234" t="n">
        <f aca="false">BR80-BW81/10000</f>
        <v>0.117511974454497</v>
      </c>
      <c r="BX80" s="234" t="n">
        <f aca="false">BS80-BX81/10000</f>
        <v>0.125891645486258</v>
      </c>
      <c r="BY80" s="233" t="n">
        <f aca="false">BY78/BY70</f>
        <v>0.111953703121996</v>
      </c>
      <c r="BZ80" s="233" t="n">
        <f aca="false">BY80-BZ81/10000</f>
        <v>0.109953703121996</v>
      </c>
      <c r="CA80" s="233" t="n">
        <f aca="false">BZ80-CA81/10000</f>
        <v>0.107953703121996</v>
      </c>
      <c r="CB80" s="233" t="n">
        <f aca="false">CA80-CB81/10000</f>
        <v>0.105953703121996</v>
      </c>
      <c r="CC80" s="236"/>
    </row>
    <row r="81" s="45" customFormat="true" ht="15" hidden="false" customHeight="true" outlineLevel="0" collapsed="false">
      <c r="A81" s="238" t="s">
        <v>204</v>
      </c>
      <c r="B81" s="86"/>
      <c r="C81" s="87"/>
      <c r="D81" s="87" t="n">
        <f aca="false">-(D80-C80)*10000</f>
        <v>1763.33155824567</v>
      </c>
      <c r="E81" s="87" t="n">
        <f aca="false">-(E80-D80)*10000</f>
        <v>116.58635220415</v>
      </c>
      <c r="F81" s="87" t="n">
        <f aca="false">-(F80-E80)*10000</f>
        <v>-200.68421827231</v>
      </c>
      <c r="G81" s="87" t="n">
        <f aca="false">-(G80-F80)*10000</f>
        <v>-436.333761994229</v>
      </c>
      <c r="H81" s="88"/>
      <c r="I81" s="88"/>
      <c r="J81" s="88"/>
      <c r="K81" s="88"/>
      <c r="L81" s="87" t="n">
        <f aca="false">-(L80-G80)*10000</f>
        <v>-152.437109909634</v>
      </c>
      <c r="M81" s="88" t="n">
        <f aca="false">-(M80-H80)*10000</f>
        <v>414.229403437681</v>
      </c>
      <c r="N81" s="88" t="n">
        <f aca="false">-(N80-I80)*10000</f>
        <v>7.28534032465089</v>
      </c>
      <c r="O81" s="88" t="n">
        <f aca="false">-(O80-J80)*10000</f>
        <v>248.224201907773</v>
      </c>
      <c r="P81" s="88" t="n">
        <f aca="false">-(P80-K80)*10000</f>
        <v>-109.658174369957</v>
      </c>
      <c r="Q81" s="87" t="n">
        <f aca="false">-(Q80-L80)*10000</f>
        <v>135.224822230299</v>
      </c>
      <c r="R81" s="88" t="n">
        <f aca="false">-(R80-M80)*10000</f>
        <v>-476.117600850333</v>
      </c>
      <c r="S81" s="88" t="n">
        <f aca="false">-(S80-N80)*10000</f>
        <v>62.7836091534167</v>
      </c>
      <c r="T81" s="88" t="n">
        <f aca="false">-(T80-O80)*10000</f>
        <v>212.283580786864</v>
      </c>
      <c r="U81" s="88" t="n">
        <f aca="false">-(U80-P80)*10000</f>
        <v>396.737076115136</v>
      </c>
      <c r="V81" s="87" t="n">
        <f aca="false">-(V80-Q80)*10000</f>
        <v>71.3436187888886</v>
      </c>
      <c r="W81" s="88" t="n">
        <f aca="false">-(W80-R80)*10000</f>
        <v>439.237687917794</v>
      </c>
      <c r="X81" s="88" t="n">
        <f aca="false">-(X80-S80)*10000</f>
        <v>65.7498905294618</v>
      </c>
      <c r="Y81" s="88" t="n">
        <f aca="false">-(Y80-T80)*10000</f>
        <v>221.630953912443</v>
      </c>
      <c r="Z81" s="88" t="n">
        <f aca="false">-(Z80-U80)*10000</f>
        <v>267.113078381755</v>
      </c>
      <c r="AA81" s="87" t="n">
        <f aca="false">-(AA80-V80)*10000</f>
        <v>235.917787640114</v>
      </c>
      <c r="AB81" s="88" t="n">
        <f aca="false">-(AB80-W80)*10000</f>
        <v>58.4174824132438</v>
      </c>
      <c r="AC81" s="88" t="n">
        <f aca="false">-(AC80-X80)*10000</f>
        <v>101.031789845825</v>
      </c>
      <c r="AD81" s="88" t="n">
        <f aca="false">-(AD80-Y80)*10000</f>
        <v>-142.505053194321</v>
      </c>
      <c r="AE81" s="88" t="n">
        <f aca="false">-(AE80-Z80)*10000</f>
        <v>-168.146285814282</v>
      </c>
      <c r="AF81" s="87" t="n">
        <f aca="false">-(AF80-AA80)*10000</f>
        <v>-48.4639239269966</v>
      </c>
      <c r="AG81" s="88" t="n">
        <f aca="false">-(AG80-AB80)*10000</f>
        <v>-557.785908630295</v>
      </c>
      <c r="AH81" s="88" t="n">
        <f aca="false">-(AH80-AC80)*10000</f>
        <v>-511.025197299498</v>
      </c>
      <c r="AI81" s="88" t="n">
        <f aca="false">-(AI80-AD80)*10000</f>
        <v>-220.875644951831</v>
      </c>
      <c r="AJ81" s="88" t="n">
        <f aca="false">-(AJ80-AE80)*10000</f>
        <v>129.213409736395</v>
      </c>
      <c r="AK81" s="87" t="n">
        <f aca="false">-(AK80-AF80)*10000</f>
        <v>-225.430525870514</v>
      </c>
      <c r="AL81" s="88" t="n">
        <f aca="false">-(AL80-AG80)*10000</f>
        <v>-108.373307876892</v>
      </c>
      <c r="AM81" s="88" t="n">
        <f aca="false">-(AM80-AH80)*10000</f>
        <v>193.445447335194</v>
      </c>
      <c r="AN81" s="88" t="n">
        <f aca="false">-(AN80-AI80)*10000</f>
        <v>299.251634883505</v>
      </c>
      <c r="AO81" s="88" t="n">
        <f aca="false">-(AO80-AJ80)*10000</f>
        <v>-28.1257336218885</v>
      </c>
      <c r="AP81" s="87" t="n">
        <f aca="false">-(AP80-AK80)*10000</f>
        <v>90.9797751405395</v>
      </c>
      <c r="AQ81" s="88" t="n">
        <f aca="false">-(AQ80-AL80)*10000</f>
        <v>800.421399326712</v>
      </c>
      <c r="AR81" s="88" t="n">
        <f aca="false">-(AR80-AM80)*10000</f>
        <v>128.065061438832</v>
      </c>
      <c r="AS81" s="88" t="n">
        <f aca="false">-(AS80-AN80)*10000</f>
        <v>186.859184353306</v>
      </c>
      <c r="AT81" s="88" t="n">
        <f aca="false">-(AT80-AO80)*10000</f>
        <v>-58.4229145686369</v>
      </c>
      <c r="AU81" s="87" t="n">
        <f aca="false">-(AU80-AP80)*10000</f>
        <v>205.872372139498</v>
      </c>
      <c r="AV81" s="88" t="n">
        <f aca="false">-(AV80-AQ80)*10000</f>
        <v>-661.490732625224</v>
      </c>
      <c r="AW81" s="88" t="n">
        <f aca="false">-(AW80-AR80)*10000</f>
        <v>123.449446513686</v>
      </c>
      <c r="AX81" s="88" t="n">
        <f aca="false">-(AX80-AS80)*10000</f>
        <v>-255.75707528547</v>
      </c>
      <c r="AY81" s="88" t="n">
        <f aca="false">-(AY80-AT80)*10000</f>
        <v>-44.3113621742144</v>
      </c>
      <c r="AZ81" s="87" t="n">
        <f aca="false">-(AZ80-AU80)*10000</f>
        <v>-168.052322828334</v>
      </c>
      <c r="BA81" s="88" t="n">
        <f aca="false">-(BA80-AV80)*10000</f>
        <v>684.942116668561</v>
      </c>
      <c r="BB81" s="88" t="n">
        <f aca="false">-(BB80-AW80)*10000</f>
        <v>4.4414818937305</v>
      </c>
      <c r="BC81" s="88" t="n">
        <f aca="false">-(BC80-AX80)*10000</f>
        <v>-67.6244593232192</v>
      </c>
      <c r="BD81" s="88" t="n">
        <f aca="false">-(BD80-AY80)*10000</f>
        <v>-29.5511171898727</v>
      </c>
      <c r="BE81" s="87" t="n">
        <f aca="false">-(BE80-AZ80)*10000</f>
        <v>92.1795691146121</v>
      </c>
      <c r="BF81" s="88" t="n">
        <f aca="false">-(BF80-BA80)*10000</f>
        <v>-545.574317298224</v>
      </c>
      <c r="BG81" s="88" t="n">
        <f aca="false">-(BG80-BB80)*10000</f>
        <v>-314.343413327176</v>
      </c>
      <c r="BH81" s="88" t="n">
        <f aca="false">-(BH80-BC80)*10000</f>
        <v>72.594170807509</v>
      </c>
      <c r="BI81" s="88" t="n">
        <f aca="false">-(BI80-BD80)*10000</f>
        <v>234.174781203022</v>
      </c>
      <c r="BJ81" s="87" t="n">
        <f aca="false">-(BJ80-BE80)*10000</f>
        <v>-78.3200518509264</v>
      </c>
      <c r="BK81" s="88" t="n">
        <f aca="false">-(BK80-BF80)*10000</f>
        <v>450.823093124761</v>
      </c>
      <c r="BL81" s="88" t="n">
        <f aca="false">-(BL80-BG80)*10000</f>
        <v>246.161136035828</v>
      </c>
      <c r="BM81" s="88" t="n">
        <f aca="false">-(BM80-BH80)*10000</f>
        <v>-62.0253195185219</v>
      </c>
      <c r="BN81" s="88" t="n">
        <f aca="false">-(BN80-BI80)*10000</f>
        <v>-94.0971777541426</v>
      </c>
      <c r="BO81" s="91" t="n">
        <f aca="false">-(BO80-BJ80)*10000</f>
        <v>84.3580131175173</v>
      </c>
      <c r="BP81" s="89" t="n">
        <v>100</v>
      </c>
      <c r="BQ81" s="89" t="n">
        <v>440</v>
      </c>
      <c r="BR81" s="89" t="n">
        <v>150</v>
      </c>
      <c r="BS81" s="89" t="n">
        <v>20</v>
      </c>
      <c r="BT81" s="87" t="n">
        <f aca="false">-(BT80-BO80)*10000</f>
        <v>168.11021223198</v>
      </c>
      <c r="BU81" s="89" t="n">
        <v>20</v>
      </c>
      <c r="BV81" s="89" t="n">
        <v>440</v>
      </c>
      <c r="BW81" s="89" t="n">
        <v>150</v>
      </c>
      <c r="BX81" s="89" t="n">
        <v>20</v>
      </c>
      <c r="BY81" s="87" t="n">
        <f aca="false">-(BY80-BT80)*10000</f>
        <v>150.733032848826</v>
      </c>
      <c r="BZ81" s="90" t="n">
        <v>20</v>
      </c>
      <c r="CA81" s="90" t="n">
        <v>20</v>
      </c>
      <c r="CB81" s="90" t="n">
        <v>20</v>
      </c>
      <c r="CC81" s="92"/>
    </row>
    <row r="82" s="51" customFormat="true" ht="15" hidden="false" customHeight="true" outlineLevel="0" collapsed="false">
      <c r="A82" s="209"/>
      <c r="B82" s="146"/>
      <c r="C82" s="147"/>
      <c r="D82" s="147"/>
      <c r="E82" s="147"/>
      <c r="F82" s="147"/>
      <c r="G82" s="147"/>
      <c r="H82" s="149"/>
      <c r="I82" s="149"/>
      <c r="J82" s="149"/>
      <c r="K82" s="149"/>
      <c r="L82" s="147"/>
      <c r="M82" s="149"/>
      <c r="N82" s="149"/>
      <c r="O82" s="149"/>
      <c r="P82" s="149"/>
      <c r="Q82" s="147"/>
      <c r="R82" s="149"/>
      <c r="S82" s="149"/>
      <c r="T82" s="149"/>
      <c r="U82" s="149"/>
      <c r="V82" s="147"/>
      <c r="W82" s="149"/>
      <c r="X82" s="149"/>
      <c r="Y82" s="149"/>
      <c r="Z82" s="149"/>
      <c r="AA82" s="147"/>
      <c r="AB82" s="149"/>
      <c r="AC82" s="149"/>
      <c r="AD82" s="149"/>
      <c r="AE82" s="149"/>
      <c r="AF82" s="147"/>
      <c r="AG82" s="149"/>
      <c r="AH82" s="149"/>
      <c r="AI82" s="149"/>
      <c r="AJ82" s="149"/>
      <c r="AK82" s="147"/>
      <c r="AL82" s="149"/>
      <c r="AM82" s="149"/>
      <c r="AN82" s="149"/>
      <c r="AO82" s="149"/>
      <c r="AP82" s="147"/>
      <c r="AQ82" s="149"/>
      <c r="AR82" s="149"/>
      <c r="AS82" s="149"/>
      <c r="AT82" s="149"/>
      <c r="AU82" s="147"/>
      <c r="AV82" s="149"/>
      <c r="AW82" s="149"/>
      <c r="AX82" s="149"/>
      <c r="AY82" s="149"/>
      <c r="AZ82" s="147"/>
      <c r="BA82" s="149"/>
      <c r="BB82" s="149"/>
      <c r="BC82" s="149"/>
      <c r="BD82" s="149"/>
      <c r="BE82" s="147"/>
      <c r="BF82" s="149"/>
      <c r="BG82" s="149"/>
      <c r="BH82" s="149"/>
      <c r="BI82" s="149"/>
      <c r="BJ82" s="147"/>
      <c r="BK82" s="149"/>
      <c r="BL82" s="149"/>
      <c r="BM82" s="149"/>
      <c r="BN82" s="149"/>
      <c r="BO82" s="150"/>
      <c r="BP82" s="149"/>
      <c r="BQ82" s="149"/>
      <c r="BR82" s="149"/>
      <c r="BS82" s="149"/>
      <c r="BT82" s="147"/>
      <c r="BU82" s="149"/>
      <c r="BV82" s="149"/>
      <c r="BW82" s="149"/>
      <c r="BX82" s="149"/>
      <c r="BY82" s="147"/>
      <c r="BZ82" s="147"/>
      <c r="CA82" s="147"/>
      <c r="CB82" s="147"/>
      <c r="CC82" s="50"/>
    </row>
    <row r="83" s="51" customFormat="true" ht="15" hidden="false" customHeight="true" outlineLevel="0" collapsed="false">
      <c r="A83" s="239" t="s">
        <v>205</v>
      </c>
      <c r="B83" s="146"/>
      <c r="C83" s="147" t="n">
        <f aca="false">C336</f>
        <v>154.756</v>
      </c>
      <c r="D83" s="147" t="n">
        <f aca="false">D336</f>
        <v>181.045</v>
      </c>
      <c r="E83" s="147" t="n">
        <f aca="false">E336</f>
        <v>217.904</v>
      </c>
      <c r="F83" s="147" t="n">
        <f aca="false">F336</f>
        <v>259.301</v>
      </c>
      <c r="G83" s="147" t="n">
        <f aca="false">G336</f>
        <v>311.741</v>
      </c>
      <c r="H83" s="149" t="n">
        <f aca="false">H336</f>
        <v>84.9</v>
      </c>
      <c r="I83" s="149" t="n">
        <f aca="false">I336</f>
        <v>79.9</v>
      </c>
      <c r="J83" s="149" t="n">
        <f aca="false">J336</f>
        <v>76.9</v>
      </c>
      <c r="K83" s="149" t="n">
        <f aca="false">K336</f>
        <v>79.4</v>
      </c>
      <c r="L83" s="147" t="n">
        <f aca="false">L336</f>
        <v>321.11</v>
      </c>
      <c r="M83" s="149" t="n">
        <f aca="false">M336</f>
        <v>82.3</v>
      </c>
      <c r="N83" s="149" t="n">
        <f aca="false">N336</f>
        <v>88.3</v>
      </c>
      <c r="O83" s="149" t="n">
        <f aca="false">O336</f>
        <v>85.6</v>
      </c>
      <c r="P83" s="149" t="n">
        <f aca="false">P336</f>
        <v>89.5</v>
      </c>
      <c r="Q83" s="147" t="n">
        <f aca="false">Q336</f>
        <v>345.732</v>
      </c>
      <c r="R83" s="149" t="n">
        <f aca="false">R336</f>
        <v>88.8</v>
      </c>
      <c r="S83" s="149" t="n">
        <f aca="false">S336</f>
        <v>90.4</v>
      </c>
      <c r="T83" s="149" t="n">
        <f aca="false">T336</f>
        <v>88.8</v>
      </c>
      <c r="U83" s="149" t="n">
        <f aca="false">U336</f>
        <v>106.8</v>
      </c>
      <c r="V83" s="147" t="n">
        <f aca="false">V336</f>
        <v>374.8</v>
      </c>
      <c r="W83" s="149" t="n">
        <f aca="false">W336</f>
        <v>98.6</v>
      </c>
      <c r="X83" s="149" t="n">
        <f aca="false">X336</f>
        <v>102</v>
      </c>
      <c r="Y83" s="149" t="n">
        <f aca="false">Y336</f>
        <v>103.3</v>
      </c>
      <c r="Z83" s="149" t="n">
        <f aca="false">Z336</f>
        <v>112.7</v>
      </c>
      <c r="AA83" s="147" t="n">
        <f aca="false">AA336</f>
        <v>416.6</v>
      </c>
      <c r="AB83" s="149" t="n">
        <f aca="false">AB336</f>
        <v>114.2</v>
      </c>
      <c r="AC83" s="149" t="n">
        <f aca="false">AC336</f>
        <v>117.4</v>
      </c>
      <c r="AD83" s="149" t="n">
        <f aca="false">AD336</f>
        <v>121.8</v>
      </c>
      <c r="AE83" s="149" t="n">
        <f aca="false">AE336</f>
        <v>134.6</v>
      </c>
      <c r="AF83" s="147" t="n">
        <f aca="false">AF336</f>
        <v>488</v>
      </c>
      <c r="AG83" s="149" t="n">
        <f aca="false">AG336</f>
        <v>121</v>
      </c>
      <c r="AH83" s="149" t="n">
        <f aca="false">AH336</f>
        <v>123.5</v>
      </c>
      <c r="AI83" s="149" t="n">
        <f aca="false">AI336</f>
        <v>128.5</v>
      </c>
      <c r="AJ83" s="149" t="n">
        <f aca="false">AJ336</f>
        <v>147.5</v>
      </c>
      <c r="AK83" s="147" t="n">
        <f aca="false">AK336</f>
        <v>520.5</v>
      </c>
      <c r="AL83" s="149" t="n">
        <f aca="false">AL336</f>
        <v>130.7</v>
      </c>
      <c r="AM83" s="149" t="n">
        <f aca="false">AM336</f>
        <v>131.2</v>
      </c>
      <c r="AN83" s="149" t="n">
        <f aca="false">AN336</f>
        <v>131.5</v>
      </c>
      <c r="AO83" s="149" t="n">
        <f aca="false">AO336</f>
        <v>151.5</v>
      </c>
      <c r="AP83" s="147" t="n">
        <f aca="false">AP336</f>
        <v>544.9</v>
      </c>
      <c r="AQ83" s="149" t="n">
        <f aca="false">AQ336</f>
        <v>168.4</v>
      </c>
      <c r="AR83" s="149" t="n">
        <f aca="false">AR336</f>
        <v>171.8</v>
      </c>
      <c r="AS83" s="149" t="n">
        <f aca="false">AS336</f>
        <v>182.9</v>
      </c>
      <c r="AT83" s="149" t="n">
        <f aca="false">AT336</f>
        <v>202.5</v>
      </c>
      <c r="AU83" s="147" t="n">
        <f aca="false">AU336</f>
        <v>725.6</v>
      </c>
      <c r="AV83" s="149" t="n">
        <f aca="false">AV336</f>
        <v>207.7</v>
      </c>
      <c r="AW83" s="149" t="n">
        <f aca="false">AW336</f>
        <v>222</v>
      </c>
      <c r="AX83" s="149" t="n">
        <f aca="false">AX336</f>
        <v>235.8</v>
      </c>
      <c r="AY83" s="149" t="n">
        <f aca="false">AY336</f>
        <v>280.4</v>
      </c>
      <c r="AZ83" s="147" t="n">
        <f aca="false">AZ336</f>
        <v>945.9</v>
      </c>
      <c r="BA83" s="149" t="n">
        <f aca="false">BA336</f>
        <v>260.3</v>
      </c>
      <c r="BB83" s="149" t="n">
        <f aca="false">BB336</f>
        <v>281.1</v>
      </c>
      <c r="BC83" s="149" t="n">
        <f aca="false">BC336</f>
        <v>287.8</v>
      </c>
      <c r="BD83" s="149" t="n">
        <f aca="false">BD336</f>
        <v>284</v>
      </c>
      <c r="BE83" s="147" t="n">
        <f aca="false">BE336</f>
        <v>1113.2</v>
      </c>
      <c r="BF83" s="149" t="n">
        <f aca="false">BF336</f>
        <v>273.3</v>
      </c>
      <c r="BG83" s="149" t="n">
        <f aca="false">BG336</f>
        <v>277</v>
      </c>
      <c r="BH83" s="149" t="n">
        <f aca="false">BH336</f>
        <v>297</v>
      </c>
      <c r="BI83" s="149" t="n">
        <f aca="false">BI336</f>
        <v>318.4</v>
      </c>
      <c r="BJ83" s="147" t="n">
        <f aca="false">BJ336</f>
        <v>1165.7</v>
      </c>
      <c r="BK83" s="149" t="n">
        <f aca="false">BK336</f>
        <v>280.7</v>
      </c>
      <c r="BL83" s="149" t="n">
        <f aca="false">BL336</f>
        <v>298.7</v>
      </c>
      <c r="BM83" s="149" t="n">
        <f aca="false">BM336</f>
        <v>303.2</v>
      </c>
      <c r="BN83" s="149" t="n">
        <f aca="false">BN336</f>
        <v>375.2</v>
      </c>
      <c r="BO83" s="150" t="n">
        <f aca="false">BO336</f>
        <v>1257.8</v>
      </c>
      <c r="BP83" s="149" t="n">
        <f aca="false">BP85*BP70</f>
        <v>302.859296676594</v>
      </c>
      <c r="BQ83" s="149" t="n">
        <f aca="false">BQ85*BQ70</f>
        <v>326.477156571004</v>
      </c>
      <c r="BR83" s="149" t="n">
        <f aca="false">BR85*BR70</f>
        <v>359.599590520596</v>
      </c>
      <c r="BS83" s="149" t="n">
        <f aca="false">BS85*BS70</f>
        <v>369.104309490933</v>
      </c>
      <c r="BT83" s="147" t="n">
        <f aca="false">BS83+BR83+BQ83+BP83</f>
        <v>1358.04035325913</v>
      </c>
      <c r="BU83" s="149" t="n">
        <f aca="false">BU85*BU70</f>
        <v>295.763023957522</v>
      </c>
      <c r="BV83" s="149" t="n">
        <f aca="false">BV85*BV70</f>
        <v>314.79008227069</v>
      </c>
      <c r="BW83" s="149" t="n">
        <f aca="false">BW85*BW70</f>
        <v>361.794905785351</v>
      </c>
      <c r="BX83" s="149" t="n">
        <f aca="false">BX85*BX70</f>
        <v>370.96691524298</v>
      </c>
      <c r="BY83" s="147" t="n">
        <f aca="false">BX83+BW83+BV83+BU83</f>
        <v>1343.31492725654</v>
      </c>
      <c r="BZ83" s="147" t="n">
        <f aca="false">BZ85*BZ70</f>
        <v>1526.50795463076</v>
      </c>
      <c r="CA83" s="147" t="n">
        <f aca="false">CA85*CA70</f>
        <v>1506.25764439147</v>
      </c>
      <c r="CB83" s="147" t="n">
        <f aca="false">CB85*CB70</f>
        <v>1480.70062180883</v>
      </c>
      <c r="CC83" s="50"/>
    </row>
    <row r="84" s="139" customFormat="true" ht="15" hidden="false" customHeight="true" outlineLevel="0" collapsed="false">
      <c r="A84" s="240" t="s">
        <v>206</v>
      </c>
      <c r="B84" s="132"/>
      <c r="C84" s="133"/>
      <c r="D84" s="133" t="n">
        <f aca="false">D83/C83-1</f>
        <v>0.169873865956732</v>
      </c>
      <c r="E84" s="133" t="n">
        <f aca="false">E83/D83-1</f>
        <v>0.203590267613024</v>
      </c>
      <c r="F84" s="133" t="n">
        <f aca="false">F83/E83-1</f>
        <v>0.189978155518026</v>
      </c>
      <c r="G84" s="133" t="n">
        <f aca="false">G83/F83-1</f>
        <v>0.202236011430731</v>
      </c>
      <c r="H84" s="134"/>
      <c r="I84" s="134"/>
      <c r="J84" s="134"/>
      <c r="K84" s="134"/>
      <c r="L84" s="133" t="n">
        <f aca="false">L83/G83-1</f>
        <v>0.0300537946564616</v>
      </c>
      <c r="M84" s="134" t="n">
        <f aca="false">M83/H83-1</f>
        <v>-0.0306242638398117</v>
      </c>
      <c r="N84" s="134" t="n">
        <f aca="false">N83/I83-1</f>
        <v>0.105131414267835</v>
      </c>
      <c r="O84" s="134" t="n">
        <f aca="false">O83/J83-1</f>
        <v>0.113133940182054</v>
      </c>
      <c r="P84" s="134" t="n">
        <f aca="false">P83/K83-1</f>
        <v>0.1272040302267</v>
      </c>
      <c r="Q84" s="133" t="n">
        <f aca="false">Q83/L83-1</f>
        <v>0.0766777739715363</v>
      </c>
      <c r="R84" s="134" t="n">
        <f aca="false">R83/M83-1</f>
        <v>0.0789793438639126</v>
      </c>
      <c r="S84" s="134" t="n">
        <f aca="false">S83/N83-1</f>
        <v>0.0237825594563987</v>
      </c>
      <c r="T84" s="134" t="n">
        <f aca="false">T83/O83-1</f>
        <v>0.0373831775700935</v>
      </c>
      <c r="U84" s="134" t="n">
        <f aca="false">U83/P83-1</f>
        <v>0.193296089385475</v>
      </c>
      <c r="V84" s="133" t="n">
        <f aca="false">V83/Q83-1</f>
        <v>0.0840766836740596</v>
      </c>
      <c r="W84" s="134" t="n">
        <f aca="false">W83/R83-1</f>
        <v>0.11036036036036</v>
      </c>
      <c r="X84" s="134" t="n">
        <f aca="false">X83/S83-1</f>
        <v>0.128318584070796</v>
      </c>
      <c r="Y84" s="134" t="n">
        <f aca="false">Y83/T83-1</f>
        <v>0.163288288288288</v>
      </c>
      <c r="Z84" s="134" t="n">
        <f aca="false">Z83/U83-1</f>
        <v>0.0552434456928839</v>
      </c>
      <c r="AA84" s="133" t="n">
        <f aca="false">AA83/V83-1</f>
        <v>0.111526147278548</v>
      </c>
      <c r="AB84" s="134" t="n">
        <f aca="false">AB83/W83-1</f>
        <v>0.158215010141988</v>
      </c>
      <c r="AC84" s="134" t="n">
        <f aca="false">AC83/X83-1</f>
        <v>0.150980392156863</v>
      </c>
      <c r="AD84" s="134" t="n">
        <f aca="false">AD83/Y83-1</f>
        <v>0.179090029041626</v>
      </c>
      <c r="AE84" s="134" t="n">
        <f aca="false">AE83/Z83-1</f>
        <v>0.194321206743567</v>
      </c>
      <c r="AF84" s="133" t="n">
        <f aca="false">AF83/AA83-1</f>
        <v>0.171387421987518</v>
      </c>
      <c r="AG84" s="134" t="n">
        <f aca="false">AG83/AB83-1</f>
        <v>0.0595446584938704</v>
      </c>
      <c r="AH84" s="134" t="n">
        <f aca="false">AH83/AC83-1</f>
        <v>0.0519591141396933</v>
      </c>
      <c r="AI84" s="134" t="n">
        <f aca="false">AI83/AD83-1</f>
        <v>0.055008210180624</v>
      </c>
      <c r="AJ84" s="134" t="n">
        <f aca="false">AJ83/AE83-1</f>
        <v>0.0958395245170876</v>
      </c>
      <c r="AK84" s="133" t="n">
        <f aca="false">AK83/AF83-1</f>
        <v>0.0665983606557377</v>
      </c>
      <c r="AL84" s="134" t="n">
        <f aca="false">AL83/AG83-1</f>
        <v>0.0801652892561982</v>
      </c>
      <c r="AM84" s="134" t="n">
        <f aca="false">AM83/AH83-1</f>
        <v>0.0623481781376518</v>
      </c>
      <c r="AN84" s="134" t="n">
        <f aca="false">AN83/AI83-1</f>
        <v>0.0233463035019454</v>
      </c>
      <c r="AO84" s="134" t="n">
        <f aca="false">AO83/AJ83-1</f>
        <v>0.0271186440677966</v>
      </c>
      <c r="AP84" s="133" t="n">
        <f aca="false">AP83/AK83-1</f>
        <v>0.0468780019212296</v>
      </c>
      <c r="AQ84" s="134" t="n">
        <f aca="false">AQ83/AL83-1</f>
        <v>0.288446824789595</v>
      </c>
      <c r="AR84" s="134" t="n">
        <f aca="false">AR83/AM83-1</f>
        <v>0.309451219512195</v>
      </c>
      <c r="AS84" s="134" t="n">
        <f aca="false">AS83/AN83-1</f>
        <v>0.390874524714829</v>
      </c>
      <c r="AT84" s="134" t="n">
        <f aca="false">AT83/AO83-1</f>
        <v>0.336633663366337</v>
      </c>
      <c r="AU84" s="133" t="n">
        <f aca="false">AU83/AP83-1</f>
        <v>0.331620480822169</v>
      </c>
      <c r="AV84" s="134" t="n">
        <f aca="false">AV83/AQ83-1</f>
        <v>0.233372921615202</v>
      </c>
      <c r="AW84" s="134" t="n">
        <f aca="false">AW83/AR83-1</f>
        <v>0.292200232828871</v>
      </c>
      <c r="AX84" s="134" t="n">
        <f aca="false">AX83/AS83-1</f>
        <v>0.28922908693275</v>
      </c>
      <c r="AY84" s="134" t="n">
        <f aca="false">AY83/AT83-1</f>
        <v>0.384691358024691</v>
      </c>
      <c r="AZ84" s="133" t="n">
        <f aca="false">AZ83/AU83-1</f>
        <v>0.303610804851158</v>
      </c>
      <c r="BA84" s="134" t="n">
        <f aca="false">BA83/AV83-1</f>
        <v>0.253249879634088</v>
      </c>
      <c r="BB84" s="134" t="n">
        <f aca="false">BB83/AW83-1</f>
        <v>0.266216216216216</v>
      </c>
      <c r="BC84" s="134" t="n">
        <f aca="false">BC83/AX83-1</f>
        <v>0.220525869380831</v>
      </c>
      <c r="BD84" s="134" t="n">
        <f aca="false">BD83/AY83-1</f>
        <v>0.0128388017118404</v>
      </c>
      <c r="BE84" s="133" t="n">
        <f aca="false">BE83/AZ83-1</f>
        <v>0.176868590760123</v>
      </c>
      <c r="BF84" s="134" t="n">
        <f aca="false">BF83/BA83-1</f>
        <v>0.0499423741836342</v>
      </c>
      <c r="BG84" s="134" t="n">
        <f aca="false">BG83/BB83-1</f>
        <v>-0.0145855567413733</v>
      </c>
      <c r="BH84" s="134" t="n">
        <f aca="false">BH83/BC83-1</f>
        <v>0.0319666435024322</v>
      </c>
      <c r="BI84" s="134" t="n">
        <f aca="false">BI83/BD83-1</f>
        <v>0.121126760563381</v>
      </c>
      <c r="BJ84" s="133" t="n">
        <f aca="false">BJ83/BE83-1</f>
        <v>0.0471613366870285</v>
      </c>
      <c r="BK84" s="134" t="n">
        <f aca="false">BK83/BF83-1</f>
        <v>0.0270764727405781</v>
      </c>
      <c r="BL84" s="134" t="n">
        <f aca="false">BL83/BG83-1</f>
        <v>0.0783393501805054</v>
      </c>
      <c r="BM84" s="134" t="n">
        <f aca="false">BM83/BH83-1</f>
        <v>0.0208754208754209</v>
      </c>
      <c r="BN84" s="134" t="n">
        <f aca="false">BN83/BI83-1</f>
        <v>0.178391959798995</v>
      </c>
      <c r="BO84" s="135" t="n">
        <f aca="false">BO83/BJ83-1</f>
        <v>0.0790083211804065</v>
      </c>
      <c r="BP84" s="134" t="n">
        <f aca="false">BP83/BK83-1</f>
        <v>0.0789429878040389</v>
      </c>
      <c r="BQ84" s="134" t="n">
        <f aca="false">BQ83/BL83-1</f>
        <v>0.0929934937094223</v>
      </c>
      <c r="BR84" s="134" t="n">
        <f aca="false">BR83/BM83-1</f>
        <v>0.186014480608825</v>
      </c>
      <c r="BS84" s="134" t="n">
        <f aca="false">BS83/BN83-1</f>
        <v>-0.016246509885574</v>
      </c>
      <c r="BT84" s="133" t="n">
        <f aca="false">BT83/BO83-1</f>
        <v>0.0796949858953147</v>
      </c>
      <c r="BU84" s="134" t="n">
        <f aca="false">BU83/BP83-1</f>
        <v>-0.0234309225338034</v>
      </c>
      <c r="BV84" s="134" t="n">
        <f aca="false">BV83/BQ83-1</f>
        <v>-0.0357975253860465</v>
      </c>
      <c r="BW84" s="134" t="n">
        <f aca="false">BW83/BR83-1</f>
        <v>0.00610488811062604</v>
      </c>
      <c r="BX84" s="134" t="n">
        <f aca="false">BX83/BS83-1</f>
        <v>0.00504628557335463</v>
      </c>
      <c r="BY84" s="133" t="n">
        <f aca="false">BY83/BT83-1</f>
        <v>-0.0108431431858745</v>
      </c>
      <c r="BZ84" s="133" t="n">
        <f aca="false">BZ83/BY83-1</f>
        <v>0.136373849242007</v>
      </c>
      <c r="CA84" s="133" t="n">
        <f aca="false">CA83/BZ83-1</f>
        <v>-0.0132657744611598</v>
      </c>
      <c r="CB84" s="133" t="n">
        <f aca="false">CB83/CA83-1</f>
        <v>-0.0169672317865409</v>
      </c>
      <c r="CC84" s="138"/>
    </row>
    <row r="85" s="237" customFormat="true" ht="15" hidden="false" customHeight="true" outlineLevel="0" collapsed="false">
      <c r="A85" s="241" t="s">
        <v>207</v>
      </c>
      <c r="B85" s="232"/>
      <c r="C85" s="233" t="n">
        <f aca="false">C83/C70</f>
        <v>0.0969610848694569</v>
      </c>
      <c r="D85" s="233" t="n">
        <f aca="false">D83/D70</f>
        <v>0.0401613775522201</v>
      </c>
      <c r="E85" s="233" t="n">
        <f aca="false">E83/E70</f>
        <v>0.0385600159970696</v>
      </c>
      <c r="F85" s="233" t="n">
        <f aca="false">F83/F70</f>
        <v>0.0548024909358551</v>
      </c>
      <c r="G85" s="233" t="n">
        <f aca="false">G83/G70</f>
        <v>0.0594321496890756</v>
      </c>
      <c r="H85" s="234" t="n">
        <f aca="false">H83/H70</f>
        <v>0.0607948442534909</v>
      </c>
      <c r="I85" s="234" t="n">
        <f aca="false">I83/I70</f>
        <v>0.0486128011681674</v>
      </c>
      <c r="J85" s="234" t="n">
        <f aca="false">J83/J70</f>
        <v>0.0581606413553169</v>
      </c>
      <c r="K85" s="234" t="n">
        <f aca="false">K83/K70</f>
        <v>0.0531459170013387</v>
      </c>
      <c r="L85" s="233" t="n">
        <f aca="false">L83/L70</f>
        <v>0.0548317642761775</v>
      </c>
      <c r="M85" s="234" t="n">
        <f aca="false">M83/M70</f>
        <v>0.0498818110188496</v>
      </c>
      <c r="N85" s="234" t="n">
        <f aca="false">N83/N70</f>
        <v>0.053382504080769</v>
      </c>
      <c r="O85" s="234" t="n">
        <f aca="false">O83/O70</f>
        <v>0.0552543248128066</v>
      </c>
      <c r="P85" s="234" t="n">
        <f aca="false">P83/P70</f>
        <v>0.0624041277367173</v>
      </c>
      <c r="Q85" s="233" t="n">
        <f aca="false">Q83/Q70</f>
        <v>0.0549882900256466</v>
      </c>
      <c r="R85" s="234" t="n">
        <f aca="false">R83/R70</f>
        <v>0.0666066606660666</v>
      </c>
      <c r="S85" s="234" t="n">
        <f aca="false">S83/S70</f>
        <v>0.0519659691883192</v>
      </c>
      <c r="T85" s="234" t="n">
        <f aca="false">T83/T70</f>
        <v>0.0489364047172931</v>
      </c>
      <c r="U85" s="234" t="n">
        <f aca="false">U83/U70</f>
        <v>0.0559924504561183</v>
      </c>
      <c r="V85" s="233" t="n">
        <f aca="false">V83/V70</f>
        <v>0.0551598281038441</v>
      </c>
      <c r="W85" s="234" t="n">
        <f aca="false">W83/W70</f>
        <v>0.0507306030047335</v>
      </c>
      <c r="X85" s="234" t="n">
        <f aca="false">X83/X70</f>
        <v>0.0485390691919673</v>
      </c>
      <c r="Y85" s="234" t="n">
        <f aca="false">Y83/Y70</f>
        <v>0.0422080575304405</v>
      </c>
      <c r="Z85" s="234" t="n">
        <f aca="false">Z83/Z70</f>
        <v>0.0440165599125137</v>
      </c>
      <c r="AA85" s="233" t="n">
        <f aca="false">AA83/AA70</f>
        <v>0.0460189112760693</v>
      </c>
      <c r="AB85" s="234" t="n">
        <f aca="false">AB83/AB70</f>
        <v>0.0499781181619256</v>
      </c>
      <c r="AC85" s="234" t="n">
        <f aca="false">AC83/AC70</f>
        <v>0.0428404612465334</v>
      </c>
      <c r="AD85" s="234" t="n">
        <f aca="false">AD83/AD70</f>
        <v>0.0438745001981197</v>
      </c>
      <c r="AE85" s="234" t="n">
        <f aca="false">AE83/AE70</f>
        <v>0.0428321400159109</v>
      </c>
      <c r="AF85" s="233" t="n">
        <f aca="false">AF83/AF70</f>
        <v>0.0445906432748538</v>
      </c>
      <c r="AG85" s="234" t="n">
        <f aca="false">AG83/AG70</f>
        <v>0.0542819972186084</v>
      </c>
      <c r="AH85" s="234" t="n">
        <f aca="false">AH83/AH70</f>
        <v>0.0480937731220063</v>
      </c>
      <c r="AI85" s="234" t="n">
        <f aca="false">AI83/AI70</f>
        <v>0.0430269546291646</v>
      </c>
      <c r="AJ85" s="234" t="n">
        <f aca="false">AJ83/AJ70</f>
        <v>0.0365415582806887</v>
      </c>
      <c r="AK85" s="233" t="n">
        <f aca="false">AK83/AK70</f>
        <v>0.0440355329949239</v>
      </c>
      <c r="AL85" s="234" t="n">
        <f aca="false">AL83/AL70</f>
        <v>0.0535524051462755</v>
      </c>
      <c r="AM85" s="234" t="n">
        <f aca="false">AM83/AM70</f>
        <v>0.0394503412815347</v>
      </c>
      <c r="AN85" s="234" t="n">
        <f aca="false">AN83/AN70</f>
        <v>0.0332238504295099</v>
      </c>
      <c r="AO85" s="234" t="n">
        <f aca="false">AO83/AO70</f>
        <v>0.0356118659207371</v>
      </c>
      <c r="AP85" s="233" t="n">
        <f aca="false">AP83/AP70</f>
        <v>0.0389812926995028</v>
      </c>
      <c r="AQ85" s="234" t="n">
        <f aca="false">AQ83/AQ70</f>
        <v>0.0385893352276633</v>
      </c>
      <c r="AR85" s="234" t="n">
        <f aca="false">AR83/AR70</f>
        <v>0.0427341923287399</v>
      </c>
      <c r="AS85" s="234" t="n">
        <f aca="false">AS83/AS70</f>
        <v>0.0348959227672524</v>
      </c>
      <c r="AT85" s="234" t="n">
        <f aca="false">AT83/AT70</f>
        <v>0.0406169768934532</v>
      </c>
      <c r="AU85" s="233" t="n">
        <f aca="false">AU83/AU70</f>
        <v>0.0389876954489281</v>
      </c>
      <c r="AV85" s="234" t="n">
        <f aca="false">AV83/AV70</f>
        <v>0.0587652784065188</v>
      </c>
      <c r="AW85" s="234" t="n">
        <f aca="false">AW83/AW70</f>
        <v>0.0408802136083234</v>
      </c>
      <c r="AX85" s="234" t="n">
        <f aca="false">AX83/AX70</f>
        <v>0.0408078500597062</v>
      </c>
      <c r="AY85" s="234" t="n">
        <f aca="false">AY83/AY70</f>
        <v>0.0436067307393238</v>
      </c>
      <c r="AZ85" s="233" t="n">
        <f aca="false">AZ83/AZ70</f>
        <v>0.0446739777267704</v>
      </c>
      <c r="BA85" s="234" t="n">
        <f aca="false">BA83/BA70</f>
        <v>0.0385846847113931</v>
      </c>
      <c r="BB85" s="234" t="n">
        <f aca="false">BB83/BB70</f>
        <v>0.0407255552496994</v>
      </c>
      <c r="BC85" s="234" t="n">
        <f aca="false">BC83/BC70</f>
        <v>0.0431290274239473</v>
      </c>
      <c r="BD85" s="234" t="n">
        <f aca="false">BD83/BD70</f>
        <v>0.0392427801575238</v>
      </c>
      <c r="BE85" s="233" t="n">
        <f aca="false">BE83/BE70</f>
        <v>0.0403940707948546</v>
      </c>
      <c r="BF85" s="234" t="n">
        <f aca="false">BF83/BF70</f>
        <v>0.0516635160680529</v>
      </c>
      <c r="BG85" s="234" t="n">
        <f aca="false">BG83/BG70</f>
        <v>0.0443711155250849</v>
      </c>
      <c r="BH85" s="234" t="n">
        <f aca="false">BH83/BH70</f>
        <v>0.0397734120766542</v>
      </c>
      <c r="BI85" s="234" t="n">
        <f aca="false">BI83/BI70</f>
        <v>0.0343740553612299</v>
      </c>
      <c r="BJ85" s="233" t="n">
        <f aca="false">BJ83/BJ70</f>
        <v>0.0412448828676463</v>
      </c>
      <c r="BK85" s="234" t="n">
        <f aca="false">BK83/BK70</f>
        <v>0.036259122908997</v>
      </c>
      <c r="BL85" s="234" t="n">
        <f aca="false">BL83/BL70</f>
        <v>0.0388340678913634</v>
      </c>
      <c r="BM85" s="234" t="n">
        <f aca="false">BM83/BM70</f>
        <v>0.0403406067056945</v>
      </c>
      <c r="BN85" s="234" t="n">
        <f aca="false">BN83/BN70</f>
        <v>0.0386083699488583</v>
      </c>
      <c r="BO85" s="235" t="n">
        <f aca="false">BO83/BO70</f>
        <v>0.0385033351394208</v>
      </c>
      <c r="BP85" s="234" t="n">
        <f aca="false">BK85-BP86/10000</f>
        <v>0.035259122908997</v>
      </c>
      <c r="BQ85" s="234" t="n">
        <f aca="false">BL85-BQ86/10000</f>
        <v>0.0368340678913634</v>
      </c>
      <c r="BR85" s="234" t="n">
        <f aca="false">BM85-BR86/10000</f>
        <v>0.0383406067056945</v>
      </c>
      <c r="BS85" s="234" t="n">
        <f aca="false">BN85-BS86/10000</f>
        <v>0.0366083699488583</v>
      </c>
      <c r="BT85" s="233" t="n">
        <f aca="false">BT83/BT70</f>
        <v>0.0367887282854991</v>
      </c>
      <c r="BU85" s="234" t="n">
        <f aca="false">BP85-BU86/10000</f>
        <v>0.033259122908997</v>
      </c>
      <c r="BV85" s="234" t="n">
        <f aca="false">BQ85-BV86/10000</f>
        <v>0.0348340678913634</v>
      </c>
      <c r="BW85" s="234" t="n">
        <f aca="false">BR85-BW86/10000</f>
        <v>0.0363406067056945</v>
      </c>
      <c r="BX85" s="234" t="n">
        <f aca="false">BS85-BX86/10000</f>
        <v>0.0346083699488583</v>
      </c>
      <c r="BY85" s="233" t="n">
        <f aca="false">BY83/BY70</f>
        <v>0.0347971248958579</v>
      </c>
      <c r="BZ85" s="233" t="n">
        <f aca="false">BY85-BZ86/10000</f>
        <v>0.0327971248958579</v>
      </c>
      <c r="CA85" s="233" t="n">
        <f aca="false">BZ85-CA86/10000</f>
        <v>0.0307971248958579</v>
      </c>
      <c r="CB85" s="233" t="n">
        <f aca="false">CA85-CB86/10000</f>
        <v>0.0287971248958579</v>
      </c>
      <c r="CC85" s="236"/>
    </row>
    <row r="86" s="45" customFormat="true" ht="15" hidden="false" customHeight="true" outlineLevel="0" collapsed="false">
      <c r="A86" s="242" t="s">
        <v>208</v>
      </c>
      <c r="B86" s="86"/>
      <c r="C86" s="87"/>
      <c r="D86" s="87" t="n">
        <f aca="false">-(D85-C85)*10000</f>
        <v>567.997073172368</v>
      </c>
      <c r="E86" s="87" t="n">
        <f aca="false">-(E85-D85)*10000</f>
        <v>16.0136155515054</v>
      </c>
      <c r="F86" s="87" t="n">
        <f aca="false">-(F85-E85)*10000</f>
        <v>-162.424749387856</v>
      </c>
      <c r="G86" s="87" t="n">
        <f aca="false">-(G85-F85)*10000</f>
        <v>-46.2965875322045</v>
      </c>
      <c r="H86" s="88"/>
      <c r="I86" s="88"/>
      <c r="J86" s="88"/>
      <c r="K86" s="88"/>
      <c r="L86" s="87" t="n">
        <f aca="false">-(L85-G85)*10000</f>
        <v>46.0038541289805</v>
      </c>
      <c r="M86" s="88" t="n">
        <f aca="false">-(M85-H85)*10000</f>
        <v>109.130332346413</v>
      </c>
      <c r="N86" s="88" t="n">
        <f aca="false">-(N85-I85)*10000</f>
        <v>-47.6970291260156</v>
      </c>
      <c r="O86" s="88" t="n">
        <f aca="false">-(O85-J85)*10000</f>
        <v>29.0631654251029</v>
      </c>
      <c r="P86" s="88" t="n">
        <f aca="false">-(P85-K85)*10000</f>
        <v>-92.5821073537865</v>
      </c>
      <c r="Q86" s="87" t="n">
        <f aca="false">-(Q85-L85)*10000</f>
        <v>-1.5652574946913</v>
      </c>
      <c r="R86" s="88" t="n">
        <f aca="false">-(R85-M85)*10000</f>
        <v>-167.24849647217</v>
      </c>
      <c r="S86" s="88" t="n">
        <f aca="false">-(S85-N85)*10000</f>
        <v>14.1653489244985</v>
      </c>
      <c r="T86" s="88" t="n">
        <f aca="false">-(T85-O85)*10000</f>
        <v>63.1792009551355</v>
      </c>
      <c r="U86" s="88" t="n">
        <f aca="false">-(U85-P85)*10000</f>
        <v>64.1167728059906</v>
      </c>
      <c r="V86" s="87" t="n">
        <f aca="false">-(V85-Q85)*10000</f>
        <v>-1.71538078197475</v>
      </c>
      <c r="W86" s="88" t="n">
        <f aca="false">-(W85-R85)*10000</f>
        <v>158.760576613331</v>
      </c>
      <c r="X86" s="88" t="n">
        <f aca="false">-(X85-S85)*10000</f>
        <v>34.2689999635189</v>
      </c>
      <c r="Y86" s="88" t="n">
        <f aca="false">-(Y85-T85)*10000</f>
        <v>67.2834718685261</v>
      </c>
      <c r="Z86" s="88" t="n">
        <f aca="false">-(Z85-U85)*10000</f>
        <v>119.758905436046</v>
      </c>
      <c r="AA86" s="87" t="n">
        <f aca="false">-(AA85-V85)*10000</f>
        <v>91.4091682777483</v>
      </c>
      <c r="AB86" s="88" t="n">
        <f aca="false">-(AB85-W85)*10000</f>
        <v>7.52484842807884</v>
      </c>
      <c r="AC86" s="88" t="n">
        <f aca="false">-(AC85-X85)*10000</f>
        <v>56.9860794543391</v>
      </c>
      <c r="AD86" s="88" t="n">
        <f aca="false">-(AD85-Y85)*10000</f>
        <v>-16.664426676792</v>
      </c>
      <c r="AE86" s="88" t="n">
        <f aca="false">-(AE85-Z85)*10000</f>
        <v>11.8441989660277</v>
      </c>
      <c r="AF86" s="87" t="n">
        <f aca="false">-(AF85-AA85)*10000</f>
        <v>14.2826800121549</v>
      </c>
      <c r="AG86" s="88" t="n">
        <f aca="false">-(AG85-AB85)*10000</f>
        <v>-43.0387905668281</v>
      </c>
      <c r="AH86" s="88" t="n">
        <f aca="false">-(AH85-AC85)*10000</f>
        <v>-52.5331187547295</v>
      </c>
      <c r="AI86" s="88" t="n">
        <f aca="false">-(AI85-AD85)*10000</f>
        <v>8.4754556895509</v>
      </c>
      <c r="AJ86" s="88" t="n">
        <f aca="false">-(AJ85-AE85)*10000</f>
        <v>62.905817352222</v>
      </c>
      <c r="AK86" s="87" t="n">
        <f aca="false">-(AK85-AF85)*10000</f>
        <v>5.55110279929938</v>
      </c>
      <c r="AL86" s="88" t="n">
        <f aca="false">-(AL85-AG85)*10000</f>
        <v>7.29592072332905</v>
      </c>
      <c r="AM86" s="88" t="n">
        <f aca="false">-(AM85-AH85)*10000</f>
        <v>86.434318404716</v>
      </c>
      <c r="AN86" s="88" t="n">
        <f aca="false">-(AN85-AI85)*10000</f>
        <v>98.0310419965472</v>
      </c>
      <c r="AO86" s="88" t="n">
        <f aca="false">-(AO85-AJ85)*10000</f>
        <v>9.29692359951558</v>
      </c>
      <c r="AP86" s="87" t="n">
        <f aca="false">-(AP85-AK85)*10000</f>
        <v>50.5424029542106</v>
      </c>
      <c r="AQ86" s="88" t="n">
        <f aca="false">-(AQ85-AL85)*10000</f>
        <v>149.630699186122</v>
      </c>
      <c r="AR86" s="88" t="n">
        <f aca="false">-(AR85-AM85)*10000</f>
        <v>-32.8385104720515</v>
      </c>
      <c r="AS86" s="88" t="n">
        <f aca="false">-(AS85-AN85)*10000</f>
        <v>-16.7207233774255</v>
      </c>
      <c r="AT86" s="88" t="n">
        <f aca="false">-(AT85-AO85)*10000</f>
        <v>-50.0511097271601</v>
      </c>
      <c r="AU86" s="87" t="n">
        <f aca="false">-(AU85-AP85)*10000</f>
        <v>-0.064027494252536</v>
      </c>
      <c r="AV86" s="88" t="n">
        <f aca="false">-(AV85-AQ85)*10000</f>
        <v>-201.759431788555</v>
      </c>
      <c r="AW86" s="88" t="n">
        <f aca="false">-(AW85-AR85)*10000</f>
        <v>18.5397872041651</v>
      </c>
      <c r="AX86" s="88" t="n">
        <f aca="false">-(AX85-AS85)*10000</f>
        <v>-59.1192729245375</v>
      </c>
      <c r="AY86" s="88" t="n">
        <f aca="false">-(AY85-AT85)*10000</f>
        <v>-29.8975384587066</v>
      </c>
      <c r="AZ86" s="87" t="n">
        <f aca="false">-(AZ85-AU85)*10000</f>
        <v>-56.8628227784232</v>
      </c>
      <c r="BA86" s="88" t="n">
        <f aca="false">-(BA85-AV85)*10000</f>
        <v>201.805936951257</v>
      </c>
      <c r="BB86" s="88" t="n">
        <f aca="false">-(BB85-AW85)*10000</f>
        <v>1.5465835862398</v>
      </c>
      <c r="BC86" s="88" t="n">
        <f aca="false">-(BC85-AX85)*10000</f>
        <v>-23.211773642411</v>
      </c>
      <c r="BD86" s="88" t="n">
        <f aca="false">-(BD85-AY85)*10000</f>
        <v>43.6395058179997</v>
      </c>
      <c r="BE86" s="87" t="n">
        <f aca="false">-(BE85-AZ85)*10000</f>
        <v>42.7990693191579</v>
      </c>
      <c r="BF86" s="88" t="n">
        <f aca="false">-(BF85-BA85)*10000</f>
        <v>-130.788313566599</v>
      </c>
      <c r="BG86" s="88" t="n">
        <f aca="false">-(BG85-BB85)*10000</f>
        <v>-36.4556027538553</v>
      </c>
      <c r="BH86" s="88" t="n">
        <f aca="false">-(BH85-BC85)*10000</f>
        <v>33.5561534729304</v>
      </c>
      <c r="BI86" s="88" t="n">
        <f aca="false">-(BI85-BD85)*10000</f>
        <v>48.6872479629397</v>
      </c>
      <c r="BJ86" s="87" t="n">
        <f aca="false">-(BJ85-BE85)*10000</f>
        <v>-8.50812072791696</v>
      </c>
      <c r="BK86" s="88" t="n">
        <f aca="false">-(BK85-BF85)*10000</f>
        <v>154.04393159056</v>
      </c>
      <c r="BL86" s="88" t="n">
        <f aca="false">-(BL85-BG85)*10000</f>
        <v>55.3704763372149</v>
      </c>
      <c r="BM86" s="88" t="n">
        <f aca="false">-(BM85-BH85)*10000</f>
        <v>-5.67194629040306</v>
      </c>
      <c r="BN86" s="88" t="n">
        <f aca="false">-(BN85-BI85)*10000</f>
        <v>-42.3431458762845</v>
      </c>
      <c r="BO86" s="91" t="n">
        <f aca="false">-(BO85-BJ85)*10000</f>
        <v>27.4154772822551</v>
      </c>
      <c r="BP86" s="89" t="n">
        <v>10</v>
      </c>
      <c r="BQ86" s="89" t="n">
        <v>20</v>
      </c>
      <c r="BR86" s="89" t="n">
        <v>20</v>
      </c>
      <c r="BS86" s="89" t="n">
        <v>20</v>
      </c>
      <c r="BT86" s="87" t="n">
        <f aca="false">-(BT85-BO85)*10000</f>
        <v>17.1460685392163</v>
      </c>
      <c r="BU86" s="89" t="n">
        <v>20</v>
      </c>
      <c r="BV86" s="89" t="n">
        <v>20</v>
      </c>
      <c r="BW86" s="89" t="n">
        <v>20</v>
      </c>
      <c r="BX86" s="89" t="n">
        <v>20</v>
      </c>
      <c r="BY86" s="87" t="n">
        <f aca="false">-(BY85-BT85)*10000</f>
        <v>19.9160338964122</v>
      </c>
      <c r="BZ86" s="90" t="n">
        <v>20</v>
      </c>
      <c r="CA86" s="90" t="n">
        <v>20</v>
      </c>
      <c r="CB86" s="90" t="n">
        <v>20</v>
      </c>
      <c r="CC86" s="92"/>
    </row>
    <row r="87" s="51" customFormat="true" ht="15" hidden="false" customHeight="true" outlineLevel="0" collapsed="false">
      <c r="A87" s="209"/>
      <c r="B87" s="146"/>
      <c r="C87" s="147"/>
      <c r="D87" s="147"/>
      <c r="E87" s="147"/>
      <c r="F87" s="147"/>
      <c r="G87" s="147"/>
      <c r="H87" s="149"/>
      <c r="I87" s="149"/>
      <c r="J87" s="149"/>
      <c r="K87" s="149"/>
      <c r="L87" s="147"/>
      <c r="M87" s="149"/>
      <c r="N87" s="149"/>
      <c r="O87" s="149"/>
      <c r="P87" s="149"/>
      <c r="Q87" s="147"/>
      <c r="R87" s="149"/>
      <c r="S87" s="149"/>
      <c r="T87" s="149"/>
      <c r="U87" s="149"/>
      <c r="V87" s="147"/>
      <c r="W87" s="149"/>
      <c r="X87" s="149"/>
      <c r="Y87" s="149"/>
      <c r="Z87" s="149"/>
      <c r="AA87" s="147"/>
      <c r="AB87" s="149"/>
      <c r="AC87" s="149"/>
      <c r="AD87" s="149"/>
      <c r="AE87" s="149"/>
      <c r="AF87" s="147"/>
      <c r="AG87" s="149"/>
      <c r="AH87" s="149"/>
      <c r="AI87" s="149"/>
      <c r="AJ87" s="149"/>
      <c r="AK87" s="147"/>
      <c r="AL87" s="149"/>
      <c r="AM87" s="149"/>
      <c r="AN87" s="149"/>
      <c r="AO87" s="149"/>
      <c r="AP87" s="147"/>
      <c r="AQ87" s="149"/>
      <c r="AR87" s="149"/>
      <c r="AS87" s="149"/>
      <c r="AT87" s="149"/>
      <c r="AU87" s="147"/>
      <c r="AV87" s="149"/>
      <c r="AW87" s="149"/>
      <c r="AX87" s="149"/>
      <c r="AY87" s="149"/>
      <c r="AZ87" s="147"/>
      <c r="BA87" s="149"/>
      <c r="BB87" s="149"/>
      <c r="BC87" s="149"/>
      <c r="BD87" s="149"/>
      <c r="BE87" s="147"/>
      <c r="BF87" s="149"/>
      <c r="BG87" s="149"/>
      <c r="BH87" s="149"/>
      <c r="BI87" s="149"/>
      <c r="BJ87" s="147"/>
      <c r="BK87" s="149"/>
      <c r="BL87" s="149"/>
      <c r="BM87" s="149"/>
      <c r="BN87" s="149"/>
      <c r="BO87" s="150"/>
      <c r="BP87" s="149"/>
      <c r="BQ87" s="149"/>
      <c r="BR87" s="149"/>
      <c r="BS87" s="149"/>
      <c r="BT87" s="147"/>
      <c r="BU87" s="149"/>
      <c r="BV87" s="149"/>
      <c r="BW87" s="149"/>
      <c r="BX87" s="149"/>
      <c r="BY87" s="147"/>
      <c r="BZ87" s="147"/>
      <c r="CA87" s="147"/>
      <c r="CB87" s="147"/>
      <c r="CC87" s="50"/>
    </row>
    <row r="88" s="51" customFormat="true" ht="15" hidden="false" customHeight="true" outlineLevel="0" collapsed="false">
      <c r="A88" s="209" t="s">
        <v>209</v>
      </c>
      <c r="B88" s="146"/>
      <c r="C88" s="147" t="n">
        <f aca="false">C337</f>
        <v>-0</v>
      </c>
      <c r="D88" s="147" t="n">
        <f aca="false">D337</f>
        <v>-0</v>
      </c>
      <c r="E88" s="147" t="n">
        <f aca="false">E337</f>
        <v>-0</v>
      </c>
      <c r="F88" s="147" t="n">
        <f aca="false">F337</f>
        <v>-0</v>
      </c>
      <c r="G88" s="147" t="n">
        <f aca="false">G337</f>
        <v>-64.456</v>
      </c>
      <c r="H88" s="149" t="n">
        <f aca="false">H337</f>
        <v>-20.2</v>
      </c>
      <c r="I88" s="149" t="n">
        <f aca="false">I337</f>
        <v>-20.3</v>
      </c>
      <c r="J88" s="149" t="n">
        <f aca="false">J337</f>
        <v>-20.3</v>
      </c>
      <c r="K88" s="149" t="n">
        <f aca="false">K337</f>
        <v>-20.2</v>
      </c>
      <c r="L88" s="147" t="n">
        <f aca="false">L337</f>
        <v>-81.006</v>
      </c>
      <c r="M88" s="149" t="n">
        <f aca="false">M337</f>
        <v>-20.8</v>
      </c>
      <c r="N88" s="149" t="n">
        <f aca="false">N337</f>
        <v>-20.8</v>
      </c>
      <c r="O88" s="149" t="n">
        <f aca="false">O337</f>
        <v>-20.8</v>
      </c>
      <c r="P88" s="149" t="n">
        <f aca="false">P337</f>
        <v>-20.8</v>
      </c>
      <c r="Q88" s="147" t="n">
        <f aca="false">Q337</f>
        <v>-83.2</v>
      </c>
      <c r="R88" s="149" t="n">
        <f aca="false">R337</f>
        <v>-23.4</v>
      </c>
      <c r="S88" s="149" t="n">
        <f aca="false">S337</f>
        <v>-23.5</v>
      </c>
      <c r="T88" s="149" t="n">
        <f aca="false">T337</f>
        <v>-23.4</v>
      </c>
      <c r="U88" s="149" t="n">
        <f aca="false">U337</f>
        <v>-23.5</v>
      </c>
      <c r="V88" s="147" t="n">
        <f aca="false">V337</f>
        <v>-93.8</v>
      </c>
      <c r="W88" s="149" t="n">
        <f aca="false">W337</f>
        <v>-23.9</v>
      </c>
      <c r="X88" s="149" t="n">
        <f aca="false">X337</f>
        <v>-24</v>
      </c>
      <c r="Y88" s="149" t="n">
        <f aca="false">Y337</f>
        <v>-23.9</v>
      </c>
      <c r="Z88" s="149" t="n">
        <f aca="false">Z337</f>
        <v>-24</v>
      </c>
      <c r="AA88" s="147" t="n">
        <f aca="false">AA337</f>
        <v>-95.8</v>
      </c>
      <c r="AB88" s="149" t="n">
        <f aca="false">AB337</f>
        <v>-0</v>
      </c>
      <c r="AC88" s="149" t="n">
        <f aca="false">AC337</f>
        <v>-0</v>
      </c>
      <c r="AD88" s="149" t="n">
        <f aca="false">AD337</f>
        <v>-0</v>
      </c>
      <c r="AE88" s="149" t="n">
        <f aca="false">AE337</f>
        <v>-0</v>
      </c>
      <c r="AF88" s="147" t="n">
        <f aca="false">AF337</f>
        <v>-0</v>
      </c>
      <c r="AG88" s="149" t="n">
        <f aca="false">AG337</f>
        <v>-0</v>
      </c>
      <c r="AH88" s="149" t="n">
        <f aca="false">AH337</f>
        <v>-0</v>
      </c>
      <c r="AI88" s="149" t="n">
        <f aca="false">AI337</f>
        <v>-0</v>
      </c>
      <c r="AJ88" s="149" t="n">
        <f aca="false">AJ337</f>
        <v>-0</v>
      </c>
      <c r="AK88" s="147" t="n">
        <f aca="false">AK337</f>
        <v>-0</v>
      </c>
      <c r="AL88" s="149" t="n">
        <f aca="false">AL337</f>
        <v>-0</v>
      </c>
      <c r="AM88" s="149" t="n">
        <f aca="false">AM337</f>
        <v>-0</v>
      </c>
      <c r="AN88" s="149" t="n">
        <f aca="false">AN337</f>
        <v>-0</v>
      </c>
      <c r="AO88" s="149" t="n">
        <f aca="false">AO337</f>
        <v>-0</v>
      </c>
      <c r="AP88" s="147" t="n">
        <f aca="false">AP337</f>
        <v>-0</v>
      </c>
      <c r="AQ88" s="149" t="n">
        <f aca="false">AQ337</f>
        <v>-0</v>
      </c>
      <c r="AR88" s="149" t="n">
        <f aca="false">AR337</f>
        <v>-0</v>
      </c>
      <c r="AS88" s="149" t="n">
        <f aca="false">AS337</f>
        <v>-0</v>
      </c>
      <c r="AT88" s="149" t="n">
        <f aca="false">AT337</f>
        <v>-213.7</v>
      </c>
      <c r="AU88" s="147" t="n">
        <f aca="false">AU337</f>
        <v>-213.7</v>
      </c>
      <c r="AV88" s="149" t="n">
        <f aca="false">AV337</f>
        <v>-0</v>
      </c>
      <c r="AW88" s="149" t="n">
        <f aca="false">AW337</f>
        <v>-0</v>
      </c>
      <c r="AX88" s="149" t="n">
        <f aca="false">AX337</f>
        <v>-0</v>
      </c>
      <c r="AY88" s="149" t="n">
        <f aca="false">AY337</f>
        <v>-0</v>
      </c>
      <c r="AZ88" s="147" t="n">
        <f aca="false">AZ337</f>
        <v>-0</v>
      </c>
      <c r="BA88" s="149" t="n">
        <f aca="false">BA337</f>
        <v>-0</v>
      </c>
      <c r="BB88" s="149" t="n">
        <f aca="false">BB337</f>
        <v>-0</v>
      </c>
      <c r="BC88" s="149" t="n">
        <f aca="false">BC337</f>
        <v>-0</v>
      </c>
      <c r="BD88" s="149" t="n">
        <f aca="false">BD337</f>
        <v>-0</v>
      </c>
      <c r="BE88" s="147" t="n">
        <f aca="false">BE337</f>
        <v>-0</v>
      </c>
      <c r="BF88" s="149" t="n">
        <f aca="false">BF337</f>
        <v>-0</v>
      </c>
      <c r="BG88" s="149" t="n">
        <f aca="false">BG337</f>
        <v>-0</v>
      </c>
      <c r="BH88" s="149" t="n">
        <f aca="false">BH337</f>
        <v>-0</v>
      </c>
      <c r="BI88" s="149" t="n">
        <f aca="false">BI337</f>
        <v>-0</v>
      </c>
      <c r="BJ88" s="147" t="n">
        <f aca="false">BJ337</f>
        <v>-0</v>
      </c>
      <c r="BK88" s="149" t="n">
        <f aca="false">BK337</f>
        <v>-0</v>
      </c>
      <c r="BL88" s="149" t="n">
        <f aca="false">BL337</f>
        <v>-0</v>
      </c>
      <c r="BM88" s="149" t="n">
        <f aca="false">BM337</f>
        <v>-0</v>
      </c>
      <c r="BN88" s="149" t="n">
        <f aca="false">BN337</f>
        <v>-0</v>
      </c>
      <c r="BO88" s="150" t="n">
        <f aca="false">BO337</f>
        <v>-0</v>
      </c>
      <c r="BP88" s="243" t="n">
        <v>0</v>
      </c>
      <c r="BQ88" s="243" t="n">
        <v>0</v>
      </c>
      <c r="BR88" s="243" t="n">
        <v>0</v>
      </c>
      <c r="BS88" s="243" t="n">
        <v>0</v>
      </c>
      <c r="BT88" s="147" t="n">
        <f aca="false">SUM(BP88,BQ88,BR88,BS88)</f>
        <v>0</v>
      </c>
      <c r="BU88" s="243" t="n">
        <v>0</v>
      </c>
      <c r="BV88" s="243" t="n">
        <v>0</v>
      </c>
      <c r="BW88" s="243" t="n">
        <v>0</v>
      </c>
      <c r="BX88" s="243" t="n">
        <v>0</v>
      </c>
      <c r="BY88" s="147" t="n">
        <f aca="false">SUM(BU88,BV88,BW88,BX88)</f>
        <v>0</v>
      </c>
      <c r="BZ88" s="148" t="n">
        <v>0</v>
      </c>
      <c r="CA88" s="148" t="n">
        <v>0</v>
      </c>
      <c r="CB88" s="148" t="n">
        <v>0</v>
      </c>
      <c r="CC88" s="50"/>
    </row>
    <row r="89" s="157" customFormat="true" ht="15" hidden="false" customHeight="true" outlineLevel="0" collapsed="false">
      <c r="A89" s="244" t="s">
        <v>210</v>
      </c>
      <c r="B89" s="152"/>
      <c r="C89" s="153" t="n">
        <f aca="false">C72-C78-C83-C88</f>
        <v>-163.125</v>
      </c>
      <c r="D89" s="153" t="n">
        <f aca="false">D72-D78-D83-D88</f>
        <v>1250.699</v>
      </c>
      <c r="E89" s="153" t="n">
        <f aca="false">E72-E78-E83-E88</f>
        <v>1641.216</v>
      </c>
      <c r="F89" s="153" t="n">
        <f aca="false">F72-F78-F83-F88</f>
        <v>1156.774</v>
      </c>
      <c r="G89" s="153" t="n">
        <f aca="false">G72-G78-G83-G88</f>
        <v>1047.948</v>
      </c>
      <c r="H89" s="154" t="n">
        <f aca="false">H72-H78-H83-H88</f>
        <v>265.7</v>
      </c>
      <c r="I89" s="154" t="n">
        <f aca="false">I72-I78-I83-I88</f>
        <v>425.4</v>
      </c>
      <c r="J89" s="154" t="n">
        <f aca="false">J72-J78-J83-J88</f>
        <v>261.4</v>
      </c>
      <c r="K89" s="154" t="n">
        <f aca="false">K72-K78-K83-K88</f>
        <v>329.7</v>
      </c>
      <c r="L89" s="153" t="n">
        <f aca="false">L72-L78-L83-L88</f>
        <v>1282.235</v>
      </c>
      <c r="M89" s="154" t="n">
        <f aca="false">M72-M78-M83-M88</f>
        <v>455.7</v>
      </c>
      <c r="N89" s="154" t="n">
        <f aca="false">N72-N78-N83-N88</f>
        <v>418.9</v>
      </c>
      <c r="O89" s="154" t="n">
        <f aca="false">O72-O78-O83-O88</f>
        <v>372.4</v>
      </c>
      <c r="P89" s="154" t="n">
        <f aca="false">P72-P78-P83-P88</f>
        <v>318.1</v>
      </c>
      <c r="Q89" s="153" t="n">
        <f aca="false">Q72-Q78-Q83-Q88</f>
        <v>1565.135</v>
      </c>
      <c r="R89" s="154" t="n">
        <f aca="false">R72-R78-R83-R88</f>
        <v>228</v>
      </c>
      <c r="S89" s="154" t="n">
        <f aca="false">S72-S78-S83-S88</f>
        <v>404.2</v>
      </c>
      <c r="T89" s="154" t="n">
        <f aca="false">T72-T78-T83-T88</f>
        <v>495.6</v>
      </c>
      <c r="U89" s="154" t="n">
        <f aca="false">U72-U78-U83-U88</f>
        <v>529.9</v>
      </c>
      <c r="V89" s="153" t="n">
        <f aca="false">V72-V78-V83-V88</f>
        <v>1657.7</v>
      </c>
      <c r="W89" s="154" t="n">
        <f aca="false">W72-W78-W83-W88</f>
        <v>534.8</v>
      </c>
      <c r="X89" s="154" t="n">
        <f aca="false">X72-X78-X83-X88</f>
        <v>555.8</v>
      </c>
      <c r="Y89" s="154" t="n">
        <f aca="false">Y72-Y78-Y83-Y88</f>
        <v>655.6</v>
      </c>
      <c r="Z89" s="154" t="n">
        <f aca="false">Z72-Z78-Z83-Z88</f>
        <v>750</v>
      </c>
      <c r="AA89" s="153" t="n">
        <f aca="false">AA72-AA78-AA83-AA88</f>
        <v>2496.2</v>
      </c>
      <c r="AB89" s="154" t="n">
        <f aca="false">AB72-AB78-AB83-AB88</f>
        <v>642.2</v>
      </c>
      <c r="AC89" s="154" t="n">
        <f aca="false">AC72-AC78-AC83-AC88</f>
        <v>689.4</v>
      </c>
      <c r="AD89" s="154" t="n">
        <f aca="false">AD72-AD78-AD83-AD88</f>
        <v>817.8</v>
      </c>
      <c r="AE89" s="154" t="n">
        <f aca="false">AE72-AE78-AE83-AE88</f>
        <v>815.900000000001</v>
      </c>
      <c r="AF89" s="153" t="n">
        <f aca="false">AF72-AF78-AF83-AF88</f>
        <v>2965.3</v>
      </c>
      <c r="AG89" s="154" t="n">
        <f aca="false">AG72-AG78-AG83-AG88</f>
        <v>334.3</v>
      </c>
      <c r="AH89" s="154" t="n">
        <f aca="false">AH72-AH78-AH83-AH88</f>
        <v>494.3</v>
      </c>
      <c r="AI89" s="154" t="n">
        <f aca="false">AI72-AI78-AI83-AI88</f>
        <v>685.6</v>
      </c>
      <c r="AJ89" s="154" t="n">
        <f aca="false">AJ72-AJ78-AJ83-AJ88</f>
        <v>1276.6</v>
      </c>
      <c r="AK89" s="153" t="n">
        <f aca="false">AK72-AK78-AK83-AK88</f>
        <v>2790.8</v>
      </c>
      <c r="AL89" s="154" t="n">
        <f aca="false">AL72-AL78-AL83-AL88</f>
        <v>426.7</v>
      </c>
      <c r="AM89" s="154" t="n">
        <f aca="false">AM72-AM78-AM83-AM88</f>
        <v>905.1</v>
      </c>
      <c r="AN89" s="154" t="n">
        <f aca="false">AN72-AN78-AN83-AN88</f>
        <v>1215.9</v>
      </c>
      <c r="AO89" s="154" t="n">
        <f aca="false">AO72-AO78-AO83-AO88</f>
        <v>1503.8</v>
      </c>
      <c r="AP89" s="153" t="n">
        <f aca="false">AP72-AP78-AP83-AP88</f>
        <v>4051.5</v>
      </c>
      <c r="AQ89" s="154" t="n">
        <f aca="false">AQ72-AQ78-AQ83-AQ88</f>
        <v>1560.6</v>
      </c>
      <c r="AR89" s="154" t="n">
        <f aca="false">AR72-AR78-AR83-AR88</f>
        <v>1239</v>
      </c>
      <c r="AS89" s="154" t="n">
        <f aca="false">AS72-AS78-AS83-AS88</f>
        <v>1919.3</v>
      </c>
      <c r="AT89" s="154" t="n">
        <f aca="false">AT72-AT78-AT83-AT88</f>
        <v>2031.2</v>
      </c>
      <c r="AU89" s="153" t="n">
        <f aca="false">AU72-AU78-AU83-AU88</f>
        <v>6750.1</v>
      </c>
      <c r="AV89" s="154" t="n">
        <f aca="false">AV72-AV78-AV83-AV88</f>
        <v>784.6</v>
      </c>
      <c r="AW89" s="154" t="n">
        <f aca="false">AW72-AW78-AW83-AW88</f>
        <v>1653.4</v>
      </c>
      <c r="AX89" s="154" t="n">
        <f aca="false">AX72-AX78-AX83-AX88</f>
        <v>1938.5</v>
      </c>
      <c r="AY89" s="154" t="n">
        <f aca="false">AY72-AY78-AY83-AY88</f>
        <v>2124.2</v>
      </c>
      <c r="AZ89" s="153" t="n">
        <f aca="false">AZ72-AZ78-AZ83-AZ88</f>
        <v>6500.7</v>
      </c>
      <c r="BA89" s="154" t="n">
        <f aca="false">BA72-BA78-BA83-BA88</f>
        <v>2205</v>
      </c>
      <c r="BB89" s="154" t="n">
        <f aca="false">BB72-BB78-BB83-BB88</f>
        <v>2263</v>
      </c>
      <c r="BC89" s="154" t="n">
        <f aca="false">BC72-BC78-BC83-BC88</f>
        <v>2182.4</v>
      </c>
      <c r="BD89" s="154" t="n">
        <f aca="false">BD72-BD78-BD83-BD88</f>
        <v>2391.9</v>
      </c>
      <c r="BE89" s="153" t="n">
        <f aca="false">BE72-BE78-BE83-BE88</f>
        <v>9042.3</v>
      </c>
      <c r="BF89" s="154" t="n">
        <f aca="false">BF72-BF78-BF83-BF88</f>
        <v>1391.4</v>
      </c>
      <c r="BG89" s="154" t="n">
        <f aca="false">BG72-BG78-BG83-BG88</f>
        <v>1834.6</v>
      </c>
      <c r="BH89" s="154" t="n">
        <f aca="false">BH72-BH78-BH83-BH88</f>
        <v>2441.2</v>
      </c>
      <c r="BI89" s="154" t="n">
        <f aca="false">BI72-BI78-BI83-BI88</f>
        <v>3355.4</v>
      </c>
      <c r="BJ89" s="153" t="n">
        <f aca="false">BJ72-BJ78-BJ83-BJ88</f>
        <v>9022.6</v>
      </c>
      <c r="BK89" s="154" t="n">
        <f aca="false">BK72-BK78-BK83-BK88</f>
        <v>2737.9</v>
      </c>
      <c r="BL89" s="154" t="n">
        <f aca="false">BL72-BL78-BL83-BL88</f>
        <v>2664.1</v>
      </c>
      <c r="BM89" s="154" t="n">
        <f aca="false">BM72-BM78-BM83-BM88</f>
        <v>2468.4</v>
      </c>
      <c r="BN89" s="154" t="n">
        <f aca="false">BN72-BN78-BN83-BN88</f>
        <v>3431</v>
      </c>
      <c r="BO89" s="155" t="n">
        <f aca="false">BO72-BO78-BO83-BO88</f>
        <v>11301.4</v>
      </c>
      <c r="BP89" s="154" t="n">
        <f aca="false">BP72-BP78-BP83-BP88</f>
        <v>2960.51304928716</v>
      </c>
      <c r="BQ89" s="154" t="n">
        <f aca="false">BQ72-BQ78-BQ83-BQ88</f>
        <v>3495.39589769988</v>
      </c>
      <c r="BR89" s="154" t="n">
        <f aca="false">BR72-BR78-BR83-BR88</f>
        <v>3258.47383875289</v>
      </c>
      <c r="BS89" s="154" t="n">
        <f aca="false">BS72-BS78-BS83-BS88</f>
        <v>3620.15146398755</v>
      </c>
      <c r="BT89" s="153" t="n">
        <f aca="false">BT72-BT78-BT83-BT88</f>
        <v>13334.5342497275</v>
      </c>
      <c r="BU89" s="154" t="n">
        <f aca="false">BU72-BU78-BU83-BU88</f>
        <v>3118.35741631106</v>
      </c>
      <c r="BV89" s="154" t="n">
        <f aca="false">BV72-BV78-BV83-BV88</f>
        <v>4205.38959859293</v>
      </c>
      <c r="BW89" s="154" t="n">
        <f aca="false">BW72-BW78-BW83-BW88</f>
        <v>3876.92880713419</v>
      </c>
      <c r="BX89" s="154" t="n">
        <f aca="false">BX72-BX78-BX83-BX88</f>
        <v>3912.99616548549</v>
      </c>
      <c r="BY89" s="153" t="n">
        <f aca="false">BY72-BY78-BY83-BY88</f>
        <v>15113.6719875237</v>
      </c>
      <c r="BZ89" s="153" t="n">
        <f aca="false">BZ72-BZ78-BZ83-BZ88</f>
        <v>18501.3799376864</v>
      </c>
      <c r="CA89" s="153" t="n">
        <f aca="false">CA72-CA78-CA83-CA88</f>
        <v>19734.9606418536</v>
      </c>
      <c r="CB89" s="153" t="n">
        <f aca="false">CB72-CB78-CB83-CB88</f>
        <v>21055.9876613057</v>
      </c>
      <c r="CC89" s="156"/>
    </row>
    <row r="90" s="250" customFormat="true" ht="15" hidden="false" customHeight="true" outlineLevel="0" collapsed="false">
      <c r="A90" s="245" t="str">
        <f aca="false">A340</f>
        <v>Consensus Estimates - Adjusted EBIT</v>
      </c>
      <c r="B90" s="211"/>
      <c r="C90" s="246"/>
      <c r="D90" s="246"/>
      <c r="E90" s="246"/>
      <c r="F90" s="246"/>
      <c r="G90" s="246"/>
      <c r="H90" s="247"/>
      <c r="I90" s="247"/>
      <c r="J90" s="247"/>
      <c r="K90" s="247"/>
      <c r="L90" s="246"/>
      <c r="M90" s="247"/>
      <c r="N90" s="247"/>
      <c r="O90" s="247"/>
      <c r="P90" s="247"/>
      <c r="Q90" s="246"/>
      <c r="R90" s="247"/>
      <c r="S90" s="247"/>
      <c r="T90" s="247"/>
      <c r="U90" s="247"/>
      <c r="V90" s="246"/>
      <c r="W90" s="247"/>
      <c r="X90" s="247"/>
      <c r="Y90" s="247"/>
      <c r="Z90" s="247"/>
      <c r="AA90" s="246"/>
      <c r="AB90" s="247"/>
      <c r="AC90" s="247"/>
      <c r="AD90" s="247"/>
      <c r="AE90" s="247"/>
      <c r="AF90" s="246"/>
      <c r="AG90" s="247"/>
      <c r="AH90" s="247"/>
      <c r="AI90" s="247"/>
      <c r="AJ90" s="247"/>
      <c r="AK90" s="246"/>
      <c r="AL90" s="247"/>
      <c r="AM90" s="247"/>
      <c r="AN90" s="247"/>
      <c r="AO90" s="247"/>
      <c r="AP90" s="246"/>
      <c r="AQ90" s="247"/>
      <c r="AR90" s="247"/>
      <c r="AS90" s="247"/>
      <c r="AT90" s="247"/>
      <c r="AU90" s="246"/>
      <c r="AV90" s="247"/>
      <c r="AW90" s="247"/>
      <c r="AX90" s="247"/>
      <c r="AY90" s="247"/>
      <c r="AZ90" s="246"/>
      <c r="BA90" s="247"/>
      <c r="BB90" s="247"/>
      <c r="BC90" s="247"/>
      <c r="BD90" s="247"/>
      <c r="BE90" s="246"/>
      <c r="BF90" s="247"/>
      <c r="BG90" s="247"/>
      <c r="BH90" s="247"/>
      <c r="BI90" s="247"/>
      <c r="BJ90" s="246"/>
      <c r="BK90" s="247"/>
      <c r="BL90" s="247"/>
      <c r="BM90" s="247"/>
      <c r="BN90" s="247"/>
      <c r="BO90" s="248"/>
      <c r="BP90" s="247" t="str">
        <f aca="false">BP340</f>
        <v>N/A</v>
      </c>
      <c r="BQ90" s="247" t="str">
        <f aca="false">BQ340</f>
        <v>N/A</v>
      </c>
      <c r="BR90" s="247" t="str">
        <f aca="false">BR340</f>
        <v>N/A</v>
      </c>
      <c r="BS90" s="247" t="str">
        <f aca="false">BS340</f>
        <v>N/A</v>
      </c>
      <c r="BT90" s="246" t="str">
        <f aca="false">BT340</f>
        <v>N/A</v>
      </c>
      <c r="BU90" s="247" t="str">
        <f aca="false">BU340</f>
        <v>N/A</v>
      </c>
      <c r="BV90" s="247" t="str">
        <f aca="false">BV340</f>
        <v>N/A</v>
      </c>
      <c r="BW90" s="247" t="str">
        <f aca="false">BW340</f>
        <v>N/A</v>
      </c>
      <c r="BX90" s="247" t="str">
        <f aca="false">BX340</f>
        <v>N/A</v>
      </c>
      <c r="BY90" s="246" t="str">
        <f aca="false">BY340</f>
        <v>N/A</v>
      </c>
      <c r="BZ90" s="246" t="str">
        <f aca="false">BZ340</f>
        <v>N/A</v>
      </c>
      <c r="CA90" s="246" t="str">
        <f aca="false">CA340</f>
        <v>N/A</v>
      </c>
      <c r="CB90" s="246" t="str">
        <f aca="false">CB340</f>
        <v>N/A</v>
      </c>
      <c r="CC90" s="249"/>
    </row>
    <row r="91" s="139" customFormat="true" ht="15" hidden="false" customHeight="true" outlineLevel="0" collapsed="false">
      <c r="A91" s="240" t="s">
        <v>211</v>
      </c>
      <c r="B91" s="132"/>
      <c r="C91" s="133"/>
      <c r="D91" s="133" t="n">
        <f aca="false">D89/C89-1</f>
        <v>-8.6671203065134</v>
      </c>
      <c r="E91" s="133" t="n">
        <f aca="false">E89/D89-1</f>
        <v>0.312238995953463</v>
      </c>
      <c r="F91" s="133" t="n">
        <f aca="false">F89/E89-1</f>
        <v>-0.295172603727967</v>
      </c>
      <c r="G91" s="133" t="n">
        <f aca="false">G89/F89-1</f>
        <v>-0.0940771490368912</v>
      </c>
      <c r="H91" s="134"/>
      <c r="I91" s="134"/>
      <c r="J91" s="134"/>
      <c r="K91" s="134"/>
      <c r="L91" s="133" t="n">
        <f aca="false">L89/G89-1</f>
        <v>0.223567390748396</v>
      </c>
      <c r="M91" s="134" t="n">
        <f aca="false">M89/H89-1</f>
        <v>0.715092209258563</v>
      </c>
      <c r="N91" s="134" t="n">
        <f aca="false">N89/I89-1</f>
        <v>-0.0152797367183826</v>
      </c>
      <c r="O91" s="134" t="n">
        <f aca="false">O89/J89-1</f>
        <v>0.424636572302983</v>
      </c>
      <c r="P91" s="134" t="n">
        <f aca="false">P89/K89-1</f>
        <v>-0.0351835001516534</v>
      </c>
      <c r="Q91" s="133" t="n">
        <f aca="false">Q89/L89-1</f>
        <v>0.220630383666021</v>
      </c>
      <c r="R91" s="134" t="n">
        <f aca="false">R89/M89-1</f>
        <v>-0.499670836076367</v>
      </c>
      <c r="S91" s="134" t="n">
        <f aca="false">S89/N89-1</f>
        <v>-0.035091907376462</v>
      </c>
      <c r="T91" s="134" t="n">
        <f aca="false">T89/O89-1</f>
        <v>0.330827067669173</v>
      </c>
      <c r="U91" s="134" t="n">
        <f aca="false">U89/P89-1</f>
        <v>0.665828355862937</v>
      </c>
      <c r="V91" s="133" t="n">
        <f aca="false">V89/Q89-1</f>
        <v>0.0591418631619642</v>
      </c>
      <c r="W91" s="134" t="n">
        <f aca="false">W89/R89-1</f>
        <v>1.34561403508772</v>
      </c>
      <c r="X91" s="134" t="n">
        <f aca="false">X89/S89-1</f>
        <v>0.375061850569024</v>
      </c>
      <c r="Y91" s="134" t="n">
        <f aca="false">Y89/T89-1</f>
        <v>0.322841000807103</v>
      </c>
      <c r="Z91" s="134" t="n">
        <f aca="false">Z89/U89-1</f>
        <v>0.41536138894131</v>
      </c>
      <c r="AA91" s="133" t="n">
        <f aca="false">AA89/V89-1</f>
        <v>0.505821318694576</v>
      </c>
      <c r="AB91" s="134" t="n">
        <f aca="false">AB89/W89-1</f>
        <v>0.200822737471952</v>
      </c>
      <c r="AC91" s="134" t="n">
        <f aca="false">AC89/X89-1</f>
        <v>0.240374235336453</v>
      </c>
      <c r="AD91" s="134" t="n">
        <f aca="false">AD89/Y89-1</f>
        <v>0.247406955460647</v>
      </c>
      <c r="AE91" s="134" t="n">
        <f aca="false">AE89/Z89-1</f>
        <v>0.0878666666666677</v>
      </c>
      <c r="AF91" s="133" t="n">
        <f aca="false">AF89/AA89-1</f>
        <v>0.187925646983415</v>
      </c>
      <c r="AG91" s="134" t="n">
        <f aca="false">AG89/AB89-1</f>
        <v>-0.479445655559016</v>
      </c>
      <c r="AH91" s="134" t="n">
        <f aca="false">AH89/AC89-1</f>
        <v>-0.28299970989266</v>
      </c>
      <c r="AI91" s="134" t="n">
        <f aca="false">AI89/AD89-1</f>
        <v>-0.161653215945219</v>
      </c>
      <c r="AJ91" s="134" t="n">
        <f aca="false">AJ89/AE89-1</f>
        <v>0.56465253094742</v>
      </c>
      <c r="AK91" s="133" t="n">
        <f aca="false">AK89/AF89-1</f>
        <v>-0.0588473341651774</v>
      </c>
      <c r="AL91" s="134" t="n">
        <f aca="false">AL89/AG89-1</f>
        <v>0.276398444510918</v>
      </c>
      <c r="AM91" s="134" t="n">
        <f aca="false">AM89/AH89-1</f>
        <v>0.831074246409062</v>
      </c>
      <c r="AN91" s="134" t="n">
        <f aca="false">AN89/AI89-1</f>
        <v>0.773483080513419</v>
      </c>
      <c r="AO91" s="134" t="n">
        <f aca="false">AO89/AJ89-1</f>
        <v>0.177972740090866</v>
      </c>
      <c r="AP91" s="133" t="n">
        <f aca="false">AP89/AK89-1</f>
        <v>0.451734269743443</v>
      </c>
      <c r="AQ91" s="134" t="n">
        <f aca="false">AQ89/AL89-1</f>
        <v>2.65737051792829</v>
      </c>
      <c r="AR91" s="134" t="n">
        <f aca="false">AR89/AM89-1</f>
        <v>0.368909512761021</v>
      </c>
      <c r="AS91" s="134" t="n">
        <f aca="false">AS89/AN89-1</f>
        <v>0.578501521506702</v>
      </c>
      <c r="AT91" s="134" t="n">
        <f aca="false">AT89/AO89-1</f>
        <v>0.350711530788668</v>
      </c>
      <c r="AU91" s="133" t="n">
        <f aca="false">AU89/AP89-1</f>
        <v>0.666074293471554</v>
      </c>
      <c r="AV91" s="134" t="n">
        <f aca="false">AV89/AQ89-1</f>
        <v>-0.497244649493785</v>
      </c>
      <c r="AW91" s="134" t="n">
        <f aca="false">AW89/AR89-1</f>
        <v>0.334463276836158</v>
      </c>
      <c r="AX91" s="134" t="n">
        <f aca="false">AX89/AS89-1</f>
        <v>0.010003647163028</v>
      </c>
      <c r="AY91" s="134" t="n">
        <f aca="false">AY89/AT89-1</f>
        <v>0.0457857424182753</v>
      </c>
      <c r="AZ91" s="133" t="n">
        <f aca="false">AZ89/AU89-1</f>
        <v>-0.0369476007762843</v>
      </c>
      <c r="BA91" s="134" t="n">
        <f aca="false">BA89/AV89-1</f>
        <v>1.81034922253378</v>
      </c>
      <c r="BB91" s="134" t="n">
        <f aca="false">BB89/AW89-1</f>
        <v>0.368694810693117</v>
      </c>
      <c r="BC91" s="134" t="n">
        <f aca="false">BC89/AX89-1</f>
        <v>0.125818932164045</v>
      </c>
      <c r="BD91" s="134" t="n">
        <f aca="false">BD89/AY89-1</f>
        <v>0.126023914885604</v>
      </c>
      <c r="BE91" s="133" t="n">
        <f aca="false">BE89/AZ89-1</f>
        <v>0.390973279800636</v>
      </c>
      <c r="BF91" s="134" t="n">
        <f aca="false">BF89/BA89-1</f>
        <v>-0.368979591836735</v>
      </c>
      <c r="BG91" s="134" t="n">
        <f aca="false">BG89/BB89-1</f>
        <v>-0.189306230667256</v>
      </c>
      <c r="BH91" s="134" t="n">
        <f aca="false">BH89/BC89-1</f>
        <v>0.11858504398827</v>
      </c>
      <c r="BI91" s="134" t="n">
        <f aca="false">BI89/BD89-1</f>
        <v>0.402817843555334</v>
      </c>
      <c r="BJ91" s="133" t="n">
        <f aca="false">BJ89/BE89-1</f>
        <v>-0.00217864923747246</v>
      </c>
      <c r="BK91" s="134" t="n">
        <f aca="false">BK89/BF89-1</f>
        <v>0.967730343538882</v>
      </c>
      <c r="BL91" s="134" t="n">
        <f aca="false">BL89/BG89-1</f>
        <v>0.452142156328356</v>
      </c>
      <c r="BM91" s="134" t="n">
        <f aca="false">BM89/BH89-1</f>
        <v>0.0111420612813373</v>
      </c>
      <c r="BN91" s="134" t="n">
        <f aca="false">BN89/BI89-1</f>
        <v>0.0225308458007989</v>
      </c>
      <c r="BO91" s="135" t="n">
        <f aca="false">BO89/BJ89-1</f>
        <v>0.2525657792654</v>
      </c>
      <c r="BP91" s="134" t="n">
        <f aca="false">BP89/BK89-1</f>
        <v>0.0813079547416484</v>
      </c>
      <c r="BQ91" s="134" t="n">
        <f aca="false">BQ89/BL89-1</f>
        <v>0.312036296572907</v>
      </c>
      <c r="BR91" s="134" t="n">
        <f aca="false">BR89/BM89-1</f>
        <v>0.320075287130484</v>
      </c>
      <c r="BS91" s="134" t="n">
        <f aca="false">BS89/BN89-1</f>
        <v>0.0551301264901036</v>
      </c>
      <c r="BT91" s="133" t="n">
        <f aca="false">BT89/BO89-1</f>
        <v>0.179901096300235</v>
      </c>
      <c r="BU91" s="134" t="n">
        <f aca="false">BU89/BP89-1</f>
        <v>0.0533165584464852</v>
      </c>
      <c r="BV91" s="134" t="n">
        <f aca="false">BV89/BQ89-1</f>
        <v>0.203122542244857</v>
      </c>
      <c r="BW91" s="134" t="n">
        <f aca="false">BW89/BR89-1</f>
        <v>0.189798966935394</v>
      </c>
      <c r="BX91" s="134" t="n">
        <f aca="false">BX89/BS89-1</f>
        <v>0.080892941748735</v>
      </c>
      <c r="BY91" s="133" t="n">
        <f aca="false">BY89/BT89-1</f>
        <v>0.133423313066413</v>
      </c>
      <c r="BZ91" s="133" t="n">
        <f aca="false">BZ89/BY89-1</f>
        <v>0.224148569120677</v>
      </c>
      <c r="CA91" s="133" t="n">
        <f aca="false">CA89/BZ89-1</f>
        <v>0.066675064688253</v>
      </c>
      <c r="CB91" s="133" t="n">
        <f aca="false">CB89/CA89-1</f>
        <v>0.0669384167227831</v>
      </c>
      <c r="CC91" s="138"/>
    </row>
    <row r="92" s="237" customFormat="true" ht="15" hidden="false" customHeight="true" outlineLevel="0" collapsed="false">
      <c r="A92" s="241" t="s">
        <v>212</v>
      </c>
      <c r="B92" s="232"/>
      <c r="C92" s="233" t="n">
        <f aca="false">C89/C70</f>
        <v>-0.102204612223954</v>
      </c>
      <c r="D92" s="233" t="n">
        <f aca="false">D89/D70</f>
        <v>0.277443700423564</v>
      </c>
      <c r="E92" s="233" t="n">
        <f aca="false">E89/E70</f>
        <v>0.290427505757795</v>
      </c>
      <c r="F92" s="233" t="n">
        <f aca="false">F89/F70</f>
        <v>0.244480725681092</v>
      </c>
      <c r="G92" s="233" t="n">
        <f aca="false">G89/G70</f>
        <v>0.199787010378383</v>
      </c>
      <c r="H92" s="234" t="n">
        <f aca="false">H89/H70</f>
        <v>0.190261367704977</v>
      </c>
      <c r="I92" s="234" t="n">
        <f aca="false">I89/I70</f>
        <v>0.258822097834023</v>
      </c>
      <c r="J92" s="234" t="n">
        <f aca="false">J89/J70</f>
        <v>0.197700801694146</v>
      </c>
      <c r="K92" s="234" t="n">
        <f aca="false">K89/K70</f>
        <v>0.220682730923695</v>
      </c>
      <c r="L92" s="233" t="n">
        <f aca="false">L89/L70</f>
        <v>0.218950538029536</v>
      </c>
      <c r="M92" s="234" t="n">
        <f aca="false">M89/M70</f>
        <v>0.276198557488333</v>
      </c>
      <c r="N92" s="234" t="n">
        <f aca="false">N89/N70</f>
        <v>0.253249501239345</v>
      </c>
      <c r="O92" s="234" t="n">
        <f aca="false">O89/O70</f>
        <v>0.240382132713659</v>
      </c>
      <c r="P92" s="234" t="n">
        <f aca="false">P89/P70</f>
        <v>0.221796123274299</v>
      </c>
      <c r="Q92" s="233" t="n">
        <f aca="false">Q89/Q70</f>
        <v>0.248932980774966</v>
      </c>
      <c r="R92" s="234" t="n">
        <f aca="false">R89/R70</f>
        <v>0.171017101710171</v>
      </c>
      <c r="S92" s="234" t="n">
        <f aca="false">S89/S70</f>
        <v>0.23235226488848</v>
      </c>
      <c r="T92" s="234" t="n">
        <f aca="false">T89/T70</f>
        <v>0.273118042543811</v>
      </c>
      <c r="U92" s="234" t="n">
        <f aca="false">U89/U70</f>
        <v>0.277812729369823</v>
      </c>
      <c r="V92" s="233" t="n">
        <f aca="false">V89/V70</f>
        <v>0.243965973980103</v>
      </c>
      <c r="W92" s="234" t="n">
        <f aca="false">W89/W70</f>
        <v>0.275159497839061</v>
      </c>
      <c r="X92" s="234" t="n">
        <f aca="false">X89/X70</f>
        <v>0.264490339773484</v>
      </c>
      <c r="Y92" s="234" t="n">
        <f aca="false">Y89/Y70</f>
        <v>0.267876113426493</v>
      </c>
      <c r="Z92" s="234" t="n">
        <f aca="false">Z89/Z70</f>
        <v>0.292922980784253</v>
      </c>
      <c r="AA92" s="233" t="n">
        <f aca="false">AA89/AA70</f>
        <v>0.275737893248498</v>
      </c>
      <c r="AB92" s="234" t="n">
        <f aca="false">AB89/AB70</f>
        <v>0.281050328227571</v>
      </c>
      <c r="AC92" s="234" t="n">
        <f aca="false">AC89/AC70</f>
        <v>0.251569113997957</v>
      </c>
      <c r="AD92" s="234" t="n">
        <f aca="false">AD89/AD70</f>
        <v>0.294585929901661</v>
      </c>
      <c r="AE92" s="234" t="n">
        <f aca="false">AE89/AE70</f>
        <v>0.259634049323787</v>
      </c>
      <c r="AF92" s="233" t="n">
        <f aca="false">AF89/AF70</f>
        <v>0.270952119883041</v>
      </c>
      <c r="AG92" s="234" t="n">
        <f aca="false">AG89/AG70</f>
        <v>0.149970840249428</v>
      </c>
      <c r="AH92" s="234" t="n">
        <f aca="false">AH89/AH70</f>
        <v>0.192491919467269</v>
      </c>
      <c r="AI92" s="234" t="n">
        <f aca="false">AI89/AI70</f>
        <v>0.22956638205257</v>
      </c>
      <c r="AJ92" s="234" t="n">
        <f aca="false">AJ89/AJ70</f>
        <v>0.316264090177134</v>
      </c>
      <c r="AK92" s="233" t="n">
        <f aca="false">AK89/AK70</f>
        <v>0.236108291032149</v>
      </c>
      <c r="AL92" s="234" t="n">
        <f aca="false">AL89/AL70</f>
        <v>0.174834057199049</v>
      </c>
      <c r="AM92" s="234" t="n">
        <f aca="false">AM89/AM70</f>
        <v>0.272153230898758</v>
      </c>
      <c r="AN92" s="234" t="n">
        <f aca="false">AN89/AN70</f>
        <v>0.307200606366852</v>
      </c>
      <c r="AO92" s="234" t="n">
        <f aca="false">AO89/AO70</f>
        <v>0.353485966809271</v>
      </c>
      <c r="AP92" s="233" t="n">
        <f aca="false">AP89/AP70</f>
        <v>0.289837965446936</v>
      </c>
      <c r="AQ92" s="234" t="n">
        <f aca="false">AQ89/AQ70</f>
        <v>0.357615894039735</v>
      </c>
      <c r="AR92" s="234" t="n">
        <f aca="false">AR89/AR70</f>
        <v>0.30819362220785</v>
      </c>
      <c r="AS92" s="234" t="n">
        <f aca="false">AS89/AS70</f>
        <v>0.366187777841375</v>
      </c>
      <c r="AT92" s="234" t="n">
        <f aca="false">AT89/AT70</f>
        <v>0.407413350449294</v>
      </c>
      <c r="AU92" s="233" t="n">
        <f aca="false">AU89/AU70</f>
        <v>0.362694105636452</v>
      </c>
      <c r="AV92" s="234" t="n">
        <f aca="false">AV89/AV70</f>
        <v>0.221989588048891</v>
      </c>
      <c r="AW92" s="234" t="n">
        <f aca="false">AW89/AW70</f>
        <v>0.304465518828837</v>
      </c>
      <c r="AX92" s="234" t="n">
        <f aca="false">AX89/AX70</f>
        <v>0.335479293217728</v>
      </c>
      <c r="AY92" s="234" t="n">
        <f aca="false">AY89/AY70</f>
        <v>0.33034742309726</v>
      </c>
      <c r="AZ92" s="233" t="n">
        <f aca="false">AZ89/AZ70</f>
        <v>0.307022018192638</v>
      </c>
      <c r="BA92" s="234" t="n">
        <f aca="false">BA89/BA70</f>
        <v>0.326850671489135</v>
      </c>
      <c r="BB92" s="234" t="n">
        <f aca="false">BB89/BB70</f>
        <v>0.327861727250337</v>
      </c>
      <c r="BC92" s="234" t="n">
        <f aca="false">BC89/BC70</f>
        <v>0.327049303161996</v>
      </c>
      <c r="BD92" s="234" t="n">
        <f aca="false">BD89/BD70</f>
        <v>0.330509879784441</v>
      </c>
      <c r="BE92" s="233" t="n">
        <f aca="false">BE89/BE70</f>
        <v>0.328112923417457</v>
      </c>
      <c r="BF92" s="234" t="n">
        <f aca="false">BF89/BF70</f>
        <v>0.263024574669187</v>
      </c>
      <c r="BG92" s="234" t="n">
        <f aca="false">BG89/BG70</f>
        <v>0.293874543474082</v>
      </c>
      <c r="BH92" s="234" t="n">
        <f aca="false">BH89/BH70</f>
        <v>0.326918698860365</v>
      </c>
      <c r="BI92" s="234" t="n">
        <f aca="false">BI89/BI70</f>
        <v>0.362244677635272</v>
      </c>
      <c r="BJ92" s="233" t="n">
        <f aca="false">BJ89/BJ70</f>
        <v>0.319238294725594</v>
      </c>
      <c r="BK92" s="234" t="n">
        <f aca="false">BK89/BK70</f>
        <v>0.353665310340373</v>
      </c>
      <c r="BL92" s="234" t="n">
        <f aca="false">BL89/BL70</f>
        <v>0.346360362468635</v>
      </c>
      <c r="BM92" s="234" t="n">
        <f aca="false">BM89/BM70</f>
        <v>0.328419372006386</v>
      </c>
      <c r="BN92" s="234" t="n">
        <f aca="false">BN89/BN70</f>
        <v>0.353052551424661</v>
      </c>
      <c r="BO92" s="235" t="n">
        <f aca="false">BO89/BO70</f>
        <v>0.34595451720834</v>
      </c>
      <c r="BP92" s="234" t="n">
        <f aca="false">BP89/BP70</f>
        <v>0.344665310340373</v>
      </c>
      <c r="BQ92" s="234" t="n">
        <f aca="false">BQ89/BQ70</f>
        <v>0.394360362468635</v>
      </c>
      <c r="BR92" s="234" t="n">
        <f aca="false">BR89/BR70</f>
        <v>0.347419372006386</v>
      </c>
      <c r="BS92" s="234" t="n">
        <f aca="false">BS89/BS70</f>
        <v>0.359052551424661</v>
      </c>
      <c r="BT92" s="233" t="n">
        <f aca="false">BT89/BT70</f>
        <v>0.361226789873823</v>
      </c>
      <c r="BU92" s="234" t="n">
        <f aca="false">BU89/BU70</f>
        <v>0.350665310340373</v>
      </c>
      <c r="BV92" s="234" t="n">
        <f aca="false">BV89/BV70</f>
        <v>0.465360362468635</v>
      </c>
      <c r="BW92" s="234" t="n">
        <f aca="false">BW89/BW70</f>
        <v>0.389419372006386</v>
      </c>
      <c r="BX92" s="234" t="n">
        <f aca="false">BX89/BX70</f>
        <v>0.365052551424661</v>
      </c>
      <c r="BY92" s="233" t="n">
        <f aca="false">BY89/BY70</f>
        <v>0.39150337803434</v>
      </c>
      <c r="BZ92" s="233" t="n">
        <f aca="false">BZ89/BZ70</f>
        <v>0.39750337803434</v>
      </c>
      <c r="CA92" s="233" t="n">
        <f aca="false">CA89/CA70</f>
        <v>0.40350337803434</v>
      </c>
      <c r="CB92" s="233" t="n">
        <f aca="false">CB89/CB70</f>
        <v>0.40950337803434</v>
      </c>
      <c r="CC92" s="236"/>
    </row>
    <row r="93" s="139" customFormat="true" ht="15" hidden="false" customHeight="true" outlineLevel="0" collapsed="false">
      <c r="A93" s="240" t="str">
        <f aca="false">A289</f>
        <v>Consensus Estimates - Adjusted EBIT Margin, %</v>
      </c>
      <c r="B93" s="132"/>
      <c r="C93" s="133"/>
      <c r="D93" s="133"/>
      <c r="E93" s="133"/>
      <c r="F93" s="133"/>
      <c r="G93" s="133"/>
      <c r="H93" s="134"/>
      <c r="I93" s="134"/>
      <c r="J93" s="134"/>
      <c r="K93" s="134"/>
      <c r="L93" s="133"/>
      <c r="M93" s="134"/>
      <c r="N93" s="134"/>
      <c r="O93" s="134"/>
      <c r="P93" s="134"/>
      <c r="Q93" s="133"/>
      <c r="R93" s="134"/>
      <c r="S93" s="134"/>
      <c r="T93" s="134"/>
      <c r="U93" s="134"/>
      <c r="V93" s="133"/>
      <c r="W93" s="134"/>
      <c r="X93" s="134"/>
      <c r="Y93" s="134"/>
      <c r="Z93" s="134"/>
      <c r="AA93" s="133"/>
      <c r="AB93" s="134"/>
      <c r="AC93" s="134"/>
      <c r="AD93" s="134"/>
      <c r="AE93" s="134"/>
      <c r="AF93" s="133"/>
      <c r="AG93" s="134"/>
      <c r="AH93" s="134"/>
      <c r="AI93" s="134"/>
      <c r="AJ93" s="134"/>
      <c r="AK93" s="133"/>
      <c r="AL93" s="134"/>
      <c r="AM93" s="134"/>
      <c r="AN93" s="134"/>
      <c r="AO93" s="134"/>
      <c r="AP93" s="133"/>
      <c r="AQ93" s="134"/>
      <c r="AR93" s="134"/>
      <c r="AS93" s="134"/>
      <c r="AT93" s="134"/>
      <c r="AU93" s="133"/>
      <c r="AV93" s="134"/>
      <c r="AW93" s="134"/>
      <c r="AX93" s="134"/>
      <c r="AY93" s="134"/>
      <c r="AZ93" s="133"/>
      <c r="BA93" s="134"/>
      <c r="BB93" s="134"/>
      <c r="BC93" s="134"/>
      <c r="BD93" s="134"/>
      <c r="BE93" s="133"/>
      <c r="BF93" s="134"/>
      <c r="BG93" s="134"/>
      <c r="BH93" s="134"/>
      <c r="BI93" s="134"/>
      <c r="BJ93" s="133"/>
      <c r="BK93" s="134"/>
      <c r="BL93" s="134"/>
      <c r="BM93" s="134"/>
      <c r="BN93" s="134"/>
      <c r="BO93" s="135"/>
      <c r="BP93" s="134" t="n">
        <f aca="false">BP289</f>
        <v>0</v>
      </c>
      <c r="BQ93" s="134" t="n">
        <f aca="false">BQ289</f>
        <v>0</v>
      </c>
      <c r="BR93" s="134" t="n">
        <f aca="false">BR289</f>
        <v>0</v>
      </c>
      <c r="BS93" s="134" t="n">
        <f aca="false">BS289</f>
        <v>0</v>
      </c>
      <c r="BT93" s="133" t="n">
        <f aca="false">BT289</f>
        <v>0</v>
      </c>
      <c r="BU93" s="134" t="n">
        <f aca="false">BU289</f>
        <v>0</v>
      </c>
      <c r="BV93" s="134" t="n">
        <f aca="false">BV289</f>
        <v>0</v>
      </c>
      <c r="BW93" s="134" t="n">
        <f aca="false">BW289</f>
        <v>0</v>
      </c>
      <c r="BX93" s="134" t="n">
        <f aca="false">BX289</f>
        <v>0</v>
      </c>
      <c r="BY93" s="133" t="n">
        <f aca="false">BY289</f>
        <v>0</v>
      </c>
      <c r="BZ93" s="133" t="n">
        <f aca="false">BZ289</f>
        <v>0</v>
      </c>
      <c r="CA93" s="133" t="n">
        <f aca="false">CA289</f>
        <v>0</v>
      </c>
      <c r="CB93" s="133" t="n">
        <f aca="false">CB289</f>
        <v>0</v>
      </c>
      <c r="CC93" s="138"/>
    </row>
    <row r="94" s="45" customFormat="true" ht="15" hidden="false" customHeight="true" outlineLevel="0" collapsed="false">
      <c r="A94" s="242" t="s">
        <v>213</v>
      </c>
      <c r="B94" s="86"/>
      <c r="C94" s="87"/>
      <c r="D94" s="87" t="n">
        <f aca="false">(D92-C92)*10000</f>
        <v>3796.48312647518</v>
      </c>
      <c r="E94" s="87" t="n">
        <f aca="false">(E92-D92)*10000</f>
        <v>129.838053342308</v>
      </c>
      <c r="F94" s="87" t="n">
        <f aca="false">(F92-E92)*10000</f>
        <v>-459.467800767025</v>
      </c>
      <c r="G94" s="87" t="n">
        <f aca="false">(G92-F92)*10000</f>
        <v>-446.937153027098</v>
      </c>
      <c r="H94" s="88"/>
      <c r="I94" s="88"/>
      <c r="J94" s="88"/>
      <c r="K94" s="88"/>
      <c r="L94" s="87" t="n">
        <f aca="false">(L92-G92)*10000</f>
        <v>191.63527651154</v>
      </c>
      <c r="M94" s="88" t="n">
        <f aca="false">(M92-H92)*10000</f>
        <v>859.37189783356</v>
      </c>
      <c r="N94" s="88" t="n">
        <f aca="false">(N92-I92)*10000</f>
        <v>-55.7259659467818</v>
      </c>
      <c r="O94" s="88" t="n">
        <f aca="false">(O92-J92)*10000</f>
        <v>426.813310195125</v>
      </c>
      <c r="P94" s="88" t="n">
        <f aca="false">(P92-K92)*10000</f>
        <v>11.133923506044</v>
      </c>
      <c r="Q94" s="87" t="n">
        <f aca="false">(Q92-L92)*10000</f>
        <v>299.824427454292</v>
      </c>
      <c r="R94" s="88" t="n">
        <f aca="false">(R92-M92)*10000</f>
        <v>-1051.81455778162</v>
      </c>
      <c r="S94" s="88" t="n">
        <f aca="false">(S92-N92)*10000</f>
        <v>-208.972363508645</v>
      </c>
      <c r="T94" s="88" t="n">
        <f aca="false">(T92-O92)*10000</f>
        <v>327.359098301527</v>
      </c>
      <c r="U94" s="88" t="n">
        <f aca="false">(U92-P92)*10000</f>
        <v>560.166060955236</v>
      </c>
      <c r="V94" s="87" t="n">
        <f aca="false">(V92-Q92)*10000</f>
        <v>-49.6700679486317</v>
      </c>
      <c r="W94" s="88" t="n">
        <f aca="false">(W92-R92)*10000</f>
        <v>1041.42396128891</v>
      </c>
      <c r="X94" s="88" t="n">
        <f aca="false">(X92-S92)*10000</f>
        <v>321.38074885004</v>
      </c>
      <c r="Y94" s="88" t="n">
        <f aca="false">(Y92-T92)*10000</f>
        <v>-52.419291173178</v>
      </c>
      <c r="Z94" s="88" t="n">
        <f aca="false">(Z92-U92)*10000</f>
        <v>151.102514144297</v>
      </c>
      <c r="AA94" s="87" t="n">
        <f aca="false">(AA92-V92)*10000</f>
        <v>317.719192683952</v>
      </c>
      <c r="AB94" s="88" t="n">
        <f aca="false">(AB92-W92)*10000</f>
        <v>58.9083038850963</v>
      </c>
      <c r="AC94" s="88" t="n">
        <f aca="false">(AC92-X92)*10000</f>
        <v>-129.212257755276</v>
      </c>
      <c r="AD94" s="88" t="n">
        <f aca="false">(AD92-Y92)*10000</f>
        <v>267.098164751672</v>
      </c>
      <c r="AE94" s="88" t="n">
        <f aca="false">(AE92-Z92)*10000</f>
        <v>-332.889314604655</v>
      </c>
      <c r="AF94" s="87" t="n">
        <f aca="false">(AF92-AA92)*10000</f>
        <v>-47.8577336545666</v>
      </c>
      <c r="AG94" s="88" t="n">
        <f aca="false">(AG92-AB92)*10000</f>
        <v>-1310.79487978143</v>
      </c>
      <c r="AH94" s="88" t="n">
        <f aca="false">(AH92-AC92)*10000</f>
        <v>-590.771945306875</v>
      </c>
      <c r="AI94" s="88" t="n">
        <f aca="false">(AI92-AD92)*10000</f>
        <v>-650.195478490907</v>
      </c>
      <c r="AJ94" s="88" t="n">
        <f aca="false">(AJ92-AE92)*10000</f>
        <v>566.300408533468</v>
      </c>
      <c r="AK94" s="87" t="n">
        <f aca="false">(AK92-AF92)*10000</f>
        <v>-348.438288508921</v>
      </c>
      <c r="AL94" s="88" t="n">
        <f aca="false">(AL92-AG92)*10000</f>
        <v>248.632169496213</v>
      </c>
      <c r="AM94" s="88" t="n">
        <f aca="false">(AM92-AH92)*10000</f>
        <v>796.613114314891</v>
      </c>
      <c r="AN94" s="88" t="n">
        <f aca="false">(AN92-AI92)*10000</f>
        <v>776.342243142821</v>
      </c>
      <c r="AO94" s="88" t="n">
        <f aca="false">(AO92-AJ92)*10000</f>
        <v>372.218766321371</v>
      </c>
      <c r="AP94" s="87" t="n">
        <f aca="false">(AP92-AK92)*10000</f>
        <v>537.296744147874</v>
      </c>
      <c r="AQ94" s="88" t="n">
        <f aca="false">(AQ92-AL92)*10000</f>
        <v>1827.81836840686</v>
      </c>
      <c r="AR94" s="88" t="n">
        <f aca="false">(AR92-AM92)*10000</f>
        <v>360.403913090923</v>
      </c>
      <c r="AS94" s="88" t="n">
        <f aca="false">(AS92-AN92)*10000</f>
        <v>589.871714745232</v>
      </c>
      <c r="AT94" s="88" t="n">
        <f aca="false">(AT92-AO92)*10000</f>
        <v>539.27383640023</v>
      </c>
      <c r="AU94" s="87" t="n">
        <f aca="false">(AU92-AP92)*10000</f>
        <v>728.561401895152</v>
      </c>
      <c r="AV94" s="88" t="n">
        <f aca="false">(AV92-AQ92)*10000</f>
        <v>-1356.26305990844</v>
      </c>
      <c r="AW94" s="88" t="n">
        <f aca="false">(AW92-AR92)*10000</f>
        <v>-37.2810337901319</v>
      </c>
      <c r="AX94" s="88" t="n">
        <f aca="false">(AX92-AS92)*10000</f>
        <v>-307.084846236468</v>
      </c>
      <c r="AY94" s="88" t="n">
        <f aca="false">(AY92-AT92)*10000</f>
        <v>-770.659273520341</v>
      </c>
      <c r="AZ94" s="87" t="n">
        <f aca="false">(AZ92-AU92)*10000</f>
        <v>-556.720874438135</v>
      </c>
      <c r="BA94" s="88" t="n">
        <f aca="false">(BA92-AV92)*10000</f>
        <v>1048.61083440244</v>
      </c>
      <c r="BB94" s="88" t="n">
        <f aca="false">(BB92-AW92)*10000</f>
        <v>233.962084214997</v>
      </c>
      <c r="BC94" s="88" t="n">
        <f aca="false">(BC92-AX92)*10000</f>
        <v>-84.2999005573231</v>
      </c>
      <c r="BD94" s="88" t="n">
        <f aca="false">(BD92-AY92)*10000</f>
        <v>1.62456687181178</v>
      </c>
      <c r="BE94" s="87" t="n">
        <f aca="false">(BE92-AZ92)*10000</f>
        <v>210.909052248194</v>
      </c>
      <c r="BF94" s="88" t="n">
        <f aca="false">(BF92-BA92)*10000</f>
        <v>-638.260968199476</v>
      </c>
      <c r="BG94" s="88" t="n">
        <f aca="false">(BG92-BB92)*10000</f>
        <v>-339.871837762548</v>
      </c>
      <c r="BH94" s="88" t="n">
        <f aca="false">(BH92-BC92)*10000</f>
        <v>-1.30604301631532</v>
      </c>
      <c r="BI94" s="88" t="n">
        <f aca="false">(BI92-BD92)*10000</f>
        <v>317.347978508313</v>
      </c>
      <c r="BJ94" s="87" t="n">
        <f aca="false">(BJ92-BE92)*10000</f>
        <v>-88.7462869186301</v>
      </c>
      <c r="BK94" s="88" t="n">
        <f aca="false">(BK92-BF92)*10000</f>
        <v>906.407356711863</v>
      </c>
      <c r="BL94" s="88" t="n">
        <f aca="false">(BL92-BG92)*10000</f>
        <v>524.858189945531</v>
      </c>
      <c r="BM94" s="88" t="n">
        <f aca="false">(BM92-BH92)*10000</f>
        <v>15.0067314602192</v>
      </c>
      <c r="BN94" s="88" t="n">
        <f aca="false">(BN92-BI92)*10000</f>
        <v>-91.92126210611</v>
      </c>
      <c r="BO94" s="91" t="n">
        <f aca="false">(BO92-BJ92)*10000</f>
        <v>267.162224827455</v>
      </c>
      <c r="BP94" s="88" t="n">
        <f aca="false">(BP92-BK92)*10000</f>
        <v>-90.0000000000006</v>
      </c>
      <c r="BQ94" s="88" t="n">
        <f aca="false">(BQ92-BL92)*10000</f>
        <v>479.999999999999</v>
      </c>
      <c r="BR94" s="88" t="n">
        <f aca="false">(BR92-BM92)*10000</f>
        <v>190</v>
      </c>
      <c r="BS94" s="88" t="n">
        <f aca="false">(BS92-BN92)*10000</f>
        <v>59.9999999999989</v>
      </c>
      <c r="BT94" s="87" t="n">
        <f aca="false">(BT92-BO92)*10000</f>
        <v>152.722726654826</v>
      </c>
      <c r="BU94" s="88" t="n">
        <f aca="false">(BU92-BP92)*10000</f>
        <v>59.9999999999989</v>
      </c>
      <c r="BV94" s="88" t="n">
        <f aca="false">(BV92-BQ92)*10000</f>
        <v>710</v>
      </c>
      <c r="BW94" s="88" t="n">
        <f aca="false">(BW92-BR92)*10000</f>
        <v>420</v>
      </c>
      <c r="BX94" s="88" t="n">
        <f aca="false">(BX92-BS92)*10000</f>
        <v>60.0000000000006</v>
      </c>
      <c r="BY94" s="87" t="n">
        <f aca="false">(BY92-BT92)*10000</f>
        <v>302.765881605177</v>
      </c>
      <c r="BZ94" s="87" t="n">
        <f aca="false">(BZ92-BY92)*10000</f>
        <v>59.9999999999989</v>
      </c>
      <c r="CA94" s="87" t="n">
        <f aca="false">(CA92-BZ92)*10000</f>
        <v>60.0000000000001</v>
      </c>
      <c r="CB94" s="87" t="n">
        <f aca="false">(CB92-CA92)*10000</f>
        <v>60.0000000000012</v>
      </c>
      <c r="CC94" s="92"/>
    </row>
    <row r="95" s="84" customFormat="true" ht="15" hidden="false" customHeight="true" outlineLevel="0" collapsed="false">
      <c r="A95" s="140"/>
      <c r="B95" s="141"/>
      <c r="C95" s="142"/>
      <c r="D95" s="142"/>
      <c r="E95" s="142"/>
      <c r="F95" s="142"/>
      <c r="G95" s="142"/>
      <c r="H95" s="143"/>
      <c r="I95" s="143"/>
      <c r="J95" s="143"/>
      <c r="K95" s="143"/>
      <c r="L95" s="142"/>
      <c r="M95" s="143"/>
      <c r="N95" s="143"/>
      <c r="O95" s="143"/>
      <c r="P95" s="143"/>
      <c r="Q95" s="142"/>
      <c r="R95" s="143"/>
      <c r="S95" s="143"/>
      <c r="T95" s="143"/>
      <c r="U95" s="143"/>
      <c r="V95" s="142"/>
      <c r="W95" s="143"/>
      <c r="X95" s="143"/>
      <c r="Y95" s="143"/>
      <c r="Z95" s="143"/>
      <c r="AA95" s="142"/>
      <c r="AB95" s="143"/>
      <c r="AC95" s="143"/>
      <c r="AD95" s="143"/>
      <c r="AE95" s="143"/>
      <c r="AF95" s="142"/>
      <c r="AG95" s="143"/>
      <c r="AH95" s="143"/>
      <c r="AI95" s="143"/>
      <c r="AJ95" s="143"/>
      <c r="AK95" s="142"/>
      <c r="AL95" s="143"/>
      <c r="AM95" s="143"/>
      <c r="AN95" s="143"/>
      <c r="AO95" s="143"/>
      <c r="AP95" s="142"/>
      <c r="AQ95" s="143"/>
      <c r="AR95" s="143"/>
      <c r="AS95" s="143"/>
      <c r="AT95" s="143"/>
      <c r="AU95" s="142"/>
      <c r="AV95" s="143"/>
      <c r="AW95" s="143"/>
      <c r="AX95" s="143"/>
      <c r="AY95" s="143"/>
      <c r="AZ95" s="142"/>
      <c r="BA95" s="143"/>
      <c r="BB95" s="143"/>
      <c r="BC95" s="143"/>
      <c r="BD95" s="143"/>
      <c r="BE95" s="142"/>
      <c r="BF95" s="143"/>
      <c r="BG95" s="143"/>
      <c r="BH95" s="143"/>
      <c r="BI95" s="143"/>
      <c r="BJ95" s="142"/>
      <c r="BK95" s="143"/>
      <c r="BL95" s="143"/>
      <c r="BM95" s="143"/>
      <c r="BN95" s="143"/>
      <c r="BO95" s="144"/>
      <c r="BP95" s="143"/>
      <c r="BQ95" s="143"/>
      <c r="BR95" s="143"/>
      <c r="BS95" s="143"/>
      <c r="BT95" s="142"/>
      <c r="BU95" s="143"/>
      <c r="BV95" s="143"/>
      <c r="BW95" s="143"/>
      <c r="BX95" s="143"/>
      <c r="BY95" s="142"/>
      <c r="BZ95" s="142"/>
      <c r="CA95" s="142"/>
      <c r="CB95" s="142"/>
      <c r="CC95" s="83"/>
    </row>
    <row r="96" s="51" customFormat="true" ht="15" hidden="false" customHeight="true" outlineLevel="0" collapsed="false">
      <c r="A96" s="145" t="s">
        <v>214</v>
      </c>
      <c r="B96" s="146"/>
      <c r="C96" s="147" t="n">
        <f aca="false">C342</f>
        <v>141.631</v>
      </c>
      <c r="D96" s="147" t="n">
        <f aca="false">D342</f>
        <v>151.444</v>
      </c>
      <c r="E96" s="147" t="n">
        <f aca="false">E342</f>
        <v>165.185</v>
      </c>
      <c r="F96" s="147" t="n">
        <f aca="false">F342</f>
        <v>186.62</v>
      </c>
      <c r="G96" s="147" t="n">
        <f aca="false">G342</f>
        <v>228.775</v>
      </c>
      <c r="H96" s="149" t="n">
        <f aca="false">H342</f>
        <v>64.7</v>
      </c>
      <c r="I96" s="149" t="n">
        <f aca="false">I342</f>
        <v>67</v>
      </c>
      <c r="J96" s="149" t="n">
        <f aca="false">J342</f>
        <v>60.4</v>
      </c>
      <c r="K96" s="149" t="n">
        <f aca="false">K342</f>
        <v>62.544</v>
      </c>
      <c r="L96" s="147" t="n">
        <f aca="false">L342</f>
        <v>254.644</v>
      </c>
      <c r="M96" s="149" t="n">
        <f aca="false">M342</f>
        <v>66.1</v>
      </c>
      <c r="N96" s="149" t="n">
        <f aca="false">N342</f>
        <v>72.8</v>
      </c>
      <c r="O96" s="149" t="n">
        <f aca="false">O342</f>
        <v>77.5</v>
      </c>
      <c r="P96" s="149" t="n">
        <f aca="false">P342</f>
        <v>80.484</v>
      </c>
      <c r="Q96" s="147" t="n">
        <f aca="false">Q342</f>
        <v>296.884</v>
      </c>
      <c r="R96" s="149" t="n">
        <f aca="false">R342</f>
        <v>82</v>
      </c>
      <c r="S96" s="149" t="n">
        <f aca="false">S342</f>
        <v>84.1</v>
      </c>
      <c r="T96" s="149" t="n">
        <f aca="false">T342</f>
        <v>87.7</v>
      </c>
      <c r="U96" s="149" t="n">
        <f aca="false">U342</f>
        <v>103.1</v>
      </c>
      <c r="V96" s="147" t="n">
        <f aca="false">V342</f>
        <v>356.9</v>
      </c>
      <c r="W96" s="149" t="n">
        <f aca="false">W342</f>
        <v>110.1</v>
      </c>
      <c r="X96" s="149" t="n">
        <f aca="false">X342</f>
        <v>103.9</v>
      </c>
      <c r="Y96" s="149" t="n">
        <f aca="false">Y342</f>
        <v>101.2</v>
      </c>
      <c r="Z96" s="149" t="n">
        <f aca="false">Z342</f>
        <v>102.3</v>
      </c>
      <c r="AA96" s="147" t="n">
        <f aca="false">AA342</f>
        <v>417.5</v>
      </c>
      <c r="AB96" s="149" t="n">
        <f aca="false">AB342</f>
        <v>102.6</v>
      </c>
      <c r="AC96" s="149" t="n">
        <f aca="false">AC342</f>
        <v>99.7</v>
      </c>
      <c r="AD96" s="149" t="n">
        <f aca="false">AD342</f>
        <v>110</v>
      </c>
      <c r="AE96" s="149" t="n">
        <f aca="false">AE342</f>
        <v>110.4</v>
      </c>
      <c r="AF96" s="147" t="n">
        <f aca="false">AF342</f>
        <v>422.7</v>
      </c>
      <c r="AG96" s="149" t="n">
        <f aca="false">AG342</f>
        <v>104.8</v>
      </c>
      <c r="AH96" s="149" t="n">
        <f aca="false">AH342</f>
        <v>108.4</v>
      </c>
      <c r="AI96" s="149" t="n">
        <f aca="false">AI342</f>
        <v>112.4</v>
      </c>
      <c r="AJ96" s="149" t="n">
        <f aca="false">AJ342</f>
        <v>122.9</v>
      </c>
      <c r="AK96" s="147" t="n">
        <f aca="false">AK342</f>
        <v>448.5</v>
      </c>
      <c r="AL96" s="149" t="n">
        <f aca="false">AL342</f>
        <v>118.3</v>
      </c>
      <c r="AM96" s="149" t="n">
        <f aca="false">AM342</f>
        <v>125.1</v>
      </c>
      <c r="AN96" s="149" t="n">
        <f aca="false">AN342</f>
        <v>122</v>
      </c>
      <c r="AO96" s="149" t="n">
        <f aca="false">AO342</f>
        <v>125.4</v>
      </c>
      <c r="AP96" s="147" t="n">
        <f aca="false">AP342</f>
        <v>490.8</v>
      </c>
      <c r="AQ96" s="149" t="n">
        <f aca="false">AQ342</f>
        <v>117.9</v>
      </c>
      <c r="AR96" s="149" t="n">
        <f aca="false">AR342</f>
        <v>112.7</v>
      </c>
      <c r="AS96" s="149" t="n">
        <f aca="false">AS342</f>
        <v>116.2</v>
      </c>
      <c r="AT96" s="149" t="n">
        <f aca="false">AT342</f>
        <v>124.2</v>
      </c>
      <c r="AU96" s="147" t="n">
        <f aca="false">AU342</f>
        <v>471</v>
      </c>
      <c r="AV96" s="149" t="n">
        <f aca="false">AV342</f>
        <v>131</v>
      </c>
      <c r="AW96" s="149" t="n">
        <f aca="false">AW342</f>
        <v>131.5</v>
      </c>
      <c r="AX96" s="149" t="n">
        <f aca="false">AX342</f>
        <v>137.9</v>
      </c>
      <c r="AY96" s="149" t="n">
        <f aca="false">AY342</f>
        <v>183.2</v>
      </c>
      <c r="AZ96" s="147" t="n">
        <f aca="false">AZ342</f>
        <v>583.6</v>
      </c>
      <c r="BA96" s="149" t="n">
        <f aca="false">BA342</f>
        <v>170.3</v>
      </c>
      <c r="BB96" s="149" t="n">
        <f aca="false">BB342</f>
        <v>181.2</v>
      </c>
      <c r="BC96" s="149" t="n">
        <f aca="false">BC342</f>
        <v>176.2</v>
      </c>
      <c r="BD96" s="149" t="n">
        <f aca="false">BD342</f>
        <v>212.1</v>
      </c>
      <c r="BE96" s="147" t="n">
        <f aca="false">BE342</f>
        <v>739.8</v>
      </c>
      <c r="BF96" s="149" t="n">
        <f aca="false">BF342</f>
        <v>214.4</v>
      </c>
      <c r="BG96" s="149" t="n">
        <f aca="false">BG342</f>
        <v>227.5</v>
      </c>
      <c r="BH96" s="149" t="n">
        <f aca="false">BH342</f>
        <v>235.7</v>
      </c>
      <c r="BI96" s="149" t="n">
        <f aca="false">BI342</f>
        <v>241</v>
      </c>
      <c r="BJ96" s="147" t="n">
        <f aca="false">BJ342</f>
        <v>918.6</v>
      </c>
      <c r="BK96" s="149" t="n">
        <f aca="false">BK342</f>
        <v>241.3</v>
      </c>
      <c r="BL96" s="149" t="n">
        <f aca="false">BL342</f>
        <v>254.9</v>
      </c>
      <c r="BM96" s="149" t="n">
        <f aca="false">BM342</f>
        <v>274.6</v>
      </c>
      <c r="BN96" s="149" t="n">
        <f aca="false">BN342</f>
        <v>255.1</v>
      </c>
      <c r="BO96" s="150" t="n">
        <f aca="false">BO342</f>
        <v>1025.9</v>
      </c>
      <c r="BP96" s="149" t="n">
        <f aca="false">BP113</f>
        <v>293.974602739726</v>
      </c>
      <c r="BQ96" s="149" t="n">
        <f aca="false">BQ113</f>
        <v>291.483826785889</v>
      </c>
      <c r="BR96" s="149" t="n">
        <f aca="false">BR113</f>
        <v>288.955856862727</v>
      </c>
      <c r="BS96" s="149" t="n">
        <f aca="false">BS113</f>
        <v>283.331529943619</v>
      </c>
      <c r="BT96" s="147" t="n">
        <f aca="false">SUM(BP96,BQ96,BR96,BS96)</f>
        <v>1157.74581633196</v>
      </c>
      <c r="BU96" s="149" t="n">
        <f aca="false">BU113</f>
        <v>271.898392482231</v>
      </c>
      <c r="BV96" s="149" t="n">
        <f aca="false">BV113</f>
        <v>269.939025253942</v>
      </c>
      <c r="BW96" s="149" t="n">
        <f aca="false">BW113</f>
        <v>267.94061878581</v>
      </c>
      <c r="BX96" s="149" t="n">
        <f aca="false">BX113</f>
        <v>263.063761967524</v>
      </c>
      <c r="BY96" s="147" t="n">
        <f aca="false">SUM(BU96,BV96,BW96,BX96)</f>
        <v>1072.84179848951</v>
      </c>
      <c r="BZ96" s="147" t="n">
        <f aca="false">BZ113</f>
        <v>1025.06551328855</v>
      </c>
      <c r="CA96" s="147" t="n">
        <f aca="false">CA113</f>
        <v>965.052074523622</v>
      </c>
      <c r="CB96" s="147" t="n">
        <f aca="false">CB113</f>
        <v>913.516157221461</v>
      </c>
      <c r="CC96" s="50"/>
    </row>
    <row r="97" s="51" customFormat="true" ht="15" hidden="false" customHeight="true" outlineLevel="0" collapsed="false">
      <c r="A97" s="251" t="s">
        <v>215</v>
      </c>
      <c r="B97" s="227"/>
      <c r="C97" s="228" t="n">
        <f aca="false">C343</f>
        <v>13.394</v>
      </c>
      <c r="D97" s="228" t="n">
        <f aca="false">D343</f>
        <v>12.109</v>
      </c>
      <c r="E97" s="228" t="n">
        <f aca="false">E343</f>
        <v>12.43</v>
      </c>
      <c r="F97" s="228" t="n">
        <f aca="false">F343</f>
        <v>18.714</v>
      </c>
      <c r="G97" s="228" t="n">
        <f aca="false">G343</f>
        <v>52.371</v>
      </c>
      <c r="H97" s="229" t="n">
        <f aca="false">H343</f>
        <v>23.1</v>
      </c>
      <c r="I97" s="229" t="n">
        <f aca="false">I343</f>
        <v>13.5</v>
      </c>
      <c r="J97" s="229" t="n">
        <f aca="false">J343</f>
        <v>13.7</v>
      </c>
      <c r="K97" s="229" t="n">
        <f aca="false">K343</f>
        <v>13.08</v>
      </c>
      <c r="L97" s="228" t="n">
        <f aca="false">L343</f>
        <v>63.38</v>
      </c>
      <c r="M97" s="229" t="n">
        <f aca="false">M343</f>
        <v>14.6</v>
      </c>
      <c r="N97" s="229" t="n">
        <f aca="false">N343</f>
        <v>15</v>
      </c>
      <c r="O97" s="229" t="n">
        <f aca="false">O343</f>
        <v>14.8</v>
      </c>
      <c r="P97" s="229" t="n">
        <f aca="false">P343</f>
        <v>14.67</v>
      </c>
      <c r="Q97" s="228" t="n">
        <f aca="false">Q343</f>
        <v>59.07</v>
      </c>
      <c r="R97" s="229" t="n">
        <f aca="false">R343</f>
        <v>13.2</v>
      </c>
      <c r="S97" s="229" t="n">
        <f aca="false">S343</f>
        <v>10.9</v>
      </c>
      <c r="T97" s="229" t="n">
        <f aca="false">T343</f>
        <v>11.6</v>
      </c>
      <c r="U97" s="229" t="n">
        <f aca="false">U343</f>
        <v>12</v>
      </c>
      <c r="V97" s="228" t="n">
        <f aca="false">V343</f>
        <v>47.7</v>
      </c>
      <c r="W97" s="229" t="n">
        <f aca="false">W343</f>
        <v>13.5</v>
      </c>
      <c r="X97" s="229" t="n">
        <f aca="false">X343</f>
        <v>10.1</v>
      </c>
      <c r="Y97" s="229" t="n">
        <f aca="false">Y343</f>
        <v>14.8</v>
      </c>
      <c r="Z97" s="229" t="n">
        <f aca="false">Z343</f>
        <v>14.7</v>
      </c>
      <c r="AA97" s="228" t="n">
        <f aca="false">AA343</f>
        <v>53.1</v>
      </c>
      <c r="AB97" s="229" t="n">
        <f aca="false">AB343</f>
        <v>12.2</v>
      </c>
      <c r="AC97" s="229" t="n">
        <f aca="false">AC343</f>
        <v>9.2</v>
      </c>
      <c r="AD97" s="229" t="n">
        <f aca="false">AD343</f>
        <v>16.6</v>
      </c>
      <c r="AE97" s="229" t="n">
        <f aca="false">AE343</f>
        <v>8.3</v>
      </c>
      <c r="AF97" s="228" t="n">
        <f aca="false">AF343</f>
        <v>46.3</v>
      </c>
      <c r="AG97" s="229" t="n">
        <f aca="false">AG343</f>
        <v>14.9</v>
      </c>
      <c r="AH97" s="229" t="n">
        <f aca="false">AH343</f>
        <v>12.5</v>
      </c>
      <c r="AI97" s="229" t="n">
        <f aca="false">AI343</f>
        <v>18</v>
      </c>
      <c r="AJ97" s="229" t="n">
        <f aca="false">AJ343</f>
        <v>29.2</v>
      </c>
      <c r="AK97" s="228" t="n">
        <f aca="false">AK343</f>
        <v>74.6</v>
      </c>
      <c r="AL97" s="229" t="n">
        <f aca="false">AL343</f>
        <v>14.9</v>
      </c>
      <c r="AM97" s="229" t="n">
        <f aca="false">AM343</f>
        <v>10.3</v>
      </c>
      <c r="AN97" s="229" t="n">
        <f aca="false">AN343</f>
        <v>22.5</v>
      </c>
      <c r="AO97" s="229" t="n">
        <f aca="false">AO343</f>
        <v>6.2</v>
      </c>
      <c r="AP97" s="228" t="n">
        <f aca="false">AP343</f>
        <v>53.9</v>
      </c>
      <c r="AQ97" s="229" t="n">
        <f aca="false">AQ343</f>
        <v>21</v>
      </c>
      <c r="AR97" s="229" t="n">
        <f aca="false">AR343</f>
        <v>29</v>
      </c>
      <c r="AS97" s="229" t="n">
        <f aca="false">AS343</f>
        <v>34</v>
      </c>
      <c r="AT97" s="229" t="n">
        <f aca="false">AT343</f>
        <v>33.5</v>
      </c>
      <c r="AU97" s="228" t="n">
        <f aca="false">AU343</f>
        <v>117.5</v>
      </c>
      <c r="AV97" s="229" t="n">
        <f aca="false">AV343</f>
        <v>11.5</v>
      </c>
      <c r="AW97" s="229" t="n">
        <f aca="false">AW343</f>
        <v>13.9</v>
      </c>
      <c r="AX97" s="229" t="n">
        <f aca="false">AX343</f>
        <v>22.5</v>
      </c>
      <c r="AY97" s="229" t="n">
        <f aca="false">AY343</f>
        <v>21</v>
      </c>
      <c r="AZ97" s="228" t="n">
        <f aca="false">AZ343</f>
        <v>68.9</v>
      </c>
      <c r="BA97" s="229" t="n">
        <f aca="false">BA343</f>
        <v>18.3</v>
      </c>
      <c r="BB97" s="229" t="n">
        <f aca="false">BB343</f>
        <v>33.4</v>
      </c>
      <c r="BC97" s="229" t="n">
        <f aca="false">BC343</f>
        <v>41.5</v>
      </c>
      <c r="BD97" s="229" t="n">
        <f aca="false">BD343</f>
        <v>41.6</v>
      </c>
      <c r="BE97" s="228" t="n">
        <f aca="false">BE343</f>
        <v>134.8</v>
      </c>
      <c r="BF97" s="229" t="n">
        <f aca="false">BF343</f>
        <v>19.8</v>
      </c>
      <c r="BG97" s="229" t="n">
        <f aca="false">BG343</f>
        <v>46.5</v>
      </c>
      <c r="BH97" s="229" t="n">
        <f aca="false">BH343</f>
        <v>53.3</v>
      </c>
      <c r="BI97" s="229" t="n">
        <f aca="false">BI343</f>
        <v>53</v>
      </c>
      <c r="BJ97" s="228" t="n">
        <f aca="false">BJ343</f>
        <v>172.6</v>
      </c>
      <c r="BK97" s="229" t="n">
        <f aca="false">BK343</f>
        <v>40</v>
      </c>
      <c r="BL97" s="229" t="n">
        <f aca="false">BL343</f>
        <v>49</v>
      </c>
      <c r="BM97" s="229" t="n">
        <f aca="false">BM343</f>
        <v>57.7</v>
      </c>
      <c r="BN97" s="229" t="n">
        <f aca="false">BN343</f>
        <v>55.6</v>
      </c>
      <c r="BO97" s="230" t="n">
        <f aca="false">BO343</f>
        <v>202.3</v>
      </c>
      <c r="BP97" s="229" t="n">
        <f aca="false">BP414</f>
        <v>25.7685902276923</v>
      </c>
      <c r="BQ97" s="229" t="n">
        <f aca="false">BQ414</f>
        <v>26.5903693450775</v>
      </c>
      <c r="BR97" s="229" t="n">
        <f aca="false">BR414</f>
        <v>28.1372378857416</v>
      </c>
      <c r="BS97" s="229" t="n">
        <f aca="false">BS414</f>
        <v>30.2475343758738</v>
      </c>
      <c r="BT97" s="228" t="n">
        <f aca="false">SUM(BP97,BQ97,BR97,BS97)</f>
        <v>110.743731834385</v>
      </c>
      <c r="BU97" s="229" t="n">
        <f aca="false">BU414</f>
        <v>26.6780658738462</v>
      </c>
      <c r="BV97" s="229" t="n">
        <f aca="false">BV414</f>
        <v>27.1105358626866</v>
      </c>
      <c r="BW97" s="229" t="n">
        <f aca="false">BW414</f>
        <v>29.8669949609282</v>
      </c>
      <c r="BX97" s="229" t="n">
        <f aca="false">BX414</f>
        <v>32.1569824690819</v>
      </c>
      <c r="BY97" s="228" t="n">
        <f aca="false">SUM(BU97,BV97,BW97,BX97)</f>
        <v>115.812579166543</v>
      </c>
      <c r="BZ97" s="228" t="n">
        <f aca="false">BZ414</f>
        <v>139.631869513985</v>
      </c>
      <c r="CA97" s="228" t="n">
        <f aca="false">CA414</f>
        <v>146.727103534985</v>
      </c>
      <c r="CB97" s="228" t="n">
        <f aca="false">CB414</f>
        <v>154.255047387228</v>
      </c>
      <c r="CC97" s="50"/>
    </row>
    <row r="98" s="157" customFormat="true" ht="15" hidden="false" customHeight="true" outlineLevel="0" collapsed="false">
      <c r="A98" s="252" t="s">
        <v>216</v>
      </c>
      <c r="B98" s="222"/>
      <c r="C98" s="223" t="n">
        <f aca="false">C89+C96+C97</f>
        <v>-8.1000000000002</v>
      </c>
      <c r="D98" s="223" t="n">
        <f aca="false">D89+D96+D97</f>
        <v>1414.252</v>
      </c>
      <c r="E98" s="223" t="n">
        <f aca="false">E89+E96+E97</f>
        <v>1818.831</v>
      </c>
      <c r="F98" s="223" t="n">
        <f aca="false">F89+F96+F97</f>
        <v>1362.108</v>
      </c>
      <c r="G98" s="223" t="n">
        <f aca="false">G89+G96+G97</f>
        <v>1329.094</v>
      </c>
      <c r="H98" s="224" t="n">
        <f aca="false">H89+H96+H97</f>
        <v>353.5</v>
      </c>
      <c r="I98" s="224" t="n">
        <f aca="false">I89+I96+I97</f>
        <v>505.9</v>
      </c>
      <c r="J98" s="224" t="n">
        <f aca="false">J89+J96+J97</f>
        <v>335.5</v>
      </c>
      <c r="K98" s="224" t="n">
        <f aca="false">K89+K96+K97</f>
        <v>405.324</v>
      </c>
      <c r="L98" s="223" t="n">
        <f aca="false">L89+L96+L97</f>
        <v>1600.259</v>
      </c>
      <c r="M98" s="224" t="n">
        <f aca="false">M89+M96+M97</f>
        <v>536.4</v>
      </c>
      <c r="N98" s="224" t="n">
        <f aca="false">N89+N96+N97</f>
        <v>506.7</v>
      </c>
      <c r="O98" s="224" t="n">
        <f aca="false">O89+O96+O97</f>
        <v>464.7</v>
      </c>
      <c r="P98" s="224" t="n">
        <f aca="false">P89+P96+P97</f>
        <v>413.254</v>
      </c>
      <c r="Q98" s="223" t="n">
        <f aca="false">Q89+Q96+Q97</f>
        <v>1921.089</v>
      </c>
      <c r="R98" s="224" t="n">
        <f aca="false">R89+R96+R97</f>
        <v>323.2</v>
      </c>
      <c r="S98" s="224" t="n">
        <f aca="false">S89+S96+S97</f>
        <v>499.2</v>
      </c>
      <c r="T98" s="224" t="n">
        <f aca="false">T89+T96+T97</f>
        <v>594.9</v>
      </c>
      <c r="U98" s="224" t="n">
        <f aca="false">U89+U96+U97</f>
        <v>645</v>
      </c>
      <c r="V98" s="223" t="n">
        <f aca="false">V89+V96+V97</f>
        <v>2062.3</v>
      </c>
      <c r="W98" s="224" t="n">
        <f aca="false">W89+W96+W97</f>
        <v>658.4</v>
      </c>
      <c r="X98" s="224" t="n">
        <f aca="false">X89+X96+X97</f>
        <v>669.8</v>
      </c>
      <c r="Y98" s="224" t="n">
        <f aca="false">Y89+Y96+Y97</f>
        <v>771.6</v>
      </c>
      <c r="Z98" s="224" t="n">
        <f aca="false">Z89+Z96+Z97</f>
        <v>867</v>
      </c>
      <c r="AA98" s="223" t="n">
        <f aca="false">AA89+AA96+AA97</f>
        <v>2966.8</v>
      </c>
      <c r="AB98" s="224" t="n">
        <f aca="false">AB89+AB96+AB97</f>
        <v>757</v>
      </c>
      <c r="AC98" s="224" t="n">
        <f aca="false">AC89+AC96+AC97</f>
        <v>798.3</v>
      </c>
      <c r="AD98" s="224" t="n">
        <f aca="false">AD89+AD96+AD97</f>
        <v>944.4</v>
      </c>
      <c r="AE98" s="224" t="n">
        <f aca="false">AE89+AE96+AE97</f>
        <v>934.600000000001</v>
      </c>
      <c r="AF98" s="223" t="n">
        <f aca="false">AF89+AF96+AF97</f>
        <v>3434.3</v>
      </c>
      <c r="AG98" s="224" t="n">
        <f aca="false">AG89+AG96+AG97</f>
        <v>454</v>
      </c>
      <c r="AH98" s="224" t="n">
        <f aca="false">AH89+AH96+AH97</f>
        <v>615.2</v>
      </c>
      <c r="AI98" s="224" t="n">
        <f aca="false">AI89+AI96+AI97</f>
        <v>816</v>
      </c>
      <c r="AJ98" s="224" t="n">
        <f aca="false">AJ89+AJ96+AJ97</f>
        <v>1428.7</v>
      </c>
      <c r="AK98" s="223" t="n">
        <f aca="false">AK89+AK96+AK97</f>
        <v>3313.9</v>
      </c>
      <c r="AL98" s="224" t="n">
        <f aca="false">AL89+AL96+AL97</f>
        <v>559.9</v>
      </c>
      <c r="AM98" s="224" t="n">
        <f aca="false">AM89+AM96+AM97</f>
        <v>1040.5</v>
      </c>
      <c r="AN98" s="224" t="n">
        <f aca="false">AN89+AN96+AN97</f>
        <v>1360.4</v>
      </c>
      <c r="AO98" s="224" t="n">
        <f aca="false">AO89+AO96+AO97</f>
        <v>1635.4</v>
      </c>
      <c r="AP98" s="223" t="n">
        <f aca="false">AP89+AP96+AP97</f>
        <v>4596.2</v>
      </c>
      <c r="AQ98" s="224" t="n">
        <f aca="false">AQ89+AQ96+AQ97</f>
        <v>1699.5</v>
      </c>
      <c r="AR98" s="224" t="n">
        <f aca="false">AR89+AR96+AR97</f>
        <v>1380.7</v>
      </c>
      <c r="AS98" s="224" t="n">
        <f aca="false">AS89+AS96+AS97</f>
        <v>2069.5</v>
      </c>
      <c r="AT98" s="224" t="n">
        <f aca="false">AT89+AT96+AT97</f>
        <v>2188.9</v>
      </c>
      <c r="AU98" s="223" t="n">
        <f aca="false">AU89+AU96+AU97</f>
        <v>7338.6</v>
      </c>
      <c r="AV98" s="224" t="n">
        <f aca="false">AV89+AV96+AV97</f>
        <v>927.1</v>
      </c>
      <c r="AW98" s="224" t="n">
        <f aca="false">AW89+AW96+AW97</f>
        <v>1798.8</v>
      </c>
      <c r="AX98" s="224" t="n">
        <f aca="false">AX89+AX96+AX97</f>
        <v>2098.9</v>
      </c>
      <c r="AY98" s="224" t="n">
        <f aca="false">AY89+AY96+AY97</f>
        <v>2328.4</v>
      </c>
      <c r="AZ98" s="223" t="n">
        <f aca="false">AZ89+AZ96+AZ97</f>
        <v>7153.2</v>
      </c>
      <c r="BA98" s="224" t="n">
        <f aca="false">BA89+BA96+BA97</f>
        <v>2393.6</v>
      </c>
      <c r="BB98" s="224" t="n">
        <f aca="false">BB89+BB96+BB97</f>
        <v>2477.6</v>
      </c>
      <c r="BC98" s="224" t="n">
        <f aca="false">BC89+BC96+BC97</f>
        <v>2400.1</v>
      </c>
      <c r="BD98" s="224" t="n">
        <f aca="false">BD89+BD96+BD97</f>
        <v>2645.6</v>
      </c>
      <c r="BE98" s="223" t="n">
        <f aca="false">BE89+BE96+BE97</f>
        <v>9916.9</v>
      </c>
      <c r="BF98" s="224" t="n">
        <f aca="false">BF89+BF96+BF97</f>
        <v>1625.6</v>
      </c>
      <c r="BG98" s="224" t="n">
        <f aca="false">BG89+BG96+BG97</f>
        <v>2108.6</v>
      </c>
      <c r="BH98" s="224" t="n">
        <f aca="false">BH89+BH96+BH97</f>
        <v>2730.2</v>
      </c>
      <c r="BI98" s="224" t="n">
        <f aca="false">BI89+BI96+BI97</f>
        <v>3649.4</v>
      </c>
      <c r="BJ98" s="223" t="n">
        <f aca="false">BJ89+BJ96+BJ97</f>
        <v>10113.8</v>
      </c>
      <c r="BK98" s="224" t="n">
        <f aca="false">BK89+BK96+BK97</f>
        <v>3019.2</v>
      </c>
      <c r="BL98" s="224" t="n">
        <f aca="false">BL89+BL96+BL97</f>
        <v>2968</v>
      </c>
      <c r="BM98" s="224" t="n">
        <f aca="false">BM89+BM96+BM97</f>
        <v>2800.7</v>
      </c>
      <c r="BN98" s="224" t="n">
        <f aca="false">BN89+BN96+BN97</f>
        <v>3741.7</v>
      </c>
      <c r="BO98" s="225" t="n">
        <f aca="false">BO89+BO96+BO97</f>
        <v>12529.6</v>
      </c>
      <c r="BP98" s="224" t="n">
        <f aca="false">BP89+BP96+BP97</f>
        <v>3280.25624225458</v>
      </c>
      <c r="BQ98" s="224" t="n">
        <f aca="false">BQ89+BQ96+BQ97</f>
        <v>3813.47009383085</v>
      </c>
      <c r="BR98" s="224" t="n">
        <f aca="false">BR89+BR96+BR97</f>
        <v>3575.56693350136</v>
      </c>
      <c r="BS98" s="224" t="n">
        <f aca="false">BS89+BS96+BS97</f>
        <v>3933.73052830704</v>
      </c>
      <c r="BT98" s="223" t="n">
        <f aca="false">BT89+BT96+BT97</f>
        <v>14603.0237978938</v>
      </c>
      <c r="BU98" s="224" t="n">
        <f aca="false">BU89+BU96+BU97</f>
        <v>3416.93387466714</v>
      </c>
      <c r="BV98" s="224" t="n">
        <f aca="false">BV89+BV96+BV97</f>
        <v>4502.43915970956</v>
      </c>
      <c r="BW98" s="224" t="n">
        <f aca="false">BW89+BW96+BW97</f>
        <v>4174.73642088093</v>
      </c>
      <c r="BX98" s="224" t="n">
        <f aca="false">BX89+BX96+BX97</f>
        <v>4208.2169099221</v>
      </c>
      <c r="BY98" s="223" t="n">
        <f aca="false">BY89+BY96+BY97</f>
        <v>16302.3263651797</v>
      </c>
      <c r="BZ98" s="223" t="n">
        <f aca="false">BZ89+BZ96+BZ97</f>
        <v>19666.0773204889</v>
      </c>
      <c r="CA98" s="223" t="n">
        <f aca="false">CA89+CA96+CA97</f>
        <v>20846.7398199122</v>
      </c>
      <c r="CB98" s="223" t="n">
        <f aca="false">CB89+CB96+CB97</f>
        <v>22123.7588659144</v>
      </c>
      <c r="CC98" s="156"/>
    </row>
    <row r="99" s="139" customFormat="true" ht="15" hidden="false" customHeight="true" outlineLevel="0" collapsed="false">
      <c r="A99" s="131" t="s">
        <v>217</v>
      </c>
      <c r="B99" s="132"/>
      <c r="C99" s="133"/>
      <c r="D99" s="133" t="n">
        <f aca="false">D98/C98-1</f>
        <v>-175.599012345675</v>
      </c>
      <c r="E99" s="133" t="n">
        <f aca="false">E98/D98-1</f>
        <v>0.286072779108674</v>
      </c>
      <c r="F99" s="133" t="n">
        <f aca="false">F98/E98-1</f>
        <v>-0.251107991891495</v>
      </c>
      <c r="G99" s="133" t="n">
        <f aca="false">G98/F98-1</f>
        <v>-0.0242374319804309</v>
      </c>
      <c r="H99" s="134"/>
      <c r="I99" s="134"/>
      <c r="J99" s="134"/>
      <c r="K99" s="134"/>
      <c r="L99" s="133" t="n">
        <f aca="false">L98/G98-1</f>
        <v>0.2040224393459</v>
      </c>
      <c r="M99" s="134" t="n">
        <f aca="false">M98/H98-1</f>
        <v>0.517397454031118</v>
      </c>
      <c r="N99" s="134" t="n">
        <f aca="false">N98/I98-1</f>
        <v>0.00158134018580758</v>
      </c>
      <c r="O99" s="134" t="n">
        <f aca="false">O98/J98-1</f>
        <v>0.385096870342772</v>
      </c>
      <c r="P99" s="134" t="n">
        <f aca="false">P98/K98-1</f>
        <v>0.01956459523739</v>
      </c>
      <c r="Q99" s="133" t="n">
        <f aca="false">Q98/L98-1</f>
        <v>0.200486296280789</v>
      </c>
      <c r="R99" s="134" t="n">
        <f aca="false">R98/M98-1</f>
        <v>-0.397464578672633</v>
      </c>
      <c r="S99" s="134" t="n">
        <f aca="false">S98/N98-1</f>
        <v>-0.0148016577856719</v>
      </c>
      <c r="T99" s="134" t="n">
        <f aca="false">T98/O98-1</f>
        <v>0.280180761781795</v>
      </c>
      <c r="U99" s="134" t="n">
        <f aca="false">U98/P98-1</f>
        <v>0.560783440692649</v>
      </c>
      <c r="V99" s="133" t="n">
        <f aca="false">V98/Q98-1</f>
        <v>0.0735057043166665</v>
      </c>
      <c r="W99" s="134" t="n">
        <f aca="false">W98/R98-1</f>
        <v>1.03712871287129</v>
      </c>
      <c r="X99" s="134" t="n">
        <f aca="false">X98/S98-1</f>
        <v>0.341746794871794</v>
      </c>
      <c r="Y99" s="134" t="n">
        <f aca="false">Y98/T98-1</f>
        <v>0.2970247100353</v>
      </c>
      <c r="Z99" s="134" t="n">
        <f aca="false">Z98/U98-1</f>
        <v>0.344186046511629</v>
      </c>
      <c r="AA99" s="133" t="n">
        <f aca="false">AA98/V98-1</f>
        <v>0.438587984289385</v>
      </c>
      <c r="AB99" s="134" t="n">
        <f aca="false">AB98/W98-1</f>
        <v>0.149756986634265</v>
      </c>
      <c r="AC99" s="134" t="n">
        <f aca="false">AC98/X98-1</f>
        <v>0.191848312929234</v>
      </c>
      <c r="AD99" s="134" t="n">
        <f aca="false">AD98/Y98-1</f>
        <v>0.223950233281493</v>
      </c>
      <c r="AE99" s="134" t="n">
        <f aca="false">AE98/Z98-1</f>
        <v>0.0779700115340261</v>
      </c>
      <c r="AF99" s="133" t="n">
        <f aca="false">AF98/AA98-1</f>
        <v>0.157577187542133</v>
      </c>
      <c r="AG99" s="134" t="n">
        <f aca="false">AG98/AB98-1</f>
        <v>-0.400264200792602</v>
      </c>
      <c r="AH99" s="134" t="n">
        <f aca="false">AH98/AC98-1</f>
        <v>-0.229362395089565</v>
      </c>
      <c r="AI99" s="134" t="n">
        <f aca="false">AI98/AD98-1</f>
        <v>-0.135959339263024</v>
      </c>
      <c r="AJ99" s="134" t="n">
        <f aca="false">AJ98/AE98-1</f>
        <v>0.528675369141879</v>
      </c>
      <c r="AK99" s="133" t="n">
        <f aca="false">AK98/AF98-1</f>
        <v>-0.0350580904405557</v>
      </c>
      <c r="AL99" s="134" t="n">
        <f aca="false">AL98/AG98-1</f>
        <v>0.233259911894273</v>
      </c>
      <c r="AM99" s="134" t="n">
        <f aca="false">AM98/AH98-1</f>
        <v>0.69131989596879</v>
      </c>
      <c r="AN99" s="134" t="n">
        <f aca="false">AN98/AI98-1</f>
        <v>0.667156862745098</v>
      </c>
      <c r="AO99" s="134" t="n">
        <f aca="false">AO98/AJ98-1</f>
        <v>0.144676979071883</v>
      </c>
      <c r="AP99" s="133" t="n">
        <f aca="false">AP98/AK98-1</f>
        <v>0.386945894565316</v>
      </c>
      <c r="AQ99" s="134" t="n">
        <f aca="false">AQ98/AL98-1</f>
        <v>2.03536345776031</v>
      </c>
      <c r="AR99" s="134" t="n">
        <f aca="false">AR98/AM98-1</f>
        <v>0.326958193176358</v>
      </c>
      <c r="AS99" s="134" t="n">
        <f aca="false">AS98/AN98-1</f>
        <v>0.521243751837695</v>
      </c>
      <c r="AT99" s="134" t="n">
        <f aca="false">AT98/AO98-1</f>
        <v>0.338449309037544</v>
      </c>
      <c r="AU99" s="133" t="n">
        <f aca="false">AU98/AP98-1</f>
        <v>0.596666811714025</v>
      </c>
      <c r="AV99" s="134" t="n">
        <f aca="false">AV98/AQ98-1</f>
        <v>-0.454486613709915</v>
      </c>
      <c r="AW99" s="134" t="n">
        <f aca="false">AW98/AR98-1</f>
        <v>0.302817411457956</v>
      </c>
      <c r="AX99" s="134" t="n">
        <f aca="false">AX98/AS98-1</f>
        <v>0.0142063300314081</v>
      </c>
      <c r="AY99" s="134" t="n">
        <f aca="false">AY98/AT98-1</f>
        <v>0.0637306409612137</v>
      </c>
      <c r="AZ99" s="133" t="n">
        <f aca="false">AZ98/AU98-1</f>
        <v>-0.0252636742702964</v>
      </c>
      <c r="BA99" s="134" t="n">
        <f aca="false">BA98/AV98-1</f>
        <v>1.58181425951893</v>
      </c>
      <c r="BB99" s="134" t="n">
        <f aca="false">BB98/AW98-1</f>
        <v>0.377362686235268</v>
      </c>
      <c r="BC99" s="134" t="n">
        <f aca="false">BC98/AX98-1</f>
        <v>0.143503740054314</v>
      </c>
      <c r="BD99" s="134" t="n">
        <f aca="false">BD98/AY98-1</f>
        <v>0.136230888163545</v>
      </c>
      <c r="BE99" s="133" t="n">
        <f aca="false">BE98/AZ98-1</f>
        <v>0.386358552815522</v>
      </c>
      <c r="BF99" s="134" t="n">
        <f aca="false">BF98/BA98-1</f>
        <v>-0.320855614973262</v>
      </c>
      <c r="BG99" s="134" t="n">
        <f aca="false">BG98/BB98-1</f>
        <v>-0.148934452696158</v>
      </c>
      <c r="BH99" s="134" t="n">
        <f aca="false">BH98/BC98-1</f>
        <v>0.137535936002667</v>
      </c>
      <c r="BI99" s="134" t="n">
        <f aca="false">BI98/BD98-1</f>
        <v>0.37942243725431</v>
      </c>
      <c r="BJ99" s="133" t="n">
        <f aca="false">BJ98/BE98-1</f>
        <v>0.0198549950085214</v>
      </c>
      <c r="BK99" s="134" t="n">
        <f aca="false">BK98/BF98-1</f>
        <v>0.857283464566929</v>
      </c>
      <c r="BL99" s="134" t="n">
        <f aca="false">BL98/BG98-1</f>
        <v>0.40756900313004</v>
      </c>
      <c r="BM99" s="134" t="n">
        <f aca="false">BM98/BH98-1</f>
        <v>0.0258222840817524</v>
      </c>
      <c r="BN99" s="134" t="n">
        <f aca="false">BN98/BI98-1</f>
        <v>0.0252918287937747</v>
      </c>
      <c r="BO99" s="135" t="n">
        <f aca="false">BO98/BJ98-1</f>
        <v>0.238861753248037</v>
      </c>
      <c r="BP99" s="134" t="n">
        <f aca="false">BP98/BK98-1</f>
        <v>0.0864653690562325</v>
      </c>
      <c r="BQ99" s="134" t="n">
        <f aca="false">BQ98/BL98-1</f>
        <v>0.284861891452442</v>
      </c>
      <c r="BR99" s="134" t="n">
        <f aca="false">BR98/BM98-1</f>
        <v>0.276669023280378</v>
      </c>
      <c r="BS99" s="134" t="n">
        <f aca="false">BS98/BN98-1</f>
        <v>0.0513217329842151</v>
      </c>
      <c r="BT99" s="133" t="n">
        <f aca="false">BT98/BO98-1</f>
        <v>0.165482042355209</v>
      </c>
      <c r="BU99" s="134" t="n">
        <f aca="false">BU98/BP98-1</f>
        <v>0.0416667547650544</v>
      </c>
      <c r="BV99" s="134" t="n">
        <f aca="false">BV98/BQ98-1</f>
        <v>0.180667226679782</v>
      </c>
      <c r="BW99" s="134" t="n">
        <f aca="false">BW98/BR98-1</f>
        <v>0.167573282369754</v>
      </c>
      <c r="BX99" s="134" t="n">
        <f aca="false">BX98/BS98-1</f>
        <v>0.0697776270234727</v>
      </c>
      <c r="BY99" s="133" t="n">
        <f aca="false">BY98/BT98-1</f>
        <v>0.116366486202055</v>
      </c>
      <c r="BZ99" s="133" t="n">
        <f aca="false">BZ98/BY98-1</f>
        <v>0.206335640690757</v>
      </c>
      <c r="CA99" s="133" t="n">
        <f aca="false">CA98/BZ98-1</f>
        <v>0.0600354854800247</v>
      </c>
      <c r="CB99" s="133" t="n">
        <f aca="false">CB98/CA98-1</f>
        <v>0.0612574943148871</v>
      </c>
      <c r="CC99" s="138"/>
    </row>
    <row r="100" s="237" customFormat="true" ht="15" hidden="false" customHeight="true" outlineLevel="0" collapsed="false">
      <c r="A100" s="231" t="s">
        <v>218</v>
      </c>
      <c r="B100" s="232"/>
      <c r="C100" s="233" t="n">
        <f aca="false">C98/C70</f>
        <v>-0.00507498764146541</v>
      </c>
      <c r="D100" s="233" t="n">
        <f aca="false">D98/D70</f>
        <v>0.313724811654464</v>
      </c>
      <c r="E100" s="233" t="n">
        <f aca="false">E98/E70</f>
        <v>0.321858031316387</v>
      </c>
      <c r="F100" s="233" t="n">
        <f aca="false">F98/F70</f>
        <v>0.287877452549955</v>
      </c>
      <c r="G100" s="233" t="n">
        <f aca="false">G98/G70</f>
        <v>0.253386348150716</v>
      </c>
      <c r="H100" s="234" t="n">
        <f aca="false">H98/H70</f>
        <v>0.253132832080201</v>
      </c>
      <c r="I100" s="234" t="n">
        <f aca="false">I98/I70</f>
        <v>0.307799951326357</v>
      </c>
      <c r="J100" s="234" t="n">
        <f aca="false">J98/J70</f>
        <v>0.253743760399334</v>
      </c>
      <c r="K100" s="234" t="n">
        <f aca="false">K98/K70</f>
        <v>0.271301204819277</v>
      </c>
      <c r="L100" s="233" t="n">
        <f aca="false">L98/L70</f>
        <v>0.273255346357421</v>
      </c>
      <c r="M100" s="234" t="n">
        <f aca="false">M98/M70</f>
        <v>0.32511061276441</v>
      </c>
      <c r="N100" s="234" t="n">
        <f aca="false">N98/N70</f>
        <v>0.306329726135058</v>
      </c>
      <c r="O100" s="234" t="n">
        <f aca="false">O98/O70</f>
        <v>0.299961270333075</v>
      </c>
      <c r="P100" s="234" t="n">
        <f aca="false">P98/P70</f>
        <v>0.2881425184772</v>
      </c>
      <c r="Q100" s="233" t="n">
        <f aca="false">Q98/Q70</f>
        <v>0.305547068530189</v>
      </c>
      <c r="R100" s="234" t="n">
        <f aca="false">R98/R70</f>
        <v>0.242424242424242</v>
      </c>
      <c r="S100" s="234" t="n">
        <f aca="false">S98/S70</f>
        <v>0.286962520119568</v>
      </c>
      <c r="T100" s="234" t="n">
        <f aca="false">T98/T70</f>
        <v>0.327840846467541</v>
      </c>
      <c r="U100" s="234" t="n">
        <f aca="false">U98/U70</f>
        <v>0.338156653035546</v>
      </c>
      <c r="V100" s="233" t="n">
        <f aca="false">V98/V70</f>
        <v>0.303511508800848</v>
      </c>
      <c r="W100" s="234" t="n">
        <f aca="false">W98/W70</f>
        <v>0.33875282980037</v>
      </c>
      <c r="X100" s="234" t="n">
        <f aca="false">X98/X70</f>
        <v>0.318739887693918</v>
      </c>
      <c r="Y100" s="234" t="n">
        <f aca="false">Y98/Y70</f>
        <v>0.315273351311596</v>
      </c>
      <c r="Z100" s="234" t="n">
        <f aca="false">Z98/Z70</f>
        <v>0.338618965786596</v>
      </c>
      <c r="AA100" s="233" t="n">
        <f aca="false">AA98/AA70</f>
        <v>0.327721809826794</v>
      </c>
      <c r="AB100" s="234" t="n">
        <f aca="false">AB98/AB70</f>
        <v>0.33129102844639</v>
      </c>
      <c r="AC100" s="234" t="n">
        <f aca="false">AC98/AC70</f>
        <v>0.291307838271785</v>
      </c>
      <c r="AD100" s="234" t="n">
        <f aca="false">AD98/AD70</f>
        <v>0.340189474442563</v>
      </c>
      <c r="AE100" s="234" t="n">
        <f aca="false">AE98/AE70</f>
        <v>0.297406523468576</v>
      </c>
      <c r="AF100" s="233" t="n">
        <f aca="false">AF98/AF70</f>
        <v>0.313806652046784</v>
      </c>
      <c r="AG100" s="234" t="n">
        <f aca="false">AG98/AG70</f>
        <v>0.203669642456597</v>
      </c>
      <c r="AH100" s="234" t="n">
        <f aca="false">AH98/AH70</f>
        <v>0.239573192102496</v>
      </c>
      <c r="AI100" s="234" t="n">
        <f aca="false">AI98/AI70</f>
        <v>0.273229532898041</v>
      </c>
      <c r="AJ100" s="234" t="n">
        <f aca="false">AJ98/AJ70</f>
        <v>0.353945249597424</v>
      </c>
      <c r="AK100" s="233" t="n">
        <f aca="false">AK98/AK70</f>
        <v>0.280363790186125</v>
      </c>
      <c r="AL100" s="234" t="n">
        <f aca="false">AL98/AL70</f>
        <v>0.229410800622798</v>
      </c>
      <c r="AM100" s="234" t="n">
        <f aca="false">AM98/AM70</f>
        <v>0.312866464203025</v>
      </c>
      <c r="AN100" s="234" t="n">
        <f aca="false">AN98/AN70</f>
        <v>0.343708943911066</v>
      </c>
      <c r="AO100" s="234" t="n">
        <f aca="false">AO98/AO70</f>
        <v>0.384420102486954</v>
      </c>
      <c r="AP100" s="233" t="n">
        <f aca="false">AP98/AP70</f>
        <v>0.328804950459634</v>
      </c>
      <c r="AQ100" s="234" t="n">
        <f aca="false">AQ98/AQ70</f>
        <v>0.389445221017897</v>
      </c>
      <c r="AR100" s="234" t="n">
        <f aca="false">AR98/AR70</f>
        <v>0.343440624844535</v>
      </c>
      <c r="AS100" s="234" t="n">
        <f aca="false">AS98/AS70</f>
        <v>0.394844790414592</v>
      </c>
      <c r="AT100" s="234" t="n">
        <f aca="false">AT98/AT70</f>
        <v>0.43904444801027</v>
      </c>
      <c r="AU100" s="233" t="n">
        <f aca="false">AU98/AU70</f>
        <v>0.394315189941432</v>
      </c>
      <c r="AV100" s="234" t="n">
        <f aca="false">AV98/AV70</f>
        <v>0.262307605251245</v>
      </c>
      <c r="AW100" s="234" t="n">
        <f aca="false">AW98/AW70</f>
        <v>0.331240217291226</v>
      </c>
      <c r="AX100" s="234" t="n">
        <f aca="false">AX98/AX70</f>
        <v>0.363238322690064</v>
      </c>
      <c r="AY100" s="234" t="n">
        <f aca="false">AY98/AY70</f>
        <v>0.362103822587167</v>
      </c>
      <c r="AZ100" s="233" t="n">
        <f aca="false">AZ98/AZ70</f>
        <v>0.337838986653065</v>
      </c>
      <c r="BA100" s="234" t="n">
        <f aca="false">BA98/BA70</f>
        <v>0.354807150692242</v>
      </c>
      <c r="BB100" s="234" t="n">
        <f aca="false">BB98/BB70</f>
        <v>0.358952812830506</v>
      </c>
      <c r="BC100" s="234" t="n">
        <f aca="false">BC98/BC70</f>
        <v>0.359673310355163</v>
      </c>
      <c r="BD100" s="234" t="n">
        <f aca="false">BD98/BD70</f>
        <v>0.365565842199807</v>
      </c>
      <c r="BE100" s="233" t="n">
        <f aca="false">BE98/BE70</f>
        <v>0.359849048387975</v>
      </c>
      <c r="BF100" s="234" t="n">
        <f aca="false">BF98/BF70</f>
        <v>0.307296786389414</v>
      </c>
      <c r="BG100" s="234" t="n">
        <f aca="false">BG98/BG70</f>
        <v>0.337765105401422</v>
      </c>
      <c r="BH100" s="234" t="n">
        <f aca="false">BH98/BH70</f>
        <v>0.365620773237984</v>
      </c>
      <c r="BI100" s="234" t="n">
        <f aca="false">BI98/BI70</f>
        <v>0.393984540311785</v>
      </c>
      <c r="BJ100" s="233" t="n">
        <f aca="false">BJ98/BJ70</f>
        <v>0.357847213130995</v>
      </c>
      <c r="BK100" s="234" t="n">
        <f aca="false">BK98/BK70</f>
        <v>0.390001937608991</v>
      </c>
      <c r="BL100" s="234" t="n">
        <f aca="false">BL98/BL70</f>
        <v>0.385870483768218</v>
      </c>
      <c r="BM100" s="234" t="n">
        <f aca="false">BM98/BM70</f>
        <v>0.372631718999468</v>
      </c>
      <c r="BN100" s="234" t="n">
        <f aca="false">BN98/BN70</f>
        <v>0.3850238215289</v>
      </c>
      <c r="BO100" s="235" t="n">
        <f aca="false">BO98/BO70</f>
        <v>0.383551747466121</v>
      </c>
      <c r="BP100" s="234" t="n">
        <f aca="false">BP98/BP70</f>
        <v>0.381890070035276</v>
      </c>
      <c r="BQ100" s="234" t="n">
        <f aca="false">BQ98/BQ70</f>
        <v>0.430246384810387</v>
      </c>
      <c r="BR100" s="234" t="n">
        <f aca="false">BR98/BR70</f>
        <v>0.381227924505687</v>
      </c>
      <c r="BS100" s="234" t="n">
        <f aca="false">BS98/BS70</f>
        <v>0.390153836615987</v>
      </c>
      <c r="BT100" s="233" t="n">
        <f aca="false">BT98/BT70</f>
        <v>0.395589625417328</v>
      </c>
      <c r="BU100" s="234" t="n">
        <f aca="false">BU98/BU70</f>
        <v>0.384240809377819</v>
      </c>
      <c r="BV100" s="234" t="n">
        <f aca="false">BV98/BV70</f>
        <v>0.498231298250336</v>
      </c>
      <c r="BW100" s="234" t="n">
        <f aca="false">BW98/BW70</f>
        <v>0.419332754400865</v>
      </c>
      <c r="BX100" s="234" t="n">
        <f aca="false">BX98/BX70</f>
        <v>0.392594384187153</v>
      </c>
      <c r="BY100" s="233" t="n">
        <f aca="false">BY98/BY70</f>
        <v>0.422294188140038</v>
      </c>
      <c r="BZ100" s="233" t="n">
        <f aca="false">BZ98/BZ70</f>
        <v>0.422526978739319</v>
      </c>
      <c r="CA100" s="233" t="n">
        <f aca="false">CA98/CA70</f>
        <v>0.426234948779077</v>
      </c>
      <c r="CB100" s="233" t="n">
        <f aca="false">CB98/CB70</f>
        <v>0.430269723564576</v>
      </c>
      <c r="CC100" s="236"/>
    </row>
    <row r="101" s="45" customFormat="true" ht="15" hidden="false" customHeight="true" outlineLevel="0" collapsed="false">
      <c r="A101" s="238" t="s">
        <v>219</v>
      </c>
      <c r="B101" s="86"/>
      <c r="C101" s="87"/>
      <c r="D101" s="87" t="n">
        <f aca="false">(D100-C100)*10000</f>
        <v>3187.99799295929</v>
      </c>
      <c r="E101" s="87" t="n">
        <f aca="false">(E100-D100)*10000</f>
        <v>81.3321966192343</v>
      </c>
      <c r="F101" s="87" t="n">
        <f aca="false">(F100-E100)*10000</f>
        <v>-339.805787664326</v>
      </c>
      <c r="G101" s="87" t="n">
        <f aca="false">(G100-F100)*10000</f>
        <v>-344.911043992391</v>
      </c>
      <c r="H101" s="88"/>
      <c r="I101" s="88"/>
      <c r="J101" s="88"/>
      <c r="K101" s="88"/>
      <c r="L101" s="87" t="n">
        <f aca="false">(L100-G100)*10000</f>
        <v>198.689982067058</v>
      </c>
      <c r="M101" s="88" t="n">
        <f aca="false">(M100-H100)*10000</f>
        <v>719.777806842096</v>
      </c>
      <c r="N101" s="88" t="n">
        <f aca="false">(N100-I100)*10000</f>
        <v>-14.7022519129841</v>
      </c>
      <c r="O101" s="88" t="n">
        <f aca="false">(O100-J100)*10000</f>
        <v>462.175099337407</v>
      </c>
      <c r="P101" s="88" t="n">
        <f aca="false">(P100-K100)*10000</f>
        <v>168.413136579226</v>
      </c>
      <c r="Q101" s="87" t="n">
        <f aca="false">(Q100-L100)*10000</f>
        <v>322.917221727682</v>
      </c>
      <c r="R101" s="88" t="n">
        <f aca="false">(R100-M100)*10000</f>
        <v>-826.863703401678</v>
      </c>
      <c r="S101" s="88" t="n">
        <f aca="false">(S100-N100)*10000</f>
        <v>-193.672060154906</v>
      </c>
      <c r="T101" s="88" t="n">
        <f aca="false">(T100-O100)*10000</f>
        <v>278.795761344659</v>
      </c>
      <c r="U101" s="88" t="n">
        <f aca="false">(U100-P100)*10000</f>
        <v>500.141345583459</v>
      </c>
      <c r="V101" s="87" t="n">
        <f aca="false">(V100-Q100)*10000</f>
        <v>-20.3555972934172</v>
      </c>
      <c r="W101" s="88" t="n">
        <f aca="false">(W100-R100)*10000</f>
        <v>963.285873761282</v>
      </c>
      <c r="X101" s="88" t="n">
        <f aca="false">(X100-S100)*10000</f>
        <v>317.773675743504</v>
      </c>
      <c r="Y101" s="88" t="n">
        <f aca="false">(Y100-T100)*10000</f>
        <v>-125.67495155945</v>
      </c>
      <c r="Z101" s="88" t="n">
        <f aca="false">(Z100-U100)*10000</f>
        <v>4.62312751050242</v>
      </c>
      <c r="AA101" s="87" t="n">
        <f aca="false">(AA100-V100)*10000</f>
        <v>242.103010259462</v>
      </c>
      <c r="AB101" s="88" t="n">
        <f aca="false">(AB100-W100)*10000</f>
        <v>-74.6180135398089</v>
      </c>
      <c r="AC101" s="88" t="n">
        <f aca="false">(AC100-X100)*10000</f>
        <v>-274.32049422133</v>
      </c>
      <c r="AD101" s="88" t="n">
        <f aca="false">(AD100-Y100)*10000</f>
        <v>249.161231309674</v>
      </c>
      <c r="AE101" s="88" t="n">
        <f aca="false">(AE100-Z100)*10000</f>
        <v>-412.124423180197</v>
      </c>
      <c r="AF101" s="87" t="n">
        <f aca="false">(AF100-AA100)*10000</f>
        <v>-139.151577800102</v>
      </c>
      <c r="AG101" s="88" t="n">
        <f aca="false">(AG100-AB100)*10000</f>
        <v>-1276.21385989793</v>
      </c>
      <c r="AH101" s="88" t="n">
        <f aca="false">(AH100-AC100)*10000</f>
        <v>-517.34646169289</v>
      </c>
      <c r="AI101" s="88" t="n">
        <f aca="false">(AI100-AD100)*10000</f>
        <v>-669.599415445221</v>
      </c>
      <c r="AJ101" s="88" t="n">
        <f aca="false">(AJ100-AE100)*10000</f>
        <v>565.387261288475</v>
      </c>
      <c r="AK101" s="87" t="n">
        <f aca="false">(AK100-AF100)*10000</f>
        <v>-334.428618606585</v>
      </c>
      <c r="AL101" s="88" t="n">
        <f aca="false">(AL100-AG100)*10000</f>
        <v>257.411581662008</v>
      </c>
      <c r="AM101" s="88" t="n">
        <f aca="false">(AM100-AH100)*10000</f>
        <v>732.932721005286</v>
      </c>
      <c r="AN101" s="88" t="n">
        <f aca="false">(AN100-AI100)*10000</f>
        <v>704.79411013025</v>
      </c>
      <c r="AO101" s="88" t="n">
        <f aca="false">(AO100-AJ100)*10000</f>
        <v>304.748528895304</v>
      </c>
      <c r="AP101" s="87" t="n">
        <f aca="false">(AP100-AK100)*10000</f>
        <v>484.411602735091</v>
      </c>
      <c r="AQ101" s="88" t="n">
        <f aca="false">(AQ100-AL100)*10000</f>
        <v>1600.34420395099</v>
      </c>
      <c r="AR101" s="88" t="n">
        <f aca="false">(AR100-AM100)*10000</f>
        <v>305.741606415103</v>
      </c>
      <c r="AS101" s="88" t="n">
        <f aca="false">(AS100-AN100)*10000</f>
        <v>511.358465035256</v>
      </c>
      <c r="AT101" s="88" t="n">
        <f aca="false">(AT100-AO100)*10000</f>
        <v>546.243455233154</v>
      </c>
      <c r="AU101" s="87" t="n">
        <f aca="false">(AU100-AP100)*10000</f>
        <v>655.102394817981</v>
      </c>
      <c r="AV101" s="88" t="n">
        <f aca="false">(AV100-AQ100)*10000</f>
        <v>-1271.37615766652</v>
      </c>
      <c r="AW101" s="88" t="n">
        <f aca="false">(AW100-AR100)*10000</f>
        <v>-122.004075533096</v>
      </c>
      <c r="AX101" s="88" t="n">
        <f aca="false">(AX100-AS100)*10000</f>
        <v>-316.064677245274</v>
      </c>
      <c r="AY101" s="88" t="n">
        <f aca="false">(AY100-AT100)*10000</f>
        <v>-769.406254231027</v>
      </c>
      <c r="AZ101" s="87" t="n">
        <f aca="false">(AZ100-AU100)*10000</f>
        <v>-564.762032883677</v>
      </c>
      <c r="BA101" s="88" t="n">
        <f aca="false">(BA100-AV100)*10000</f>
        <v>924.995454409969</v>
      </c>
      <c r="BB101" s="88" t="n">
        <f aca="false">(BB100-AW100)*10000</f>
        <v>277.125955392802</v>
      </c>
      <c r="BC101" s="88" t="n">
        <f aca="false">(BC100-AX100)*10000</f>
        <v>-35.6501233490192</v>
      </c>
      <c r="BD101" s="88" t="n">
        <f aca="false">(BD100-AY100)*10000</f>
        <v>34.6201961263959</v>
      </c>
      <c r="BE101" s="87" t="n">
        <f aca="false">(BE100-AZ100)*10000</f>
        <v>220.100617349098</v>
      </c>
      <c r="BF101" s="88" t="n">
        <f aca="false">(BF100-BA100)*10000</f>
        <v>-475.103643028277</v>
      </c>
      <c r="BG101" s="88" t="n">
        <f aca="false">(BG100-BB100)*10000</f>
        <v>-211.877074290833</v>
      </c>
      <c r="BH101" s="88" t="n">
        <f aca="false">(BH100-BC100)*10000</f>
        <v>59.4746288282172</v>
      </c>
      <c r="BI101" s="88" t="n">
        <f aca="false">(BI100-BD100)*10000</f>
        <v>284.186981119783</v>
      </c>
      <c r="BJ101" s="87" t="n">
        <f aca="false">(BJ100-BE100)*10000</f>
        <v>-20.0183525697945</v>
      </c>
      <c r="BK101" s="88" t="n">
        <f aca="false">(BK100-BF100)*10000</f>
        <v>827.051512195766</v>
      </c>
      <c r="BL101" s="88" t="n">
        <f aca="false">(BL100-BG100)*10000</f>
        <v>481.053783667954</v>
      </c>
      <c r="BM101" s="88" t="n">
        <f aca="false">(BM100-BH100)*10000</f>
        <v>70.1094576148359</v>
      </c>
      <c r="BN101" s="88" t="n">
        <f aca="false">(BN100-BI100)*10000</f>
        <v>-89.6071878288496</v>
      </c>
      <c r="BO101" s="91" t="n">
        <f aca="false">(BO100-BJ100)*10000</f>
        <v>257.045343351254</v>
      </c>
      <c r="BP101" s="88" t="n">
        <f aca="false">(BP100-BK100)*10000</f>
        <v>-81.1186757371496</v>
      </c>
      <c r="BQ101" s="88" t="n">
        <f aca="false">(BQ100-BL100)*10000</f>
        <v>443.759010421697</v>
      </c>
      <c r="BR101" s="88" t="n">
        <f aca="false">(BR100-BM100)*10000</f>
        <v>85.962055062192</v>
      </c>
      <c r="BS101" s="88" t="n">
        <f aca="false">(BS100-BN100)*10000</f>
        <v>51.3001508708705</v>
      </c>
      <c r="BT101" s="87" t="n">
        <f aca="false">(BT100-BO100)*10000</f>
        <v>120.378779512073</v>
      </c>
      <c r="BU101" s="88" t="n">
        <f aca="false">(BU100-BP100)*10000</f>
        <v>23.5073934254326</v>
      </c>
      <c r="BV101" s="88" t="n">
        <f aca="false">(BV100-BQ100)*10000</f>
        <v>679.84913439949</v>
      </c>
      <c r="BW101" s="88" t="n">
        <f aca="false">(BW100-BR100)*10000</f>
        <v>381.048298951782</v>
      </c>
      <c r="BX101" s="88" t="n">
        <f aca="false">(BX100-BS100)*10000</f>
        <v>24.4054757116574</v>
      </c>
      <c r="BY101" s="87" t="n">
        <f aca="false">(BY100-BT100)*10000</f>
        <v>267.045627227104</v>
      </c>
      <c r="BZ101" s="87" t="n">
        <f aca="false">(BZ100-BY100)*10000</f>
        <v>2.32790599280275</v>
      </c>
      <c r="CA101" s="87" t="n">
        <f aca="false">(CA100-BZ100)*10000</f>
        <v>37.0797003975826</v>
      </c>
      <c r="CB101" s="87" t="n">
        <f aca="false">(CB100-CA100)*10000</f>
        <v>40.3477478549913</v>
      </c>
      <c r="CC101" s="92"/>
    </row>
    <row r="102" s="84" customFormat="true" ht="15" hidden="false" customHeight="true" outlineLevel="0" collapsed="false">
      <c r="A102" s="140"/>
      <c r="B102" s="141"/>
      <c r="C102" s="142"/>
      <c r="D102" s="142"/>
      <c r="E102" s="142"/>
      <c r="F102" s="142"/>
      <c r="G102" s="142"/>
      <c r="H102" s="143"/>
      <c r="I102" s="143"/>
      <c r="J102" s="143"/>
      <c r="K102" s="143"/>
      <c r="L102" s="142"/>
      <c r="M102" s="143"/>
      <c r="N102" s="143"/>
      <c r="O102" s="143"/>
      <c r="P102" s="143"/>
      <c r="Q102" s="142"/>
      <c r="R102" s="143"/>
      <c r="S102" s="143"/>
      <c r="T102" s="143"/>
      <c r="U102" s="143"/>
      <c r="V102" s="142"/>
      <c r="W102" s="143"/>
      <c r="X102" s="143"/>
      <c r="Y102" s="143"/>
      <c r="Z102" s="143"/>
      <c r="AA102" s="142"/>
      <c r="AB102" s="143"/>
      <c r="AC102" s="143"/>
      <c r="AD102" s="143"/>
      <c r="AE102" s="143"/>
      <c r="AF102" s="142"/>
      <c r="AG102" s="143"/>
      <c r="AH102" s="143"/>
      <c r="AI102" s="143"/>
      <c r="AJ102" s="143"/>
      <c r="AK102" s="142"/>
      <c r="AL102" s="143"/>
      <c r="AM102" s="143"/>
      <c r="AN102" s="143"/>
      <c r="AO102" s="143"/>
      <c r="AP102" s="142"/>
      <c r="AQ102" s="143"/>
      <c r="AR102" s="143"/>
      <c r="AS102" s="143"/>
      <c r="AT102" s="143"/>
      <c r="AU102" s="142"/>
      <c r="AV102" s="143"/>
      <c r="AW102" s="143"/>
      <c r="AX102" s="143"/>
      <c r="AY102" s="143"/>
      <c r="AZ102" s="142"/>
      <c r="BA102" s="143"/>
      <c r="BB102" s="143"/>
      <c r="BC102" s="143"/>
      <c r="BD102" s="143"/>
      <c r="BE102" s="142"/>
      <c r="BF102" s="143"/>
      <c r="BG102" s="143"/>
      <c r="BH102" s="143"/>
      <c r="BI102" s="143"/>
      <c r="BJ102" s="142"/>
      <c r="BK102" s="143"/>
      <c r="BL102" s="143"/>
      <c r="BM102" s="143"/>
      <c r="BN102" s="143"/>
      <c r="BO102" s="144"/>
      <c r="BP102" s="143"/>
      <c r="BQ102" s="143"/>
      <c r="BR102" s="143"/>
      <c r="BS102" s="143"/>
      <c r="BT102" s="142"/>
      <c r="BU102" s="143"/>
      <c r="BV102" s="143"/>
      <c r="BW102" s="143"/>
      <c r="BX102" s="143"/>
      <c r="BY102" s="142"/>
      <c r="BZ102" s="142"/>
      <c r="CA102" s="142"/>
      <c r="CB102" s="142"/>
      <c r="CC102" s="83"/>
    </row>
    <row r="103" s="157" customFormat="true" ht="15" hidden="false" customHeight="true" outlineLevel="0" collapsed="false">
      <c r="A103" s="219" t="s">
        <v>220</v>
      </c>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c r="AA103" s="219"/>
      <c r="AB103" s="219"/>
      <c r="AC103" s="219"/>
      <c r="AD103" s="219"/>
      <c r="AE103" s="219"/>
      <c r="AF103" s="219"/>
      <c r="AG103" s="219"/>
      <c r="AH103" s="219"/>
      <c r="AI103" s="219"/>
      <c r="AJ103" s="219"/>
      <c r="AK103" s="219"/>
      <c r="AL103" s="219"/>
      <c r="AM103" s="219"/>
      <c r="AN103" s="219"/>
      <c r="AO103" s="219"/>
      <c r="AP103" s="219"/>
      <c r="AQ103" s="219"/>
      <c r="AR103" s="219"/>
      <c r="AS103" s="219"/>
      <c r="AT103" s="219"/>
      <c r="AU103" s="219"/>
      <c r="AV103" s="219"/>
      <c r="AW103" s="219"/>
      <c r="AX103" s="219"/>
      <c r="AY103" s="219"/>
      <c r="AZ103" s="219"/>
      <c r="BA103" s="219"/>
      <c r="BB103" s="219"/>
      <c r="BC103" s="219"/>
      <c r="BD103" s="219"/>
      <c r="BE103" s="219"/>
      <c r="BF103" s="219"/>
      <c r="BG103" s="219"/>
      <c r="BH103" s="219"/>
      <c r="BI103" s="219"/>
      <c r="BJ103" s="219"/>
      <c r="BK103" s="219"/>
      <c r="BL103" s="219"/>
      <c r="BM103" s="219"/>
      <c r="BN103" s="219"/>
      <c r="BO103" s="220"/>
      <c r="BP103" s="219"/>
      <c r="BQ103" s="219"/>
      <c r="BR103" s="219"/>
      <c r="BS103" s="219"/>
      <c r="BT103" s="219"/>
      <c r="BU103" s="219"/>
      <c r="BV103" s="219"/>
      <c r="BW103" s="219"/>
      <c r="BX103" s="219"/>
      <c r="BY103" s="219"/>
      <c r="BZ103" s="219"/>
      <c r="CA103" s="219"/>
      <c r="CB103" s="219"/>
      <c r="CC103" s="156"/>
    </row>
    <row r="104" s="51" customFormat="true" ht="15" hidden="true" customHeight="true" outlineLevel="1" collapsed="false">
      <c r="A104" s="253" t="s">
        <v>221</v>
      </c>
      <c r="B104" s="254"/>
      <c r="C104" s="255" t="n">
        <v>83.6</v>
      </c>
      <c r="D104" s="255" t="n">
        <v>108.7</v>
      </c>
      <c r="E104" s="255" t="n">
        <v>117.7</v>
      </c>
      <c r="F104" s="255" t="n">
        <v>147.7</v>
      </c>
      <c r="G104" s="255" t="n">
        <v>144.1</v>
      </c>
      <c r="H104" s="48"/>
      <c r="I104" s="48"/>
      <c r="J104" s="48"/>
      <c r="K104" s="48"/>
      <c r="L104" s="255" t="n">
        <v>153.9</v>
      </c>
      <c r="M104" s="48"/>
      <c r="N104" s="48"/>
      <c r="O104" s="48"/>
      <c r="P104" s="48"/>
      <c r="Q104" s="255" t="n">
        <v>191.7</v>
      </c>
      <c r="R104" s="48"/>
      <c r="S104" s="48"/>
      <c r="T104" s="48"/>
      <c r="U104" s="48"/>
      <c r="V104" s="255" t="n">
        <v>187.9</v>
      </c>
      <c r="W104" s="48"/>
      <c r="X104" s="48"/>
      <c r="Y104" s="48"/>
      <c r="Z104" s="48"/>
      <c r="AA104" s="255" t="n">
        <v>195.7</v>
      </c>
      <c r="AB104" s="48"/>
      <c r="AC104" s="48"/>
      <c r="AD104" s="48"/>
      <c r="AE104" s="48"/>
      <c r="AF104" s="255" t="n">
        <v>191.6</v>
      </c>
      <c r="AG104" s="48"/>
      <c r="AH104" s="48"/>
      <c r="AI104" s="48"/>
      <c r="AJ104" s="48"/>
      <c r="AK104" s="255" t="n">
        <v>196.1</v>
      </c>
      <c r="AL104" s="48"/>
      <c r="AM104" s="48"/>
      <c r="AN104" s="48"/>
      <c r="AO104" s="48"/>
      <c r="AP104" s="255" t="n">
        <v>205.9</v>
      </c>
      <c r="AQ104" s="48"/>
      <c r="AR104" s="48"/>
      <c r="AS104" s="48"/>
      <c r="AT104" s="48"/>
      <c r="AU104" s="255" t="n">
        <v>188.6</v>
      </c>
      <c r="AV104" s="48"/>
      <c r="AW104" s="48"/>
      <c r="AX104" s="48"/>
      <c r="AY104" s="48"/>
      <c r="AZ104" s="255" t="n">
        <v>248.2</v>
      </c>
      <c r="BA104" s="48"/>
      <c r="BB104" s="48"/>
      <c r="BC104" s="48"/>
      <c r="BD104" s="48"/>
      <c r="BE104" s="255" t="n">
        <v>330.4</v>
      </c>
      <c r="BF104" s="48"/>
      <c r="BG104" s="48"/>
      <c r="BH104" s="48"/>
      <c r="BI104" s="48"/>
      <c r="BJ104" s="255" t="n">
        <v>398.4</v>
      </c>
      <c r="BK104" s="48"/>
      <c r="BL104" s="48"/>
      <c r="BM104" s="48"/>
      <c r="BN104" s="48"/>
      <c r="BO104" s="160"/>
      <c r="BP104" s="48"/>
      <c r="BQ104" s="48"/>
      <c r="BR104" s="48"/>
      <c r="BS104" s="48"/>
      <c r="BT104" s="159"/>
      <c r="BU104" s="48"/>
      <c r="BV104" s="48"/>
      <c r="BW104" s="48"/>
      <c r="BX104" s="48"/>
      <c r="BY104" s="159"/>
      <c r="BZ104" s="159"/>
      <c r="CA104" s="159"/>
      <c r="CB104" s="159"/>
      <c r="CC104" s="50"/>
    </row>
    <row r="105" s="51" customFormat="true" ht="15" hidden="true" customHeight="true" outlineLevel="1" collapsed="false">
      <c r="A105" s="253" t="s">
        <v>222</v>
      </c>
      <c r="B105" s="254"/>
      <c r="C105" s="255" t="n">
        <v>21.9</v>
      </c>
      <c r="D105" s="255" t="n">
        <v>16.7</v>
      </c>
      <c r="E105" s="255" t="n">
        <v>24.9</v>
      </c>
      <c r="F105" s="255" t="n">
        <v>15.3</v>
      </c>
      <c r="G105" s="255" t="n">
        <v>35</v>
      </c>
      <c r="H105" s="48"/>
      <c r="I105" s="48"/>
      <c r="J105" s="48"/>
      <c r="K105" s="48"/>
      <c r="L105" s="255" t="n">
        <v>36.3</v>
      </c>
      <c r="M105" s="48"/>
      <c r="N105" s="48"/>
      <c r="O105" s="48"/>
      <c r="P105" s="48"/>
      <c r="Q105" s="255" t="n">
        <v>19.7</v>
      </c>
      <c r="R105" s="48"/>
      <c r="S105" s="48"/>
      <c r="T105" s="48"/>
      <c r="U105" s="48"/>
      <c r="V105" s="255" t="n">
        <v>76.8</v>
      </c>
      <c r="W105" s="48"/>
      <c r="X105" s="48"/>
      <c r="Y105" s="48"/>
      <c r="Z105" s="48"/>
      <c r="AA105" s="255" t="n">
        <v>101.7</v>
      </c>
      <c r="AB105" s="48"/>
      <c r="AC105" s="48"/>
      <c r="AD105" s="48"/>
      <c r="AE105" s="48"/>
      <c r="AF105" s="255" t="n">
        <v>105.9</v>
      </c>
      <c r="AG105" s="48"/>
      <c r="AH105" s="48"/>
      <c r="AI105" s="48"/>
      <c r="AJ105" s="48"/>
      <c r="AK105" s="255" t="n">
        <v>117.2</v>
      </c>
      <c r="AL105" s="48"/>
      <c r="AM105" s="48"/>
      <c r="AN105" s="48"/>
      <c r="AO105" s="48"/>
      <c r="AP105" s="255" t="n">
        <v>119.9</v>
      </c>
      <c r="AQ105" s="48"/>
      <c r="AR105" s="48"/>
      <c r="AS105" s="48"/>
      <c r="AT105" s="48"/>
      <c r="AU105" s="255" t="n">
        <v>101.4</v>
      </c>
      <c r="AV105" s="48"/>
      <c r="AW105" s="48"/>
      <c r="AX105" s="48"/>
      <c r="AY105" s="48"/>
      <c r="AZ105" s="255" t="n">
        <v>163.7</v>
      </c>
      <c r="BA105" s="48"/>
      <c r="BB105" s="48"/>
      <c r="BC105" s="48"/>
      <c r="BD105" s="48"/>
      <c r="BE105" s="255" t="n">
        <v>236.2</v>
      </c>
      <c r="BF105" s="48"/>
      <c r="BG105" s="48"/>
      <c r="BH105" s="48"/>
      <c r="BI105" s="48"/>
      <c r="BJ105" s="255" t="n">
        <v>340.5</v>
      </c>
      <c r="BK105" s="48"/>
      <c r="BL105" s="48"/>
      <c r="BM105" s="48"/>
      <c r="BN105" s="48"/>
      <c r="BO105" s="160"/>
      <c r="BP105" s="48"/>
      <c r="BQ105" s="48"/>
      <c r="BR105" s="48"/>
      <c r="BS105" s="48"/>
      <c r="BT105" s="159"/>
      <c r="BU105" s="48"/>
      <c r="BV105" s="48"/>
      <c r="BW105" s="48"/>
      <c r="BX105" s="48"/>
      <c r="BY105" s="159"/>
      <c r="BZ105" s="159"/>
      <c r="CA105" s="159"/>
      <c r="CB105" s="159"/>
      <c r="CC105" s="50"/>
    </row>
    <row r="106" s="51" customFormat="true" ht="15" hidden="true" customHeight="true" outlineLevel="1" collapsed="false">
      <c r="A106" s="256" t="s">
        <v>223</v>
      </c>
      <c r="B106" s="257"/>
      <c r="C106" s="258" t="n">
        <v>25.6</v>
      </c>
      <c r="D106" s="258" t="n">
        <v>19.2</v>
      </c>
      <c r="E106" s="258" t="n">
        <v>15.4</v>
      </c>
      <c r="F106" s="258" t="n">
        <v>16.3</v>
      </c>
      <c r="G106" s="258" t="n">
        <v>18</v>
      </c>
      <c r="H106" s="259"/>
      <c r="I106" s="259"/>
      <c r="J106" s="259"/>
      <c r="K106" s="259"/>
      <c r="L106" s="258" t="n">
        <v>19.3</v>
      </c>
      <c r="M106" s="259"/>
      <c r="N106" s="259"/>
      <c r="O106" s="259"/>
      <c r="P106" s="259"/>
      <c r="Q106" s="258" t="n">
        <v>31.6</v>
      </c>
      <c r="R106" s="259"/>
      <c r="S106" s="259"/>
      <c r="T106" s="259"/>
      <c r="U106" s="259"/>
      <c r="V106" s="258" t="n">
        <v>26.1</v>
      </c>
      <c r="W106" s="259"/>
      <c r="X106" s="259"/>
      <c r="Y106" s="259"/>
      <c r="Z106" s="259"/>
      <c r="AA106" s="258" t="n">
        <v>10.8</v>
      </c>
      <c r="AB106" s="259"/>
      <c r="AC106" s="259"/>
      <c r="AD106" s="259"/>
      <c r="AE106" s="259"/>
      <c r="AF106" s="258" t="n">
        <v>17.9</v>
      </c>
      <c r="AG106" s="259"/>
      <c r="AH106" s="259"/>
      <c r="AI106" s="259"/>
      <c r="AJ106" s="259"/>
      <c r="AK106" s="258" t="n">
        <v>12</v>
      </c>
      <c r="AL106" s="259"/>
      <c r="AM106" s="259"/>
      <c r="AN106" s="259"/>
      <c r="AO106" s="259"/>
      <c r="AP106" s="258" t="n">
        <v>25.9</v>
      </c>
      <c r="AQ106" s="259"/>
      <c r="AR106" s="259"/>
      <c r="AS106" s="259"/>
      <c r="AT106" s="259"/>
      <c r="AU106" s="258" t="n">
        <v>31.6</v>
      </c>
      <c r="AV106" s="259"/>
      <c r="AW106" s="259"/>
      <c r="AX106" s="259"/>
      <c r="AY106" s="259"/>
      <c r="AZ106" s="258" t="n">
        <v>33.3</v>
      </c>
      <c r="BA106" s="259"/>
      <c r="BB106" s="259"/>
      <c r="BC106" s="259"/>
      <c r="BD106" s="259"/>
      <c r="BE106" s="258" t="n">
        <v>39</v>
      </c>
      <c r="BF106" s="259"/>
      <c r="BG106" s="259"/>
      <c r="BH106" s="259"/>
      <c r="BI106" s="259"/>
      <c r="BJ106" s="258" t="n">
        <v>48.4</v>
      </c>
      <c r="BK106" s="259"/>
      <c r="BL106" s="259"/>
      <c r="BM106" s="259"/>
      <c r="BN106" s="259"/>
      <c r="BO106" s="260"/>
      <c r="BP106" s="259"/>
      <c r="BQ106" s="259"/>
      <c r="BR106" s="259"/>
      <c r="BS106" s="259"/>
      <c r="BT106" s="261"/>
      <c r="BU106" s="259"/>
      <c r="BV106" s="259"/>
      <c r="BW106" s="259"/>
      <c r="BX106" s="259"/>
      <c r="BY106" s="261"/>
      <c r="BZ106" s="261"/>
      <c r="CA106" s="261"/>
      <c r="CB106" s="261"/>
      <c r="CC106" s="50"/>
    </row>
    <row r="107" s="51" customFormat="true" ht="15" hidden="true" customHeight="true" outlineLevel="1" collapsed="false">
      <c r="A107" s="145" t="s">
        <v>224</v>
      </c>
      <c r="B107" s="254"/>
      <c r="C107" s="159" t="n">
        <f aca="false">SUM(C104:C106)</f>
        <v>131.1</v>
      </c>
      <c r="D107" s="159" t="n">
        <f aca="false">SUM(D104:D106)</f>
        <v>144.6</v>
      </c>
      <c r="E107" s="159" t="n">
        <f aca="false">SUM(E104:E106)</f>
        <v>158</v>
      </c>
      <c r="F107" s="159" t="n">
        <f aca="false">SUM(F104:F106)</f>
        <v>179.3</v>
      </c>
      <c r="G107" s="159" t="n">
        <f aca="false">SUM(G104:G106)</f>
        <v>197.1</v>
      </c>
      <c r="H107" s="48" t="n">
        <f aca="false">H113-H111-H112</f>
        <v>53.414</v>
      </c>
      <c r="I107" s="48" t="n">
        <f aca="false">I113-I111-I112</f>
        <v>55.714</v>
      </c>
      <c r="J107" s="48" t="n">
        <f aca="false">J113-J111-J112</f>
        <v>49.114</v>
      </c>
      <c r="K107" s="48" t="n">
        <f aca="false">K113-K111-K112</f>
        <v>51.258</v>
      </c>
      <c r="L107" s="159" t="n">
        <f aca="false">SUM(L104:L106)</f>
        <v>209.5</v>
      </c>
      <c r="M107" s="48" t="n">
        <f aca="false">M113-M111-M112</f>
        <v>52.629</v>
      </c>
      <c r="N107" s="48" t="n">
        <f aca="false">N113-N111-N112</f>
        <v>59.329</v>
      </c>
      <c r="O107" s="48" t="n">
        <f aca="false">O113-O111-O112</f>
        <v>64.029</v>
      </c>
      <c r="P107" s="48" t="n">
        <f aca="false">P113-P111-P112</f>
        <v>67.013</v>
      </c>
      <c r="Q107" s="159" t="n">
        <f aca="false">SUM(Q104:Q106)</f>
        <v>243</v>
      </c>
      <c r="R107" s="48" t="n">
        <f aca="false">R113-R111-R112</f>
        <v>65.475</v>
      </c>
      <c r="S107" s="48" t="n">
        <f aca="false">S113-S111-S112</f>
        <v>67.575</v>
      </c>
      <c r="T107" s="48" t="n">
        <f aca="false">T113-T111-T112</f>
        <v>71.175</v>
      </c>
      <c r="U107" s="48" t="n">
        <f aca="false">U113-U111-U112</f>
        <v>86.575</v>
      </c>
      <c r="V107" s="159" t="n">
        <f aca="false">SUM(V104:V106)</f>
        <v>290.8</v>
      </c>
      <c r="W107" s="48" t="n">
        <f aca="false">W113-W111-W112</f>
        <v>82.775</v>
      </c>
      <c r="X107" s="48" t="n">
        <f aca="false">X113-X111-X112</f>
        <v>76.575</v>
      </c>
      <c r="Y107" s="48" t="n">
        <f aca="false">Y113-Y111-Y112</f>
        <v>73.875</v>
      </c>
      <c r="Z107" s="48" t="n">
        <f aca="false">Z113-Z111-Z112</f>
        <v>74.975</v>
      </c>
      <c r="AA107" s="159" t="n">
        <f aca="false">SUM(AA104:AA106)</f>
        <v>308.2</v>
      </c>
      <c r="AB107" s="48" t="n">
        <f aca="false">AB113-AB111-AB112</f>
        <v>75.775</v>
      </c>
      <c r="AC107" s="48" t="n">
        <f aca="false">AC113-AC111-AC112</f>
        <v>72.875</v>
      </c>
      <c r="AD107" s="48" t="n">
        <f aca="false">AD113-AD111-AD112</f>
        <v>83.175</v>
      </c>
      <c r="AE107" s="48" t="n">
        <f aca="false">AE113-AE111-AE112</f>
        <v>83.575</v>
      </c>
      <c r="AF107" s="159" t="n">
        <f aca="false">SUM(AF104:AF106)</f>
        <v>315.4</v>
      </c>
      <c r="AG107" s="48" t="n">
        <f aca="false">AG113-AG111-AG112</f>
        <v>74</v>
      </c>
      <c r="AH107" s="48" t="n">
        <f aca="false">AH113-AH111-AH112</f>
        <v>77.6</v>
      </c>
      <c r="AI107" s="48" t="n">
        <f aca="false">AI113-AI111-AI112</f>
        <v>81.6000000000001</v>
      </c>
      <c r="AJ107" s="48" t="n">
        <f aca="false">AJ113-AJ111-AJ112</f>
        <v>92.1</v>
      </c>
      <c r="AK107" s="159" t="n">
        <f aca="false">SUM(AK104:AK106)</f>
        <v>325.3</v>
      </c>
      <c r="AL107" s="48" t="n">
        <f aca="false">AL113-AL111-AL112</f>
        <v>83.525</v>
      </c>
      <c r="AM107" s="48" t="n">
        <f aca="false">AM113-AM111-AM112</f>
        <v>90.325</v>
      </c>
      <c r="AN107" s="48" t="n">
        <f aca="false">AN113-AN111-AN112</f>
        <v>87.225</v>
      </c>
      <c r="AO107" s="48" t="n">
        <f aca="false">AO113-AO111-AO112</f>
        <v>90.625</v>
      </c>
      <c r="AP107" s="159" t="n">
        <f aca="false">SUM(AP104:AP106)</f>
        <v>351.7</v>
      </c>
      <c r="AQ107" s="48" t="n">
        <f aca="false">AQ113-AQ111-AQ112</f>
        <v>80.55</v>
      </c>
      <c r="AR107" s="48" t="n">
        <f aca="false">AR113-AR111-AR112</f>
        <v>75.35</v>
      </c>
      <c r="AS107" s="48" t="n">
        <f aca="false">AS113-AS111-AS112</f>
        <v>78.85</v>
      </c>
      <c r="AT107" s="48" t="n">
        <f aca="false">AT113-AT111-AT112</f>
        <v>86.85</v>
      </c>
      <c r="AU107" s="159" t="n">
        <f aca="false">SUM(AU104:AU106)</f>
        <v>321.6</v>
      </c>
      <c r="AV107" s="48" t="n">
        <f aca="false">AV113-AV111-AV112</f>
        <v>96.4</v>
      </c>
      <c r="AW107" s="48" t="n">
        <f aca="false">AW113-AW111-AW112</f>
        <v>96.9</v>
      </c>
      <c r="AX107" s="48" t="n">
        <f aca="false">AX113-AX111-AX112</f>
        <v>103.3</v>
      </c>
      <c r="AY107" s="48" t="n">
        <f aca="false">AY113-AY111-AY112</f>
        <v>148.6</v>
      </c>
      <c r="AZ107" s="159" t="n">
        <f aca="false">SUM(AZ104:AZ106)</f>
        <v>445.2</v>
      </c>
      <c r="BA107" s="48" t="n">
        <f aca="false">BA113-BA111-BA112</f>
        <v>136.75</v>
      </c>
      <c r="BB107" s="48" t="n">
        <f aca="false">BB113-BB111-BB112</f>
        <v>147.65</v>
      </c>
      <c r="BC107" s="48" t="n">
        <f aca="false">BC113-BC111-BC112</f>
        <v>142.65</v>
      </c>
      <c r="BD107" s="48" t="n">
        <f aca="false">BD113-BD111-BD112</f>
        <v>178.55</v>
      </c>
      <c r="BE107" s="159" t="n">
        <f aca="false">SUM(BE104:BE106)</f>
        <v>605.6</v>
      </c>
      <c r="BF107" s="48" t="n">
        <f aca="false">BF113-BF111-BF112</f>
        <v>181.575</v>
      </c>
      <c r="BG107" s="48" t="n">
        <f aca="false">BG113-BG111-BG112</f>
        <v>194.675</v>
      </c>
      <c r="BH107" s="48" t="n">
        <f aca="false">BH113-BH111-BH112</f>
        <v>202.875</v>
      </c>
      <c r="BI107" s="48" t="n">
        <f aca="false">BI113-BI111-BI112</f>
        <v>208.175</v>
      </c>
      <c r="BJ107" s="159" t="n">
        <f aca="false">SUM(BJ104:BJ106)</f>
        <v>787.3</v>
      </c>
      <c r="BK107" s="48" t="n">
        <f aca="false">BK113-BK111-BK112</f>
        <v>209.8</v>
      </c>
      <c r="BL107" s="48" t="n">
        <f aca="false">BL113-BL111-BL112</f>
        <v>223.4</v>
      </c>
      <c r="BM107" s="48" t="n">
        <f aca="false">BM113-BM111-BM112</f>
        <v>243.1</v>
      </c>
      <c r="BN107" s="48" t="n">
        <f aca="false">BN113-BN111-BN112</f>
        <v>223.6</v>
      </c>
      <c r="BO107" s="160" t="n">
        <f aca="false">SUM(BK107,BL107,BM107,BN107)</f>
        <v>899.9</v>
      </c>
      <c r="BP107" s="48" t="n">
        <f aca="false">-BP584</f>
        <v>272.498301369863</v>
      </c>
      <c r="BQ107" s="48" t="n">
        <f aca="false">-BQ584</f>
        <v>270.43483161794</v>
      </c>
      <c r="BR107" s="48" t="n">
        <f aca="false">-BR584</f>
        <v>268.332281772924</v>
      </c>
      <c r="BS107" s="48" t="n">
        <f aca="false">-BS584</f>
        <v>263.332114679128</v>
      </c>
      <c r="BT107" s="159" t="n">
        <f aca="false">BS107+BR107+BQ107+BP107</f>
        <v>1074.59752943985</v>
      </c>
      <c r="BU107" s="48" t="n">
        <f aca="false">-BU584</f>
        <v>252.8886441892</v>
      </c>
      <c r="BV107" s="48" t="n">
        <f aca="false">-BV584</f>
        <v>251.291746980728</v>
      </c>
      <c r="BW107" s="48" t="n">
        <f aca="false">-BW584</f>
        <v>249.654348445332</v>
      </c>
      <c r="BX107" s="48" t="n">
        <f aca="false">-BX584</f>
        <v>245.31328212211</v>
      </c>
      <c r="BY107" s="159" t="n">
        <f aca="false">BX107+BW107+BV107+BU107</f>
        <v>999.14802173737</v>
      </c>
      <c r="BZ107" s="159" t="n">
        <f aca="false">-BZ584</f>
        <v>956.638822835189</v>
      </c>
      <c r="CA107" s="159" t="n">
        <f aca="false">-CA584</f>
        <v>904.189387638263</v>
      </c>
      <c r="CB107" s="159" t="n">
        <f aca="false">-CB584</f>
        <v>859.082873368906</v>
      </c>
      <c r="CC107" s="50"/>
    </row>
    <row r="108" s="51" customFormat="true" ht="15" hidden="true" customHeight="true" outlineLevel="1" collapsed="false">
      <c r="A108" s="253" t="s">
        <v>225</v>
      </c>
      <c r="B108" s="254"/>
      <c r="C108" s="255" t="n">
        <v>8.8</v>
      </c>
      <c r="D108" s="255" t="n">
        <v>5.5</v>
      </c>
      <c r="E108" s="255" t="n">
        <v>5.3</v>
      </c>
      <c r="F108" s="255" t="n">
        <v>6</v>
      </c>
      <c r="G108" s="255" t="n">
        <v>27</v>
      </c>
      <c r="H108" s="48"/>
      <c r="I108" s="48"/>
      <c r="J108" s="48"/>
      <c r="K108" s="48"/>
      <c r="L108" s="255" t="n">
        <v>41.9</v>
      </c>
      <c r="M108" s="48"/>
      <c r="N108" s="48"/>
      <c r="O108" s="48"/>
      <c r="P108" s="48"/>
      <c r="Q108" s="255" t="n">
        <v>49.1</v>
      </c>
      <c r="R108" s="48"/>
      <c r="S108" s="48"/>
      <c r="T108" s="48"/>
      <c r="U108" s="48"/>
      <c r="V108" s="255" t="n">
        <v>59.5</v>
      </c>
      <c r="W108" s="48"/>
      <c r="X108" s="48"/>
      <c r="Y108" s="48"/>
      <c r="Z108" s="48"/>
      <c r="AA108" s="255" t="n">
        <v>99.7</v>
      </c>
      <c r="AB108" s="48"/>
      <c r="AC108" s="48"/>
      <c r="AD108" s="48"/>
      <c r="AE108" s="48"/>
      <c r="AF108" s="255" t="n">
        <v>97.2</v>
      </c>
      <c r="AG108" s="48"/>
      <c r="AH108" s="48"/>
      <c r="AI108" s="48"/>
      <c r="AJ108" s="48"/>
      <c r="AK108" s="255" t="n">
        <v>97.4</v>
      </c>
      <c r="AL108" s="48"/>
      <c r="AM108" s="48"/>
      <c r="AN108" s="48"/>
      <c r="AO108" s="48"/>
      <c r="AP108" s="255" t="n">
        <v>101.8</v>
      </c>
      <c r="AQ108" s="48"/>
      <c r="AR108" s="48"/>
      <c r="AS108" s="48"/>
      <c r="AT108" s="48"/>
      <c r="AU108" s="255" t="n">
        <v>107.8</v>
      </c>
      <c r="AV108" s="48"/>
      <c r="AW108" s="48"/>
      <c r="AX108" s="48"/>
      <c r="AY108" s="48"/>
      <c r="AZ108" s="255" t="n">
        <v>105.9</v>
      </c>
      <c r="BA108" s="48"/>
      <c r="BB108" s="48"/>
      <c r="BC108" s="48"/>
      <c r="BD108" s="48"/>
      <c r="BE108" s="255" t="n">
        <v>102.7</v>
      </c>
      <c r="BF108" s="48"/>
      <c r="BG108" s="48"/>
      <c r="BH108" s="48"/>
      <c r="BI108" s="48"/>
      <c r="BJ108" s="255" t="n">
        <v>103.8</v>
      </c>
      <c r="BK108" s="48"/>
      <c r="BL108" s="48"/>
      <c r="BM108" s="48"/>
      <c r="BN108" s="48"/>
      <c r="BO108" s="160"/>
      <c r="BP108" s="48"/>
      <c r="BQ108" s="48"/>
      <c r="BR108" s="48"/>
      <c r="BS108" s="48"/>
      <c r="BT108" s="159"/>
      <c r="BU108" s="48"/>
      <c r="BV108" s="48"/>
      <c r="BW108" s="48"/>
      <c r="BX108" s="48"/>
      <c r="BY108" s="159"/>
      <c r="BZ108" s="159"/>
      <c r="CA108" s="159"/>
      <c r="CB108" s="159"/>
      <c r="CC108" s="50"/>
    </row>
    <row r="109" s="51" customFormat="true" ht="15" hidden="true" customHeight="true" outlineLevel="1" collapsed="false">
      <c r="A109" s="253" t="s">
        <v>226</v>
      </c>
      <c r="B109" s="254"/>
      <c r="C109" s="159"/>
      <c r="D109" s="255" t="n">
        <v>0</v>
      </c>
      <c r="E109" s="255" t="n">
        <v>0</v>
      </c>
      <c r="F109" s="255" t="n">
        <v>0.1</v>
      </c>
      <c r="G109" s="255" t="n">
        <v>0.6</v>
      </c>
      <c r="H109" s="48"/>
      <c r="I109" s="48"/>
      <c r="J109" s="48"/>
      <c r="K109" s="48"/>
      <c r="L109" s="255" t="n">
        <v>2</v>
      </c>
      <c r="M109" s="48"/>
      <c r="N109" s="48"/>
      <c r="O109" s="48"/>
      <c r="P109" s="48"/>
      <c r="Q109" s="255" t="n">
        <v>2.1</v>
      </c>
      <c r="R109" s="48"/>
      <c r="S109" s="48"/>
      <c r="T109" s="48"/>
      <c r="U109" s="48"/>
      <c r="V109" s="255" t="n">
        <v>2.5</v>
      </c>
      <c r="W109" s="48"/>
      <c r="X109" s="48"/>
      <c r="Y109" s="48"/>
      <c r="Z109" s="48"/>
      <c r="AA109" s="255" t="n">
        <v>2.1</v>
      </c>
      <c r="AB109" s="48"/>
      <c r="AC109" s="48"/>
      <c r="AD109" s="48"/>
      <c r="AE109" s="48"/>
      <c r="AF109" s="255" t="n">
        <v>1.3</v>
      </c>
      <c r="AG109" s="48"/>
      <c r="AH109" s="48"/>
      <c r="AI109" s="48"/>
      <c r="AJ109" s="48"/>
      <c r="AK109" s="255" t="n">
        <v>7.5</v>
      </c>
      <c r="AL109" s="48"/>
      <c r="AM109" s="48"/>
      <c r="AN109" s="48"/>
      <c r="AO109" s="48"/>
      <c r="AP109" s="255" t="n">
        <v>12</v>
      </c>
      <c r="AQ109" s="48"/>
      <c r="AR109" s="48"/>
      <c r="AS109" s="48"/>
      <c r="AT109" s="48"/>
      <c r="AU109" s="255" t="n">
        <v>14.5</v>
      </c>
      <c r="AV109" s="48"/>
      <c r="AW109" s="48"/>
      <c r="AX109" s="48"/>
      <c r="AY109" s="48"/>
      <c r="AZ109" s="255" t="n">
        <v>18.2</v>
      </c>
      <c r="BA109" s="48"/>
      <c r="BB109" s="48"/>
      <c r="BC109" s="48"/>
      <c r="BD109" s="48"/>
      <c r="BE109" s="255" t="n">
        <v>19.5</v>
      </c>
      <c r="BF109" s="48"/>
      <c r="BG109" s="48"/>
      <c r="BH109" s="48"/>
      <c r="BI109" s="48"/>
      <c r="BJ109" s="255" t="n">
        <v>20.8</v>
      </c>
      <c r="BK109" s="48"/>
      <c r="BL109" s="48"/>
      <c r="BM109" s="48"/>
      <c r="BN109" s="48"/>
      <c r="BO109" s="160"/>
      <c r="BP109" s="48"/>
      <c r="BQ109" s="48"/>
      <c r="BR109" s="48"/>
      <c r="BS109" s="48"/>
      <c r="BT109" s="159"/>
      <c r="BU109" s="48"/>
      <c r="BV109" s="48"/>
      <c r="BW109" s="48"/>
      <c r="BX109" s="48"/>
      <c r="BY109" s="159"/>
      <c r="BZ109" s="159"/>
      <c r="CA109" s="159"/>
      <c r="CB109" s="159"/>
      <c r="CC109" s="50"/>
    </row>
    <row r="110" s="51" customFormat="true" ht="15" hidden="true" customHeight="true" outlineLevel="1" collapsed="false">
      <c r="A110" s="256" t="s">
        <v>227</v>
      </c>
      <c r="B110" s="257"/>
      <c r="C110" s="261"/>
      <c r="D110" s="261"/>
      <c r="E110" s="261"/>
      <c r="F110" s="261"/>
      <c r="G110" s="261"/>
      <c r="H110" s="259"/>
      <c r="I110" s="259"/>
      <c r="J110" s="259"/>
      <c r="K110" s="259"/>
      <c r="L110" s="258" t="n">
        <v>0</v>
      </c>
      <c r="M110" s="259"/>
      <c r="N110" s="259"/>
      <c r="O110" s="259"/>
      <c r="P110" s="259"/>
      <c r="Q110" s="258" t="n">
        <v>0</v>
      </c>
      <c r="R110" s="259"/>
      <c r="S110" s="259"/>
      <c r="T110" s="259"/>
      <c r="U110" s="259"/>
      <c r="V110" s="258" t="n">
        <v>1.5</v>
      </c>
      <c r="W110" s="259"/>
      <c r="X110" s="259"/>
      <c r="Y110" s="259"/>
      <c r="Z110" s="259"/>
      <c r="AA110" s="258" t="n">
        <v>3.7</v>
      </c>
      <c r="AB110" s="259"/>
      <c r="AC110" s="259"/>
      <c r="AD110" s="259"/>
      <c r="AE110" s="259"/>
      <c r="AF110" s="258" t="n">
        <v>5.2</v>
      </c>
      <c r="AG110" s="259"/>
      <c r="AH110" s="259"/>
      <c r="AI110" s="259"/>
      <c r="AJ110" s="259"/>
      <c r="AK110" s="258" t="n">
        <v>10.5</v>
      </c>
      <c r="AL110" s="259"/>
      <c r="AM110" s="259"/>
      <c r="AN110" s="259"/>
      <c r="AO110" s="259"/>
      <c r="AP110" s="258" t="n">
        <v>9.7</v>
      </c>
      <c r="AQ110" s="259"/>
      <c r="AR110" s="259"/>
      <c r="AS110" s="259"/>
      <c r="AT110" s="259"/>
      <c r="AU110" s="258" t="n">
        <v>10.7</v>
      </c>
      <c r="AV110" s="259"/>
      <c r="AW110" s="259"/>
      <c r="AX110" s="259"/>
      <c r="AY110" s="259"/>
      <c r="AZ110" s="258" t="n">
        <v>11</v>
      </c>
      <c r="BA110" s="259"/>
      <c r="BB110" s="259"/>
      <c r="BC110" s="259"/>
      <c r="BD110" s="259"/>
      <c r="BE110" s="258" t="n">
        <v>5.4</v>
      </c>
      <c r="BF110" s="259"/>
      <c r="BG110" s="259"/>
      <c r="BH110" s="259"/>
      <c r="BI110" s="259"/>
      <c r="BJ110" s="258" t="n">
        <v>1.4</v>
      </c>
      <c r="BK110" s="259"/>
      <c r="BL110" s="259"/>
      <c r="BM110" s="259"/>
      <c r="BN110" s="259"/>
      <c r="BO110" s="260"/>
      <c r="BP110" s="259"/>
      <c r="BQ110" s="259"/>
      <c r="BR110" s="259"/>
      <c r="BS110" s="259"/>
      <c r="BT110" s="261"/>
      <c r="BU110" s="259"/>
      <c r="BV110" s="259"/>
      <c r="BW110" s="259"/>
      <c r="BX110" s="259"/>
      <c r="BY110" s="261"/>
      <c r="BZ110" s="261"/>
      <c r="CA110" s="261"/>
      <c r="CB110" s="261"/>
      <c r="CC110" s="50"/>
    </row>
    <row r="111" s="51" customFormat="true" ht="15" hidden="true" customHeight="true" outlineLevel="1" collapsed="false">
      <c r="A111" s="145" t="s">
        <v>228</v>
      </c>
      <c r="B111" s="254"/>
      <c r="C111" s="159" t="n">
        <f aca="false">SUM(C108:C110)</f>
        <v>8.8</v>
      </c>
      <c r="D111" s="159" t="n">
        <f aca="false">SUM(D108:D110)</f>
        <v>5.5</v>
      </c>
      <c r="E111" s="159" t="n">
        <f aca="false">SUM(E108:E110)</f>
        <v>5.3</v>
      </c>
      <c r="F111" s="159" t="n">
        <f aca="false">SUM(F108:F110)</f>
        <v>6.1</v>
      </c>
      <c r="G111" s="159" t="n">
        <f aca="false">SUM(G108:G110)</f>
        <v>27.6</v>
      </c>
      <c r="H111" s="48" t="n">
        <f aca="false">L111/4</f>
        <v>10.975</v>
      </c>
      <c r="I111" s="48" t="n">
        <f aca="false">L111/4</f>
        <v>10.975</v>
      </c>
      <c r="J111" s="48" t="n">
        <f aca="false">L111/4</f>
        <v>10.975</v>
      </c>
      <c r="K111" s="48" t="n">
        <f aca="false">L111/4</f>
        <v>10.975</v>
      </c>
      <c r="L111" s="159" t="n">
        <f aca="false">SUM(L108:L110)</f>
        <v>43.9</v>
      </c>
      <c r="M111" s="48" t="n">
        <f aca="false">Q111/4</f>
        <v>12.8</v>
      </c>
      <c r="N111" s="48" t="n">
        <f aca="false">Q111/4</f>
        <v>12.8</v>
      </c>
      <c r="O111" s="48" t="n">
        <f aca="false">Q111/4</f>
        <v>12.8</v>
      </c>
      <c r="P111" s="48" t="n">
        <f aca="false">Q111/4</f>
        <v>12.8</v>
      </c>
      <c r="Q111" s="159" t="n">
        <f aca="false">SUM(Q108:Q110)</f>
        <v>51.2</v>
      </c>
      <c r="R111" s="48" t="n">
        <f aca="false">V111/4</f>
        <v>15.875</v>
      </c>
      <c r="S111" s="48" t="n">
        <f aca="false">V111/4</f>
        <v>15.875</v>
      </c>
      <c r="T111" s="48" t="n">
        <f aca="false">V111/4</f>
        <v>15.875</v>
      </c>
      <c r="U111" s="48" t="n">
        <f aca="false">V111/4</f>
        <v>15.875</v>
      </c>
      <c r="V111" s="159" t="n">
        <f aca="false">SUM(V108:V110)</f>
        <v>63.5</v>
      </c>
      <c r="W111" s="48" t="n">
        <f aca="false">AA111/4</f>
        <v>26.375</v>
      </c>
      <c r="X111" s="48" t="n">
        <f aca="false">AA111/4</f>
        <v>26.375</v>
      </c>
      <c r="Y111" s="48" t="n">
        <f aca="false">AA111/4</f>
        <v>26.375</v>
      </c>
      <c r="Z111" s="48" t="n">
        <f aca="false">AA111/4</f>
        <v>26.375</v>
      </c>
      <c r="AA111" s="159" t="n">
        <f aca="false">SUM(AA108:AA110)</f>
        <v>105.5</v>
      </c>
      <c r="AB111" s="48" t="n">
        <f aca="false">AF111/4</f>
        <v>25.925</v>
      </c>
      <c r="AC111" s="48" t="n">
        <f aca="false">AF111/4</f>
        <v>25.925</v>
      </c>
      <c r="AD111" s="48" t="n">
        <f aca="false">AF111/4</f>
        <v>25.925</v>
      </c>
      <c r="AE111" s="48" t="n">
        <f aca="false">AF111/4</f>
        <v>25.925</v>
      </c>
      <c r="AF111" s="159" t="n">
        <f aca="false">SUM(AF108:AF110)</f>
        <v>103.7</v>
      </c>
      <c r="AG111" s="48" t="n">
        <f aca="false">AK111/4</f>
        <v>28.85</v>
      </c>
      <c r="AH111" s="48" t="n">
        <f aca="false">AK111/4</f>
        <v>28.85</v>
      </c>
      <c r="AI111" s="48" t="n">
        <f aca="false">AK111/4</f>
        <v>28.85</v>
      </c>
      <c r="AJ111" s="48" t="n">
        <f aca="false">AK111/4</f>
        <v>28.85</v>
      </c>
      <c r="AK111" s="159" t="n">
        <f aca="false">SUM(AK108:AK110)</f>
        <v>115.4</v>
      </c>
      <c r="AL111" s="48" t="n">
        <f aca="false">AP111/4</f>
        <v>30.875</v>
      </c>
      <c r="AM111" s="48" t="n">
        <f aca="false">AP111/4</f>
        <v>30.875</v>
      </c>
      <c r="AN111" s="48" t="n">
        <f aca="false">AP111/4</f>
        <v>30.875</v>
      </c>
      <c r="AO111" s="48" t="n">
        <f aca="false">AP111/4</f>
        <v>30.875</v>
      </c>
      <c r="AP111" s="159" t="n">
        <f aca="false">SUM(AP108:AP110)</f>
        <v>123.5</v>
      </c>
      <c r="AQ111" s="48" t="n">
        <f aca="false">AU111/4</f>
        <v>33.25</v>
      </c>
      <c r="AR111" s="48" t="n">
        <f aca="false">AU111/4</f>
        <v>33.25</v>
      </c>
      <c r="AS111" s="48" t="n">
        <f aca="false">AU111/4</f>
        <v>33.25</v>
      </c>
      <c r="AT111" s="48" t="n">
        <f aca="false">AU111/4</f>
        <v>33.25</v>
      </c>
      <c r="AU111" s="262" t="n">
        <f aca="false">SUM(AU108:AU110)</f>
        <v>133</v>
      </c>
      <c r="AV111" s="48" t="n">
        <f aca="false">AZ111/4</f>
        <v>33.775</v>
      </c>
      <c r="AW111" s="48" t="n">
        <f aca="false">AZ111/4</f>
        <v>33.775</v>
      </c>
      <c r="AX111" s="48" t="n">
        <f aca="false">AZ111/4</f>
        <v>33.775</v>
      </c>
      <c r="AY111" s="48" t="n">
        <f aca="false">AZ111/4</f>
        <v>33.775</v>
      </c>
      <c r="AZ111" s="262" t="n">
        <f aca="false">SUM(AZ108:AZ110)</f>
        <v>135.1</v>
      </c>
      <c r="BA111" s="48" t="n">
        <f aca="false">BE111/4</f>
        <v>31.9</v>
      </c>
      <c r="BB111" s="48" t="n">
        <f aca="false">BE111/4</f>
        <v>31.9</v>
      </c>
      <c r="BC111" s="48" t="n">
        <f aca="false">BE111/4</f>
        <v>31.9</v>
      </c>
      <c r="BD111" s="48" t="n">
        <f aca="false">BE111/4</f>
        <v>31.9</v>
      </c>
      <c r="BE111" s="262" t="n">
        <f aca="false">SUM(BE108:BE110)</f>
        <v>127.6</v>
      </c>
      <c r="BF111" s="48" t="n">
        <f aca="false">BJ111/4</f>
        <v>31.5</v>
      </c>
      <c r="BG111" s="48" t="n">
        <f aca="false">BJ111/4</f>
        <v>31.5</v>
      </c>
      <c r="BH111" s="48" t="n">
        <f aca="false">BJ111/4</f>
        <v>31.5</v>
      </c>
      <c r="BI111" s="48" t="n">
        <f aca="false">BJ111/4</f>
        <v>31.5</v>
      </c>
      <c r="BJ111" s="262" t="n">
        <f aca="false">SUM(BJ108:BJ110)</f>
        <v>126</v>
      </c>
      <c r="BK111" s="263" t="n">
        <v>30</v>
      </c>
      <c r="BL111" s="263" t="n">
        <v>30</v>
      </c>
      <c r="BM111" s="263" t="n">
        <v>30</v>
      </c>
      <c r="BN111" s="263" t="n">
        <v>30</v>
      </c>
      <c r="BO111" s="264" t="n">
        <f aca="false">SUM(BK111,BL111,BM111,BN111)</f>
        <v>120</v>
      </c>
      <c r="BP111" s="48" t="n">
        <f aca="false">-BP590</f>
        <v>19.976301369863</v>
      </c>
      <c r="BQ111" s="48" t="n">
        <f aca="false">-BQ590</f>
        <v>19.548995167949</v>
      </c>
      <c r="BR111" s="48" t="n">
        <f aca="false">-BR590</f>
        <v>19.1235750898033</v>
      </c>
      <c r="BS111" s="48" t="n">
        <f aca="false">-BS590</f>
        <v>18.4994152644902</v>
      </c>
      <c r="BT111" s="159" t="n">
        <f aca="false">BS111+BR111+BQ111+BP111</f>
        <v>77.1482868921054</v>
      </c>
      <c r="BU111" s="48" t="n">
        <f aca="false">-BU590</f>
        <v>17.5097482930317</v>
      </c>
      <c r="BV111" s="48" t="n">
        <f aca="false">-BV590</f>
        <v>17.1472782732134</v>
      </c>
      <c r="BW111" s="48" t="n">
        <f aca="false">-BW590</f>
        <v>16.7862703404788</v>
      </c>
      <c r="BX111" s="48" t="n">
        <f aca="false">-BX590</f>
        <v>16.2504798454141</v>
      </c>
      <c r="BY111" s="159" t="n">
        <f aca="false">BX111+BW111+BV111+BU111</f>
        <v>67.693776752138</v>
      </c>
      <c r="BZ111" s="159" t="n">
        <f aca="false">-BZ590</f>
        <v>62.4266904533635</v>
      </c>
      <c r="CA111" s="159" t="n">
        <f aca="false">-CA590</f>
        <v>54.862686885359</v>
      </c>
      <c r="CB111" s="159" t="n">
        <f aca="false">-CB590</f>
        <v>48.4332838525551</v>
      </c>
      <c r="CC111" s="50"/>
    </row>
    <row r="112" s="51" customFormat="true" ht="15" hidden="true" customHeight="true" outlineLevel="1" collapsed="false">
      <c r="A112" s="251" t="s">
        <v>229</v>
      </c>
      <c r="B112" s="257"/>
      <c r="C112" s="261" t="n">
        <f aca="false">C113-C107-C111</f>
        <v>1.73100000000001</v>
      </c>
      <c r="D112" s="261" t="n">
        <f aca="false">D113-D107-D111</f>
        <v>1.34399999999999</v>
      </c>
      <c r="E112" s="261" t="n">
        <f aca="false">E113-E107-E111</f>
        <v>1.885</v>
      </c>
      <c r="F112" s="261" t="n">
        <f aca="false">F113-F107-F111</f>
        <v>1.22000000000002</v>
      </c>
      <c r="G112" s="261" t="n">
        <f aca="false">G113-G107-G111</f>
        <v>4.07500000000001</v>
      </c>
      <c r="H112" s="259" t="n">
        <f aca="false">L112/4</f>
        <v>0.311000000000002</v>
      </c>
      <c r="I112" s="259" t="n">
        <f aca="false">L112/4</f>
        <v>0.311000000000002</v>
      </c>
      <c r="J112" s="259" t="n">
        <f aca="false">L112/4</f>
        <v>0.311000000000002</v>
      </c>
      <c r="K112" s="259" t="n">
        <f aca="false">L112/4</f>
        <v>0.311000000000002</v>
      </c>
      <c r="L112" s="261" t="n">
        <f aca="false">L113-L107-L111</f>
        <v>1.24400000000001</v>
      </c>
      <c r="M112" s="259" t="n">
        <f aca="false">Q112/4</f>
        <v>0.671000000000003</v>
      </c>
      <c r="N112" s="259" t="n">
        <f aca="false">Q112/4</f>
        <v>0.671000000000003</v>
      </c>
      <c r="O112" s="259" t="n">
        <f aca="false">Q112/4</f>
        <v>0.671000000000003</v>
      </c>
      <c r="P112" s="259" t="n">
        <f aca="false">Q112/4</f>
        <v>0.671000000000003</v>
      </c>
      <c r="Q112" s="261" t="n">
        <f aca="false">Q113-Q107-Q111</f>
        <v>2.68400000000001</v>
      </c>
      <c r="R112" s="259" t="n">
        <f aca="false">V112/4</f>
        <v>0.649999999999992</v>
      </c>
      <c r="S112" s="259" t="n">
        <f aca="false">V112/4</f>
        <v>0.649999999999992</v>
      </c>
      <c r="T112" s="259" t="n">
        <f aca="false">V112/4</f>
        <v>0.649999999999992</v>
      </c>
      <c r="U112" s="259" t="n">
        <f aca="false">V112/4</f>
        <v>0.649999999999992</v>
      </c>
      <c r="V112" s="261" t="n">
        <f aca="false">V113-V107-V111</f>
        <v>2.59999999999997</v>
      </c>
      <c r="W112" s="259" t="n">
        <f aca="false">AA112/4</f>
        <v>0.950000000000003</v>
      </c>
      <c r="X112" s="259" t="n">
        <f aca="false">AA112/4</f>
        <v>0.950000000000003</v>
      </c>
      <c r="Y112" s="259" t="n">
        <f aca="false">AA112/4</f>
        <v>0.950000000000003</v>
      </c>
      <c r="Z112" s="259" t="n">
        <f aca="false">AA112/4</f>
        <v>0.950000000000003</v>
      </c>
      <c r="AA112" s="261" t="n">
        <f aca="false">AA113-AA107-AA111</f>
        <v>3.80000000000001</v>
      </c>
      <c r="AB112" s="259" t="n">
        <f aca="false">AF112/4</f>
        <v>0.900000000000002</v>
      </c>
      <c r="AC112" s="259" t="n">
        <f aca="false">AF112/4</f>
        <v>0.900000000000002</v>
      </c>
      <c r="AD112" s="259" t="n">
        <f aca="false">AF112/4</f>
        <v>0.900000000000002</v>
      </c>
      <c r="AE112" s="259" t="n">
        <f aca="false">AF112/4</f>
        <v>0.900000000000002</v>
      </c>
      <c r="AF112" s="261" t="n">
        <f aca="false">AF113-AF107-AF111</f>
        <v>3.60000000000001</v>
      </c>
      <c r="AG112" s="259" t="n">
        <f aca="false">AK112/4</f>
        <v>1.95</v>
      </c>
      <c r="AH112" s="259" t="n">
        <f aca="false">AK112/4</f>
        <v>1.95</v>
      </c>
      <c r="AI112" s="259" t="n">
        <f aca="false">AK112/4</f>
        <v>1.95</v>
      </c>
      <c r="AJ112" s="259" t="n">
        <f aca="false">AK112/4</f>
        <v>1.95</v>
      </c>
      <c r="AK112" s="261" t="n">
        <f aca="false">AK113-AK107-AK111</f>
        <v>7.79999999999998</v>
      </c>
      <c r="AL112" s="259" t="n">
        <f aca="false">AP112/4</f>
        <v>3.90000000000001</v>
      </c>
      <c r="AM112" s="259" t="n">
        <f aca="false">AP112/4</f>
        <v>3.90000000000001</v>
      </c>
      <c r="AN112" s="259" t="n">
        <f aca="false">AP112/4</f>
        <v>3.90000000000001</v>
      </c>
      <c r="AO112" s="259" t="n">
        <f aca="false">AP112/4</f>
        <v>3.90000000000001</v>
      </c>
      <c r="AP112" s="261" t="n">
        <f aca="false">AP113-AP107-AP111</f>
        <v>15.6</v>
      </c>
      <c r="AQ112" s="259" t="n">
        <f aca="false">AU112/4</f>
        <v>4.09999999999999</v>
      </c>
      <c r="AR112" s="259" t="n">
        <f aca="false">AU112/4</f>
        <v>4.09999999999999</v>
      </c>
      <c r="AS112" s="259" t="n">
        <f aca="false">AU112/4</f>
        <v>4.09999999999999</v>
      </c>
      <c r="AT112" s="259" t="n">
        <f aca="false">AU112/4</f>
        <v>4.09999999999999</v>
      </c>
      <c r="AU112" s="261" t="n">
        <f aca="false">AU113-AU107-AU111</f>
        <v>16.4</v>
      </c>
      <c r="AV112" s="259" t="n">
        <f aca="false">AZ112/4</f>
        <v>0.82500000000001</v>
      </c>
      <c r="AW112" s="259" t="n">
        <f aca="false">AZ112/4</f>
        <v>0.82500000000001</v>
      </c>
      <c r="AX112" s="259" t="n">
        <f aca="false">AZ112/4</f>
        <v>0.82500000000001</v>
      </c>
      <c r="AY112" s="259" t="n">
        <f aca="false">AZ112/4</f>
        <v>0.82500000000001</v>
      </c>
      <c r="AZ112" s="261" t="n">
        <f aca="false">AZ113-AZ107-AZ111</f>
        <v>3.30000000000004</v>
      </c>
      <c r="BA112" s="259" t="n">
        <f aca="false">BE112/4</f>
        <v>1.65000000000001</v>
      </c>
      <c r="BB112" s="259" t="n">
        <f aca="false">BE112/4</f>
        <v>1.65000000000001</v>
      </c>
      <c r="BC112" s="259" t="n">
        <f aca="false">BE112/4</f>
        <v>1.65000000000001</v>
      </c>
      <c r="BD112" s="259" t="n">
        <f aca="false">BE112/4</f>
        <v>1.65000000000001</v>
      </c>
      <c r="BE112" s="261" t="n">
        <f aca="false">BE113-BE107-BE111</f>
        <v>6.60000000000004</v>
      </c>
      <c r="BF112" s="259" t="n">
        <f aca="false">BJ112/4</f>
        <v>1.32500000000002</v>
      </c>
      <c r="BG112" s="259" t="n">
        <f aca="false">BJ112/4</f>
        <v>1.32500000000002</v>
      </c>
      <c r="BH112" s="259" t="n">
        <f aca="false">BJ112/4</f>
        <v>1.32500000000002</v>
      </c>
      <c r="BI112" s="259" t="n">
        <f aca="false">BJ112/4</f>
        <v>1.32500000000002</v>
      </c>
      <c r="BJ112" s="261" t="n">
        <f aca="false">BJ113-BJ107-BJ111</f>
        <v>5.30000000000007</v>
      </c>
      <c r="BK112" s="265" t="n">
        <v>1.5</v>
      </c>
      <c r="BL112" s="265" t="n">
        <v>1.5</v>
      </c>
      <c r="BM112" s="265" t="n">
        <v>1.5</v>
      </c>
      <c r="BN112" s="265" t="n">
        <v>1.5</v>
      </c>
      <c r="BO112" s="260" t="n">
        <f aca="false">BO113-BO107-BO111</f>
        <v>6</v>
      </c>
      <c r="BP112" s="265" t="n">
        <v>1.5</v>
      </c>
      <c r="BQ112" s="265" t="n">
        <v>1.5</v>
      </c>
      <c r="BR112" s="265" t="n">
        <v>1.5</v>
      </c>
      <c r="BS112" s="265" t="n">
        <v>1.5</v>
      </c>
      <c r="BT112" s="261" t="n">
        <f aca="false">BS112+BR112+BQ112+BP112</f>
        <v>6</v>
      </c>
      <c r="BU112" s="265" t="n">
        <v>1.5</v>
      </c>
      <c r="BV112" s="265" t="n">
        <v>1.5</v>
      </c>
      <c r="BW112" s="265" t="n">
        <v>1.5</v>
      </c>
      <c r="BX112" s="265" t="n">
        <v>1.5</v>
      </c>
      <c r="BY112" s="261" t="n">
        <f aca="false">BX112+BW112+BV112+BU112</f>
        <v>6</v>
      </c>
      <c r="BZ112" s="258" t="n">
        <v>6</v>
      </c>
      <c r="CA112" s="258" t="n">
        <v>6</v>
      </c>
      <c r="CB112" s="258" t="n">
        <v>6</v>
      </c>
      <c r="CC112" s="50"/>
    </row>
    <row r="113" s="157" customFormat="true" ht="15" hidden="true" customHeight="true" outlineLevel="1" collapsed="false">
      <c r="A113" s="221" t="s">
        <v>230</v>
      </c>
      <c r="B113" s="266"/>
      <c r="C113" s="267" t="n">
        <f aca="false">C527</f>
        <v>141.631</v>
      </c>
      <c r="D113" s="267" t="n">
        <f aca="false">D527</f>
        <v>151.444</v>
      </c>
      <c r="E113" s="267" t="n">
        <f aca="false">E527</f>
        <v>165.185</v>
      </c>
      <c r="F113" s="267" t="n">
        <f aca="false">F527</f>
        <v>186.62</v>
      </c>
      <c r="G113" s="267" t="n">
        <f aca="false">G527</f>
        <v>228.775</v>
      </c>
      <c r="H113" s="268" t="n">
        <f aca="false">H527</f>
        <v>64.7</v>
      </c>
      <c r="I113" s="268" t="n">
        <f aca="false">I527</f>
        <v>67</v>
      </c>
      <c r="J113" s="268" t="n">
        <f aca="false">J527</f>
        <v>60.4</v>
      </c>
      <c r="K113" s="268" t="n">
        <f aca="false">K527</f>
        <v>62.544</v>
      </c>
      <c r="L113" s="267" t="n">
        <f aca="false">L527</f>
        <v>254.644</v>
      </c>
      <c r="M113" s="268" t="n">
        <f aca="false">M527</f>
        <v>66.1</v>
      </c>
      <c r="N113" s="268" t="n">
        <f aca="false">N527</f>
        <v>72.8</v>
      </c>
      <c r="O113" s="268" t="n">
        <f aca="false">O527</f>
        <v>77.5</v>
      </c>
      <c r="P113" s="268" t="n">
        <f aca="false">P527</f>
        <v>80.484</v>
      </c>
      <c r="Q113" s="267" t="n">
        <f aca="false">Q527</f>
        <v>296.884</v>
      </c>
      <c r="R113" s="268" t="n">
        <f aca="false">R527</f>
        <v>82</v>
      </c>
      <c r="S113" s="268" t="n">
        <f aca="false">S527</f>
        <v>84.1</v>
      </c>
      <c r="T113" s="268" t="n">
        <f aca="false">T527</f>
        <v>87.7</v>
      </c>
      <c r="U113" s="268" t="n">
        <f aca="false">U527</f>
        <v>103.1</v>
      </c>
      <c r="V113" s="267" t="n">
        <f aca="false">V527</f>
        <v>356.9</v>
      </c>
      <c r="W113" s="268" t="n">
        <f aca="false">W527</f>
        <v>110.1</v>
      </c>
      <c r="X113" s="268" t="n">
        <f aca="false">X527</f>
        <v>103.9</v>
      </c>
      <c r="Y113" s="268" t="n">
        <f aca="false">Y527</f>
        <v>101.2</v>
      </c>
      <c r="Z113" s="268" t="n">
        <f aca="false">Z527</f>
        <v>102.3</v>
      </c>
      <c r="AA113" s="267" t="n">
        <f aca="false">AA527</f>
        <v>417.5</v>
      </c>
      <c r="AB113" s="268" t="n">
        <f aca="false">AB527</f>
        <v>102.6</v>
      </c>
      <c r="AC113" s="268" t="n">
        <f aca="false">AC527</f>
        <v>99.7</v>
      </c>
      <c r="AD113" s="268" t="n">
        <f aca="false">AD527</f>
        <v>110</v>
      </c>
      <c r="AE113" s="268" t="n">
        <f aca="false">AE527</f>
        <v>110.4</v>
      </c>
      <c r="AF113" s="267" t="n">
        <f aca="false">AF527</f>
        <v>422.7</v>
      </c>
      <c r="AG113" s="268" t="n">
        <f aca="false">AG527</f>
        <v>104.8</v>
      </c>
      <c r="AH113" s="268" t="n">
        <f aca="false">AH527</f>
        <v>108.4</v>
      </c>
      <c r="AI113" s="268" t="n">
        <f aca="false">AI527</f>
        <v>112.4</v>
      </c>
      <c r="AJ113" s="268" t="n">
        <f aca="false">AJ527</f>
        <v>122.9</v>
      </c>
      <c r="AK113" s="267" t="n">
        <f aca="false">AK527</f>
        <v>448.5</v>
      </c>
      <c r="AL113" s="268" t="n">
        <f aca="false">AL527</f>
        <v>118.3</v>
      </c>
      <c r="AM113" s="268" t="n">
        <f aca="false">AM527</f>
        <v>125.1</v>
      </c>
      <c r="AN113" s="268" t="n">
        <f aca="false">AN527</f>
        <v>122</v>
      </c>
      <c r="AO113" s="268" t="n">
        <f aca="false">AO527</f>
        <v>125.4</v>
      </c>
      <c r="AP113" s="267" t="n">
        <f aca="false">AP527</f>
        <v>490.8</v>
      </c>
      <c r="AQ113" s="268" t="n">
        <f aca="false">AQ527</f>
        <v>117.9</v>
      </c>
      <c r="AR113" s="268" t="n">
        <f aca="false">AR527</f>
        <v>112.7</v>
      </c>
      <c r="AS113" s="268" t="n">
        <f aca="false">AS527</f>
        <v>116.2</v>
      </c>
      <c r="AT113" s="268" t="n">
        <f aca="false">AT527</f>
        <v>124.2</v>
      </c>
      <c r="AU113" s="267" t="n">
        <f aca="false">AU527</f>
        <v>471</v>
      </c>
      <c r="AV113" s="268" t="n">
        <f aca="false">AV527</f>
        <v>131</v>
      </c>
      <c r="AW113" s="268" t="n">
        <f aca="false">AW527</f>
        <v>131.5</v>
      </c>
      <c r="AX113" s="268" t="n">
        <f aca="false">AX527</f>
        <v>137.9</v>
      </c>
      <c r="AY113" s="268" t="n">
        <f aca="false">AY527</f>
        <v>183.2</v>
      </c>
      <c r="AZ113" s="267" t="n">
        <f aca="false">AZ527</f>
        <v>583.6</v>
      </c>
      <c r="BA113" s="268" t="n">
        <f aca="false">BA527</f>
        <v>170.3</v>
      </c>
      <c r="BB113" s="268" t="n">
        <f aca="false">BB527</f>
        <v>181.2</v>
      </c>
      <c r="BC113" s="268" t="n">
        <f aca="false">BC527</f>
        <v>176.2</v>
      </c>
      <c r="BD113" s="268" t="n">
        <f aca="false">BD527</f>
        <v>212.1</v>
      </c>
      <c r="BE113" s="267" t="n">
        <f aca="false">BE527</f>
        <v>739.8</v>
      </c>
      <c r="BF113" s="268" t="n">
        <f aca="false">BF527</f>
        <v>214.4</v>
      </c>
      <c r="BG113" s="268" t="n">
        <f aca="false">BG527</f>
        <v>227.5</v>
      </c>
      <c r="BH113" s="268" t="n">
        <f aca="false">BH527</f>
        <v>235.7</v>
      </c>
      <c r="BI113" s="268" t="n">
        <f aca="false">BI527</f>
        <v>241</v>
      </c>
      <c r="BJ113" s="267" t="n">
        <f aca="false">BJ527</f>
        <v>918.6</v>
      </c>
      <c r="BK113" s="268" t="n">
        <f aca="false">BK527</f>
        <v>241.3</v>
      </c>
      <c r="BL113" s="268" t="n">
        <f aca="false">BL527</f>
        <v>254.9</v>
      </c>
      <c r="BM113" s="268" t="n">
        <f aca="false">BM527</f>
        <v>274.6</v>
      </c>
      <c r="BN113" s="268" t="n">
        <f aca="false">BN527</f>
        <v>255.1</v>
      </c>
      <c r="BO113" s="269" t="n">
        <f aca="false">BO527</f>
        <v>1025.9</v>
      </c>
      <c r="BP113" s="268" t="n">
        <f aca="false">BP112+BP111+BP107</f>
        <v>293.974602739726</v>
      </c>
      <c r="BQ113" s="268" t="n">
        <f aca="false">BQ112+BQ111+BQ107</f>
        <v>291.483826785889</v>
      </c>
      <c r="BR113" s="268" t="n">
        <f aca="false">BR112+BR111+BR107</f>
        <v>288.955856862727</v>
      </c>
      <c r="BS113" s="268" t="n">
        <f aca="false">BS112+BS111+BS107</f>
        <v>283.331529943619</v>
      </c>
      <c r="BT113" s="267" t="n">
        <f aca="false">BT112+BT111+BT107</f>
        <v>1157.74581633196</v>
      </c>
      <c r="BU113" s="268" t="n">
        <f aca="false">BU112+BU111+BU107</f>
        <v>271.898392482231</v>
      </c>
      <c r="BV113" s="268" t="n">
        <f aca="false">BV112+BV111+BV107</f>
        <v>269.939025253942</v>
      </c>
      <c r="BW113" s="268" t="n">
        <f aca="false">BW112+BW111+BW107</f>
        <v>267.94061878581</v>
      </c>
      <c r="BX113" s="268" t="n">
        <f aca="false">BX112+BX111+BX107</f>
        <v>263.063761967524</v>
      </c>
      <c r="BY113" s="267" t="n">
        <f aca="false">BY112+BY111+BY107</f>
        <v>1072.84179848951</v>
      </c>
      <c r="BZ113" s="267" t="n">
        <f aca="false">BZ112+BZ111+BZ107</f>
        <v>1025.06551328855</v>
      </c>
      <c r="CA113" s="267" t="n">
        <f aca="false">CA112+CA111+CA107</f>
        <v>965.052074523622</v>
      </c>
      <c r="CB113" s="267" t="n">
        <f aca="false">CB112+CB111+CB107</f>
        <v>913.516157221461</v>
      </c>
      <c r="CC113" s="156"/>
    </row>
    <row r="114" s="84" customFormat="true" ht="15" hidden="false" customHeight="true" outlineLevel="0" collapsed="false">
      <c r="A114" s="140"/>
      <c r="B114" s="141"/>
      <c r="C114" s="142"/>
      <c r="D114" s="142"/>
      <c r="E114" s="142"/>
      <c r="F114" s="142"/>
      <c r="G114" s="142"/>
      <c r="H114" s="143"/>
      <c r="I114" s="143"/>
      <c r="J114" s="143"/>
      <c r="K114" s="143"/>
      <c r="L114" s="142"/>
      <c r="M114" s="143"/>
      <c r="N114" s="143"/>
      <c r="O114" s="143"/>
      <c r="P114" s="143"/>
      <c r="Q114" s="142"/>
      <c r="R114" s="143"/>
      <c r="S114" s="143"/>
      <c r="T114" s="143"/>
      <c r="U114" s="143"/>
      <c r="V114" s="142"/>
      <c r="W114" s="143"/>
      <c r="X114" s="143"/>
      <c r="Y114" s="143"/>
      <c r="Z114" s="143"/>
      <c r="AA114" s="142"/>
      <c r="AB114" s="143"/>
      <c r="AC114" s="143"/>
      <c r="AD114" s="143"/>
      <c r="AE114" s="143"/>
      <c r="AF114" s="142"/>
      <c r="AG114" s="143"/>
      <c r="AH114" s="143"/>
      <c r="AI114" s="143"/>
      <c r="AJ114" s="143"/>
      <c r="AK114" s="142"/>
      <c r="AL114" s="143"/>
      <c r="AM114" s="143"/>
      <c r="AN114" s="143"/>
      <c r="AO114" s="143"/>
      <c r="AP114" s="142"/>
      <c r="AQ114" s="143"/>
      <c r="AR114" s="143"/>
      <c r="AS114" s="143"/>
      <c r="AT114" s="143"/>
      <c r="AU114" s="142"/>
      <c r="AV114" s="143"/>
      <c r="AW114" s="143"/>
      <c r="AX114" s="143"/>
      <c r="AY114" s="143"/>
      <c r="AZ114" s="142"/>
      <c r="BA114" s="143"/>
      <c r="BB114" s="143"/>
      <c r="BC114" s="143"/>
      <c r="BD114" s="143"/>
      <c r="BE114" s="142"/>
      <c r="BF114" s="143"/>
      <c r="BG114" s="143"/>
      <c r="BH114" s="143"/>
      <c r="BI114" s="143"/>
      <c r="BJ114" s="142"/>
      <c r="BK114" s="143"/>
      <c r="BL114" s="143"/>
      <c r="BM114" s="143"/>
      <c r="BN114" s="143"/>
      <c r="BO114" s="144"/>
      <c r="BP114" s="143"/>
      <c r="BQ114" s="143"/>
      <c r="BR114" s="143"/>
      <c r="BS114" s="143"/>
      <c r="BT114" s="142"/>
      <c r="BU114" s="143"/>
      <c r="BV114" s="143"/>
      <c r="BW114" s="143"/>
      <c r="BX114" s="143"/>
      <c r="BY114" s="142"/>
      <c r="BZ114" s="142"/>
      <c r="CA114" s="142"/>
      <c r="CB114" s="142"/>
      <c r="CC114" s="83"/>
    </row>
    <row r="115" s="157" customFormat="true" ht="15" hidden="false" customHeight="true" outlineLevel="0" collapsed="false">
      <c r="A115" s="219" t="s">
        <v>231</v>
      </c>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c r="AA115" s="219"/>
      <c r="AB115" s="219"/>
      <c r="AC115" s="219"/>
      <c r="AD115" s="219"/>
      <c r="AE115" s="219"/>
      <c r="AF115" s="219"/>
      <c r="AG115" s="219"/>
      <c r="AH115" s="219"/>
      <c r="AI115" s="219"/>
      <c r="AJ115" s="219"/>
      <c r="AK115" s="219"/>
      <c r="AL115" s="219"/>
      <c r="AM115" s="219"/>
      <c r="AN115" s="219"/>
      <c r="AO115" s="219"/>
      <c r="AP115" s="219"/>
      <c r="AQ115" s="219"/>
      <c r="AR115" s="219"/>
      <c r="AS115" s="219"/>
      <c r="AT115" s="219"/>
      <c r="AU115" s="219"/>
      <c r="AV115" s="219"/>
      <c r="AW115" s="219"/>
      <c r="AX115" s="219"/>
      <c r="AY115" s="219"/>
      <c r="AZ115" s="219"/>
      <c r="BA115" s="219"/>
      <c r="BB115" s="219"/>
      <c r="BC115" s="219"/>
      <c r="BD115" s="219"/>
      <c r="BE115" s="219"/>
      <c r="BF115" s="219"/>
      <c r="BG115" s="219"/>
      <c r="BH115" s="219"/>
      <c r="BI115" s="219"/>
      <c r="BJ115" s="219"/>
      <c r="BK115" s="219"/>
      <c r="BL115" s="219"/>
      <c r="BM115" s="219"/>
      <c r="BN115" s="219"/>
      <c r="BO115" s="220"/>
      <c r="BP115" s="219"/>
      <c r="BQ115" s="219"/>
      <c r="BR115" s="219"/>
      <c r="BS115" s="219"/>
      <c r="BT115" s="219"/>
      <c r="BU115" s="219"/>
      <c r="BV115" s="219"/>
      <c r="BW115" s="219"/>
      <c r="BX115" s="219"/>
      <c r="BY115" s="219"/>
      <c r="BZ115" s="219"/>
      <c r="CA115" s="219"/>
      <c r="CB115" s="219"/>
      <c r="CC115" s="156"/>
    </row>
    <row r="116" s="157" customFormat="true" ht="15" hidden="true" customHeight="true" outlineLevel="1" collapsed="false">
      <c r="A116" s="219" t="s">
        <v>232</v>
      </c>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c r="AA116" s="219"/>
      <c r="AB116" s="219"/>
      <c r="AC116" s="219"/>
      <c r="AD116" s="219"/>
      <c r="AE116" s="219"/>
      <c r="AF116" s="219"/>
      <c r="AG116" s="219"/>
      <c r="AH116" s="219"/>
      <c r="AI116" s="219"/>
      <c r="AJ116" s="219"/>
      <c r="AK116" s="219"/>
      <c r="AL116" s="219"/>
      <c r="AM116" s="219"/>
      <c r="AN116" s="219"/>
      <c r="AO116" s="219"/>
      <c r="AP116" s="219"/>
      <c r="AQ116" s="219"/>
      <c r="AR116" s="219"/>
      <c r="AS116" s="219"/>
      <c r="AT116" s="219"/>
      <c r="AU116" s="219"/>
      <c r="AV116" s="219"/>
      <c r="AW116" s="219"/>
      <c r="AX116" s="219"/>
      <c r="AY116" s="219"/>
      <c r="AZ116" s="219"/>
      <c r="BA116" s="219"/>
      <c r="BB116" s="219"/>
      <c r="BC116" s="219"/>
      <c r="BD116" s="219"/>
      <c r="BE116" s="219"/>
      <c r="BF116" s="219"/>
      <c r="BG116" s="219"/>
      <c r="BH116" s="219"/>
      <c r="BI116" s="219"/>
      <c r="BJ116" s="219"/>
      <c r="BK116" s="219"/>
      <c r="BL116" s="219"/>
      <c r="BM116" s="219"/>
      <c r="BN116" s="219"/>
      <c r="BO116" s="220"/>
      <c r="BP116" s="219"/>
      <c r="BQ116" s="219"/>
      <c r="BR116" s="219"/>
      <c r="BS116" s="219"/>
      <c r="BT116" s="219"/>
      <c r="BU116" s="219"/>
      <c r="BV116" s="219"/>
      <c r="BW116" s="219"/>
      <c r="BX116" s="219"/>
      <c r="BY116" s="219"/>
      <c r="BZ116" s="219"/>
      <c r="CA116" s="219"/>
      <c r="CB116" s="219"/>
      <c r="CC116" s="156"/>
    </row>
    <row r="117" s="51" customFormat="true" ht="15" hidden="true" customHeight="true" outlineLevel="2" collapsed="false">
      <c r="A117" s="270" t="s">
        <v>233</v>
      </c>
      <c r="B117" s="146"/>
      <c r="C117" s="147"/>
      <c r="D117" s="147"/>
      <c r="E117" s="147"/>
      <c r="F117" s="147"/>
      <c r="G117" s="147"/>
      <c r="H117" s="149"/>
      <c r="I117" s="149"/>
      <c r="J117" s="149"/>
      <c r="K117" s="149"/>
      <c r="L117" s="147"/>
      <c r="M117" s="149"/>
      <c r="N117" s="149"/>
      <c r="O117" s="149"/>
      <c r="P117" s="149"/>
      <c r="Q117" s="147"/>
      <c r="R117" s="149"/>
      <c r="S117" s="149"/>
      <c r="T117" s="149"/>
      <c r="U117" s="149"/>
      <c r="V117" s="147"/>
      <c r="W117" s="149"/>
      <c r="X117" s="149"/>
      <c r="Y117" s="149"/>
      <c r="Z117" s="149"/>
      <c r="AA117" s="147"/>
      <c r="AB117" s="149" t="n">
        <f aca="false">AB121*AB$119</f>
        <v>433.602</v>
      </c>
      <c r="AC117" s="149" t="n">
        <f aca="false">AC121*AC$119</f>
        <v>1001.52</v>
      </c>
      <c r="AD117" s="149" t="n">
        <f aca="false">AD121*AD$119</f>
        <v>873.852</v>
      </c>
      <c r="AE117" s="149" t="n">
        <f aca="false">AE121*AE$119</f>
        <v>1454.58</v>
      </c>
      <c r="AF117" s="148" t="n">
        <v>3713.7</v>
      </c>
      <c r="AG117" s="149" t="n">
        <f aca="false">AG121*AG$119</f>
        <v>1013.4</v>
      </c>
      <c r="AH117" s="149" t="n">
        <f aca="false">AH121*AH$119</f>
        <v>1128.988</v>
      </c>
      <c r="AI117" s="149" t="n">
        <f aca="false">AI121*AI$119</f>
        <v>1837.224</v>
      </c>
      <c r="AJ117" s="149" t="n">
        <f aca="false">AJ121*AJ$119</f>
        <v>2598.564</v>
      </c>
      <c r="AK117" s="148" t="n">
        <v>6565.3</v>
      </c>
      <c r="AL117" s="149" t="n">
        <f aca="false">AL121*AL$119</f>
        <v>1156.32</v>
      </c>
      <c r="AM117" s="149" t="n">
        <f aca="false">AM121*AM$119</f>
        <v>1511.932</v>
      </c>
      <c r="AN117" s="149" t="n">
        <f aca="false">AN121*AN$119</f>
        <v>2445.524</v>
      </c>
      <c r="AO117" s="149" t="n">
        <f aca="false">AO121*AO$119</f>
        <v>2302.848</v>
      </c>
      <c r="AP117" s="148" t="n">
        <v>7393</v>
      </c>
      <c r="AQ117" s="149" t="n">
        <f aca="false">AQ121*AQ$119</f>
        <v>2440.464</v>
      </c>
      <c r="AR117" s="149" t="n">
        <f aca="false">AR121*AR$119</f>
        <v>2123.712</v>
      </c>
      <c r="AS117" s="149" t="n">
        <f aca="false">AS121*AS$119</f>
        <v>2507.771</v>
      </c>
      <c r="AT117" s="149" t="n">
        <f aca="false">AT121*AT$119</f>
        <v>2528.209</v>
      </c>
      <c r="AU117" s="148" t="n">
        <v>9588.5</v>
      </c>
      <c r="AV117" s="149" t="n">
        <f aca="false">AV121*AV$119</f>
        <v>1143.6</v>
      </c>
      <c r="AW117" s="149" t="n">
        <f aca="false">AW121*AW$119</f>
        <v>2939.755</v>
      </c>
      <c r="AX117" s="149" t="n">
        <f aca="false">AX121*AX$119</f>
        <v>2893.196</v>
      </c>
      <c r="AY117" s="149" t="n">
        <f aca="false">AY121*AY$119</f>
        <v>3038.656</v>
      </c>
      <c r="AZ117" s="148" t="n">
        <v>9977.6</v>
      </c>
      <c r="BA117" s="149" t="n">
        <f aca="false">BA121*BA$119</f>
        <v>3739.26</v>
      </c>
      <c r="BB117" s="149" t="n">
        <f aca="false">BB121*BB$119</f>
        <v>4709.124</v>
      </c>
      <c r="BC117" s="149" t="n">
        <f aca="false">BC121*BC$119</f>
        <v>4034.232</v>
      </c>
      <c r="BD117" s="149" t="n">
        <f aca="false">BD121*BD$119</f>
        <v>3579.975</v>
      </c>
      <c r="BE117" s="148" t="n">
        <v>15984.7</v>
      </c>
      <c r="BF117" s="149" t="n">
        <f aca="false">BF121*BF$119</f>
        <v>2498.517</v>
      </c>
      <c r="BG117" s="149" t="n">
        <f aca="false">BG121*BG$119</f>
        <v>2570.886</v>
      </c>
      <c r="BH117" s="149" t="n">
        <f aca="false">BH121*BH$119</f>
        <v>3792.64</v>
      </c>
      <c r="BI117" s="149" t="n">
        <f aca="false">BI121*BI$119</f>
        <v>4340.699</v>
      </c>
      <c r="BJ117" s="148" t="n">
        <v>13195.1</v>
      </c>
      <c r="BK117" s="149" t="n">
        <f aca="false">BK121*BK$119</f>
        <v>3329.432</v>
      </c>
      <c r="BL117" s="149" t="n">
        <f aca="false">BL121*BL$119</f>
        <v>3861.309</v>
      </c>
      <c r="BM117" s="149" t="n">
        <f aca="false">BM121*BM$119</f>
        <v>3609.97</v>
      </c>
      <c r="BN117" s="149" t="n">
        <f aca="false">BN121*BN$119</f>
        <v>5308.8</v>
      </c>
      <c r="BO117" s="271" t="n">
        <f aca="false">SUM(BK117,BL117,BM117,BN117)</f>
        <v>16109.511</v>
      </c>
      <c r="BP117" s="149"/>
      <c r="BQ117" s="149"/>
      <c r="BR117" s="149"/>
      <c r="BS117" s="149"/>
      <c r="BT117" s="147"/>
      <c r="BU117" s="149"/>
      <c r="BV117" s="149"/>
      <c r="BW117" s="149"/>
      <c r="BX117" s="149"/>
      <c r="BY117" s="147"/>
      <c r="BZ117" s="147"/>
      <c r="CA117" s="147"/>
      <c r="CB117" s="147"/>
      <c r="CC117" s="50"/>
    </row>
    <row r="118" s="51" customFormat="true" ht="15" hidden="true" customHeight="true" outlineLevel="2" collapsed="false">
      <c r="A118" s="270" t="s">
        <v>234</v>
      </c>
      <c r="B118" s="146"/>
      <c r="C118" s="147"/>
      <c r="D118" s="147"/>
      <c r="E118" s="147"/>
      <c r="F118" s="147"/>
      <c r="G118" s="147"/>
      <c r="H118" s="149"/>
      <c r="I118" s="149"/>
      <c r="J118" s="149"/>
      <c r="K118" s="149"/>
      <c r="L118" s="147"/>
      <c r="M118" s="149"/>
      <c r="N118" s="149"/>
      <c r="O118" s="149"/>
      <c r="P118" s="149"/>
      <c r="Q118" s="147"/>
      <c r="R118" s="149"/>
      <c r="S118" s="149"/>
      <c r="T118" s="149"/>
      <c r="U118" s="149"/>
      <c r="V118" s="147"/>
      <c r="W118" s="149"/>
      <c r="X118" s="149"/>
      <c r="Y118" s="149"/>
      <c r="Z118" s="149"/>
      <c r="AA118" s="147"/>
      <c r="AB118" s="149" t="n">
        <f aca="false">AB122*AB$119</f>
        <v>1234.098</v>
      </c>
      <c r="AC118" s="149" t="n">
        <f aca="false">AC122*AC$119</f>
        <v>1126.71</v>
      </c>
      <c r="AD118" s="149" t="n">
        <f aca="false">AD122*AD$119</f>
        <v>1206.748</v>
      </c>
      <c r="AE118" s="149" t="n">
        <f aca="false">AE122*AE$119</f>
        <v>969.72</v>
      </c>
      <c r="AF118" s="148" t="n">
        <v>4545.4</v>
      </c>
      <c r="AG118" s="149" t="n">
        <f aca="false">AG122*AG$119</f>
        <v>675.6</v>
      </c>
      <c r="AH118" s="149" t="n">
        <f aca="false">AH122*AH$119</f>
        <v>721.812</v>
      </c>
      <c r="AI118" s="149" t="n">
        <f aca="false">AI122*AI$119</f>
        <v>488.376</v>
      </c>
      <c r="AJ118" s="149" t="n">
        <f aca="false">AJ122*AJ$119</f>
        <v>532.236</v>
      </c>
      <c r="AK118" s="148" t="n">
        <v>2430.9</v>
      </c>
      <c r="AL118" s="149" t="n">
        <f aca="false">AL122*AL$119</f>
        <v>427.68</v>
      </c>
      <c r="AM118" s="149" t="n">
        <f aca="false">AM122*AM$119</f>
        <v>926.668</v>
      </c>
      <c r="AN118" s="149" t="n">
        <f aca="false">AN122*AN$119</f>
        <v>650.076</v>
      </c>
      <c r="AO118" s="149" t="n">
        <f aca="false">AO122*AO$119</f>
        <v>895.552</v>
      </c>
      <c r="AP118" s="148" t="n">
        <v>2923.6</v>
      </c>
      <c r="AQ118" s="149" t="n">
        <f aca="false">AQ122*AQ$119</f>
        <v>688.336</v>
      </c>
      <c r="AR118" s="149" t="n">
        <f aca="false">AR122*AR$119</f>
        <v>825.888</v>
      </c>
      <c r="AS118" s="149" t="n">
        <f aca="false">AS122*AS$119</f>
        <v>1603.329</v>
      </c>
      <c r="AT118" s="149" t="n">
        <f aca="false">AT122*AT$119</f>
        <v>935.091</v>
      </c>
      <c r="AU118" s="148" t="n">
        <v>4064.3</v>
      </c>
      <c r="AV118" s="149" t="n">
        <f aca="false">AV122*AV$119</f>
        <v>1143.6</v>
      </c>
      <c r="AW118" s="149" t="n">
        <f aca="false">AW122*AW$119</f>
        <v>1200.745</v>
      </c>
      <c r="AX118" s="149" t="n">
        <f aca="false">AX122*AX$119</f>
        <v>1361.504</v>
      </c>
      <c r="AY118" s="149" t="n">
        <f aca="false">AY122*AY$119</f>
        <v>1709.244</v>
      </c>
      <c r="AZ118" s="148" t="n">
        <v>5452.7</v>
      </c>
      <c r="BA118" s="149" t="n">
        <f aca="false">BA122*BA$119</f>
        <v>1602.54</v>
      </c>
      <c r="BB118" s="149" t="n">
        <f aca="false">BB122*BB$119</f>
        <v>896.976</v>
      </c>
      <c r="BC118" s="149" t="n">
        <f aca="false">BC122*BC$119</f>
        <v>1273.968</v>
      </c>
      <c r="BD118" s="149" t="n">
        <f aca="false">BD122*BD$119</f>
        <v>2102.525</v>
      </c>
      <c r="BE118" s="148" t="n">
        <v>5953.9</v>
      </c>
      <c r="BF118" s="149" t="n">
        <f aca="false">BF122*BF$119</f>
        <v>1467.383</v>
      </c>
      <c r="BG118" s="149" t="n">
        <f aca="false">BG122*BG$119</f>
        <v>2190.014</v>
      </c>
      <c r="BH118" s="149" t="n">
        <f aca="false">BH122*BH$119</f>
        <v>2133.36</v>
      </c>
      <c r="BI118" s="149" t="n">
        <f aca="false">BI122*BI$119</f>
        <v>2775.201</v>
      </c>
      <c r="BJ118" s="148" t="n">
        <v>8573.6</v>
      </c>
      <c r="BK118" s="149" t="n">
        <f aca="false">BK122*BK$119</f>
        <v>2410.968</v>
      </c>
      <c r="BL118" s="149" t="n">
        <f aca="false">BL122*BL$119</f>
        <v>1734.791</v>
      </c>
      <c r="BM118" s="149" t="n">
        <f aca="false">BM122*BM$119</f>
        <v>1943.83</v>
      </c>
      <c r="BN118" s="149" t="n">
        <f aca="false">BN122*BN$119</f>
        <v>2275.2</v>
      </c>
      <c r="BO118" s="271" t="n">
        <f aca="false">SUM(BK118,BL118,BM118,BN118)</f>
        <v>8364.789</v>
      </c>
      <c r="BP118" s="149"/>
      <c r="BQ118" s="149"/>
      <c r="BR118" s="149"/>
      <c r="BS118" s="149"/>
      <c r="BT118" s="147"/>
      <c r="BU118" s="149"/>
      <c r="BV118" s="149"/>
      <c r="BW118" s="149"/>
      <c r="BX118" s="149"/>
      <c r="BY118" s="147"/>
      <c r="BZ118" s="147"/>
      <c r="CA118" s="147"/>
      <c r="CB118" s="147"/>
      <c r="CC118" s="50"/>
    </row>
    <row r="119" s="157" customFormat="true" ht="15" hidden="true" customHeight="true" outlineLevel="2" collapsed="false">
      <c r="A119" s="244" t="s">
        <v>235</v>
      </c>
      <c r="B119" s="152"/>
      <c r="C119" s="153"/>
      <c r="D119" s="153"/>
      <c r="E119" s="153"/>
      <c r="F119" s="153"/>
      <c r="G119" s="153"/>
      <c r="H119" s="154"/>
      <c r="I119" s="154"/>
      <c r="J119" s="154"/>
      <c r="K119" s="154"/>
      <c r="L119" s="153"/>
      <c r="M119" s="154"/>
      <c r="N119" s="154"/>
      <c r="O119" s="154"/>
      <c r="P119" s="154"/>
      <c r="Q119" s="153"/>
      <c r="R119" s="154"/>
      <c r="S119" s="154"/>
      <c r="T119" s="154"/>
      <c r="U119" s="154"/>
      <c r="V119" s="153"/>
      <c r="W119" s="154"/>
      <c r="X119" s="154"/>
      <c r="Y119" s="154"/>
      <c r="Z119" s="154"/>
      <c r="AA119" s="153"/>
      <c r="AB119" s="154" t="n">
        <f aca="false">AB39</f>
        <v>1667.7</v>
      </c>
      <c r="AC119" s="154" t="n">
        <f aca="false">AC39</f>
        <v>2086.5</v>
      </c>
      <c r="AD119" s="154" t="n">
        <f aca="false">AD39</f>
        <v>2080.6</v>
      </c>
      <c r="AE119" s="154" t="n">
        <f aca="false">AE39</f>
        <v>2424.3</v>
      </c>
      <c r="AF119" s="272" t="n">
        <f aca="false">SUM(AF117:AF118)</f>
        <v>8259.1</v>
      </c>
      <c r="AG119" s="154" t="n">
        <f aca="false">AG39</f>
        <v>1689</v>
      </c>
      <c r="AH119" s="154" t="n">
        <f aca="false">AH39</f>
        <v>1850.8</v>
      </c>
      <c r="AI119" s="154" t="n">
        <f aca="false">AI39</f>
        <v>2325.6</v>
      </c>
      <c r="AJ119" s="154" t="n">
        <f aca="false">AJ39</f>
        <v>3130.8</v>
      </c>
      <c r="AK119" s="272" t="n">
        <f aca="false">SUM(AK117:AK118)</f>
        <v>8996.2</v>
      </c>
      <c r="AL119" s="154" t="n">
        <f aca="false">AL39</f>
        <v>1584</v>
      </c>
      <c r="AM119" s="154" t="n">
        <f aca="false">AM39</f>
        <v>2438.6</v>
      </c>
      <c r="AN119" s="154" t="n">
        <f aca="false">AN39</f>
        <v>3095.6</v>
      </c>
      <c r="AO119" s="154" t="n">
        <f aca="false">AO39</f>
        <v>3198.4</v>
      </c>
      <c r="AP119" s="272" t="n">
        <f aca="false">SUM(AP117:AP118)</f>
        <v>10316.6</v>
      </c>
      <c r="AQ119" s="154" t="n">
        <f aca="false">AQ39</f>
        <v>3128.8</v>
      </c>
      <c r="AR119" s="154" t="n">
        <f aca="false">AR39</f>
        <v>2949.6</v>
      </c>
      <c r="AS119" s="154" t="n">
        <f aca="false">AS39</f>
        <v>4111.1</v>
      </c>
      <c r="AT119" s="154" t="n">
        <f aca="false">AT39</f>
        <v>3463.3</v>
      </c>
      <c r="AU119" s="272" t="n">
        <f aca="false">SUM(AU117:AU118)</f>
        <v>13652.8</v>
      </c>
      <c r="AV119" s="154" t="n">
        <f aca="false">AV39</f>
        <v>2287.2</v>
      </c>
      <c r="AW119" s="154" t="n">
        <f aca="false">AW39</f>
        <v>4140.5</v>
      </c>
      <c r="AX119" s="154" t="n">
        <f aca="false">AX39</f>
        <v>4254.7</v>
      </c>
      <c r="AY119" s="154" t="n">
        <f aca="false">AY39</f>
        <v>4747.9</v>
      </c>
      <c r="AZ119" s="272" t="n">
        <f aca="false">SUM(AZ117:AZ118)</f>
        <v>15430.3</v>
      </c>
      <c r="BA119" s="154" t="n">
        <f aca="false">BA39</f>
        <v>5341.8</v>
      </c>
      <c r="BB119" s="154" t="n">
        <f aca="false">BB39</f>
        <v>5606.1</v>
      </c>
      <c r="BC119" s="154" t="n">
        <f aca="false">BC39</f>
        <v>5308.2</v>
      </c>
      <c r="BD119" s="154" t="n">
        <f aca="false">BD39</f>
        <v>5682.5</v>
      </c>
      <c r="BE119" s="272" t="n">
        <f aca="false">SUM(BE117:BE118)</f>
        <v>21938.6</v>
      </c>
      <c r="BF119" s="154" t="n">
        <f aca="false">BF39</f>
        <v>3965.9</v>
      </c>
      <c r="BG119" s="154" t="n">
        <f aca="false">BG39</f>
        <v>4760.9</v>
      </c>
      <c r="BH119" s="154" t="n">
        <f aca="false">BH39</f>
        <v>5926</v>
      </c>
      <c r="BI119" s="154" t="n">
        <f aca="false">BI39</f>
        <v>7115.9</v>
      </c>
      <c r="BJ119" s="272" t="n">
        <f aca="false">SUM(BJ117:BJ118)</f>
        <v>21768.7</v>
      </c>
      <c r="BK119" s="154" t="n">
        <f aca="false">BK39</f>
        <v>5740.4</v>
      </c>
      <c r="BL119" s="154" t="n">
        <f aca="false">BL39</f>
        <v>5596.1</v>
      </c>
      <c r="BM119" s="154" t="n">
        <f aca="false">BM39</f>
        <v>5553.8</v>
      </c>
      <c r="BN119" s="154" t="n">
        <f aca="false">BN39</f>
        <v>7584</v>
      </c>
      <c r="BO119" s="273" t="n">
        <f aca="false">SUM(BO117:BO118)</f>
        <v>24474.3</v>
      </c>
      <c r="BP119" s="154"/>
      <c r="BQ119" s="154"/>
      <c r="BR119" s="154"/>
      <c r="BS119" s="154"/>
      <c r="BT119" s="153"/>
      <c r="BU119" s="154"/>
      <c r="BV119" s="154"/>
      <c r="BW119" s="154"/>
      <c r="BX119" s="154"/>
      <c r="BY119" s="153"/>
      <c r="BZ119" s="153"/>
      <c r="CA119" s="153"/>
      <c r="CB119" s="153"/>
      <c r="CC119" s="156"/>
    </row>
    <row r="120" s="115" customFormat="true" ht="15" hidden="true" customHeight="true" outlineLevel="2" collapsed="false">
      <c r="A120" s="123"/>
      <c r="B120" s="109"/>
      <c r="C120" s="111"/>
      <c r="D120" s="111"/>
      <c r="E120" s="111"/>
      <c r="F120" s="111"/>
      <c r="G120" s="111"/>
      <c r="H120" s="112"/>
      <c r="I120" s="112"/>
      <c r="J120" s="112"/>
      <c r="K120" s="112"/>
      <c r="L120" s="111"/>
      <c r="M120" s="112"/>
      <c r="N120" s="112"/>
      <c r="O120" s="112"/>
      <c r="P120" s="112"/>
      <c r="Q120" s="111"/>
      <c r="R120" s="112"/>
      <c r="S120" s="112"/>
      <c r="T120" s="112"/>
      <c r="U120" s="112"/>
      <c r="V120" s="111"/>
      <c r="W120" s="112"/>
      <c r="X120" s="112"/>
      <c r="Y120" s="112"/>
      <c r="Z120" s="112"/>
      <c r="AA120" s="111"/>
      <c r="AB120" s="112"/>
      <c r="AC120" s="112"/>
      <c r="AD120" s="112"/>
      <c r="AE120" s="112"/>
      <c r="AF120" s="111"/>
      <c r="AG120" s="112"/>
      <c r="AH120" s="112"/>
      <c r="AI120" s="112"/>
      <c r="AJ120" s="112"/>
      <c r="AK120" s="111"/>
      <c r="AL120" s="112"/>
      <c r="AM120" s="112"/>
      <c r="AN120" s="112"/>
      <c r="AO120" s="112"/>
      <c r="AP120" s="111"/>
      <c r="AQ120" s="112"/>
      <c r="AR120" s="112"/>
      <c r="AS120" s="112"/>
      <c r="AT120" s="112"/>
      <c r="AU120" s="111"/>
      <c r="AV120" s="112"/>
      <c r="AW120" s="112"/>
      <c r="AX120" s="112"/>
      <c r="AY120" s="112"/>
      <c r="AZ120" s="111"/>
      <c r="BA120" s="112"/>
      <c r="BB120" s="112"/>
      <c r="BC120" s="112"/>
      <c r="BD120" s="112"/>
      <c r="BE120" s="111"/>
      <c r="BF120" s="112"/>
      <c r="BG120" s="112"/>
      <c r="BH120" s="112"/>
      <c r="BI120" s="112"/>
      <c r="BJ120" s="111"/>
      <c r="BK120" s="112"/>
      <c r="BL120" s="112"/>
      <c r="BM120" s="112"/>
      <c r="BN120" s="112"/>
      <c r="BO120" s="113"/>
      <c r="BP120" s="112"/>
      <c r="BQ120" s="112"/>
      <c r="BR120" s="112"/>
      <c r="BS120" s="112"/>
      <c r="BT120" s="111"/>
      <c r="BU120" s="112"/>
      <c r="BV120" s="112"/>
      <c r="BW120" s="112"/>
      <c r="BX120" s="112"/>
      <c r="BY120" s="111"/>
      <c r="BZ120" s="111"/>
      <c r="CA120" s="111"/>
      <c r="CB120" s="111"/>
      <c r="CC120" s="114"/>
    </row>
    <row r="121" s="192" customFormat="true" ht="15" hidden="true" customHeight="true" outlineLevel="2" collapsed="false">
      <c r="A121" s="274" t="s">
        <v>236</v>
      </c>
      <c r="B121" s="185"/>
      <c r="C121" s="186"/>
      <c r="D121" s="186"/>
      <c r="E121" s="186"/>
      <c r="F121" s="186"/>
      <c r="G121" s="186"/>
      <c r="H121" s="190"/>
      <c r="I121" s="190"/>
      <c r="J121" s="190"/>
      <c r="K121" s="190"/>
      <c r="L121" s="186"/>
      <c r="M121" s="190"/>
      <c r="N121" s="190"/>
      <c r="O121" s="190"/>
      <c r="P121" s="190"/>
      <c r="Q121" s="186"/>
      <c r="R121" s="190"/>
      <c r="S121" s="190"/>
      <c r="T121" s="190"/>
      <c r="U121" s="190"/>
      <c r="V121" s="186"/>
      <c r="W121" s="190"/>
      <c r="X121" s="190"/>
      <c r="Y121" s="190"/>
      <c r="Z121" s="190"/>
      <c r="AA121" s="186"/>
      <c r="AB121" s="188" t="n">
        <v>0.26</v>
      </c>
      <c r="AC121" s="188" t="n">
        <v>0.48</v>
      </c>
      <c r="AD121" s="188" t="n">
        <v>0.42</v>
      </c>
      <c r="AE121" s="188" t="n">
        <v>0.6</v>
      </c>
      <c r="AF121" s="186" t="n">
        <f aca="false">AF117/AF$119</f>
        <v>0.44964947754598</v>
      </c>
      <c r="AG121" s="188" t="n">
        <v>0.6</v>
      </c>
      <c r="AH121" s="188" t="n">
        <v>0.61</v>
      </c>
      <c r="AI121" s="188" t="n">
        <v>0.79</v>
      </c>
      <c r="AJ121" s="188" t="n">
        <v>0.83</v>
      </c>
      <c r="AK121" s="186" t="n">
        <f aca="false">AK117/AK$119</f>
        <v>0.729785909606278</v>
      </c>
      <c r="AL121" s="188" t="n">
        <v>0.73</v>
      </c>
      <c r="AM121" s="188" t="n">
        <v>0.62</v>
      </c>
      <c r="AN121" s="188" t="n">
        <v>0.79</v>
      </c>
      <c r="AO121" s="188" t="n">
        <v>0.72</v>
      </c>
      <c r="AP121" s="186" t="n">
        <f aca="false">AP117/AP$119</f>
        <v>0.716612062113487</v>
      </c>
      <c r="AQ121" s="188" t="n">
        <v>0.78</v>
      </c>
      <c r="AR121" s="188" t="n">
        <v>0.72</v>
      </c>
      <c r="AS121" s="188" t="n">
        <v>0.61</v>
      </c>
      <c r="AT121" s="188" t="n">
        <v>0.73</v>
      </c>
      <c r="AU121" s="186" t="n">
        <f aca="false">AU117/AU$119</f>
        <v>0.702310148833939</v>
      </c>
      <c r="AV121" s="188" t="n">
        <v>0.5</v>
      </c>
      <c r="AW121" s="188" t="n">
        <v>0.71</v>
      </c>
      <c r="AX121" s="188" t="n">
        <v>0.68</v>
      </c>
      <c r="AY121" s="188" t="n">
        <v>0.64</v>
      </c>
      <c r="AZ121" s="186" t="n">
        <f aca="false">AZ117/AZ$119</f>
        <v>0.646623850476012</v>
      </c>
      <c r="BA121" s="188" t="n">
        <v>0.7</v>
      </c>
      <c r="BB121" s="188" t="n">
        <v>0.84</v>
      </c>
      <c r="BC121" s="188" t="n">
        <v>0.76</v>
      </c>
      <c r="BD121" s="188" t="n">
        <v>0.63</v>
      </c>
      <c r="BE121" s="186" t="n">
        <f aca="false">BE117/BE$119</f>
        <v>0.728610759118631</v>
      </c>
      <c r="BF121" s="188" t="n">
        <v>0.63</v>
      </c>
      <c r="BG121" s="188" t="n">
        <v>0.54</v>
      </c>
      <c r="BH121" s="188" t="n">
        <v>0.64</v>
      </c>
      <c r="BI121" s="188" t="n">
        <v>0.61</v>
      </c>
      <c r="BJ121" s="186" t="n">
        <f aca="false">BJ117/BJ$119</f>
        <v>0.606150114614102</v>
      </c>
      <c r="BK121" s="188" t="n">
        <v>0.58</v>
      </c>
      <c r="BL121" s="188" t="n">
        <v>0.69</v>
      </c>
      <c r="BM121" s="188" t="n">
        <v>0.65</v>
      </c>
      <c r="BN121" s="188" t="n">
        <v>0.7</v>
      </c>
      <c r="BO121" s="275" t="n">
        <f aca="false">BO117/BO$119</f>
        <v>0.658221522168152</v>
      </c>
      <c r="BP121" s="190"/>
      <c r="BQ121" s="190"/>
      <c r="BR121" s="190"/>
      <c r="BS121" s="190"/>
      <c r="BT121" s="186"/>
      <c r="BU121" s="190"/>
      <c r="BV121" s="190"/>
      <c r="BW121" s="190"/>
      <c r="BX121" s="190"/>
      <c r="BY121" s="186"/>
      <c r="BZ121" s="186"/>
      <c r="CA121" s="186"/>
      <c r="CB121" s="186"/>
      <c r="CC121" s="191"/>
    </row>
    <row r="122" s="192" customFormat="true" ht="15" hidden="true" customHeight="true" outlineLevel="2" collapsed="false">
      <c r="A122" s="276" t="s">
        <v>237</v>
      </c>
      <c r="B122" s="194"/>
      <c r="C122" s="195"/>
      <c r="D122" s="195"/>
      <c r="E122" s="195"/>
      <c r="F122" s="195"/>
      <c r="G122" s="195"/>
      <c r="H122" s="199"/>
      <c r="I122" s="199"/>
      <c r="J122" s="199"/>
      <c r="K122" s="199"/>
      <c r="L122" s="195"/>
      <c r="M122" s="199"/>
      <c r="N122" s="199"/>
      <c r="O122" s="199"/>
      <c r="P122" s="199"/>
      <c r="Q122" s="195"/>
      <c r="R122" s="199"/>
      <c r="S122" s="199"/>
      <c r="T122" s="199"/>
      <c r="U122" s="199"/>
      <c r="V122" s="195"/>
      <c r="W122" s="199"/>
      <c r="X122" s="199"/>
      <c r="Y122" s="199"/>
      <c r="Z122" s="199"/>
      <c r="AA122" s="195"/>
      <c r="AB122" s="197" t="n">
        <v>0.74</v>
      </c>
      <c r="AC122" s="197" t="n">
        <v>0.54</v>
      </c>
      <c r="AD122" s="197" t="n">
        <v>0.58</v>
      </c>
      <c r="AE122" s="197" t="n">
        <v>0.4</v>
      </c>
      <c r="AF122" s="195" t="n">
        <f aca="false">AF118/AF$119</f>
        <v>0.550350522454021</v>
      </c>
      <c r="AG122" s="197" t="n">
        <v>0.4</v>
      </c>
      <c r="AH122" s="197" t="n">
        <v>0.39</v>
      </c>
      <c r="AI122" s="197" t="n">
        <v>0.21</v>
      </c>
      <c r="AJ122" s="197" t="n">
        <v>0.17</v>
      </c>
      <c r="AK122" s="195" t="n">
        <f aca="false">AK118/AK$119</f>
        <v>0.270214090393722</v>
      </c>
      <c r="AL122" s="197" t="n">
        <v>0.27</v>
      </c>
      <c r="AM122" s="197" t="n">
        <v>0.38</v>
      </c>
      <c r="AN122" s="197" t="n">
        <v>0.21</v>
      </c>
      <c r="AO122" s="197" t="n">
        <v>0.28</v>
      </c>
      <c r="AP122" s="195" t="n">
        <f aca="false">AP118/AP$119</f>
        <v>0.283387937886513</v>
      </c>
      <c r="AQ122" s="197" t="n">
        <v>0.22</v>
      </c>
      <c r="AR122" s="197" t="n">
        <v>0.28</v>
      </c>
      <c r="AS122" s="197" t="n">
        <v>0.39</v>
      </c>
      <c r="AT122" s="197" t="n">
        <v>0.27</v>
      </c>
      <c r="AU122" s="195" t="n">
        <f aca="false">AU118/AU$119</f>
        <v>0.297689851166061</v>
      </c>
      <c r="AV122" s="197" t="n">
        <v>0.5</v>
      </c>
      <c r="AW122" s="197" t="n">
        <v>0.29</v>
      </c>
      <c r="AX122" s="197" t="n">
        <v>0.32</v>
      </c>
      <c r="AY122" s="197" t="n">
        <v>0.36</v>
      </c>
      <c r="AZ122" s="195" t="n">
        <f aca="false">AZ118/AZ$119</f>
        <v>0.353376149523989</v>
      </c>
      <c r="BA122" s="197" t="n">
        <v>0.3</v>
      </c>
      <c r="BB122" s="197" t="n">
        <v>0.16</v>
      </c>
      <c r="BC122" s="197" t="n">
        <v>0.24</v>
      </c>
      <c r="BD122" s="197" t="n">
        <v>0.37</v>
      </c>
      <c r="BE122" s="195" t="n">
        <f aca="false">BE118/BE$119</f>
        <v>0.271389240881369</v>
      </c>
      <c r="BF122" s="197" t="n">
        <v>0.37</v>
      </c>
      <c r="BG122" s="197" t="n">
        <v>0.46</v>
      </c>
      <c r="BH122" s="197" t="n">
        <v>0.36</v>
      </c>
      <c r="BI122" s="197" t="n">
        <v>0.39</v>
      </c>
      <c r="BJ122" s="195" t="n">
        <f aca="false">BJ118/BJ$119</f>
        <v>0.393849885385898</v>
      </c>
      <c r="BK122" s="197" t="n">
        <v>0.42</v>
      </c>
      <c r="BL122" s="197" t="n">
        <v>0.31</v>
      </c>
      <c r="BM122" s="197" t="n">
        <v>0.35</v>
      </c>
      <c r="BN122" s="197" t="n">
        <v>0.3</v>
      </c>
      <c r="BO122" s="277" t="n">
        <f aca="false">BO118/BO$119</f>
        <v>0.341778477831848</v>
      </c>
      <c r="BP122" s="199"/>
      <c r="BQ122" s="199"/>
      <c r="BR122" s="199"/>
      <c r="BS122" s="199"/>
      <c r="BT122" s="195"/>
      <c r="BU122" s="199"/>
      <c r="BV122" s="199"/>
      <c r="BW122" s="199"/>
      <c r="BX122" s="199"/>
      <c r="BY122" s="195"/>
      <c r="BZ122" s="195"/>
      <c r="CA122" s="195"/>
      <c r="CB122" s="195"/>
      <c r="CC122" s="191"/>
    </row>
    <row r="123" s="208" customFormat="true" ht="15" hidden="true" customHeight="true" outlineLevel="2" collapsed="false">
      <c r="A123" s="278" t="s">
        <v>238</v>
      </c>
      <c r="B123" s="279"/>
      <c r="C123" s="280"/>
      <c r="D123" s="280"/>
      <c r="E123" s="280"/>
      <c r="F123" s="280"/>
      <c r="G123" s="280"/>
      <c r="H123" s="281"/>
      <c r="I123" s="281"/>
      <c r="J123" s="281"/>
      <c r="K123" s="281"/>
      <c r="L123" s="280"/>
      <c r="M123" s="281"/>
      <c r="N123" s="281"/>
      <c r="O123" s="281"/>
      <c r="P123" s="281"/>
      <c r="Q123" s="280"/>
      <c r="R123" s="281"/>
      <c r="S123" s="281"/>
      <c r="T123" s="281"/>
      <c r="U123" s="281"/>
      <c r="V123" s="280"/>
      <c r="W123" s="281"/>
      <c r="X123" s="281"/>
      <c r="Y123" s="281"/>
      <c r="Z123" s="281"/>
      <c r="AA123" s="280"/>
      <c r="AB123" s="281" t="n">
        <f aca="false">AB121+AB122</f>
        <v>1</v>
      </c>
      <c r="AC123" s="281" t="n">
        <f aca="false">AC121+AC122</f>
        <v>1.02</v>
      </c>
      <c r="AD123" s="281" t="n">
        <f aca="false">AD121+AD122</f>
        <v>1</v>
      </c>
      <c r="AE123" s="281" t="n">
        <f aca="false">AE121+AE122</f>
        <v>1</v>
      </c>
      <c r="AF123" s="280" t="n">
        <f aca="false">AF121+AF122</f>
        <v>1</v>
      </c>
      <c r="AG123" s="281" t="n">
        <f aca="false">AG121+AG122</f>
        <v>1</v>
      </c>
      <c r="AH123" s="281" t="n">
        <f aca="false">AH121+AH122</f>
        <v>1</v>
      </c>
      <c r="AI123" s="281" t="n">
        <f aca="false">AI121+AI122</f>
        <v>1</v>
      </c>
      <c r="AJ123" s="281" t="n">
        <f aca="false">AJ121+AJ122</f>
        <v>1</v>
      </c>
      <c r="AK123" s="280" t="n">
        <f aca="false">AK121+AK122</f>
        <v>1</v>
      </c>
      <c r="AL123" s="281" t="n">
        <f aca="false">AL121+AL122</f>
        <v>1</v>
      </c>
      <c r="AM123" s="281" t="n">
        <f aca="false">AM121+AM122</f>
        <v>1</v>
      </c>
      <c r="AN123" s="281" t="n">
        <f aca="false">AN121+AN122</f>
        <v>1</v>
      </c>
      <c r="AO123" s="281" t="n">
        <f aca="false">AO121+AO122</f>
        <v>1</v>
      </c>
      <c r="AP123" s="280" t="n">
        <f aca="false">AP121+AP122</f>
        <v>1</v>
      </c>
      <c r="AQ123" s="281" t="n">
        <f aca="false">AQ121+AQ122</f>
        <v>1</v>
      </c>
      <c r="AR123" s="281" t="n">
        <f aca="false">AR121+AR122</f>
        <v>1</v>
      </c>
      <c r="AS123" s="281" t="n">
        <f aca="false">AS121+AS122</f>
        <v>1</v>
      </c>
      <c r="AT123" s="281" t="n">
        <f aca="false">AT121+AT122</f>
        <v>1</v>
      </c>
      <c r="AU123" s="280" t="n">
        <f aca="false">AU121+AU122</f>
        <v>1</v>
      </c>
      <c r="AV123" s="281" t="n">
        <f aca="false">AV121+AV122</f>
        <v>1</v>
      </c>
      <c r="AW123" s="281" t="n">
        <f aca="false">AW121+AW122</f>
        <v>1</v>
      </c>
      <c r="AX123" s="281" t="n">
        <f aca="false">AX121+AX122</f>
        <v>1</v>
      </c>
      <c r="AY123" s="281" t="n">
        <f aca="false">AY121+AY122</f>
        <v>1</v>
      </c>
      <c r="AZ123" s="280" t="n">
        <f aca="false">AZ121+AZ122</f>
        <v>1</v>
      </c>
      <c r="BA123" s="281" t="n">
        <f aca="false">BA121+BA122</f>
        <v>1</v>
      </c>
      <c r="BB123" s="281" t="n">
        <f aca="false">BB121+BB122</f>
        <v>1</v>
      </c>
      <c r="BC123" s="281" t="n">
        <f aca="false">BC121+BC122</f>
        <v>1</v>
      </c>
      <c r="BD123" s="281" t="n">
        <f aca="false">BD121+BD122</f>
        <v>1</v>
      </c>
      <c r="BE123" s="280" t="n">
        <f aca="false">BE121+BE122</f>
        <v>1</v>
      </c>
      <c r="BF123" s="281" t="n">
        <f aca="false">BF121+BF122</f>
        <v>1</v>
      </c>
      <c r="BG123" s="281" t="n">
        <f aca="false">BG121+BG122</f>
        <v>1</v>
      </c>
      <c r="BH123" s="281" t="n">
        <f aca="false">BH121+BH122</f>
        <v>1</v>
      </c>
      <c r="BI123" s="281" t="n">
        <f aca="false">BI121+BI122</f>
        <v>1</v>
      </c>
      <c r="BJ123" s="280" t="n">
        <f aca="false">BJ121+BJ122</f>
        <v>1</v>
      </c>
      <c r="BK123" s="281" t="n">
        <f aca="false">BK121+BK122</f>
        <v>1</v>
      </c>
      <c r="BL123" s="281" t="n">
        <f aca="false">BL121+BL122</f>
        <v>1</v>
      </c>
      <c r="BM123" s="281" t="n">
        <f aca="false">BM121+BM122</f>
        <v>1</v>
      </c>
      <c r="BN123" s="281" t="n">
        <f aca="false">BN121+BN122</f>
        <v>1</v>
      </c>
      <c r="BO123" s="282" t="n">
        <f aca="false">BO121+BO122</f>
        <v>1</v>
      </c>
      <c r="BP123" s="281"/>
      <c r="BQ123" s="281"/>
      <c r="BR123" s="281"/>
      <c r="BS123" s="281"/>
      <c r="BT123" s="280"/>
      <c r="BU123" s="281"/>
      <c r="BV123" s="281"/>
      <c r="BW123" s="281"/>
      <c r="BX123" s="281"/>
      <c r="BY123" s="280"/>
      <c r="BZ123" s="280"/>
      <c r="CA123" s="280"/>
      <c r="CB123" s="280"/>
      <c r="CC123" s="207"/>
    </row>
    <row r="124" s="208" customFormat="true" ht="15" hidden="true" customHeight="true" outlineLevel="2" collapsed="false">
      <c r="A124" s="278"/>
      <c r="B124" s="279"/>
      <c r="C124" s="280"/>
      <c r="D124" s="280"/>
      <c r="E124" s="280"/>
      <c r="F124" s="280"/>
      <c r="G124" s="280"/>
      <c r="H124" s="281"/>
      <c r="I124" s="281"/>
      <c r="J124" s="281"/>
      <c r="K124" s="281"/>
      <c r="L124" s="280"/>
      <c r="M124" s="281"/>
      <c r="N124" s="281"/>
      <c r="O124" s="281"/>
      <c r="P124" s="281"/>
      <c r="Q124" s="280"/>
      <c r="R124" s="281"/>
      <c r="S124" s="281"/>
      <c r="T124" s="281"/>
      <c r="U124" s="281"/>
      <c r="V124" s="280"/>
      <c r="W124" s="281"/>
      <c r="X124" s="281"/>
      <c r="Y124" s="281"/>
      <c r="Z124" s="281"/>
      <c r="AA124" s="280"/>
      <c r="AB124" s="281"/>
      <c r="AC124" s="281"/>
      <c r="AD124" s="281"/>
      <c r="AE124" s="281"/>
      <c r="AF124" s="280"/>
      <c r="AG124" s="281"/>
      <c r="AH124" s="281"/>
      <c r="AI124" s="281"/>
      <c r="AJ124" s="281"/>
      <c r="AK124" s="280"/>
      <c r="AL124" s="281"/>
      <c r="AM124" s="281"/>
      <c r="AN124" s="281"/>
      <c r="AO124" s="281"/>
      <c r="AP124" s="280"/>
      <c r="AQ124" s="281"/>
      <c r="AR124" s="281"/>
      <c r="AS124" s="281"/>
      <c r="AT124" s="281"/>
      <c r="AU124" s="280"/>
      <c r="AV124" s="281"/>
      <c r="AW124" s="281"/>
      <c r="AX124" s="281"/>
      <c r="AY124" s="281"/>
      <c r="AZ124" s="280"/>
      <c r="BA124" s="281"/>
      <c r="BB124" s="281"/>
      <c r="BC124" s="281"/>
      <c r="BD124" s="281"/>
      <c r="BE124" s="280"/>
      <c r="BF124" s="281"/>
      <c r="BG124" s="281"/>
      <c r="BH124" s="281"/>
      <c r="BI124" s="281"/>
      <c r="BJ124" s="280"/>
      <c r="BK124" s="281"/>
      <c r="BL124" s="281"/>
      <c r="BM124" s="281"/>
      <c r="BN124" s="281"/>
      <c r="BO124" s="282"/>
      <c r="BP124" s="281"/>
      <c r="BQ124" s="281"/>
      <c r="BR124" s="281"/>
      <c r="BS124" s="281"/>
      <c r="BT124" s="280"/>
      <c r="BU124" s="281"/>
      <c r="BV124" s="281"/>
      <c r="BW124" s="281"/>
      <c r="BX124" s="281"/>
      <c r="BY124" s="280"/>
      <c r="BZ124" s="280"/>
      <c r="CA124" s="280"/>
      <c r="CB124" s="280"/>
      <c r="CC124" s="207"/>
    </row>
    <row r="125" s="51" customFormat="true" ht="15" hidden="true" customHeight="true" outlineLevel="2" collapsed="false">
      <c r="A125" s="270" t="s">
        <v>239</v>
      </c>
      <c r="B125" s="158"/>
      <c r="C125" s="159"/>
      <c r="D125" s="159"/>
      <c r="E125" s="147"/>
      <c r="F125" s="159"/>
      <c r="G125" s="159"/>
      <c r="H125" s="50" t="n">
        <f aca="false">H$134*H136</f>
        <v>133.9</v>
      </c>
      <c r="I125" s="50" t="n">
        <f aca="false">I$134*I136</f>
        <v>161.59</v>
      </c>
      <c r="J125" s="50" t="n">
        <f aca="false">J$134*J136</f>
        <v>256.505</v>
      </c>
      <c r="K125" s="50" t="n">
        <f aca="false">K$134*K136</f>
        <v>217.06</v>
      </c>
      <c r="L125" s="159" t="n">
        <f aca="false">SUM(H125,I125,J125,K125)</f>
        <v>769.055</v>
      </c>
      <c r="M125" s="50" t="n">
        <f aca="false">M$134*M136</f>
        <v>236.835</v>
      </c>
      <c r="N125" s="50" t="n">
        <f aca="false">N$134*N136</f>
        <v>351.695</v>
      </c>
      <c r="O125" s="50" t="n">
        <f aca="false">O$134*O136</f>
        <v>292.59</v>
      </c>
      <c r="P125" s="50" t="n">
        <f aca="false">P$134*P136</f>
        <v>273.079</v>
      </c>
      <c r="Q125" s="159" t="n">
        <f aca="false">SUM(M125,N125,O125,P125)</f>
        <v>1154.199</v>
      </c>
      <c r="R125" s="50" t="n">
        <f aca="false">R$134*R136</f>
        <v>171.96</v>
      </c>
      <c r="S125" s="50" t="n">
        <f aca="false">S$134*S136</f>
        <v>354.312</v>
      </c>
      <c r="T125" s="50" t="n">
        <f aca="false">T$134*T136</f>
        <v>691.735</v>
      </c>
      <c r="U125" s="50" t="n">
        <f aca="false">U$134*U136</f>
        <v>464.076</v>
      </c>
      <c r="V125" s="159" t="n">
        <f aca="false">SUM(R125,S125,T125,U125)</f>
        <v>1682.083</v>
      </c>
      <c r="W125" s="50" t="n">
        <f aca="false">W$134*W136</f>
        <v>291.792</v>
      </c>
      <c r="X125" s="50" t="n">
        <f aca="false">X$134*X136</f>
        <v>373.707</v>
      </c>
      <c r="Y125" s="50" t="n">
        <f aca="false">Y$134*Y136</f>
        <v>418.347</v>
      </c>
      <c r="Z125" s="50" t="n">
        <f aca="false">Z$134*Z136</f>
        <v>566.921</v>
      </c>
      <c r="AA125" s="262" t="n">
        <f aca="false">AA$134*AA136</f>
        <v>1657.162</v>
      </c>
      <c r="AB125" s="50" t="n">
        <f aca="false">AB$134*AB136</f>
        <v>50.031</v>
      </c>
      <c r="AC125" s="50" t="n">
        <f aca="false">AC$134*AC136</f>
        <v>375.57</v>
      </c>
      <c r="AD125" s="50" t="n">
        <f aca="false">AD$134*AD136</f>
        <v>624.18</v>
      </c>
      <c r="AE125" s="50" t="n">
        <f aca="false">AE$134*AE136</f>
        <v>484.86</v>
      </c>
      <c r="AF125" s="262" t="n">
        <f aca="false">AF$134*AF136</f>
        <v>1569.229</v>
      </c>
      <c r="AG125" s="50" t="n">
        <f aca="false">AG$134*AG136</f>
        <v>726.27</v>
      </c>
      <c r="AH125" s="50" t="n">
        <f aca="false">AH$134*AH136</f>
        <v>851.368</v>
      </c>
      <c r="AI125" s="50" t="n">
        <f aca="false">AI$134*AI136</f>
        <v>1255.824</v>
      </c>
      <c r="AJ125" s="50" t="n">
        <f aca="false">AJ$134*AJ136</f>
        <v>1784.556</v>
      </c>
      <c r="AK125" s="262" t="n">
        <f aca="false">AK$134*AK136</f>
        <v>4588.062</v>
      </c>
      <c r="AL125" s="50" t="n">
        <f aca="false">AL$134*AL136</f>
        <v>475.2</v>
      </c>
      <c r="AM125" s="50" t="n">
        <f aca="false">AM$134*AM136</f>
        <v>512.106</v>
      </c>
      <c r="AN125" s="50" t="n">
        <f aca="false">AN$134*AN136</f>
        <v>1454.932</v>
      </c>
      <c r="AO125" s="50" t="n">
        <f aca="false">AO$134*AO136</f>
        <v>1247.376</v>
      </c>
      <c r="AP125" s="262" t="n">
        <f aca="false">AP$134*AP136</f>
        <v>3713.976</v>
      </c>
      <c r="AQ125" s="50" t="n">
        <f aca="false">AQ$134*AQ136</f>
        <v>1345.384</v>
      </c>
      <c r="AR125" s="50" t="n">
        <f aca="false">AR$134*AR136</f>
        <v>1061.856</v>
      </c>
      <c r="AS125" s="50" t="n">
        <f aca="false">AS$134*AS136</f>
        <v>1891.106</v>
      </c>
      <c r="AT125" s="50" t="n">
        <f aca="false">AT$134*AT136</f>
        <v>1766.283</v>
      </c>
      <c r="AU125" s="262" t="n">
        <f aca="false">AU$134*AU136</f>
        <v>6007.232</v>
      </c>
      <c r="AV125" s="50" t="n">
        <f aca="false">AV$134*AV136</f>
        <v>503.184</v>
      </c>
      <c r="AW125" s="50" t="n">
        <f aca="false">AW$134*AW136</f>
        <v>1697.605</v>
      </c>
      <c r="AX125" s="50" t="n">
        <f aca="false">AX$134*AX136</f>
        <v>1999.709</v>
      </c>
      <c r="AY125" s="50" t="n">
        <f aca="false">AY$134*AY136</f>
        <v>2278.992</v>
      </c>
      <c r="AZ125" s="262" t="n">
        <f aca="false">AZ$134*AZ136</f>
        <v>6480.726</v>
      </c>
      <c r="BA125" s="50" t="n">
        <f aca="false">BA$134*BA136</f>
        <v>2617.482</v>
      </c>
      <c r="BB125" s="50" t="n">
        <f aca="false">BB$134*BB136</f>
        <v>1906.074</v>
      </c>
      <c r="BC125" s="50" t="n">
        <f aca="false">BC$134*BC136</f>
        <v>1273.968</v>
      </c>
      <c r="BD125" s="50" t="n">
        <f aca="false">BD$134*BD136</f>
        <v>738.725</v>
      </c>
      <c r="BE125" s="262" t="n">
        <f aca="false">BE$134*BE136</f>
        <v>6581.58</v>
      </c>
      <c r="BF125" s="50" t="n">
        <f aca="false">BF$134*BF136</f>
        <v>237.954</v>
      </c>
      <c r="BG125" s="50" t="n">
        <f aca="false">BG$134*BG136</f>
        <v>523.699</v>
      </c>
      <c r="BH125" s="50" t="n">
        <f aca="false">BH$134*BH136</f>
        <v>888.9</v>
      </c>
      <c r="BI125" s="50" t="n">
        <f aca="false">BI$134*BI136</f>
        <v>711.59</v>
      </c>
      <c r="BJ125" s="262" t="n">
        <f aca="false">BJ$134*BJ136</f>
        <v>2394.557</v>
      </c>
      <c r="BK125" s="50" t="n">
        <f aca="false">BK$134*BK136</f>
        <v>918.464</v>
      </c>
      <c r="BL125" s="50" t="n">
        <f aca="false">BL$134*BL136</f>
        <v>1958.635</v>
      </c>
      <c r="BM125" s="50" t="n">
        <f aca="false">BM$134*BM136</f>
        <v>1666.14</v>
      </c>
      <c r="BN125" s="50" t="n">
        <f aca="false">BN$134*BN136</f>
        <v>985.92</v>
      </c>
      <c r="BO125" s="264" t="n">
        <f aca="false">BO$134*BO136</f>
        <v>5384.346</v>
      </c>
      <c r="BP125" s="48"/>
      <c r="BQ125" s="48"/>
      <c r="BR125" s="48"/>
      <c r="BS125" s="48"/>
      <c r="BT125" s="159"/>
      <c r="BU125" s="48"/>
      <c r="BV125" s="48"/>
      <c r="BW125" s="48"/>
      <c r="BX125" s="48"/>
      <c r="BY125" s="159"/>
      <c r="BZ125" s="159"/>
      <c r="CA125" s="159"/>
      <c r="CB125" s="159"/>
      <c r="CC125" s="50"/>
    </row>
    <row r="126" s="51" customFormat="true" ht="15" hidden="true" customHeight="true" outlineLevel="2" collapsed="false">
      <c r="A126" s="270" t="s">
        <v>240</v>
      </c>
      <c r="B126" s="158"/>
      <c r="C126" s="159"/>
      <c r="D126" s="159"/>
      <c r="E126" s="147"/>
      <c r="F126" s="159"/>
      <c r="G126" s="159"/>
      <c r="H126" s="50" t="n">
        <f aca="false">H$134*H137</f>
        <v>391.4</v>
      </c>
      <c r="I126" s="50" t="n">
        <f aca="false">I$134*I137</f>
        <v>298.32</v>
      </c>
      <c r="J126" s="50" t="n">
        <f aca="false">J$134*J137</f>
        <v>61.915</v>
      </c>
      <c r="K126" s="50" t="n">
        <f aca="false">K$134*K137</f>
        <v>444.973</v>
      </c>
      <c r="L126" s="159" t="n">
        <f aca="false">SUM(H126,I126,J126,K126)</f>
        <v>1196.608</v>
      </c>
      <c r="M126" s="50" t="n">
        <f aca="false">M$134*M137</f>
        <v>461.205</v>
      </c>
      <c r="N126" s="50" t="n">
        <f aca="false">N$134*N137</f>
        <v>306.315</v>
      </c>
      <c r="O126" s="50" t="n">
        <f aca="false">O$134*O137</f>
        <v>273.084</v>
      </c>
      <c r="P126" s="50" t="n">
        <f aca="false">P$134*P137</f>
        <v>317.124</v>
      </c>
      <c r="Q126" s="159" t="n">
        <f aca="false">SUM(M126,N126,O126,P126)</f>
        <v>1357.728</v>
      </c>
      <c r="R126" s="50" t="n">
        <f aca="false">R$134*R137</f>
        <v>232.146</v>
      </c>
      <c r="S126" s="50" t="n">
        <f aca="false">S$134*S137</f>
        <v>253.08</v>
      </c>
      <c r="T126" s="50" t="n">
        <f aca="false">T$134*T137</f>
        <v>125.77</v>
      </c>
      <c r="U126" s="50" t="n">
        <f aca="false">U$134*U137</f>
        <v>283.602</v>
      </c>
      <c r="V126" s="159" t="n">
        <f aca="false">SUM(R126,S126,T126,U126)</f>
        <v>894.598</v>
      </c>
      <c r="W126" s="50" t="n">
        <f aca="false">W$134*W137</f>
        <v>340.424</v>
      </c>
      <c r="X126" s="50" t="n">
        <f aca="false">X$134*X137</f>
        <v>705.891</v>
      </c>
      <c r="Y126" s="50" t="n">
        <f aca="false">Y$134*Y137</f>
        <v>618.426</v>
      </c>
      <c r="Z126" s="50" t="n">
        <f aca="false">Z$134*Z137</f>
        <v>625.568</v>
      </c>
      <c r="AA126" s="262" t="n">
        <f aca="false">AA$134*AA137</f>
        <v>2294.532</v>
      </c>
      <c r="AB126" s="50" t="n">
        <f aca="false">AB$134*AB137</f>
        <v>850.527</v>
      </c>
      <c r="AC126" s="50" t="n">
        <f aca="false">AC$134*AC137</f>
        <v>730.275</v>
      </c>
      <c r="AD126" s="50" t="n">
        <f aca="false">AD$134*AD137</f>
        <v>686.598</v>
      </c>
      <c r="AE126" s="50" t="n">
        <f aca="false">AE$134*AE137</f>
        <v>630.318</v>
      </c>
      <c r="AF126" s="262" t="n">
        <f aca="false">AF$134*AF137</f>
        <v>2890.685</v>
      </c>
      <c r="AG126" s="50" t="n">
        <f aca="false">AG$134*AG137</f>
        <v>422.25</v>
      </c>
      <c r="AH126" s="50" t="n">
        <f aca="false">AH$134*AH137</f>
        <v>481.208</v>
      </c>
      <c r="AI126" s="50" t="n">
        <f aca="false">AI$134*AI137</f>
        <v>255.816</v>
      </c>
      <c r="AJ126" s="50" t="n">
        <f aca="false">AJ$134*AJ137</f>
        <v>313.08</v>
      </c>
      <c r="AK126" s="262" t="n">
        <f aca="false">AK$134*AK137</f>
        <v>1439.392</v>
      </c>
      <c r="AL126" s="50" t="n">
        <f aca="false">AL$134*AL137</f>
        <v>459.36</v>
      </c>
      <c r="AM126" s="50" t="n">
        <f aca="false">AM$134*AM137</f>
        <v>926.668</v>
      </c>
      <c r="AN126" s="50" t="n">
        <f aca="false">AN$134*AN137</f>
        <v>804.856</v>
      </c>
      <c r="AO126" s="50" t="n">
        <f aca="false">AO$134*AO137</f>
        <v>991.504</v>
      </c>
      <c r="AP126" s="262" t="n">
        <f aca="false">AP$134*AP137</f>
        <v>3198.146</v>
      </c>
      <c r="AQ126" s="50" t="n">
        <f aca="false">AQ$134*AQ137</f>
        <v>1376.672</v>
      </c>
      <c r="AR126" s="50" t="n">
        <f aca="false">AR$134*AR137</f>
        <v>1150.344</v>
      </c>
      <c r="AS126" s="50" t="n">
        <f aca="false">AS$134*AS137</f>
        <v>1356.663</v>
      </c>
      <c r="AT126" s="50" t="n">
        <f aca="false">AT$134*AT137</f>
        <v>935.091</v>
      </c>
      <c r="AU126" s="262" t="n">
        <f aca="false">AU$134*AU137</f>
        <v>4778.48</v>
      </c>
      <c r="AV126" s="50" t="n">
        <f aca="false">AV$134*AV137</f>
        <v>663.288</v>
      </c>
      <c r="AW126" s="50" t="n">
        <f aca="false">AW$134*AW137</f>
        <v>1366.365</v>
      </c>
      <c r="AX126" s="50" t="n">
        <f aca="false">AX$134*AX137</f>
        <v>1021.128</v>
      </c>
      <c r="AY126" s="50" t="n">
        <f aca="false">AY$134*AY137</f>
        <v>1329.412</v>
      </c>
      <c r="AZ126" s="262" t="n">
        <f aca="false">AZ$134*AZ137</f>
        <v>4474.787</v>
      </c>
      <c r="BA126" s="50" t="n">
        <f aca="false">BA$134*BA137</f>
        <v>1388.868</v>
      </c>
      <c r="BB126" s="50" t="n">
        <f aca="false">BB$134*BB137</f>
        <v>1513.647</v>
      </c>
      <c r="BC126" s="50" t="n">
        <f aca="false">BC$134*BC137</f>
        <v>1061.64</v>
      </c>
      <c r="BD126" s="50" t="n">
        <f aca="false">BD$134*BD137</f>
        <v>1420.625</v>
      </c>
      <c r="BE126" s="262" t="n">
        <f aca="false">BE$134*BE137</f>
        <v>5265.264</v>
      </c>
      <c r="BF126" s="50" t="n">
        <f aca="false">BF$134*BF137</f>
        <v>753.521</v>
      </c>
      <c r="BG126" s="50" t="n">
        <f aca="false">BG$134*BG137</f>
        <v>1333.052</v>
      </c>
      <c r="BH126" s="50" t="n">
        <f aca="false">BH$134*BH137</f>
        <v>888.9</v>
      </c>
      <c r="BI126" s="50" t="n">
        <f aca="false">BI$134*BI137</f>
        <v>1778.975</v>
      </c>
      <c r="BJ126" s="262" t="n">
        <f aca="false">BJ$134*BJ137</f>
        <v>4571.427</v>
      </c>
      <c r="BK126" s="50" t="n">
        <f aca="false">BK$134*BK137</f>
        <v>2296.16</v>
      </c>
      <c r="BL126" s="50" t="n">
        <f aca="false">BL$134*BL137</f>
        <v>1063.259</v>
      </c>
      <c r="BM126" s="50" t="n">
        <f aca="false">BM$134*BM137</f>
        <v>999.684</v>
      </c>
      <c r="BN126" s="50" t="n">
        <f aca="false">BN$134*BN137</f>
        <v>1668.48</v>
      </c>
      <c r="BO126" s="264" t="n">
        <f aca="false">BO$134*BO137</f>
        <v>6118.575</v>
      </c>
      <c r="BP126" s="48"/>
      <c r="BQ126" s="48"/>
      <c r="BR126" s="48"/>
      <c r="BS126" s="48"/>
      <c r="BT126" s="159"/>
      <c r="BU126" s="48"/>
      <c r="BV126" s="48"/>
      <c r="BW126" s="48"/>
      <c r="BX126" s="48"/>
      <c r="BY126" s="159"/>
      <c r="BZ126" s="159"/>
      <c r="CA126" s="159"/>
      <c r="CB126" s="159"/>
      <c r="CC126" s="50"/>
    </row>
    <row r="127" s="51" customFormat="true" ht="15" hidden="true" customHeight="true" outlineLevel="2" collapsed="false">
      <c r="A127" s="270" t="s">
        <v>241</v>
      </c>
      <c r="B127" s="158"/>
      <c r="C127" s="159"/>
      <c r="D127" s="159"/>
      <c r="E127" s="159"/>
      <c r="F127" s="159"/>
      <c r="G127" s="159"/>
      <c r="H127" s="50" t="n">
        <f aca="false">H$134*H138</f>
        <v>257.5</v>
      </c>
      <c r="I127" s="50" t="n">
        <f aca="false">I$134*I138</f>
        <v>584.21</v>
      </c>
      <c r="J127" s="50" t="n">
        <f aca="false">J$134*J138</f>
        <v>353.8</v>
      </c>
      <c r="K127" s="50" t="n">
        <f aca="false">K$134*K138</f>
        <v>260.472</v>
      </c>
      <c r="L127" s="159" t="n">
        <f aca="false">SUM(H127,I127,J127,K127)</f>
        <v>1455.982</v>
      </c>
      <c r="M127" s="50" t="n">
        <f aca="false">M$134*M138</f>
        <v>211.905</v>
      </c>
      <c r="N127" s="50" t="n">
        <f aca="false">N$134*N138</f>
        <v>249.59</v>
      </c>
      <c r="O127" s="50" t="n">
        <f aca="false">O$134*O138</f>
        <v>146.295</v>
      </c>
      <c r="P127" s="50" t="n">
        <f aca="false">P$134*P138</f>
        <v>114.517</v>
      </c>
      <c r="Q127" s="159" t="n">
        <f aca="false">SUM(M127,N127,O127,P127)</f>
        <v>722.307</v>
      </c>
      <c r="R127" s="50" t="n">
        <f aca="false">R$134*R138</f>
        <v>85.98</v>
      </c>
      <c r="S127" s="50" t="n">
        <f aca="false">S$134*S138</f>
        <v>265.734</v>
      </c>
      <c r="T127" s="50" t="n">
        <f aca="false">T$134*T138</f>
        <v>113.193</v>
      </c>
      <c r="U127" s="50" t="n">
        <f aca="false">U$134*U138</f>
        <v>244.929</v>
      </c>
      <c r="V127" s="159" t="n">
        <f aca="false">SUM(R127,S127,T127,U127)</f>
        <v>709.836</v>
      </c>
      <c r="W127" s="50" t="n">
        <f aca="false">W$134*W138</f>
        <v>97.264</v>
      </c>
      <c r="X127" s="50" t="n">
        <f aca="false">X$134*X138</f>
        <v>138.41</v>
      </c>
      <c r="Y127" s="50" t="n">
        <f aca="false">Y$134*Y138</f>
        <v>345.591</v>
      </c>
      <c r="Z127" s="50" t="n">
        <f aca="false">Z$134*Z138</f>
        <v>234.588</v>
      </c>
      <c r="AA127" s="262" t="n">
        <f aca="false">AA$134*AA138</f>
        <v>828.581</v>
      </c>
      <c r="AB127" s="50" t="n">
        <f aca="false">AB$134*AB138</f>
        <v>83.385</v>
      </c>
      <c r="AC127" s="50" t="n">
        <f aca="false">AC$134*AC138</f>
        <v>396.435</v>
      </c>
      <c r="AD127" s="50" t="n">
        <f aca="false">AD$134*AD138</f>
        <v>104.03</v>
      </c>
      <c r="AE127" s="50" t="n">
        <f aca="false">AE$134*AE138</f>
        <v>775.776</v>
      </c>
      <c r="AF127" s="262" t="n">
        <f aca="false">AF$134*AF138</f>
        <v>1321.456</v>
      </c>
      <c r="AG127" s="50" t="n">
        <f aca="false">AG$134*AG138</f>
        <v>253.35</v>
      </c>
      <c r="AH127" s="50" t="n">
        <f aca="false">AH$134*AH138</f>
        <v>185.08</v>
      </c>
      <c r="AI127" s="50" t="n">
        <f aca="false">AI$134*AI138</f>
        <v>604.656</v>
      </c>
      <c r="AJ127" s="50" t="n">
        <f aca="false">AJ$134*AJ138</f>
        <v>375.696</v>
      </c>
      <c r="AK127" s="262" t="n">
        <f aca="false">AK$134*AK138</f>
        <v>1439.392</v>
      </c>
      <c r="AL127" s="50" t="n">
        <f aca="false">AL$134*AL138</f>
        <v>237.6</v>
      </c>
      <c r="AM127" s="50" t="n">
        <f aca="false">AM$134*AM138</f>
        <v>414.562</v>
      </c>
      <c r="AN127" s="50" t="n">
        <f aca="false">AN$134*AN138</f>
        <v>154.78</v>
      </c>
      <c r="AO127" s="50" t="n">
        <f aca="false">AO$134*AO138</f>
        <v>127.936</v>
      </c>
      <c r="AP127" s="262" t="n">
        <f aca="false">AP$134*AP138</f>
        <v>928.494</v>
      </c>
      <c r="AQ127" s="50" t="n">
        <f aca="false">AQ$134*AQ138</f>
        <v>93.864</v>
      </c>
      <c r="AR127" s="50" t="n">
        <f aca="false">AR$134*AR138</f>
        <v>176.976</v>
      </c>
      <c r="AS127" s="50" t="n">
        <f aca="false">AS$134*AS138</f>
        <v>411.11</v>
      </c>
      <c r="AT127" s="50" t="n">
        <f aca="false">AT$134*AT138</f>
        <v>0</v>
      </c>
      <c r="AU127" s="262" t="n">
        <f aca="false">AU$134*AU138</f>
        <v>546.112</v>
      </c>
      <c r="AV127" s="50" t="n">
        <f aca="false">AV$134*AV138</f>
        <v>137.232</v>
      </c>
      <c r="AW127" s="50" t="n">
        <f aca="false">AW$134*AW138</f>
        <v>414.05</v>
      </c>
      <c r="AX127" s="50" t="n">
        <f aca="false">AX$134*AX138</f>
        <v>212.735</v>
      </c>
      <c r="AY127" s="50" t="n">
        <f aca="false">AY$134*AY138</f>
        <v>332.353</v>
      </c>
      <c r="AZ127" s="262" t="n">
        <f aca="false">AZ$134*AZ138</f>
        <v>1080.121</v>
      </c>
      <c r="BA127" s="50" t="n">
        <f aca="false">BA$134*BA138</f>
        <v>801.27</v>
      </c>
      <c r="BB127" s="50" t="n">
        <f aca="false">BB$134*BB138</f>
        <v>560.61</v>
      </c>
      <c r="BC127" s="50" t="n">
        <f aca="false">BC$134*BC138</f>
        <v>265.41</v>
      </c>
      <c r="BD127" s="50" t="n">
        <f aca="false">BD$134*BD138</f>
        <v>625.075</v>
      </c>
      <c r="BE127" s="262" t="n">
        <f aca="false">BE$134*BE138</f>
        <v>2193.86</v>
      </c>
      <c r="BF127" s="50" t="n">
        <f aca="false">BF$134*BF138</f>
        <v>237.954</v>
      </c>
      <c r="BG127" s="50" t="n">
        <f aca="false">BG$134*BG138</f>
        <v>142.827</v>
      </c>
      <c r="BH127" s="50" t="n">
        <f aca="false">BH$134*BH138</f>
        <v>1244.46</v>
      </c>
      <c r="BI127" s="50" t="n">
        <f aca="false">BI$134*BI138</f>
        <v>1992.452</v>
      </c>
      <c r="BJ127" s="262" t="n">
        <f aca="false">BJ$134*BJ138</f>
        <v>3700.679</v>
      </c>
      <c r="BK127" s="50" t="n">
        <f aca="false">BK$134*BK138</f>
        <v>918.464</v>
      </c>
      <c r="BL127" s="50" t="n">
        <f aca="false">BL$134*BL138</f>
        <v>559.61</v>
      </c>
      <c r="BM127" s="50" t="n">
        <f aca="false">BM$134*BM138</f>
        <v>333.228</v>
      </c>
      <c r="BN127" s="50" t="n">
        <f aca="false">BN$134*BN138</f>
        <v>1289.28</v>
      </c>
      <c r="BO127" s="264" t="n">
        <f aca="false">BO$134*BO138</f>
        <v>2936.916</v>
      </c>
      <c r="BP127" s="48"/>
      <c r="BQ127" s="48"/>
      <c r="BR127" s="48"/>
      <c r="BS127" s="48"/>
      <c r="BT127" s="159"/>
      <c r="BU127" s="48"/>
      <c r="BV127" s="48"/>
      <c r="BW127" s="48"/>
      <c r="BX127" s="48"/>
      <c r="BY127" s="159"/>
      <c r="BZ127" s="159"/>
      <c r="CA127" s="159"/>
      <c r="CB127" s="159"/>
      <c r="CC127" s="50"/>
    </row>
    <row r="128" s="51" customFormat="true" ht="15" hidden="true" customHeight="true" outlineLevel="2" collapsed="false">
      <c r="A128" s="270" t="s">
        <v>242</v>
      </c>
      <c r="B128" s="158"/>
      <c r="C128" s="159"/>
      <c r="D128" s="159"/>
      <c r="E128" s="159"/>
      <c r="F128" s="159"/>
      <c r="G128" s="159"/>
      <c r="H128" s="50" t="n">
        <f aca="false">H$134*H139</f>
        <v>0</v>
      </c>
      <c r="I128" s="50" t="n">
        <f aca="false">I$134*I139</f>
        <v>12.43</v>
      </c>
      <c r="J128" s="50" t="n">
        <f aca="false">J$134*J139</f>
        <v>70.76</v>
      </c>
      <c r="K128" s="50" t="n">
        <f aca="false">K$134*K139</f>
        <v>0</v>
      </c>
      <c r="L128" s="159" t="n">
        <f aca="false">SUM(H128,I128,J128,K128)</f>
        <v>83.19</v>
      </c>
      <c r="M128" s="50" t="n">
        <f aca="false">M$134*M139</f>
        <v>37.395</v>
      </c>
      <c r="N128" s="50" t="n">
        <f aca="false">N$134*N139</f>
        <v>45.38</v>
      </c>
      <c r="O128" s="50" t="n">
        <f aca="false">O$134*O139</f>
        <v>0</v>
      </c>
      <c r="P128" s="50" t="n">
        <f aca="false">P$134*P139</f>
        <v>8.809</v>
      </c>
      <c r="Q128" s="159" t="n">
        <f aca="false">SUM(M128,N128,O128,P128)</f>
        <v>91.584</v>
      </c>
      <c r="R128" s="50" t="n">
        <f aca="false">R$134*R139</f>
        <v>0</v>
      </c>
      <c r="S128" s="50" t="n">
        <f aca="false">S$134*S139</f>
        <v>50.616</v>
      </c>
      <c r="T128" s="50" t="n">
        <f aca="false">T$134*T139</f>
        <v>100.616</v>
      </c>
      <c r="U128" s="50" t="n">
        <f aca="false">U$134*U139</f>
        <v>232.038</v>
      </c>
      <c r="V128" s="159" t="n">
        <f aca="false">SUM(R128,S128,T128,U128)</f>
        <v>383.27</v>
      </c>
      <c r="W128" s="50" t="n">
        <f aca="false">W$134*W139</f>
        <v>97.264</v>
      </c>
      <c r="X128" s="50" t="n">
        <f aca="false">X$134*X139</f>
        <v>55.364</v>
      </c>
      <c r="Y128" s="50" t="n">
        <f aca="false">Y$134*Y139</f>
        <v>272.835</v>
      </c>
      <c r="Z128" s="50" t="n">
        <f aca="false">Z$134*Z139</f>
        <v>234.588</v>
      </c>
      <c r="AA128" s="262" t="n">
        <f aca="false">AA$134*AA139</f>
        <v>637.37</v>
      </c>
      <c r="AB128" s="50" t="n">
        <f aca="false">AB$134*AB139</f>
        <v>333.54</v>
      </c>
      <c r="AC128" s="50" t="n">
        <f aca="false">AC$134*AC139</f>
        <v>83.46</v>
      </c>
      <c r="AD128" s="50" t="n">
        <f aca="false">AD$134*AD139</f>
        <v>41.612</v>
      </c>
      <c r="AE128" s="50" t="n">
        <f aca="false">AE$134*AE139</f>
        <v>0</v>
      </c>
      <c r="AF128" s="262" t="n">
        <f aca="false">AF$134*AF139</f>
        <v>495.546</v>
      </c>
      <c r="AG128" s="50" t="n">
        <f aca="false">AG$134*AG139</f>
        <v>0</v>
      </c>
      <c r="AH128" s="50" t="n">
        <f aca="false">AH$134*AH139</f>
        <v>55.524</v>
      </c>
      <c r="AI128" s="50" t="n">
        <f aca="false">AI$134*AI139</f>
        <v>0</v>
      </c>
      <c r="AJ128" s="50" t="n">
        <f aca="false">AJ$134*AJ139</f>
        <v>93.924</v>
      </c>
      <c r="AK128" s="262" t="n">
        <f aca="false">AK$134*AK139</f>
        <v>179.924</v>
      </c>
      <c r="AL128" s="50" t="n">
        <f aca="false">AL$134*AL139</f>
        <v>47.52</v>
      </c>
      <c r="AM128" s="50" t="n">
        <f aca="false">AM$134*AM139</f>
        <v>24.386</v>
      </c>
      <c r="AN128" s="50" t="n">
        <f aca="false">AN$134*AN139</f>
        <v>30.956</v>
      </c>
      <c r="AO128" s="50" t="n">
        <f aca="false">AO$134*AO139</f>
        <v>255.872</v>
      </c>
      <c r="AP128" s="262" t="n">
        <f aca="false">AP$134*AP139</f>
        <v>309.498</v>
      </c>
      <c r="AQ128" s="50" t="n">
        <f aca="false">AQ$134*AQ139</f>
        <v>-187.728</v>
      </c>
      <c r="AR128" s="50" t="n">
        <f aca="false">AR$134*AR139</f>
        <v>29.496</v>
      </c>
      <c r="AS128" s="50" t="n">
        <f aca="false">AS$134*AS139</f>
        <v>0</v>
      </c>
      <c r="AT128" s="50" t="n">
        <f aca="false">AT$134*AT139</f>
        <v>0</v>
      </c>
      <c r="AU128" s="262" t="n">
        <f aca="false">AU$134*AU139</f>
        <v>0</v>
      </c>
      <c r="AV128" s="50" t="n">
        <f aca="false">AV$134*AV139</f>
        <v>22.872</v>
      </c>
      <c r="AW128" s="50" t="n">
        <f aca="false">AW$134*AW139</f>
        <v>82.81</v>
      </c>
      <c r="AX128" s="50" t="n">
        <f aca="false">AX$134*AX139</f>
        <v>170.188</v>
      </c>
      <c r="AY128" s="50" t="n">
        <f aca="false">AY$134*AY139</f>
        <v>94.958</v>
      </c>
      <c r="AZ128" s="262" t="n">
        <f aca="false">AZ$134*AZ139</f>
        <v>308.606</v>
      </c>
      <c r="BA128" s="50" t="n">
        <f aca="false">BA$134*BA139</f>
        <v>53.418</v>
      </c>
      <c r="BB128" s="50" t="n">
        <f aca="false">BB$134*BB139</f>
        <v>112.122</v>
      </c>
      <c r="BC128" s="50" t="n">
        <f aca="false">BC$134*BC139</f>
        <v>212.328</v>
      </c>
      <c r="BD128" s="50" t="n">
        <f aca="false">BD$134*BD139</f>
        <v>454.6</v>
      </c>
      <c r="BE128" s="262" t="n">
        <f aca="false">BE$134*BE139</f>
        <v>877.544</v>
      </c>
      <c r="BF128" s="50" t="n">
        <f aca="false">BF$134*BF139</f>
        <v>793.18</v>
      </c>
      <c r="BG128" s="50" t="n">
        <f aca="false">BG$134*BG139</f>
        <v>190.436</v>
      </c>
      <c r="BH128" s="50" t="n">
        <f aca="false">BH$134*BH139</f>
        <v>0</v>
      </c>
      <c r="BI128" s="50" t="n">
        <f aca="false">BI$134*BI139</f>
        <v>0</v>
      </c>
      <c r="BJ128" s="262" t="n">
        <f aca="false">BJ$134*BJ139</f>
        <v>1088.435</v>
      </c>
      <c r="BK128" s="50" t="n">
        <f aca="false">BK$134*BK139</f>
        <v>0</v>
      </c>
      <c r="BL128" s="50" t="n">
        <f aca="false">BL$134*BL139</f>
        <v>111.922</v>
      </c>
      <c r="BM128" s="50" t="n">
        <f aca="false">BM$134*BM139</f>
        <v>0</v>
      </c>
      <c r="BN128" s="50" t="n">
        <f aca="false">BN$134*BN139</f>
        <v>0</v>
      </c>
      <c r="BO128" s="264" t="n">
        <f aca="false">BO$134*BO139</f>
        <v>244.743</v>
      </c>
      <c r="BP128" s="48"/>
      <c r="BQ128" s="48"/>
      <c r="BR128" s="48"/>
      <c r="BS128" s="48"/>
      <c r="BT128" s="159"/>
      <c r="BU128" s="48"/>
      <c r="BV128" s="48"/>
      <c r="BW128" s="48"/>
      <c r="BX128" s="48"/>
      <c r="BY128" s="159"/>
      <c r="BZ128" s="159"/>
      <c r="CA128" s="159"/>
      <c r="CB128" s="159"/>
      <c r="CC128" s="50"/>
    </row>
    <row r="129" s="51" customFormat="true" ht="15" hidden="true" customHeight="true" outlineLevel="2" collapsed="false">
      <c r="A129" s="270" t="s">
        <v>243</v>
      </c>
      <c r="B129" s="158"/>
      <c r="C129" s="159"/>
      <c r="D129" s="159"/>
      <c r="E129" s="159"/>
      <c r="F129" s="159"/>
      <c r="G129" s="159"/>
      <c r="H129" s="50" t="n">
        <f aca="false">H$134*H140</f>
        <v>10.3</v>
      </c>
      <c r="I129" s="50" t="n">
        <f aca="false">I$134*I140</f>
        <v>0</v>
      </c>
      <c r="J129" s="50" t="n">
        <f aca="false">J$134*J140</f>
        <v>79.605</v>
      </c>
      <c r="K129" s="50" t="n">
        <f aca="false">K$134*K140</f>
        <v>21.706</v>
      </c>
      <c r="L129" s="159" t="n">
        <f aca="false">SUM(H129,I129,J129,K129)</f>
        <v>111.611</v>
      </c>
      <c r="M129" s="50" t="n">
        <f aca="false">M$134*M140</f>
        <v>24.93</v>
      </c>
      <c r="N129" s="50" t="n">
        <f aca="false">N$134*N140</f>
        <v>0</v>
      </c>
      <c r="O129" s="50" t="n">
        <f aca="false">O$134*O140</f>
        <v>19.506</v>
      </c>
      <c r="P129" s="50" t="n">
        <f aca="false">P$134*P140</f>
        <v>0</v>
      </c>
      <c r="Q129" s="159" t="n">
        <f aca="false">SUM(M129,N129,O129,P129)</f>
        <v>44.436</v>
      </c>
      <c r="R129" s="50" t="n">
        <f aca="false">R$134*R140</f>
        <v>8.598</v>
      </c>
      <c r="S129" s="50" t="n">
        <f aca="false">S$134*S140</f>
        <v>101.232</v>
      </c>
      <c r="T129" s="50" t="n">
        <f aca="false">T$134*T140</f>
        <v>88.039</v>
      </c>
      <c r="U129" s="50" t="n">
        <f aca="false">U$134*U140</f>
        <v>0</v>
      </c>
      <c r="V129" s="159" t="n">
        <f aca="false">SUM(R129,S129,T129,U129)</f>
        <v>197.869</v>
      </c>
      <c r="W129" s="50" t="n">
        <f aca="false">W$134*W140</f>
        <v>12.158</v>
      </c>
      <c r="X129" s="50" t="n">
        <f aca="false">X$134*X140</f>
        <v>13.841</v>
      </c>
      <c r="Y129" s="50" t="n">
        <f aca="false">Y$134*Y140</f>
        <v>0</v>
      </c>
      <c r="Z129" s="50" t="n">
        <f aca="false">Z$134*Z140</f>
        <v>39.098</v>
      </c>
      <c r="AA129" s="262" t="n">
        <f aca="false">AA$134*AA140</f>
        <v>63.737</v>
      </c>
      <c r="AB129" s="50" t="n">
        <f aca="false">AB$134*AB140</f>
        <v>16.677</v>
      </c>
      <c r="AC129" s="50" t="n">
        <f aca="false">AC$134*AC140</f>
        <v>20.865</v>
      </c>
      <c r="AD129" s="50" t="n">
        <f aca="false">AD$134*AD140</f>
        <v>62.418</v>
      </c>
      <c r="AE129" s="50" t="n">
        <f aca="false">AE$134*AE140</f>
        <v>24.243</v>
      </c>
      <c r="AF129" s="262" t="n">
        <f aca="false">AF$134*AF140</f>
        <v>82.591</v>
      </c>
      <c r="AG129" s="50" t="n">
        <f aca="false">AG$134*AG140</f>
        <v>16.89</v>
      </c>
      <c r="AH129" s="50" t="n">
        <f aca="false">AH$134*AH140</f>
        <v>0</v>
      </c>
      <c r="AI129" s="50" t="n">
        <f aca="false">AI$134*AI140</f>
        <v>0</v>
      </c>
      <c r="AJ129" s="50" t="n">
        <f aca="false">AJ$134*AJ140</f>
        <v>0</v>
      </c>
      <c r="AK129" s="262" t="n">
        <f aca="false">AK$134*AK140</f>
        <v>0</v>
      </c>
      <c r="AL129" s="50" t="n">
        <f aca="false">AL$134*AL140</f>
        <v>0</v>
      </c>
      <c r="AM129" s="50" t="n">
        <f aca="false">AM$134*AM140</f>
        <v>0</v>
      </c>
      <c r="AN129" s="50" t="n">
        <f aca="false">AN$134*AN140</f>
        <v>0</v>
      </c>
      <c r="AO129" s="50" t="n">
        <f aca="false">AO$134*AO140</f>
        <v>0</v>
      </c>
      <c r="AP129" s="262" t="n">
        <f aca="false">AP$134*AP140</f>
        <v>0</v>
      </c>
      <c r="AQ129" s="50" t="n">
        <f aca="false">AQ$134*AQ140</f>
        <v>0</v>
      </c>
      <c r="AR129" s="50" t="n">
        <f aca="false">AR$134*AR140</f>
        <v>0</v>
      </c>
      <c r="AS129" s="50" t="n">
        <f aca="false">AS$134*AS140</f>
        <v>0</v>
      </c>
      <c r="AT129" s="50" t="n">
        <f aca="false">AT$134*AT140</f>
        <v>0</v>
      </c>
      <c r="AU129" s="262" t="n">
        <f aca="false">AU$134*AU140</f>
        <v>0</v>
      </c>
      <c r="AV129" s="50" t="n">
        <f aca="false">AV$134*AV140</f>
        <v>22.872</v>
      </c>
      <c r="AW129" s="50" t="n">
        <f aca="false">AW$134*AW140</f>
        <v>41.405</v>
      </c>
      <c r="AX129" s="50" t="n">
        <f aca="false">AX$134*AX140</f>
        <v>42.547</v>
      </c>
      <c r="AY129" s="50" t="n">
        <f aca="false">AY$134*AY140</f>
        <v>142.437</v>
      </c>
      <c r="AZ129" s="262" t="n">
        <f aca="false">AZ$134*AZ140</f>
        <v>308.606</v>
      </c>
      <c r="BA129" s="50" t="n">
        <f aca="false">BA$134*BA140</f>
        <v>0</v>
      </c>
      <c r="BB129" s="50" t="n">
        <f aca="false">BB$134*BB140</f>
        <v>56.061</v>
      </c>
      <c r="BC129" s="50" t="n">
        <f aca="false">BC$134*BC140</f>
        <v>53.082</v>
      </c>
      <c r="BD129" s="50" t="n">
        <f aca="false">BD$134*BD140</f>
        <v>56.825</v>
      </c>
      <c r="BE129" s="262" t="n">
        <f aca="false">BE$134*BE140</f>
        <v>219.386</v>
      </c>
      <c r="BF129" s="50" t="n">
        <f aca="false">BF$134*BF140</f>
        <v>0</v>
      </c>
      <c r="BG129" s="50" t="n">
        <f aca="false">BG$134*BG140</f>
        <v>95.218</v>
      </c>
      <c r="BH129" s="50" t="n">
        <f aca="false">BH$134*BH140</f>
        <v>0</v>
      </c>
      <c r="BI129" s="50" t="n">
        <f aca="false">BI$134*BI140</f>
        <v>0</v>
      </c>
      <c r="BJ129" s="262" t="n">
        <f aca="false">BJ$134*BJ140</f>
        <v>217.687</v>
      </c>
      <c r="BK129" s="50" t="n">
        <f aca="false">BK$134*BK140</f>
        <v>0</v>
      </c>
      <c r="BL129" s="50" t="n">
        <f aca="false">BL$134*BL140</f>
        <v>111.922</v>
      </c>
      <c r="BM129" s="50" t="n">
        <f aca="false">BM$134*BM140</f>
        <v>166.614</v>
      </c>
      <c r="BN129" s="50" t="n">
        <f aca="false">BN$134*BN140</f>
        <v>151.68</v>
      </c>
      <c r="BO129" s="264" t="n">
        <f aca="false">BO$134*BO140</f>
        <v>489.486</v>
      </c>
      <c r="BP129" s="48"/>
      <c r="BQ129" s="48"/>
      <c r="BR129" s="48"/>
      <c r="BS129" s="48"/>
      <c r="BT129" s="159"/>
      <c r="BU129" s="48"/>
      <c r="BV129" s="48"/>
      <c r="BW129" s="48"/>
      <c r="BX129" s="48"/>
      <c r="BY129" s="159"/>
      <c r="BZ129" s="159"/>
      <c r="CA129" s="159"/>
      <c r="CB129" s="159"/>
      <c r="CC129" s="50"/>
    </row>
    <row r="130" s="51" customFormat="true" ht="15" hidden="true" customHeight="true" outlineLevel="2" collapsed="false">
      <c r="A130" s="270" t="s">
        <v>244</v>
      </c>
      <c r="B130" s="158"/>
      <c r="C130" s="159"/>
      <c r="D130" s="159"/>
      <c r="E130" s="147"/>
      <c r="F130" s="159"/>
      <c r="G130" s="159"/>
      <c r="H130" s="50" t="n">
        <f aca="false">H$134*H141</f>
        <v>0</v>
      </c>
      <c r="I130" s="50" t="n">
        <f aca="false">I$134*I141</f>
        <v>136.73</v>
      </c>
      <c r="J130" s="50" t="n">
        <f aca="false">J$134*J141</f>
        <v>0</v>
      </c>
      <c r="K130" s="50" t="n">
        <f aca="false">K$134*K141</f>
        <v>141.089</v>
      </c>
      <c r="L130" s="159" t="n">
        <f aca="false">SUM(H130,I130,J130,K130)</f>
        <v>277.819</v>
      </c>
      <c r="M130" s="50" t="n">
        <f aca="false">M$134*M141</f>
        <v>137.115</v>
      </c>
      <c r="N130" s="50" t="n">
        <f aca="false">N$134*N141</f>
        <v>147.485</v>
      </c>
      <c r="O130" s="50" t="n">
        <f aca="false">O$134*O141</f>
        <v>107.283</v>
      </c>
      <c r="P130" s="50" t="n">
        <f aca="false">P$134*P141</f>
        <v>79.281</v>
      </c>
      <c r="Q130" s="159" t="n">
        <f aca="false">SUM(M130,N130,O130,P130)</f>
        <v>471.164</v>
      </c>
      <c r="R130" s="50" t="n">
        <f aca="false">R$134*R141</f>
        <v>60.186</v>
      </c>
      <c r="S130" s="50" t="n">
        <f aca="false">S$134*S141</f>
        <v>50.616</v>
      </c>
      <c r="T130" s="50" t="n">
        <f aca="false">T$134*T141</f>
        <v>62.885</v>
      </c>
      <c r="U130" s="50" t="n">
        <f aca="false">U$134*U141</f>
        <v>25.782</v>
      </c>
      <c r="V130" s="159" t="n">
        <f aca="false">SUM(R130,S130,T130,U130)</f>
        <v>199.469</v>
      </c>
      <c r="W130" s="50" t="n">
        <f aca="false">W$134*W141</f>
        <v>60.79</v>
      </c>
      <c r="X130" s="50" t="n">
        <f aca="false">X$134*X141</f>
        <v>13.841</v>
      </c>
      <c r="Y130" s="50" t="n">
        <f aca="false">Y$134*Y141</f>
        <v>18.189</v>
      </c>
      <c r="Z130" s="50" t="n">
        <f aca="false">Z$134*Z141</f>
        <v>78.196</v>
      </c>
      <c r="AA130" s="262" t="n">
        <f aca="false">AA$134*AA141</f>
        <v>191.211</v>
      </c>
      <c r="AB130" s="50" t="n">
        <f aca="false">AB$134*AB141</f>
        <v>0</v>
      </c>
      <c r="AC130" s="50" t="n">
        <f aca="false">AC$134*AC141</f>
        <v>83.46</v>
      </c>
      <c r="AD130" s="50" t="n">
        <f aca="false">AD$134*AD141</f>
        <v>187.254</v>
      </c>
      <c r="AE130" s="50" t="n">
        <f aca="false">AE$134*AE141</f>
        <v>72.729</v>
      </c>
      <c r="AF130" s="262" t="n">
        <f aca="false">AF$134*AF141</f>
        <v>330.364</v>
      </c>
      <c r="AG130" s="50" t="n">
        <f aca="false">AG$134*AG141</f>
        <v>16.89</v>
      </c>
      <c r="AH130" s="50" t="n">
        <f aca="false">AH$134*AH141</f>
        <v>55.524</v>
      </c>
      <c r="AI130" s="50" t="n">
        <f aca="false">AI$134*AI141</f>
        <v>46.512</v>
      </c>
      <c r="AJ130" s="50" t="n">
        <f aca="false">AJ$134*AJ141</f>
        <v>125.232</v>
      </c>
      <c r="AK130" s="262" t="n">
        <f aca="false">AK$134*AK141</f>
        <v>269.886</v>
      </c>
      <c r="AL130" s="50" t="n">
        <f aca="false">AL$134*AL141</f>
        <v>63.36</v>
      </c>
      <c r="AM130" s="50" t="n">
        <f aca="false">AM$134*AM141</f>
        <v>0</v>
      </c>
      <c r="AN130" s="50" t="n">
        <f aca="false">AN$134*AN141</f>
        <v>0</v>
      </c>
      <c r="AO130" s="50" t="n">
        <f aca="false">AO$134*AO141</f>
        <v>191.904</v>
      </c>
      <c r="AP130" s="262" t="n">
        <f aca="false">AP$134*AP141</f>
        <v>309.498</v>
      </c>
      <c r="AQ130" s="50" t="n">
        <f aca="false">AQ$134*AQ141</f>
        <v>31.288</v>
      </c>
      <c r="AR130" s="50" t="n">
        <f aca="false">AR$134*AR141</f>
        <v>29.496</v>
      </c>
      <c r="AS130" s="50" t="n">
        <f aca="false">AS$134*AS141</f>
        <v>41.111</v>
      </c>
      <c r="AT130" s="50" t="n">
        <f aca="false">AT$134*AT141</f>
        <v>0</v>
      </c>
      <c r="AU130" s="262" t="n">
        <f aca="false">AU$134*AU141</f>
        <v>136.528</v>
      </c>
      <c r="AV130" s="50" t="n">
        <f aca="false">AV$134*AV141</f>
        <v>160.104</v>
      </c>
      <c r="AW130" s="50" t="n">
        <f aca="false">AW$134*AW141</f>
        <v>124.215</v>
      </c>
      <c r="AX130" s="50" t="n">
        <f aca="false">AX$134*AX141</f>
        <v>170.188</v>
      </c>
      <c r="AY130" s="50" t="n">
        <f aca="false">AY$134*AY141</f>
        <v>142.437</v>
      </c>
      <c r="AZ130" s="262" t="n">
        <f aca="false">AZ$134*AZ141</f>
        <v>617.212</v>
      </c>
      <c r="BA130" s="50" t="n">
        <f aca="false">BA$134*BA141</f>
        <v>53.418</v>
      </c>
      <c r="BB130" s="50" t="n">
        <f aca="false">BB$134*BB141</f>
        <v>112.122</v>
      </c>
      <c r="BC130" s="50" t="n">
        <f aca="false">BC$134*BC141</f>
        <v>0</v>
      </c>
      <c r="BD130" s="50" t="n">
        <f aca="false">BD$134*BD141</f>
        <v>170.475</v>
      </c>
      <c r="BE130" s="262" t="n">
        <f aca="false">BE$134*BE141</f>
        <v>438.772</v>
      </c>
      <c r="BF130" s="50" t="n">
        <f aca="false">BF$134*BF141</f>
        <v>0</v>
      </c>
      <c r="BG130" s="50" t="n">
        <f aca="false">BG$134*BG141</f>
        <v>142.827</v>
      </c>
      <c r="BH130" s="50" t="n">
        <f aca="false">BH$134*BH141</f>
        <v>118.52</v>
      </c>
      <c r="BI130" s="50" t="n">
        <f aca="false">BI$134*BI141</f>
        <v>711.59</v>
      </c>
      <c r="BJ130" s="262" t="n">
        <f aca="false">BJ$134*BJ141</f>
        <v>870.748</v>
      </c>
      <c r="BK130" s="50" t="n">
        <f aca="false">BK$134*BK141</f>
        <v>57.404</v>
      </c>
      <c r="BL130" s="50" t="n">
        <f aca="false">BL$134*BL141</f>
        <v>279.805</v>
      </c>
      <c r="BM130" s="50" t="n">
        <f aca="false">BM$134*BM141</f>
        <v>55.538</v>
      </c>
      <c r="BN130" s="50" t="n">
        <f aca="false">BN$134*BN141</f>
        <v>758.4</v>
      </c>
      <c r="BO130" s="264" t="n">
        <f aca="false">BO$134*BO141</f>
        <v>1223.715</v>
      </c>
      <c r="BP130" s="48"/>
      <c r="BQ130" s="48"/>
      <c r="BR130" s="48"/>
      <c r="BS130" s="48"/>
      <c r="BT130" s="159"/>
      <c r="BU130" s="48"/>
      <c r="BV130" s="48"/>
      <c r="BW130" s="48"/>
      <c r="BX130" s="48"/>
      <c r="BY130" s="159"/>
      <c r="BZ130" s="159"/>
      <c r="CA130" s="159"/>
      <c r="CB130" s="159"/>
      <c r="CC130" s="50"/>
    </row>
    <row r="131" s="51" customFormat="true" ht="15" hidden="true" customHeight="true" outlineLevel="2" collapsed="false">
      <c r="A131" s="270" t="s">
        <v>245</v>
      </c>
      <c r="B131" s="158"/>
      <c r="C131" s="159"/>
      <c r="D131" s="159"/>
      <c r="E131" s="159"/>
      <c r="F131" s="159"/>
      <c r="G131" s="159"/>
      <c r="H131" s="50" t="n">
        <f aca="false">H$134*H142</f>
        <v>236.9</v>
      </c>
      <c r="I131" s="50" t="n">
        <f aca="false">I$134*I142</f>
        <v>49.72</v>
      </c>
      <c r="J131" s="50" t="n">
        <f aca="false">J$134*J142</f>
        <v>61.915</v>
      </c>
      <c r="K131" s="50" t="n">
        <f aca="false">K$134*K142</f>
        <v>0</v>
      </c>
      <c r="L131" s="159" t="n">
        <f aca="false">SUM(H131,I131,J131,K131)</f>
        <v>348.535</v>
      </c>
      <c r="M131" s="50" t="n">
        <f aca="false">M$134*M142</f>
        <v>137.115</v>
      </c>
      <c r="N131" s="50" t="n">
        <f aca="false">N$134*N142</f>
        <v>34.035</v>
      </c>
      <c r="O131" s="50" t="n">
        <f aca="false">O$134*O142</f>
        <v>136.542</v>
      </c>
      <c r="P131" s="50" t="n">
        <f aca="false">P$134*P142</f>
        <v>88.09</v>
      </c>
      <c r="Q131" s="159" t="n">
        <f aca="false">SUM(M131,N131,O131,P131)</f>
        <v>395.782</v>
      </c>
      <c r="R131" s="50" t="n">
        <f aca="false">R$134*R142</f>
        <v>300.93</v>
      </c>
      <c r="S131" s="50" t="n">
        <f aca="false">S$134*S142</f>
        <v>189.81</v>
      </c>
      <c r="T131" s="50" t="n">
        <f aca="false">T$134*T142</f>
        <v>75.462</v>
      </c>
      <c r="U131" s="50" t="n">
        <f aca="false">U$134*U142</f>
        <v>38.673</v>
      </c>
      <c r="V131" s="159" t="n">
        <f aca="false">SUM(R131,S131,T131,U131)</f>
        <v>604.875</v>
      </c>
      <c r="W131" s="50" t="n">
        <f aca="false">W$134*W142</f>
        <v>316.108</v>
      </c>
      <c r="X131" s="50" t="n">
        <f aca="false">X$134*X142</f>
        <v>83.046</v>
      </c>
      <c r="Y131" s="50" t="n">
        <f aca="false">Y$134*Y142</f>
        <v>145.512</v>
      </c>
      <c r="Z131" s="50" t="n">
        <f aca="false">Z$134*Z142</f>
        <v>175.941</v>
      </c>
      <c r="AA131" s="262" t="n">
        <f aca="false">AA$134*AA142</f>
        <v>701.107</v>
      </c>
      <c r="AB131" s="50" t="n">
        <f aca="false">AB$134*AB142</f>
        <v>333.54</v>
      </c>
      <c r="AC131" s="50" t="n">
        <f aca="false">AC$134*AC142</f>
        <v>396.435</v>
      </c>
      <c r="AD131" s="50" t="n">
        <f aca="false">AD$134*AD142</f>
        <v>374.508</v>
      </c>
      <c r="AE131" s="50" t="n">
        <f aca="false">AE$134*AE142</f>
        <v>436.374</v>
      </c>
      <c r="AF131" s="262" t="n">
        <f aca="false">AF$134*AF142</f>
        <v>1569.229</v>
      </c>
      <c r="AG131" s="50" t="n">
        <f aca="false">AG$134*AG142</f>
        <v>253.35</v>
      </c>
      <c r="AH131" s="50" t="n">
        <f aca="false">AH$134*AH142</f>
        <v>222.096</v>
      </c>
      <c r="AI131" s="50" t="n">
        <f aca="false">AI$134*AI142</f>
        <v>162.792</v>
      </c>
      <c r="AJ131" s="50" t="n">
        <f aca="false">AJ$134*AJ142</f>
        <v>438.312</v>
      </c>
      <c r="AK131" s="262" t="n">
        <f aca="false">AK$134*AK142</f>
        <v>1079.544</v>
      </c>
      <c r="AL131" s="50" t="n">
        <f aca="false">AL$134*AL142</f>
        <v>300.96</v>
      </c>
      <c r="AM131" s="50" t="n">
        <f aca="false">AM$134*AM142</f>
        <v>560.878</v>
      </c>
      <c r="AN131" s="50" t="n">
        <f aca="false">AN$134*AN142</f>
        <v>650.076</v>
      </c>
      <c r="AO131" s="50" t="n">
        <f aca="false">AO$134*AO142</f>
        <v>383.808</v>
      </c>
      <c r="AP131" s="262" t="n">
        <f aca="false">AP$134*AP142</f>
        <v>1856.988</v>
      </c>
      <c r="AQ131" s="50" t="n">
        <f aca="false">AQ$134*AQ142</f>
        <v>469.32</v>
      </c>
      <c r="AR131" s="50" t="n">
        <f aca="false">AR$134*AR142</f>
        <v>501.432</v>
      </c>
      <c r="AS131" s="50" t="n">
        <f aca="false">AS$134*AS142</f>
        <v>411.11</v>
      </c>
      <c r="AT131" s="50" t="n">
        <f aca="false">AT$134*AT142</f>
        <v>761.926</v>
      </c>
      <c r="AU131" s="262" t="n">
        <f aca="false">AU$134*AU142</f>
        <v>2184.448</v>
      </c>
      <c r="AV131" s="50" t="n">
        <f aca="false">AV$134*AV142</f>
        <v>777.648</v>
      </c>
      <c r="AW131" s="50" t="n">
        <f aca="false">AW$134*AW142</f>
        <v>414.05</v>
      </c>
      <c r="AX131" s="50" t="n">
        <f aca="false">AX$134*AX142</f>
        <v>638.205</v>
      </c>
      <c r="AY131" s="50" t="n">
        <f aca="false">AY$134*AY142</f>
        <v>427.311</v>
      </c>
      <c r="AZ131" s="262" t="n">
        <f aca="false">AZ$134*AZ142</f>
        <v>2160.242</v>
      </c>
      <c r="BA131" s="50" t="n">
        <f aca="false">BA$134*BA142</f>
        <v>427.344</v>
      </c>
      <c r="BB131" s="50" t="n">
        <f aca="false">BB$134*BB142</f>
        <v>1345.464</v>
      </c>
      <c r="BC131" s="50" t="n">
        <f aca="false">BC$134*BC142</f>
        <v>2441.772</v>
      </c>
      <c r="BD131" s="50" t="n">
        <f aca="false">BD$134*BD142</f>
        <v>2216.175</v>
      </c>
      <c r="BE131" s="262" t="n">
        <f aca="false">BE$134*BE142</f>
        <v>6362.194</v>
      </c>
      <c r="BF131" s="50" t="n">
        <f aca="false">BF$134*BF142</f>
        <v>1943.291</v>
      </c>
      <c r="BG131" s="50" t="n">
        <f aca="false">BG$134*BG142</f>
        <v>2332.841</v>
      </c>
      <c r="BH131" s="50" t="n">
        <f aca="false">BH$134*BH142</f>
        <v>2785.22</v>
      </c>
      <c r="BI131" s="50" t="n">
        <f aca="false">BI$134*BI142</f>
        <v>1921.293</v>
      </c>
      <c r="BJ131" s="262" t="n">
        <f aca="false">BJ$134*BJ142</f>
        <v>8925.167</v>
      </c>
      <c r="BK131" s="50" t="n">
        <f aca="false">BK$134*BK142</f>
        <v>1549.908</v>
      </c>
      <c r="BL131" s="50" t="n">
        <f aca="false">BL$134*BL142</f>
        <v>1510.947</v>
      </c>
      <c r="BM131" s="50" t="n">
        <f aca="false">BM$134*BM142</f>
        <v>2332.596</v>
      </c>
      <c r="BN131" s="50" t="n">
        <f aca="false">BN$134*BN142</f>
        <v>2730.24</v>
      </c>
      <c r="BO131" s="264" t="n">
        <f aca="false">BO$134*BO142</f>
        <v>8076.519</v>
      </c>
      <c r="BP131" s="48"/>
      <c r="BQ131" s="48"/>
      <c r="BR131" s="48"/>
      <c r="BS131" s="48"/>
      <c r="BT131" s="159"/>
      <c r="BU131" s="48"/>
      <c r="BV131" s="48"/>
      <c r="BW131" s="48"/>
      <c r="BX131" s="48"/>
      <c r="BY131" s="159"/>
      <c r="BZ131" s="159"/>
      <c r="CA131" s="159"/>
      <c r="CB131" s="159"/>
      <c r="CC131" s="50"/>
    </row>
    <row r="132" s="51" customFormat="true" ht="15" hidden="true" customHeight="true" outlineLevel="2" collapsed="false">
      <c r="A132" s="270" t="s">
        <v>246</v>
      </c>
      <c r="B132" s="158"/>
      <c r="C132" s="159"/>
      <c r="D132" s="159"/>
      <c r="E132" s="147"/>
      <c r="F132" s="159"/>
      <c r="G132" s="159"/>
      <c r="H132" s="50" t="n">
        <f aca="false">H$134*H143</f>
        <v>0</v>
      </c>
      <c r="I132" s="50" t="n">
        <f aca="false">I$134*I143</f>
        <v>0</v>
      </c>
      <c r="J132" s="50" t="n">
        <f aca="false">J$134*J143</f>
        <v>0</v>
      </c>
      <c r="K132" s="50" t="n">
        <f aca="false">K$134*K143</f>
        <v>0</v>
      </c>
      <c r="L132" s="159" t="n">
        <f aca="false">SUM(H132,I132,J132,K132)</f>
        <v>0</v>
      </c>
      <c r="M132" s="50" t="n">
        <f aca="false">M$134*M143</f>
        <v>0</v>
      </c>
      <c r="N132" s="50" t="n">
        <f aca="false">N$134*N143</f>
        <v>0</v>
      </c>
      <c r="O132" s="50" t="n">
        <f aca="false">O$134*O143</f>
        <v>0</v>
      </c>
      <c r="P132" s="50" t="n">
        <f aca="false">P$134*P143</f>
        <v>0</v>
      </c>
      <c r="Q132" s="159" t="n">
        <f aca="false">SUM(M132,N132,O132,P132)</f>
        <v>0</v>
      </c>
      <c r="R132" s="50" t="n">
        <f aca="false">R$134*R143</f>
        <v>0</v>
      </c>
      <c r="S132" s="50" t="n">
        <f aca="false">S$134*S143</f>
        <v>0</v>
      </c>
      <c r="T132" s="50" t="n">
        <f aca="false">T$134*T143</f>
        <v>0</v>
      </c>
      <c r="U132" s="50" t="n">
        <f aca="false">U$134*U143</f>
        <v>0</v>
      </c>
      <c r="V132" s="159" t="n">
        <f aca="false">SUM(R132,S132,T132,U132)</f>
        <v>0</v>
      </c>
      <c r="W132" s="50" t="n">
        <f aca="false">W$134*W143</f>
        <v>0</v>
      </c>
      <c r="X132" s="50" t="n">
        <f aca="false">X$134*X143</f>
        <v>0</v>
      </c>
      <c r="Y132" s="50" t="n">
        <f aca="false">Y$134*Y143</f>
        <v>0</v>
      </c>
      <c r="Z132" s="50" t="n">
        <f aca="false">Z$134*Z143</f>
        <v>0</v>
      </c>
      <c r="AA132" s="262" t="n">
        <f aca="false">AA$134*AA143</f>
        <v>0</v>
      </c>
      <c r="AB132" s="50" t="n">
        <f aca="false">AB$134*AB143</f>
        <v>0</v>
      </c>
      <c r="AC132" s="50" t="n">
        <f aca="false">AC$134*AC143</f>
        <v>0</v>
      </c>
      <c r="AD132" s="50" t="n">
        <f aca="false">AD$134*AD143</f>
        <v>0</v>
      </c>
      <c r="AE132" s="50" t="n">
        <f aca="false">AE$134*AE143</f>
        <v>0</v>
      </c>
      <c r="AF132" s="262" t="n">
        <f aca="false">AF$134*AF143</f>
        <v>0</v>
      </c>
      <c r="AG132" s="50" t="n">
        <f aca="false">AG$134*AG143</f>
        <v>0</v>
      </c>
      <c r="AH132" s="50" t="n">
        <f aca="false">AH$134*AH143</f>
        <v>0</v>
      </c>
      <c r="AI132" s="50" t="n">
        <f aca="false">AI$134*AI143</f>
        <v>0</v>
      </c>
      <c r="AJ132" s="50" t="n">
        <f aca="false">AJ$134*AJ143</f>
        <v>0</v>
      </c>
      <c r="AK132" s="262" t="n">
        <f aca="false">AK$134*AK143</f>
        <v>0</v>
      </c>
      <c r="AL132" s="50" t="n">
        <f aca="false">AL$134*AL143</f>
        <v>0</v>
      </c>
      <c r="AM132" s="50" t="n">
        <f aca="false">AM$134*AM143</f>
        <v>0</v>
      </c>
      <c r="AN132" s="50" t="n">
        <f aca="false">AN$134*AN143</f>
        <v>0</v>
      </c>
      <c r="AO132" s="50" t="n">
        <f aca="false">AO$134*AO143</f>
        <v>0</v>
      </c>
      <c r="AP132" s="262" t="n">
        <f aca="false">AP$134*AP143</f>
        <v>0</v>
      </c>
      <c r="AQ132" s="50" t="n">
        <f aca="false">AQ$134*AQ143</f>
        <v>0</v>
      </c>
      <c r="AR132" s="50" t="n">
        <f aca="false">AR$134*AR143</f>
        <v>0</v>
      </c>
      <c r="AS132" s="50" t="n">
        <f aca="false">AS$134*AS143</f>
        <v>0</v>
      </c>
      <c r="AT132" s="50" t="n">
        <f aca="false">AT$134*AT143</f>
        <v>0</v>
      </c>
      <c r="AU132" s="262" t="n">
        <f aca="false">AU$134*AU143</f>
        <v>0</v>
      </c>
      <c r="AV132" s="50" t="n">
        <f aca="false">AV$134*AV143</f>
        <v>0</v>
      </c>
      <c r="AW132" s="50" t="n">
        <f aca="false">AW$134*AW143</f>
        <v>0</v>
      </c>
      <c r="AX132" s="50" t="n">
        <f aca="false">AX$134*AX143</f>
        <v>0</v>
      </c>
      <c r="AY132" s="50" t="n">
        <f aca="false">AY$134*AY143</f>
        <v>0</v>
      </c>
      <c r="AZ132" s="262" t="n">
        <f aca="false">AZ$134*AZ143</f>
        <v>0</v>
      </c>
      <c r="BA132" s="50" t="n">
        <f aca="false">BA$134*BA143</f>
        <v>0</v>
      </c>
      <c r="BB132" s="50" t="n">
        <f aca="false">BB$134*BB143</f>
        <v>0</v>
      </c>
      <c r="BC132" s="50" t="n">
        <f aca="false">BC$134*BC143</f>
        <v>0</v>
      </c>
      <c r="BD132" s="50" t="n">
        <f aca="false">BD$134*BD143</f>
        <v>0</v>
      </c>
      <c r="BE132" s="262" t="n">
        <f aca="false">BE$134*BE143</f>
        <v>0</v>
      </c>
      <c r="BF132" s="50" t="n">
        <f aca="false">BF$134*BF143</f>
        <v>0</v>
      </c>
      <c r="BG132" s="50" t="n">
        <f aca="false">BG$134*BG143</f>
        <v>0</v>
      </c>
      <c r="BH132" s="50" t="n">
        <f aca="false">BH$134*BH143</f>
        <v>0</v>
      </c>
      <c r="BI132" s="50" t="n">
        <f aca="false">BI$134*BI143</f>
        <v>0</v>
      </c>
      <c r="BJ132" s="262" t="n">
        <f aca="false">BJ$134*BJ143</f>
        <v>0</v>
      </c>
      <c r="BK132" s="50" t="n">
        <f aca="false">BK$134*BK143</f>
        <v>0</v>
      </c>
      <c r="BL132" s="50" t="n">
        <f aca="false">BL$134*BL143</f>
        <v>0</v>
      </c>
      <c r="BM132" s="50" t="n">
        <f aca="false">BM$134*BM143</f>
        <v>0</v>
      </c>
      <c r="BN132" s="50" t="n">
        <f aca="false">BN$134*BN143</f>
        <v>0</v>
      </c>
      <c r="BO132" s="264" t="n">
        <f aca="false">BO$134*BO143</f>
        <v>0</v>
      </c>
      <c r="BP132" s="48"/>
      <c r="BQ132" s="48"/>
      <c r="BR132" s="48"/>
      <c r="BS132" s="48"/>
      <c r="BT132" s="159"/>
      <c r="BU132" s="48"/>
      <c r="BV132" s="48"/>
      <c r="BW132" s="48"/>
      <c r="BX132" s="48"/>
      <c r="BY132" s="159"/>
      <c r="BZ132" s="159"/>
      <c r="CA132" s="159"/>
      <c r="CB132" s="159"/>
      <c r="CC132" s="50"/>
    </row>
    <row r="133" s="51" customFormat="true" ht="15" hidden="true" customHeight="true" outlineLevel="2" collapsed="false">
      <c r="A133" s="270" t="s">
        <v>247</v>
      </c>
      <c r="B133" s="158"/>
      <c r="C133" s="159"/>
      <c r="D133" s="159"/>
      <c r="E133" s="159"/>
      <c r="F133" s="159"/>
      <c r="G133" s="159"/>
      <c r="H133" s="50" t="n">
        <f aca="false">H$134*H144</f>
        <v>0</v>
      </c>
      <c r="I133" s="50" t="n">
        <f aca="false">I$134*I144</f>
        <v>0</v>
      </c>
      <c r="J133" s="50" t="n">
        <f aca="false">J$134*J144</f>
        <v>0</v>
      </c>
      <c r="K133" s="50" t="n">
        <f aca="false">K$134*K144</f>
        <v>0</v>
      </c>
      <c r="L133" s="159" t="n">
        <f aca="false">SUM(H133,I133,J133,K133)</f>
        <v>0</v>
      </c>
      <c r="M133" s="50" t="n">
        <f aca="false">M$134*M144</f>
        <v>0</v>
      </c>
      <c r="N133" s="50" t="n">
        <f aca="false">N$134*N144</f>
        <v>0</v>
      </c>
      <c r="O133" s="50" t="n">
        <f aca="false">O$134*O144</f>
        <v>0</v>
      </c>
      <c r="P133" s="50" t="n">
        <f aca="false">P$134*P144</f>
        <v>0</v>
      </c>
      <c r="Q133" s="159" t="n">
        <f aca="false">SUM(M133,N133,O133,P133)</f>
        <v>0</v>
      </c>
      <c r="R133" s="50" t="n">
        <f aca="false">R$134*R144</f>
        <v>0</v>
      </c>
      <c r="S133" s="50" t="n">
        <f aca="false">S$134*S144</f>
        <v>0</v>
      </c>
      <c r="T133" s="50" t="n">
        <f aca="false">T$134*T144</f>
        <v>0</v>
      </c>
      <c r="U133" s="50" t="n">
        <f aca="false">U$134*U144</f>
        <v>0</v>
      </c>
      <c r="V133" s="159" t="n">
        <f aca="false">SUM(R133,S133,T133,U133)</f>
        <v>0</v>
      </c>
      <c r="W133" s="50" t="n">
        <f aca="false">W$134*W144</f>
        <v>0</v>
      </c>
      <c r="X133" s="50" t="n">
        <f aca="false">X$134*X144</f>
        <v>0</v>
      </c>
      <c r="Y133" s="50" t="n">
        <f aca="false">Y$134*Y144</f>
        <v>0</v>
      </c>
      <c r="Z133" s="50" t="n">
        <f aca="false">Z$134*Z144</f>
        <v>0</v>
      </c>
      <c r="AA133" s="262" t="n">
        <f aca="false">AA$134*AA144</f>
        <v>0</v>
      </c>
      <c r="AB133" s="50" t="n">
        <f aca="false">AB$134*AB144</f>
        <v>0</v>
      </c>
      <c r="AC133" s="50" t="n">
        <f aca="false">AC$134*AC144</f>
        <v>0</v>
      </c>
      <c r="AD133" s="50" t="n">
        <f aca="false">AD$134*AD144</f>
        <v>0</v>
      </c>
      <c r="AE133" s="50" t="n">
        <f aca="false">AE$134*AE144</f>
        <v>0</v>
      </c>
      <c r="AF133" s="262" t="n">
        <f aca="false">AF$134*AF144</f>
        <v>0</v>
      </c>
      <c r="AG133" s="50" t="n">
        <f aca="false">AG$134*AG144</f>
        <v>0</v>
      </c>
      <c r="AH133" s="50" t="n">
        <f aca="false">AH$134*AH144</f>
        <v>0</v>
      </c>
      <c r="AI133" s="50" t="n">
        <f aca="false">AI$134*AI144</f>
        <v>0</v>
      </c>
      <c r="AJ133" s="50" t="n">
        <f aca="false">AJ$134*AJ144</f>
        <v>0</v>
      </c>
      <c r="AK133" s="262" t="n">
        <f aca="false">AK$134*AK144</f>
        <v>0</v>
      </c>
      <c r="AL133" s="50" t="n">
        <f aca="false">AL$134*AL144</f>
        <v>0</v>
      </c>
      <c r="AM133" s="50" t="n">
        <f aca="false">AM$134*AM144</f>
        <v>0</v>
      </c>
      <c r="AN133" s="50" t="n">
        <f aca="false">AN$134*AN144</f>
        <v>0</v>
      </c>
      <c r="AO133" s="50" t="n">
        <f aca="false">AO$134*AO144</f>
        <v>0</v>
      </c>
      <c r="AP133" s="262" t="n">
        <f aca="false">AP$134*AP144</f>
        <v>0</v>
      </c>
      <c r="AQ133" s="50" t="n">
        <f aca="false">AQ$134*AQ144</f>
        <v>0</v>
      </c>
      <c r="AR133" s="50" t="n">
        <f aca="false">AR$134*AR144</f>
        <v>0</v>
      </c>
      <c r="AS133" s="50" t="n">
        <f aca="false">AS$134*AS144</f>
        <v>0</v>
      </c>
      <c r="AT133" s="50" t="n">
        <f aca="false">AT$134*AT144</f>
        <v>0</v>
      </c>
      <c r="AU133" s="262" t="n">
        <f aca="false">AU$134*AU144</f>
        <v>0</v>
      </c>
      <c r="AV133" s="50" t="n">
        <f aca="false">AV$134*AV144</f>
        <v>0</v>
      </c>
      <c r="AW133" s="50" t="n">
        <f aca="false">AW$134*AW144</f>
        <v>0</v>
      </c>
      <c r="AX133" s="50" t="n">
        <f aca="false">AX$134*AX144</f>
        <v>0</v>
      </c>
      <c r="AY133" s="50" t="n">
        <f aca="false">AY$134*AY144</f>
        <v>0</v>
      </c>
      <c r="AZ133" s="262" t="n">
        <f aca="false">AZ$134*AZ144</f>
        <v>0</v>
      </c>
      <c r="BA133" s="50" t="n">
        <f aca="false">BA$134*BA144</f>
        <v>0</v>
      </c>
      <c r="BB133" s="50" t="n">
        <f aca="false">BB$134*BB144</f>
        <v>0</v>
      </c>
      <c r="BC133" s="50" t="n">
        <f aca="false">BC$134*BC144</f>
        <v>0</v>
      </c>
      <c r="BD133" s="50" t="n">
        <f aca="false">BD$134*BD144</f>
        <v>0</v>
      </c>
      <c r="BE133" s="262" t="n">
        <f aca="false">BE$134*BE144</f>
        <v>0</v>
      </c>
      <c r="BF133" s="50" t="n">
        <f aca="false">BF$134*BF144</f>
        <v>0</v>
      </c>
      <c r="BG133" s="50" t="n">
        <f aca="false">BG$134*BG144</f>
        <v>0</v>
      </c>
      <c r="BH133" s="50" t="n">
        <f aca="false">BH$134*BH144</f>
        <v>0</v>
      </c>
      <c r="BI133" s="50" t="n">
        <f aca="false">BI$134*BI144</f>
        <v>0</v>
      </c>
      <c r="BJ133" s="262" t="n">
        <f aca="false">BJ$134*BJ144</f>
        <v>0</v>
      </c>
      <c r="BK133" s="50" t="n">
        <f aca="false">BK$134*BK144</f>
        <v>0</v>
      </c>
      <c r="BL133" s="50" t="n">
        <f aca="false">BL$134*BL144</f>
        <v>0</v>
      </c>
      <c r="BM133" s="50" t="n">
        <f aca="false">BM$134*BM144</f>
        <v>0</v>
      </c>
      <c r="BN133" s="50" t="n">
        <f aca="false">BN$134*BN144</f>
        <v>0</v>
      </c>
      <c r="BO133" s="264" t="n">
        <f aca="false">BO$134*BO144</f>
        <v>0</v>
      </c>
      <c r="BP133" s="48"/>
      <c r="BQ133" s="48"/>
      <c r="BR133" s="48"/>
      <c r="BS133" s="48"/>
      <c r="BT133" s="159"/>
      <c r="BU133" s="48"/>
      <c r="BV133" s="48"/>
      <c r="BW133" s="48"/>
      <c r="BX133" s="48"/>
      <c r="BY133" s="159"/>
      <c r="BZ133" s="159"/>
      <c r="CA133" s="159"/>
      <c r="CB133" s="159"/>
      <c r="CC133" s="50"/>
    </row>
    <row r="134" s="157" customFormat="true" ht="15" hidden="true" customHeight="true" outlineLevel="2" collapsed="false">
      <c r="A134" s="151" t="s">
        <v>248</v>
      </c>
      <c r="B134" s="161"/>
      <c r="C134" s="162" t="n">
        <f aca="false">+C39</f>
        <v>1174.858</v>
      </c>
      <c r="D134" s="162" t="n">
        <f aca="false">+D39</f>
        <v>3894.742</v>
      </c>
      <c r="E134" s="162" t="n">
        <f aca="false">+E39</f>
        <v>4883.913</v>
      </c>
      <c r="F134" s="162" t="n">
        <f aca="false">+F39</f>
        <v>3801.632</v>
      </c>
      <c r="G134" s="162" t="n">
        <f aca="false">+G39</f>
        <v>3993.129</v>
      </c>
      <c r="H134" s="163" t="n">
        <f aca="false">+H39</f>
        <v>1030</v>
      </c>
      <c r="I134" s="163" t="n">
        <f aca="false">+I39</f>
        <v>1243</v>
      </c>
      <c r="J134" s="163" t="n">
        <f aca="false">+J39</f>
        <v>884.5</v>
      </c>
      <c r="K134" s="163" t="n">
        <f aca="false">+K39</f>
        <v>1085.3</v>
      </c>
      <c r="L134" s="162" t="n">
        <f aca="false">SUM(L125:L133)</f>
        <v>4242.8</v>
      </c>
      <c r="M134" s="163" t="n">
        <f aca="false">+M39</f>
        <v>1246.5</v>
      </c>
      <c r="N134" s="163" t="n">
        <f aca="false">+N39</f>
        <v>1134.5</v>
      </c>
      <c r="O134" s="163" t="n">
        <f aca="false">+O39</f>
        <v>975.3</v>
      </c>
      <c r="P134" s="163" t="n">
        <f aca="false">+P39</f>
        <v>880.9</v>
      </c>
      <c r="Q134" s="162" t="n">
        <f aca="false">SUM(Q125:Q133)</f>
        <v>4237.2</v>
      </c>
      <c r="R134" s="163" t="n">
        <f aca="false">+R39</f>
        <v>859.8</v>
      </c>
      <c r="S134" s="163" t="n">
        <f aca="false">+S39</f>
        <v>1265.4</v>
      </c>
      <c r="T134" s="163" t="n">
        <f aca="false">+T39</f>
        <v>1257.7</v>
      </c>
      <c r="U134" s="163" t="n">
        <f aca="false">+U39</f>
        <v>1289.1</v>
      </c>
      <c r="V134" s="162" t="n">
        <f aca="false">SUM(V125:V133)</f>
        <v>4672</v>
      </c>
      <c r="W134" s="163" t="n">
        <f aca="false">+W39</f>
        <v>1215.8</v>
      </c>
      <c r="X134" s="163" t="n">
        <f aca="false">+X39</f>
        <v>1384.1</v>
      </c>
      <c r="Y134" s="163" t="n">
        <f aca="false">+Y39</f>
        <v>1818.9</v>
      </c>
      <c r="Z134" s="163" t="n">
        <f aca="false">+Z39</f>
        <v>1954.9</v>
      </c>
      <c r="AA134" s="162" t="n">
        <f aca="false">+AA39</f>
        <v>6373.7</v>
      </c>
      <c r="AB134" s="163" t="n">
        <f aca="false">+AB39</f>
        <v>1667.7</v>
      </c>
      <c r="AC134" s="163" t="n">
        <f aca="false">+AC39</f>
        <v>2086.5</v>
      </c>
      <c r="AD134" s="163" t="n">
        <f aca="false">+AD39</f>
        <v>2080.6</v>
      </c>
      <c r="AE134" s="163" t="n">
        <f aca="false">+AE39</f>
        <v>2424.3</v>
      </c>
      <c r="AF134" s="162" t="n">
        <f aca="false">+AF39</f>
        <v>8259.1</v>
      </c>
      <c r="AG134" s="163" t="n">
        <f aca="false">+AG39</f>
        <v>1689</v>
      </c>
      <c r="AH134" s="163" t="n">
        <f aca="false">+AH39</f>
        <v>1850.8</v>
      </c>
      <c r="AI134" s="163" t="n">
        <f aca="false">+AI39</f>
        <v>2325.6</v>
      </c>
      <c r="AJ134" s="163" t="n">
        <f aca="false">+AJ39</f>
        <v>3130.8</v>
      </c>
      <c r="AK134" s="162" t="n">
        <f aca="false">+AK39</f>
        <v>8996.2</v>
      </c>
      <c r="AL134" s="163" t="n">
        <f aca="false">+AL39</f>
        <v>1584</v>
      </c>
      <c r="AM134" s="163" t="n">
        <f aca="false">+AM39</f>
        <v>2438.6</v>
      </c>
      <c r="AN134" s="163" t="n">
        <f aca="false">+AN39</f>
        <v>3095.6</v>
      </c>
      <c r="AO134" s="163" t="n">
        <f aca="false">+AO39</f>
        <v>3198.4</v>
      </c>
      <c r="AP134" s="162" t="n">
        <f aca="false">+AP39</f>
        <v>10316.6</v>
      </c>
      <c r="AQ134" s="163" t="n">
        <f aca="false">+AQ39</f>
        <v>3128.8</v>
      </c>
      <c r="AR134" s="163" t="n">
        <f aca="false">+AR39</f>
        <v>2949.6</v>
      </c>
      <c r="AS134" s="163" t="n">
        <f aca="false">+AS39</f>
        <v>4111.1</v>
      </c>
      <c r="AT134" s="163" t="n">
        <f aca="false">+AT39</f>
        <v>3463.3</v>
      </c>
      <c r="AU134" s="162" t="n">
        <f aca="false">+AU39</f>
        <v>13652.8</v>
      </c>
      <c r="AV134" s="163" t="n">
        <f aca="false">+AV39</f>
        <v>2287.2</v>
      </c>
      <c r="AW134" s="163" t="n">
        <f aca="false">+AW39</f>
        <v>4140.5</v>
      </c>
      <c r="AX134" s="163" t="n">
        <f aca="false">+AX39</f>
        <v>4254.7</v>
      </c>
      <c r="AY134" s="163" t="n">
        <f aca="false">+AY39</f>
        <v>4747.9</v>
      </c>
      <c r="AZ134" s="162" t="n">
        <f aca="false">+AZ39</f>
        <v>15430.3</v>
      </c>
      <c r="BA134" s="163" t="n">
        <f aca="false">+BA39</f>
        <v>5341.8</v>
      </c>
      <c r="BB134" s="163" t="n">
        <f aca="false">+BB39</f>
        <v>5606.1</v>
      </c>
      <c r="BC134" s="163" t="n">
        <f aca="false">+BC39</f>
        <v>5308.2</v>
      </c>
      <c r="BD134" s="163" t="n">
        <f aca="false">+BD39</f>
        <v>5682.5</v>
      </c>
      <c r="BE134" s="162" t="n">
        <f aca="false">+BE39</f>
        <v>21938.6</v>
      </c>
      <c r="BF134" s="163" t="n">
        <f aca="false">+BF39</f>
        <v>3965.9</v>
      </c>
      <c r="BG134" s="163" t="n">
        <f aca="false">+BG39</f>
        <v>4760.9</v>
      </c>
      <c r="BH134" s="163" t="n">
        <f aca="false">+BH39</f>
        <v>5926</v>
      </c>
      <c r="BI134" s="163" t="n">
        <f aca="false">+BI39</f>
        <v>7115.9</v>
      </c>
      <c r="BJ134" s="162" t="n">
        <f aca="false">+BJ39</f>
        <v>21768.7</v>
      </c>
      <c r="BK134" s="163" t="n">
        <f aca="false">+BK39</f>
        <v>5740.4</v>
      </c>
      <c r="BL134" s="163" t="n">
        <f aca="false">+BL39</f>
        <v>5596.1</v>
      </c>
      <c r="BM134" s="163" t="n">
        <f aca="false">+BM39</f>
        <v>5553.8</v>
      </c>
      <c r="BN134" s="163" t="n">
        <f aca="false">+BN39</f>
        <v>7584</v>
      </c>
      <c r="BO134" s="164" t="n">
        <f aca="false">+BO39</f>
        <v>24474.3</v>
      </c>
      <c r="BP134" s="163"/>
      <c r="BQ134" s="163"/>
      <c r="BR134" s="163"/>
      <c r="BS134" s="163"/>
      <c r="BT134" s="162"/>
      <c r="BU134" s="163"/>
      <c r="BV134" s="163"/>
      <c r="BW134" s="163"/>
      <c r="BX134" s="163"/>
      <c r="BY134" s="162"/>
      <c r="BZ134" s="162"/>
      <c r="CA134" s="162"/>
      <c r="CB134" s="162"/>
      <c r="CC134" s="156"/>
    </row>
    <row r="135" s="157" customFormat="true" ht="15" hidden="true" customHeight="true" outlineLevel="2" collapsed="false">
      <c r="A135" s="252"/>
      <c r="B135" s="222"/>
      <c r="C135" s="223"/>
      <c r="D135" s="223"/>
      <c r="E135" s="223"/>
      <c r="F135" s="223"/>
      <c r="G135" s="223"/>
      <c r="H135" s="224"/>
      <c r="I135" s="224"/>
      <c r="J135" s="224"/>
      <c r="K135" s="224"/>
      <c r="L135" s="223"/>
      <c r="M135" s="224"/>
      <c r="N135" s="224"/>
      <c r="O135" s="224"/>
      <c r="P135" s="224"/>
      <c r="Q135" s="223"/>
      <c r="R135" s="224"/>
      <c r="S135" s="224"/>
      <c r="T135" s="224"/>
      <c r="U135" s="224"/>
      <c r="V135" s="223"/>
      <c r="W135" s="224"/>
      <c r="X135" s="224"/>
      <c r="Y135" s="224"/>
      <c r="Z135" s="224"/>
      <c r="AA135" s="223"/>
      <c r="AB135" s="224"/>
      <c r="AC135" s="224"/>
      <c r="AD135" s="224"/>
      <c r="AE135" s="224"/>
      <c r="AF135" s="223"/>
      <c r="AG135" s="224"/>
      <c r="AH135" s="224"/>
      <c r="AI135" s="224"/>
      <c r="AJ135" s="224"/>
      <c r="AK135" s="223"/>
      <c r="AL135" s="224"/>
      <c r="AM135" s="224"/>
      <c r="AN135" s="224"/>
      <c r="AO135" s="224"/>
      <c r="AP135" s="223"/>
      <c r="AQ135" s="224"/>
      <c r="AR135" s="224"/>
      <c r="AS135" s="224"/>
      <c r="AT135" s="224"/>
      <c r="AU135" s="223"/>
      <c r="AV135" s="224"/>
      <c r="AW135" s="224"/>
      <c r="AX135" s="224"/>
      <c r="AY135" s="224"/>
      <c r="AZ135" s="223"/>
      <c r="BA135" s="224"/>
      <c r="BB135" s="224"/>
      <c r="BC135" s="224"/>
      <c r="BD135" s="224"/>
      <c r="BE135" s="223"/>
      <c r="BF135" s="224"/>
      <c r="BG135" s="224"/>
      <c r="BH135" s="224"/>
      <c r="BI135" s="224"/>
      <c r="BJ135" s="223"/>
      <c r="BK135" s="224"/>
      <c r="BL135" s="224"/>
      <c r="BM135" s="224"/>
      <c r="BN135" s="224"/>
      <c r="BO135" s="225"/>
      <c r="BP135" s="224"/>
      <c r="BQ135" s="224"/>
      <c r="BR135" s="224"/>
      <c r="BS135" s="224"/>
      <c r="BT135" s="223"/>
      <c r="BU135" s="224"/>
      <c r="BV135" s="224"/>
      <c r="BW135" s="224"/>
      <c r="BX135" s="224"/>
      <c r="BY135" s="223"/>
      <c r="BZ135" s="223"/>
      <c r="CA135" s="223"/>
      <c r="CB135" s="223"/>
      <c r="CC135" s="156"/>
    </row>
    <row r="136" s="192" customFormat="true" ht="15" hidden="true" customHeight="true" outlineLevel="2" collapsed="false">
      <c r="A136" s="184" t="s">
        <v>249</v>
      </c>
      <c r="B136" s="283"/>
      <c r="C136" s="284"/>
      <c r="D136" s="284"/>
      <c r="E136" s="284"/>
      <c r="F136" s="284"/>
      <c r="G136" s="284"/>
      <c r="H136" s="285" t="n">
        <v>0.13</v>
      </c>
      <c r="I136" s="285" t="n">
        <v>0.13</v>
      </c>
      <c r="J136" s="285" t="n">
        <v>0.29</v>
      </c>
      <c r="K136" s="285" t="n">
        <v>0.2</v>
      </c>
      <c r="L136" s="284" t="n">
        <f aca="false">L125/L$134</f>
        <v>0.181261195436976</v>
      </c>
      <c r="M136" s="285" t="n">
        <v>0.19</v>
      </c>
      <c r="N136" s="285" t="n">
        <v>0.31</v>
      </c>
      <c r="O136" s="285" t="n">
        <v>0.3</v>
      </c>
      <c r="P136" s="285" t="n">
        <v>0.31</v>
      </c>
      <c r="Q136" s="284" t="n">
        <f aca="false">Q125/Q$134</f>
        <v>0.272396629849901</v>
      </c>
      <c r="R136" s="285" t="n">
        <v>0.2</v>
      </c>
      <c r="S136" s="285" t="n">
        <v>0.28</v>
      </c>
      <c r="T136" s="285" t="n">
        <v>0.55</v>
      </c>
      <c r="U136" s="285" t="n">
        <v>0.36</v>
      </c>
      <c r="V136" s="284" t="n">
        <f aca="false">V125/V$134</f>
        <v>0.36003488869863</v>
      </c>
      <c r="W136" s="285" t="n">
        <v>0.24</v>
      </c>
      <c r="X136" s="285" t="n">
        <v>0.27</v>
      </c>
      <c r="Y136" s="285" t="n">
        <v>0.23</v>
      </c>
      <c r="Z136" s="285" t="n">
        <v>0.29</v>
      </c>
      <c r="AA136" s="286" t="n">
        <v>0.26</v>
      </c>
      <c r="AB136" s="285" t="n">
        <v>0.03</v>
      </c>
      <c r="AC136" s="285" t="n">
        <v>0.18</v>
      </c>
      <c r="AD136" s="285" t="n">
        <v>0.3</v>
      </c>
      <c r="AE136" s="285" t="n">
        <v>0.2</v>
      </c>
      <c r="AF136" s="286" t="n">
        <v>0.19</v>
      </c>
      <c r="AG136" s="285" t="n">
        <v>0.43</v>
      </c>
      <c r="AH136" s="285" t="n">
        <v>0.46</v>
      </c>
      <c r="AI136" s="285" t="n">
        <v>0.54</v>
      </c>
      <c r="AJ136" s="285" t="n">
        <v>0.57</v>
      </c>
      <c r="AK136" s="286" t="n">
        <v>0.51</v>
      </c>
      <c r="AL136" s="285" t="n">
        <v>0.3</v>
      </c>
      <c r="AM136" s="285" t="n">
        <v>0.21</v>
      </c>
      <c r="AN136" s="285" t="n">
        <v>0.47</v>
      </c>
      <c r="AO136" s="285" t="n">
        <v>0.39</v>
      </c>
      <c r="AP136" s="286" t="n">
        <v>0.36</v>
      </c>
      <c r="AQ136" s="285" t="n">
        <v>0.43</v>
      </c>
      <c r="AR136" s="285" t="n">
        <v>0.36</v>
      </c>
      <c r="AS136" s="285" t="n">
        <v>0.46</v>
      </c>
      <c r="AT136" s="285" t="n">
        <v>0.51</v>
      </c>
      <c r="AU136" s="286" t="n">
        <v>0.44</v>
      </c>
      <c r="AV136" s="285" t="n">
        <v>0.22</v>
      </c>
      <c r="AW136" s="285" t="n">
        <v>0.41</v>
      </c>
      <c r="AX136" s="285" t="n">
        <v>0.47</v>
      </c>
      <c r="AY136" s="285" t="n">
        <v>0.48</v>
      </c>
      <c r="AZ136" s="286" t="n">
        <v>0.42</v>
      </c>
      <c r="BA136" s="285" t="n">
        <v>0.49</v>
      </c>
      <c r="BB136" s="285" t="n">
        <v>0.34</v>
      </c>
      <c r="BC136" s="285" t="n">
        <v>0.24</v>
      </c>
      <c r="BD136" s="285" t="n">
        <v>0.13</v>
      </c>
      <c r="BE136" s="286" t="n">
        <v>0.3</v>
      </c>
      <c r="BF136" s="285" t="n">
        <v>0.06</v>
      </c>
      <c r="BG136" s="285" t="n">
        <v>0.11</v>
      </c>
      <c r="BH136" s="285" t="n">
        <v>0.15</v>
      </c>
      <c r="BI136" s="285" t="n">
        <v>0.1</v>
      </c>
      <c r="BJ136" s="286" t="n">
        <v>0.11</v>
      </c>
      <c r="BK136" s="285" t="n">
        <v>0.16</v>
      </c>
      <c r="BL136" s="285" t="n">
        <v>0.35</v>
      </c>
      <c r="BM136" s="285" t="n">
        <v>0.3</v>
      </c>
      <c r="BN136" s="285" t="n">
        <v>0.13</v>
      </c>
      <c r="BO136" s="287" t="n">
        <v>0.22</v>
      </c>
      <c r="BP136" s="288"/>
      <c r="BQ136" s="288"/>
      <c r="BR136" s="288"/>
      <c r="BS136" s="288"/>
      <c r="BT136" s="284"/>
      <c r="BU136" s="288"/>
      <c r="BV136" s="288"/>
      <c r="BW136" s="288"/>
      <c r="BX136" s="288"/>
      <c r="BY136" s="284"/>
      <c r="BZ136" s="284"/>
      <c r="CA136" s="284"/>
      <c r="CB136" s="284"/>
      <c r="CC136" s="191"/>
    </row>
    <row r="137" s="192" customFormat="true" ht="15" hidden="true" customHeight="true" outlineLevel="2" collapsed="false">
      <c r="A137" s="184" t="s">
        <v>250</v>
      </c>
      <c r="B137" s="283"/>
      <c r="C137" s="284"/>
      <c r="D137" s="284"/>
      <c r="E137" s="284"/>
      <c r="F137" s="284"/>
      <c r="G137" s="284"/>
      <c r="H137" s="285" t="n">
        <v>0.38</v>
      </c>
      <c r="I137" s="285" t="n">
        <v>0.24</v>
      </c>
      <c r="J137" s="285" t="n">
        <v>0.07</v>
      </c>
      <c r="K137" s="285" t="n">
        <v>0.41</v>
      </c>
      <c r="L137" s="284" t="n">
        <f aca="false">L126/L$134</f>
        <v>0.282032619967946</v>
      </c>
      <c r="M137" s="285" t="n">
        <v>0.37</v>
      </c>
      <c r="N137" s="285" t="n">
        <v>0.27</v>
      </c>
      <c r="O137" s="285" t="n">
        <v>0.28</v>
      </c>
      <c r="P137" s="285" t="n">
        <v>0.36</v>
      </c>
      <c r="Q137" s="284" t="n">
        <f aca="false">Q126/Q$134</f>
        <v>0.320430472953838</v>
      </c>
      <c r="R137" s="285" t="n">
        <v>0.27</v>
      </c>
      <c r="S137" s="285" t="n">
        <v>0.2</v>
      </c>
      <c r="T137" s="285" t="n">
        <v>0.1</v>
      </c>
      <c r="U137" s="285" t="n">
        <v>0.22</v>
      </c>
      <c r="V137" s="284" t="n">
        <f aca="false">V126/V$134</f>
        <v>0.19148073630137</v>
      </c>
      <c r="W137" s="285" t="n">
        <v>0.28</v>
      </c>
      <c r="X137" s="285" t="n">
        <v>0.51</v>
      </c>
      <c r="Y137" s="285" t="n">
        <v>0.34</v>
      </c>
      <c r="Z137" s="285" t="n">
        <v>0.32</v>
      </c>
      <c r="AA137" s="286" t="n">
        <v>0.36</v>
      </c>
      <c r="AB137" s="285" t="n">
        <v>0.51</v>
      </c>
      <c r="AC137" s="285" t="n">
        <v>0.35</v>
      </c>
      <c r="AD137" s="285" t="n">
        <v>0.33</v>
      </c>
      <c r="AE137" s="285" t="n">
        <v>0.26</v>
      </c>
      <c r="AF137" s="286" t="n">
        <v>0.35</v>
      </c>
      <c r="AG137" s="285" t="n">
        <v>0.25</v>
      </c>
      <c r="AH137" s="285" t="n">
        <v>0.26</v>
      </c>
      <c r="AI137" s="285" t="n">
        <v>0.11</v>
      </c>
      <c r="AJ137" s="285" t="n">
        <v>0.1</v>
      </c>
      <c r="AK137" s="286" t="n">
        <v>0.16</v>
      </c>
      <c r="AL137" s="285" t="n">
        <v>0.29</v>
      </c>
      <c r="AM137" s="285" t="n">
        <v>0.38</v>
      </c>
      <c r="AN137" s="285" t="n">
        <v>0.26</v>
      </c>
      <c r="AO137" s="285" t="n">
        <v>0.31</v>
      </c>
      <c r="AP137" s="286" t="n">
        <v>0.31</v>
      </c>
      <c r="AQ137" s="285" t="n">
        <v>0.44</v>
      </c>
      <c r="AR137" s="285" t="n">
        <v>0.39</v>
      </c>
      <c r="AS137" s="285" t="n">
        <v>0.33</v>
      </c>
      <c r="AT137" s="285" t="n">
        <v>0.27</v>
      </c>
      <c r="AU137" s="286" t="n">
        <v>0.35</v>
      </c>
      <c r="AV137" s="285" t="n">
        <v>0.29</v>
      </c>
      <c r="AW137" s="285" t="n">
        <v>0.33</v>
      </c>
      <c r="AX137" s="285" t="n">
        <v>0.24</v>
      </c>
      <c r="AY137" s="285" t="n">
        <v>0.28</v>
      </c>
      <c r="AZ137" s="286" t="n">
        <v>0.29</v>
      </c>
      <c r="BA137" s="285" t="n">
        <v>0.26</v>
      </c>
      <c r="BB137" s="285" t="n">
        <v>0.27</v>
      </c>
      <c r="BC137" s="285" t="n">
        <v>0.2</v>
      </c>
      <c r="BD137" s="285" t="n">
        <v>0.25</v>
      </c>
      <c r="BE137" s="286" t="n">
        <v>0.24</v>
      </c>
      <c r="BF137" s="285" t="n">
        <v>0.19</v>
      </c>
      <c r="BG137" s="285" t="n">
        <v>0.28</v>
      </c>
      <c r="BH137" s="285" t="n">
        <v>0.15</v>
      </c>
      <c r="BI137" s="285" t="n">
        <v>0.25</v>
      </c>
      <c r="BJ137" s="286" t="n">
        <v>0.21</v>
      </c>
      <c r="BK137" s="285" t="n">
        <v>0.4</v>
      </c>
      <c r="BL137" s="285" t="n">
        <v>0.19</v>
      </c>
      <c r="BM137" s="285" t="n">
        <v>0.18</v>
      </c>
      <c r="BN137" s="285" t="n">
        <v>0.22</v>
      </c>
      <c r="BO137" s="287" t="n">
        <v>0.25</v>
      </c>
      <c r="BP137" s="288"/>
      <c r="BQ137" s="288"/>
      <c r="BR137" s="288"/>
      <c r="BS137" s="288"/>
      <c r="BT137" s="284"/>
      <c r="BU137" s="288"/>
      <c r="BV137" s="288"/>
      <c r="BW137" s="288"/>
      <c r="BX137" s="288"/>
      <c r="BY137" s="284"/>
      <c r="BZ137" s="284"/>
      <c r="CA137" s="284"/>
      <c r="CB137" s="284"/>
      <c r="CC137" s="191"/>
    </row>
    <row r="138" s="192" customFormat="true" ht="15" hidden="true" customHeight="true" outlineLevel="2" collapsed="false">
      <c r="A138" s="184" t="s">
        <v>251</v>
      </c>
      <c r="B138" s="283"/>
      <c r="C138" s="284"/>
      <c r="D138" s="284"/>
      <c r="E138" s="284"/>
      <c r="F138" s="284"/>
      <c r="G138" s="284"/>
      <c r="H138" s="285" t="n">
        <v>0.25</v>
      </c>
      <c r="I138" s="285" t="n">
        <v>0.47</v>
      </c>
      <c r="J138" s="285" t="n">
        <v>0.4</v>
      </c>
      <c r="K138" s="285" t="n">
        <v>0.24</v>
      </c>
      <c r="L138" s="284" t="n">
        <f aca="false">L127/L$134</f>
        <v>0.343165362496465</v>
      </c>
      <c r="M138" s="285" t="n">
        <v>0.17</v>
      </c>
      <c r="N138" s="285" t="n">
        <v>0.22</v>
      </c>
      <c r="O138" s="285" t="n">
        <v>0.15</v>
      </c>
      <c r="P138" s="285" t="n">
        <v>0.13</v>
      </c>
      <c r="Q138" s="284" t="n">
        <f aca="false">Q127/Q$134</f>
        <v>0.170467997734353</v>
      </c>
      <c r="R138" s="285" t="n">
        <v>0.1</v>
      </c>
      <c r="S138" s="285" t="n">
        <v>0.21</v>
      </c>
      <c r="T138" s="285" t="n">
        <v>0.09</v>
      </c>
      <c r="U138" s="285" t="n">
        <v>0.19</v>
      </c>
      <c r="V138" s="284" t="n">
        <f aca="false">V127/V$134</f>
        <v>0.151934075342466</v>
      </c>
      <c r="W138" s="285" t="n">
        <v>0.08</v>
      </c>
      <c r="X138" s="285" t="n">
        <v>0.1</v>
      </c>
      <c r="Y138" s="285" t="n">
        <v>0.19</v>
      </c>
      <c r="Z138" s="285" t="n">
        <v>0.12</v>
      </c>
      <c r="AA138" s="286" t="n">
        <v>0.13</v>
      </c>
      <c r="AB138" s="285" t="n">
        <v>0.05</v>
      </c>
      <c r="AC138" s="285" t="n">
        <v>0.19</v>
      </c>
      <c r="AD138" s="285" t="n">
        <v>0.05</v>
      </c>
      <c r="AE138" s="285" t="n">
        <v>0.32</v>
      </c>
      <c r="AF138" s="286" t="n">
        <v>0.16</v>
      </c>
      <c r="AG138" s="285" t="n">
        <v>0.15</v>
      </c>
      <c r="AH138" s="285" t="n">
        <v>0.1</v>
      </c>
      <c r="AI138" s="285" t="n">
        <v>0.26</v>
      </c>
      <c r="AJ138" s="285" t="n">
        <v>0.12</v>
      </c>
      <c r="AK138" s="286" t="n">
        <v>0.16</v>
      </c>
      <c r="AL138" s="285" t="n">
        <v>0.15</v>
      </c>
      <c r="AM138" s="285" t="n">
        <v>0.17</v>
      </c>
      <c r="AN138" s="285" t="n">
        <v>0.05</v>
      </c>
      <c r="AO138" s="285" t="n">
        <v>0.04</v>
      </c>
      <c r="AP138" s="286" t="n">
        <v>0.09</v>
      </c>
      <c r="AQ138" s="285" t="n">
        <v>0.03</v>
      </c>
      <c r="AR138" s="285" t="n">
        <v>0.06</v>
      </c>
      <c r="AS138" s="285" t="n">
        <v>0.1</v>
      </c>
      <c r="AT138" s="285" t="n">
        <v>0</v>
      </c>
      <c r="AU138" s="286" t="n">
        <v>0.04</v>
      </c>
      <c r="AV138" s="285" t="n">
        <v>0.06</v>
      </c>
      <c r="AW138" s="285" t="n">
        <v>0.1</v>
      </c>
      <c r="AX138" s="285" t="n">
        <v>0.05</v>
      </c>
      <c r="AY138" s="285" t="n">
        <v>0.07</v>
      </c>
      <c r="AZ138" s="286" t="n">
        <v>0.07</v>
      </c>
      <c r="BA138" s="285" t="n">
        <v>0.15</v>
      </c>
      <c r="BB138" s="285" t="n">
        <v>0.1</v>
      </c>
      <c r="BC138" s="285" t="n">
        <v>0.05</v>
      </c>
      <c r="BD138" s="285" t="n">
        <v>0.11</v>
      </c>
      <c r="BE138" s="286" t="n">
        <v>0.1</v>
      </c>
      <c r="BF138" s="285" t="n">
        <v>0.06</v>
      </c>
      <c r="BG138" s="285" t="n">
        <v>0.03</v>
      </c>
      <c r="BH138" s="285" t="n">
        <v>0.21</v>
      </c>
      <c r="BI138" s="285" t="n">
        <v>0.28</v>
      </c>
      <c r="BJ138" s="286" t="n">
        <v>0.17</v>
      </c>
      <c r="BK138" s="285" t="n">
        <v>0.16</v>
      </c>
      <c r="BL138" s="285" t="n">
        <v>0.1</v>
      </c>
      <c r="BM138" s="285" t="n">
        <v>0.06</v>
      </c>
      <c r="BN138" s="285" t="n">
        <v>0.17</v>
      </c>
      <c r="BO138" s="287" t="n">
        <v>0.12</v>
      </c>
      <c r="BP138" s="288"/>
      <c r="BQ138" s="288"/>
      <c r="BR138" s="288"/>
      <c r="BS138" s="288"/>
      <c r="BT138" s="284"/>
      <c r="BU138" s="288"/>
      <c r="BV138" s="288"/>
      <c r="BW138" s="288"/>
      <c r="BX138" s="288"/>
      <c r="BY138" s="284"/>
      <c r="BZ138" s="284"/>
      <c r="CA138" s="284"/>
      <c r="CB138" s="284"/>
      <c r="CC138" s="191"/>
    </row>
    <row r="139" s="192" customFormat="true" ht="15" hidden="true" customHeight="true" outlineLevel="2" collapsed="false">
      <c r="A139" s="184" t="s">
        <v>252</v>
      </c>
      <c r="B139" s="283"/>
      <c r="C139" s="284"/>
      <c r="D139" s="284"/>
      <c r="E139" s="284"/>
      <c r="F139" s="284"/>
      <c r="G139" s="284"/>
      <c r="H139" s="285" t="n">
        <v>0</v>
      </c>
      <c r="I139" s="285" t="n">
        <v>0.01</v>
      </c>
      <c r="J139" s="285" t="n">
        <v>0.08</v>
      </c>
      <c r="K139" s="285" t="n">
        <v>0</v>
      </c>
      <c r="L139" s="284" t="n">
        <f aca="false">L128/L$134</f>
        <v>0.0196073347789196</v>
      </c>
      <c r="M139" s="285" t="n">
        <v>0.03</v>
      </c>
      <c r="N139" s="285" t="n">
        <v>0.04</v>
      </c>
      <c r="O139" s="285" t="n">
        <v>0</v>
      </c>
      <c r="P139" s="285" t="n">
        <v>0.01</v>
      </c>
      <c r="Q139" s="284" t="n">
        <f aca="false">Q128/Q$134</f>
        <v>0.0216142735768904</v>
      </c>
      <c r="R139" s="285" t="n">
        <v>0</v>
      </c>
      <c r="S139" s="285" t="n">
        <v>0.04</v>
      </c>
      <c r="T139" s="285" t="n">
        <v>0.08</v>
      </c>
      <c r="U139" s="285" t="n">
        <v>0.18</v>
      </c>
      <c r="V139" s="284" t="n">
        <f aca="false">V128/V$134</f>
        <v>0.0820355308219178</v>
      </c>
      <c r="W139" s="285" t="n">
        <v>0.08</v>
      </c>
      <c r="X139" s="285" t="n">
        <v>0.04</v>
      </c>
      <c r="Y139" s="285" t="n">
        <v>0.15</v>
      </c>
      <c r="Z139" s="285" t="n">
        <v>0.12</v>
      </c>
      <c r="AA139" s="286" t="n">
        <v>0.1</v>
      </c>
      <c r="AB139" s="285" t="n">
        <v>0.2</v>
      </c>
      <c r="AC139" s="285" t="n">
        <v>0.04</v>
      </c>
      <c r="AD139" s="285" t="n">
        <v>0.02</v>
      </c>
      <c r="AE139" s="285" t="n">
        <v>0</v>
      </c>
      <c r="AF139" s="286" t="n">
        <v>0.06</v>
      </c>
      <c r="AG139" s="285" t="n">
        <v>0</v>
      </c>
      <c r="AH139" s="285" t="n">
        <v>0.03</v>
      </c>
      <c r="AI139" s="285" t="n">
        <v>0</v>
      </c>
      <c r="AJ139" s="285" t="n">
        <v>0.03</v>
      </c>
      <c r="AK139" s="286" t="n">
        <v>0.02</v>
      </c>
      <c r="AL139" s="285" t="n">
        <v>0.03</v>
      </c>
      <c r="AM139" s="285" t="n">
        <v>0.01</v>
      </c>
      <c r="AN139" s="285" t="n">
        <v>0.01</v>
      </c>
      <c r="AO139" s="285" t="n">
        <v>0.08</v>
      </c>
      <c r="AP139" s="286" t="n">
        <v>0.03</v>
      </c>
      <c r="AQ139" s="285" t="n">
        <v>-0.06</v>
      </c>
      <c r="AR139" s="285" t="n">
        <v>0.01</v>
      </c>
      <c r="AS139" s="285" t="n">
        <v>0</v>
      </c>
      <c r="AT139" s="285" t="n">
        <v>0</v>
      </c>
      <c r="AU139" s="286" t="n">
        <v>0</v>
      </c>
      <c r="AV139" s="285" t="n">
        <v>0.01</v>
      </c>
      <c r="AW139" s="285" t="n">
        <v>0.02</v>
      </c>
      <c r="AX139" s="285" t="n">
        <v>0.04</v>
      </c>
      <c r="AY139" s="285" t="n">
        <v>0.02</v>
      </c>
      <c r="AZ139" s="286" t="n">
        <v>0.02</v>
      </c>
      <c r="BA139" s="285" t="n">
        <v>0.01</v>
      </c>
      <c r="BB139" s="285" t="n">
        <v>0.02</v>
      </c>
      <c r="BC139" s="285" t="n">
        <v>0.04</v>
      </c>
      <c r="BD139" s="285" t="n">
        <v>0.08</v>
      </c>
      <c r="BE139" s="286" t="n">
        <v>0.04</v>
      </c>
      <c r="BF139" s="285" t="n">
        <v>0.2</v>
      </c>
      <c r="BG139" s="285" t="n">
        <v>0.04</v>
      </c>
      <c r="BH139" s="288"/>
      <c r="BI139" s="288"/>
      <c r="BJ139" s="286" t="n">
        <v>0.05</v>
      </c>
      <c r="BK139" s="288"/>
      <c r="BL139" s="285" t="n">
        <v>0.02</v>
      </c>
      <c r="BM139" s="288"/>
      <c r="BN139" s="288"/>
      <c r="BO139" s="287" t="n">
        <v>0.01</v>
      </c>
      <c r="BP139" s="288"/>
      <c r="BQ139" s="288"/>
      <c r="BR139" s="288"/>
      <c r="BS139" s="288"/>
      <c r="BT139" s="284"/>
      <c r="BU139" s="288"/>
      <c r="BV139" s="288"/>
      <c r="BW139" s="288"/>
      <c r="BX139" s="288"/>
      <c r="BY139" s="284"/>
      <c r="BZ139" s="284"/>
      <c r="CA139" s="284"/>
      <c r="CB139" s="284"/>
      <c r="CC139" s="191"/>
    </row>
    <row r="140" s="192" customFormat="true" ht="15" hidden="true" customHeight="true" outlineLevel="2" collapsed="false">
      <c r="A140" s="184" t="s">
        <v>253</v>
      </c>
      <c r="B140" s="283"/>
      <c r="C140" s="284"/>
      <c r="D140" s="284"/>
      <c r="E140" s="284"/>
      <c r="F140" s="284"/>
      <c r="G140" s="284"/>
      <c r="H140" s="285" t="n">
        <v>0.01</v>
      </c>
      <c r="I140" s="285" t="n">
        <v>0</v>
      </c>
      <c r="J140" s="285" t="n">
        <v>0.09</v>
      </c>
      <c r="K140" s="285" t="n">
        <v>0.02</v>
      </c>
      <c r="L140" s="284" t="n">
        <f aca="false">L129/L$134</f>
        <v>0.0263059771848779</v>
      </c>
      <c r="M140" s="285" t="n">
        <v>0.02</v>
      </c>
      <c r="N140" s="285" t="n">
        <v>0</v>
      </c>
      <c r="O140" s="285" t="n">
        <v>0.02</v>
      </c>
      <c r="P140" s="285" t="n">
        <v>0</v>
      </c>
      <c r="Q140" s="284" t="n">
        <f aca="false">Q129/Q$134</f>
        <v>0.0104871141319739</v>
      </c>
      <c r="R140" s="285" t="n">
        <v>0.01</v>
      </c>
      <c r="S140" s="285" t="n">
        <v>0.08</v>
      </c>
      <c r="T140" s="285" t="n">
        <v>0.07</v>
      </c>
      <c r="U140" s="285" t="n">
        <v>0</v>
      </c>
      <c r="V140" s="284" t="n">
        <f aca="false">V129/V$134</f>
        <v>0.0423520976027397</v>
      </c>
      <c r="W140" s="285" t="n">
        <v>0.01</v>
      </c>
      <c r="X140" s="285" t="n">
        <v>0.01</v>
      </c>
      <c r="Y140" s="285" t="n">
        <v>0</v>
      </c>
      <c r="Z140" s="285" t="n">
        <v>0.02</v>
      </c>
      <c r="AA140" s="286" t="n">
        <v>0.01</v>
      </c>
      <c r="AB140" s="285" t="n">
        <v>0.01</v>
      </c>
      <c r="AC140" s="285" t="n">
        <v>0.01</v>
      </c>
      <c r="AD140" s="285" t="n">
        <v>0.03</v>
      </c>
      <c r="AE140" s="285" t="n">
        <v>0.01</v>
      </c>
      <c r="AF140" s="286" t="n">
        <v>0.01</v>
      </c>
      <c r="AG140" s="285" t="n">
        <v>0.01</v>
      </c>
      <c r="AH140" s="285" t="n">
        <v>0</v>
      </c>
      <c r="AI140" s="285" t="n">
        <v>0</v>
      </c>
      <c r="AJ140" s="285" t="n">
        <v>0</v>
      </c>
      <c r="AK140" s="286" t="n">
        <v>0</v>
      </c>
      <c r="AL140" s="285" t="n">
        <v>0</v>
      </c>
      <c r="AM140" s="285" t="n">
        <v>0</v>
      </c>
      <c r="AN140" s="285" t="n">
        <v>0</v>
      </c>
      <c r="AO140" s="285" t="n">
        <v>0</v>
      </c>
      <c r="AP140" s="286" t="n">
        <v>0</v>
      </c>
      <c r="AQ140" s="285" t="n">
        <v>0</v>
      </c>
      <c r="AR140" s="285" t="n">
        <v>0</v>
      </c>
      <c r="AS140" s="285" t="n">
        <v>0</v>
      </c>
      <c r="AT140" s="285" t="n">
        <v>0</v>
      </c>
      <c r="AU140" s="286" t="n">
        <v>0</v>
      </c>
      <c r="AV140" s="285" t="n">
        <v>0.01</v>
      </c>
      <c r="AW140" s="285" t="n">
        <v>0.01</v>
      </c>
      <c r="AX140" s="285" t="n">
        <v>0.01</v>
      </c>
      <c r="AY140" s="285" t="n">
        <v>0.03</v>
      </c>
      <c r="AZ140" s="286" t="n">
        <v>0.02</v>
      </c>
      <c r="BA140" s="285" t="n">
        <v>0</v>
      </c>
      <c r="BB140" s="285" t="n">
        <v>0.01</v>
      </c>
      <c r="BC140" s="285" t="n">
        <v>0.01</v>
      </c>
      <c r="BD140" s="285" t="n">
        <v>0.01</v>
      </c>
      <c r="BE140" s="286" t="n">
        <v>0.01</v>
      </c>
      <c r="BF140" s="285" t="n">
        <v>0</v>
      </c>
      <c r="BG140" s="285" t="n">
        <v>0.02</v>
      </c>
      <c r="BH140" s="288"/>
      <c r="BI140" s="288"/>
      <c r="BJ140" s="286" t="n">
        <v>0.01</v>
      </c>
      <c r="BK140" s="288"/>
      <c r="BL140" s="285" t="n">
        <v>0.02</v>
      </c>
      <c r="BM140" s="285" t="n">
        <v>0.03</v>
      </c>
      <c r="BN140" s="285" t="n">
        <v>0.02</v>
      </c>
      <c r="BO140" s="287" t="n">
        <v>0.02</v>
      </c>
      <c r="BP140" s="288"/>
      <c r="BQ140" s="288"/>
      <c r="BR140" s="288"/>
      <c r="BS140" s="288"/>
      <c r="BT140" s="284"/>
      <c r="BU140" s="288"/>
      <c r="BV140" s="288"/>
      <c r="BW140" s="288"/>
      <c r="BX140" s="288"/>
      <c r="BY140" s="284"/>
      <c r="BZ140" s="284"/>
      <c r="CA140" s="284"/>
      <c r="CB140" s="284"/>
      <c r="CC140" s="191"/>
    </row>
    <row r="141" s="192" customFormat="true" ht="15" hidden="true" customHeight="true" outlineLevel="2" collapsed="false">
      <c r="A141" s="184" t="s">
        <v>254</v>
      </c>
      <c r="B141" s="283"/>
      <c r="C141" s="284"/>
      <c r="D141" s="284"/>
      <c r="E141" s="284"/>
      <c r="F141" s="284"/>
      <c r="G141" s="284"/>
      <c r="H141" s="285" t="n">
        <v>0</v>
      </c>
      <c r="I141" s="285" t="n">
        <v>0.11</v>
      </c>
      <c r="J141" s="285" t="n">
        <v>0</v>
      </c>
      <c r="K141" s="285" t="n">
        <v>0.13</v>
      </c>
      <c r="L141" s="284" t="n">
        <f aca="false">L130/L$134</f>
        <v>0.065480107476195</v>
      </c>
      <c r="M141" s="285" t="n">
        <v>0.11</v>
      </c>
      <c r="N141" s="285" t="n">
        <v>0.13</v>
      </c>
      <c r="O141" s="285" t="n">
        <v>0.11</v>
      </c>
      <c r="P141" s="285" t="n">
        <v>0.09</v>
      </c>
      <c r="Q141" s="284" t="n">
        <f aca="false">Q130/Q$134</f>
        <v>0.111197016897951</v>
      </c>
      <c r="R141" s="285" t="n">
        <v>0.07</v>
      </c>
      <c r="S141" s="285" t="n">
        <v>0.04</v>
      </c>
      <c r="T141" s="285" t="n">
        <v>0.05</v>
      </c>
      <c r="U141" s="285" t="n">
        <v>0.02</v>
      </c>
      <c r="V141" s="284" t="n">
        <f aca="false">V130/V$134</f>
        <v>0.0426945633561644</v>
      </c>
      <c r="W141" s="285" t="n">
        <v>0.05</v>
      </c>
      <c r="X141" s="285" t="n">
        <v>0.01</v>
      </c>
      <c r="Y141" s="285" t="n">
        <v>0.01</v>
      </c>
      <c r="Z141" s="285" t="n">
        <v>0.04</v>
      </c>
      <c r="AA141" s="286" t="n">
        <v>0.03</v>
      </c>
      <c r="AB141" s="285" t="n">
        <v>0</v>
      </c>
      <c r="AC141" s="285" t="n">
        <v>0.04</v>
      </c>
      <c r="AD141" s="285" t="n">
        <v>0.09</v>
      </c>
      <c r="AE141" s="285" t="n">
        <v>0.03</v>
      </c>
      <c r="AF141" s="286" t="n">
        <v>0.04</v>
      </c>
      <c r="AG141" s="285" t="n">
        <v>0.01</v>
      </c>
      <c r="AH141" s="285" t="n">
        <v>0.03</v>
      </c>
      <c r="AI141" s="285" t="n">
        <v>0.02</v>
      </c>
      <c r="AJ141" s="285" t="n">
        <v>0.04</v>
      </c>
      <c r="AK141" s="286" t="n">
        <v>0.03</v>
      </c>
      <c r="AL141" s="285" t="n">
        <v>0.04</v>
      </c>
      <c r="AM141" s="285" t="n">
        <v>0</v>
      </c>
      <c r="AN141" s="285" t="n">
        <v>0</v>
      </c>
      <c r="AO141" s="285" t="n">
        <v>0.06</v>
      </c>
      <c r="AP141" s="286" t="n">
        <v>0.03</v>
      </c>
      <c r="AQ141" s="285" t="n">
        <v>0.01</v>
      </c>
      <c r="AR141" s="285" t="n">
        <v>0.01</v>
      </c>
      <c r="AS141" s="285" t="n">
        <v>0.01</v>
      </c>
      <c r="AT141" s="285" t="n">
        <v>0</v>
      </c>
      <c r="AU141" s="286" t="n">
        <v>0.01</v>
      </c>
      <c r="AV141" s="285" t="n">
        <v>0.07</v>
      </c>
      <c r="AW141" s="285" t="n">
        <v>0.03</v>
      </c>
      <c r="AX141" s="285" t="n">
        <v>0.04</v>
      </c>
      <c r="AY141" s="285" t="n">
        <v>0.03</v>
      </c>
      <c r="AZ141" s="286" t="n">
        <v>0.04</v>
      </c>
      <c r="BA141" s="285" t="n">
        <v>0.01</v>
      </c>
      <c r="BB141" s="285" t="n">
        <v>0.02</v>
      </c>
      <c r="BC141" s="288"/>
      <c r="BD141" s="285" t="n">
        <v>0.03</v>
      </c>
      <c r="BE141" s="286" t="n">
        <v>0.02</v>
      </c>
      <c r="BF141" s="285" t="n">
        <v>0</v>
      </c>
      <c r="BG141" s="285" t="n">
        <v>0.03</v>
      </c>
      <c r="BH141" s="285" t="n">
        <v>0.02</v>
      </c>
      <c r="BI141" s="285" t="n">
        <v>0.1</v>
      </c>
      <c r="BJ141" s="286" t="n">
        <v>0.04</v>
      </c>
      <c r="BK141" s="285" t="n">
        <v>0.01</v>
      </c>
      <c r="BL141" s="285" t="n">
        <v>0.05</v>
      </c>
      <c r="BM141" s="285" t="n">
        <v>0.01</v>
      </c>
      <c r="BN141" s="285" t="n">
        <v>0.1</v>
      </c>
      <c r="BO141" s="287" t="n">
        <v>0.05</v>
      </c>
      <c r="BP141" s="288"/>
      <c r="BQ141" s="288"/>
      <c r="BR141" s="288"/>
      <c r="BS141" s="288"/>
      <c r="BT141" s="284"/>
      <c r="BU141" s="288"/>
      <c r="BV141" s="288"/>
      <c r="BW141" s="288"/>
      <c r="BX141" s="288"/>
      <c r="BY141" s="284"/>
      <c r="BZ141" s="284"/>
      <c r="CA141" s="284"/>
      <c r="CB141" s="284"/>
      <c r="CC141" s="191"/>
    </row>
    <row r="142" s="192" customFormat="true" ht="15" hidden="true" customHeight="true" outlineLevel="2" collapsed="false">
      <c r="A142" s="184" t="s">
        <v>255</v>
      </c>
      <c r="B142" s="283"/>
      <c r="C142" s="284"/>
      <c r="D142" s="284"/>
      <c r="E142" s="284"/>
      <c r="F142" s="284"/>
      <c r="G142" s="284"/>
      <c r="H142" s="285" t="n">
        <v>0.23</v>
      </c>
      <c r="I142" s="285" t="n">
        <v>0.04</v>
      </c>
      <c r="J142" s="285" t="n">
        <v>0.07</v>
      </c>
      <c r="K142" s="285" t="n">
        <v>0</v>
      </c>
      <c r="L142" s="284" t="n">
        <f aca="false">L131/L$134</f>
        <v>0.0821474026586217</v>
      </c>
      <c r="M142" s="285" t="n">
        <v>0.11</v>
      </c>
      <c r="N142" s="285" t="n">
        <v>0.03</v>
      </c>
      <c r="O142" s="285" t="n">
        <v>0.14</v>
      </c>
      <c r="P142" s="285" t="n">
        <v>0.1</v>
      </c>
      <c r="Q142" s="284" t="n">
        <f aca="false">Q131/Q$134</f>
        <v>0.093406494855093</v>
      </c>
      <c r="R142" s="285" t="n">
        <v>0.35</v>
      </c>
      <c r="S142" s="285" t="n">
        <v>0.15</v>
      </c>
      <c r="T142" s="285" t="n">
        <v>0.06</v>
      </c>
      <c r="U142" s="285" t="n">
        <v>0.03</v>
      </c>
      <c r="V142" s="284" t="n">
        <f aca="false">V131/V$134</f>
        <v>0.129468107876712</v>
      </c>
      <c r="W142" s="285" t="n">
        <v>0.26</v>
      </c>
      <c r="X142" s="285" t="n">
        <v>0.06</v>
      </c>
      <c r="Y142" s="285" t="n">
        <v>0.08</v>
      </c>
      <c r="Z142" s="285" t="n">
        <v>0.09</v>
      </c>
      <c r="AA142" s="286" t="n">
        <v>0.11</v>
      </c>
      <c r="AB142" s="285" t="n">
        <v>0.2</v>
      </c>
      <c r="AC142" s="285" t="n">
        <v>0.19</v>
      </c>
      <c r="AD142" s="285" t="n">
        <v>0.18</v>
      </c>
      <c r="AE142" s="285" t="n">
        <v>0.18</v>
      </c>
      <c r="AF142" s="286" t="n">
        <v>0.19</v>
      </c>
      <c r="AG142" s="285" t="n">
        <v>0.15</v>
      </c>
      <c r="AH142" s="285" t="n">
        <v>0.12</v>
      </c>
      <c r="AI142" s="285" t="n">
        <v>0.07</v>
      </c>
      <c r="AJ142" s="285" t="n">
        <v>0.14</v>
      </c>
      <c r="AK142" s="286" t="n">
        <v>0.12</v>
      </c>
      <c r="AL142" s="285" t="n">
        <v>0.19</v>
      </c>
      <c r="AM142" s="285" t="n">
        <v>0.23</v>
      </c>
      <c r="AN142" s="285" t="n">
        <v>0.21</v>
      </c>
      <c r="AO142" s="285" t="n">
        <v>0.12</v>
      </c>
      <c r="AP142" s="286" t="n">
        <v>0.18</v>
      </c>
      <c r="AQ142" s="285" t="n">
        <v>0.15</v>
      </c>
      <c r="AR142" s="285" t="n">
        <v>0.17</v>
      </c>
      <c r="AS142" s="285" t="n">
        <v>0.1</v>
      </c>
      <c r="AT142" s="285" t="n">
        <v>0.22</v>
      </c>
      <c r="AU142" s="286" t="n">
        <v>0.16</v>
      </c>
      <c r="AV142" s="285" t="n">
        <v>0.34</v>
      </c>
      <c r="AW142" s="285" t="n">
        <v>0.1</v>
      </c>
      <c r="AX142" s="285" t="n">
        <v>0.15</v>
      </c>
      <c r="AY142" s="285" t="n">
        <v>0.09</v>
      </c>
      <c r="AZ142" s="286" t="n">
        <v>0.14</v>
      </c>
      <c r="BA142" s="285" t="n">
        <v>0.08</v>
      </c>
      <c r="BB142" s="285" t="n">
        <v>0.24</v>
      </c>
      <c r="BC142" s="285" t="n">
        <v>0.46</v>
      </c>
      <c r="BD142" s="285" t="n">
        <v>0.39</v>
      </c>
      <c r="BE142" s="286" t="n">
        <v>0.29</v>
      </c>
      <c r="BF142" s="285" t="n">
        <v>0.49</v>
      </c>
      <c r="BG142" s="285" t="n">
        <v>0.49</v>
      </c>
      <c r="BH142" s="285" t="n">
        <v>0.47</v>
      </c>
      <c r="BI142" s="285" t="n">
        <v>0.27</v>
      </c>
      <c r="BJ142" s="286" t="n">
        <v>0.41</v>
      </c>
      <c r="BK142" s="285" t="n">
        <v>0.27</v>
      </c>
      <c r="BL142" s="285" t="n">
        <v>0.27</v>
      </c>
      <c r="BM142" s="285" t="n">
        <v>0.42</v>
      </c>
      <c r="BN142" s="285" t="n">
        <v>0.36</v>
      </c>
      <c r="BO142" s="287" t="n">
        <v>0.33</v>
      </c>
      <c r="BP142" s="288"/>
      <c r="BQ142" s="288"/>
      <c r="BR142" s="288"/>
      <c r="BS142" s="288"/>
      <c r="BT142" s="284"/>
      <c r="BU142" s="288"/>
      <c r="BV142" s="288"/>
      <c r="BW142" s="288"/>
      <c r="BX142" s="288"/>
      <c r="BY142" s="284"/>
      <c r="BZ142" s="284"/>
      <c r="CA142" s="284"/>
      <c r="CB142" s="284"/>
      <c r="CC142" s="191"/>
    </row>
    <row r="143" s="192" customFormat="true" ht="15" hidden="true" customHeight="true" outlineLevel="2" collapsed="false">
      <c r="A143" s="184" t="s">
        <v>256</v>
      </c>
      <c r="B143" s="283"/>
      <c r="C143" s="284"/>
      <c r="D143" s="284"/>
      <c r="E143" s="284"/>
      <c r="F143" s="284"/>
      <c r="G143" s="284"/>
      <c r="H143" s="288"/>
      <c r="I143" s="288"/>
      <c r="J143" s="288"/>
      <c r="K143" s="288"/>
      <c r="L143" s="284"/>
      <c r="M143" s="288"/>
      <c r="N143" s="288"/>
      <c r="O143" s="288"/>
      <c r="P143" s="288"/>
      <c r="Q143" s="284"/>
      <c r="R143" s="288"/>
      <c r="S143" s="288"/>
      <c r="T143" s="288"/>
      <c r="U143" s="288"/>
      <c r="V143" s="284"/>
      <c r="W143" s="288"/>
      <c r="X143" s="288"/>
      <c r="Y143" s="288"/>
      <c r="Z143" s="288"/>
      <c r="AA143" s="284"/>
      <c r="AB143" s="288"/>
      <c r="AC143" s="288"/>
      <c r="AD143" s="288"/>
      <c r="AE143" s="288"/>
      <c r="AF143" s="284"/>
      <c r="AG143" s="288"/>
      <c r="AH143" s="288"/>
      <c r="AI143" s="288"/>
      <c r="AJ143" s="288"/>
      <c r="AK143" s="284"/>
      <c r="AL143" s="288"/>
      <c r="AM143" s="288"/>
      <c r="AN143" s="288"/>
      <c r="AO143" s="288"/>
      <c r="AP143" s="284"/>
      <c r="AQ143" s="288"/>
      <c r="AR143" s="288"/>
      <c r="AS143" s="288"/>
      <c r="AT143" s="288"/>
      <c r="AU143" s="284"/>
      <c r="AV143" s="288"/>
      <c r="AW143" s="288"/>
      <c r="AX143" s="288"/>
      <c r="AY143" s="288"/>
      <c r="AZ143" s="284"/>
      <c r="BA143" s="288"/>
      <c r="BB143" s="288"/>
      <c r="BC143" s="288"/>
      <c r="BD143" s="288"/>
      <c r="BE143" s="284"/>
      <c r="BF143" s="288"/>
      <c r="BG143" s="288"/>
      <c r="BH143" s="288"/>
      <c r="BI143" s="288"/>
      <c r="BJ143" s="284"/>
      <c r="BK143" s="288"/>
      <c r="BL143" s="288"/>
      <c r="BM143" s="288"/>
      <c r="BN143" s="288"/>
      <c r="BO143" s="289"/>
      <c r="BP143" s="288"/>
      <c r="BQ143" s="288"/>
      <c r="BR143" s="288"/>
      <c r="BS143" s="288"/>
      <c r="BT143" s="284"/>
      <c r="BU143" s="288"/>
      <c r="BV143" s="288"/>
      <c r="BW143" s="288"/>
      <c r="BX143" s="288"/>
      <c r="BY143" s="284"/>
      <c r="BZ143" s="284"/>
      <c r="CA143" s="284"/>
      <c r="CB143" s="284"/>
      <c r="CC143" s="191"/>
    </row>
    <row r="144" s="192" customFormat="true" ht="15" hidden="true" customHeight="true" outlineLevel="2" collapsed="false">
      <c r="A144" s="184" t="s">
        <v>257</v>
      </c>
      <c r="B144" s="283"/>
      <c r="C144" s="284"/>
      <c r="D144" s="284"/>
      <c r="E144" s="284"/>
      <c r="F144" s="284"/>
      <c r="G144" s="284"/>
      <c r="H144" s="288"/>
      <c r="I144" s="288"/>
      <c r="J144" s="288"/>
      <c r="K144" s="288"/>
      <c r="L144" s="284"/>
      <c r="M144" s="288"/>
      <c r="N144" s="288"/>
      <c r="O144" s="288"/>
      <c r="P144" s="288"/>
      <c r="Q144" s="284"/>
      <c r="R144" s="288"/>
      <c r="S144" s="288"/>
      <c r="T144" s="288"/>
      <c r="U144" s="288"/>
      <c r="V144" s="284"/>
      <c r="W144" s="288"/>
      <c r="X144" s="288"/>
      <c r="Y144" s="288"/>
      <c r="Z144" s="288"/>
      <c r="AA144" s="284"/>
      <c r="AB144" s="288"/>
      <c r="AC144" s="288"/>
      <c r="AD144" s="288"/>
      <c r="AE144" s="288"/>
      <c r="AF144" s="284"/>
      <c r="AG144" s="288"/>
      <c r="AH144" s="288"/>
      <c r="AI144" s="288"/>
      <c r="AJ144" s="288"/>
      <c r="AK144" s="284"/>
      <c r="AL144" s="288"/>
      <c r="AM144" s="288"/>
      <c r="AN144" s="288"/>
      <c r="AO144" s="288"/>
      <c r="AP144" s="284"/>
      <c r="AQ144" s="288"/>
      <c r="AR144" s="288"/>
      <c r="AS144" s="288"/>
      <c r="AT144" s="288"/>
      <c r="AU144" s="284"/>
      <c r="AV144" s="288"/>
      <c r="AW144" s="288"/>
      <c r="AX144" s="288"/>
      <c r="AY144" s="288"/>
      <c r="AZ144" s="284"/>
      <c r="BA144" s="288"/>
      <c r="BB144" s="288"/>
      <c r="BC144" s="288"/>
      <c r="BD144" s="288"/>
      <c r="BE144" s="284"/>
      <c r="BF144" s="288"/>
      <c r="BG144" s="288"/>
      <c r="BH144" s="288"/>
      <c r="BI144" s="288"/>
      <c r="BJ144" s="284"/>
      <c r="BK144" s="288"/>
      <c r="BL144" s="288"/>
      <c r="BM144" s="288"/>
      <c r="BN144" s="288"/>
      <c r="BO144" s="289"/>
      <c r="BP144" s="288"/>
      <c r="BQ144" s="288"/>
      <c r="BR144" s="288"/>
      <c r="BS144" s="288"/>
      <c r="BT144" s="284"/>
      <c r="BU144" s="288"/>
      <c r="BV144" s="288"/>
      <c r="BW144" s="288"/>
      <c r="BX144" s="288"/>
      <c r="BY144" s="284"/>
      <c r="BZ144" s="284"/>
      <c r="CA144" s="284"/>
      <c r="CB144" s="284"/>
      <c r="CC144" s="191"/>
    </row>
    <row r="145" s="208" customFormat="true" ht="15" hidden="true" customHeight="true" outlineLevel="2" collapsed="false">
      <c r="A145" s="200" t="s">
        <v>258</v>
      </c>
      <c r="B145" s="290"/>
      <c r="C145" s="291" t="n">
        <f aca="false">C134/C134</f>
        <v>1</v>
      </c>
      <c r="D145" s="291" t="n">
        <f aca="false">D134/D134</f>
        <v>1</v>
      </c>
      <c r="E145" s="291" t="n">
        <f aca="false">E134/E134</f>
        <v>1</v>
      </c>
      <c r="F145" s="291" t="n">
        <f aca="false">F134/F134</f>
        <v>1</v>
      </c>
      <c r="G145" s="291" t="n">
        <f aca="false">G134/G134</f>
        <v>1</v>
      </c>
      <c r="H145" s="292" t="n">
        <f aca="false">SUM(H136:H144)</f>
        <v>1</v>
      </c>
      <c r="I145" s="292" t="n">
        <f aca="false">SUM(I136:I144)</f>
        <v>1</v>
      </c>
      <c r="J145" s="292" t="n">
        <f aca="false">SUM(J136:J144)</f>
        <v>1</v>
      </c>
      <c r="K145" s="292" t="n">
        <f aca="false">SUM(K136:K144)</f>
        <v>1</v>
      </c>
      <c r="L145" s="291" t="n">
        <f aca="false">SUM(L136:L144)</f>
        <v>1</v>
      </c>
      <c r="M145" s="292" t="n">
        <f aca="false">SUM(M136:M144)</f>
        <v>1</v>
      </c>
      <c r="N145" s="292" t="n">
        <f aca="false">SUM(N136:N144)</f>
        <v>1</v>
      </c>
      <c r="O145" s="292" t="n">
        <f aca="false">SUM(O136:O144)</f>
        <v>1</v>
      </c>
      <c r="P145" s="292" t="n">
        <f aca="false">SUM(P136:P144)</f>
        <v>1</v>
      </c>
      <c r="Q145" s="291" t="n">
        <f aca="false">SUM(Q136:Q144)</f>
        <v>1</v>
      </c>
      <c r="R145" s="292" t="n">
        <f aca="false">SUM(R136:R144)</f>
        <v>1</v>
      </c>
      <c r="S145" s="292" t="n">
        <f aca="false">SUM(S136:S144)</f>
        <v>1</v>
      </c>
      <c r="T145" s="292" t="n">
        <f aca="false">SUM(T136:T144)</f>
        <v>1</v>
      </c>
      <c r="U145" s="292" t="n">
        <f aca="false">SUM(U136:U144)</f>
        <v>1</v>
      </c>
      <c r="V145" s="291" t="n">
        <f aca="false">SUM(V136:V144)</f>
        <v>1</v>
      </c>
      <c r="W145" s="292" t="n">
        <f aca="false">SUM(W136:W144)</f>
        <v>1</v>
      </c>
      <c r="X145" s="292" t="n">
        <f aca="false">SUM(X136:X144)</f>
        <v>1</v>
      </c>
      <c r="Y145" s="292" t="n">
        <f aca="false">SUM(Y136:Y144)</f>
        <v>1</v>
      </c>
      <c r="Z145" s="292" t="n">
        <f aca="false">SUM(Z136:Z144)</f>
        <v>1</v>
      </c>
      <c r="AA145" s="293" t="n">
        <f aca="false">SUM(AA136:AA144)</f>
        <v>1</v>
      </c>
      <c r="AB145" s="292" t="n">
        <f aca="false">SUM(AB136:AB144)</f>
        <v>1</v>
      </c>
      <c r="AC145" s="292" t="n">
        <f aca="false">SUM(AC136:AC144)</f>
        <v>1</v>
      </c>
      <c r="AD145" s="292" t="n">
        <f aca="false">SUM(AD136:AD144)</f>
        <v>1</v>
      </c>
      <c r="AE145" s="292" t="n">
        <f aca="false">SUM(AE136:AE144)</f>
        <v>1</v>
      </c>
      <c r="AF145" s="293" t="n">
        <f aca="false">SUM(AF136:AF144)</f>
        <v>1</v>
      </c>
      <c r="AG145" s="292" t="n">
        <f aca="false">SUM(AG136:AG144)</f>
        <v>1</v>
      </c>
      <c r="AH145" s="292" t="n">
        <f aca="false">SUM(AH136:AH144)</f>
        <v>1</v>
      </c>
      <c r="AI145" s="292" t="n">
        <f aca="false">SUM(AI136:AI144)</f>
        <v>1</v>
      </c>
      <c r="AJ145" s="292" t="n">
        <f aca="false">SUM(AJ136:AJ144)</f>
        <v>1</v>
      </c>
      <c r="AK145" s="293" t="n">
        <f aca="false">SUM(AK136:AK144)</f>
        <v>1</v>
      </c>
      <c r="AL145" s="292" t="n">
        <f aca="false">SUM(AL136:AL144)</f>
        <v>1</v>
      </c>
      <c r="AM145" s="292" t="n">
        <f aca="false">SUM(AM136:AM144)</f>
        <v>1</v>
      </c>
      <c r="AN145" s="292" t="n">
        <f aca="false">SUM(AN136:AN144)</f>
        <v>1</v>
      </c>
      <c r="AO145" s="292" t="n">
        <f aca="false">SUM(AO136:AO144)</f>
        <v>1</v>
      </c>
      <c r="AP145" s="293" t="n">
        <f aca="false">SUM(AP136:AP144)</f>
        <v>1</v>
      </c>
      <c r="AQ145" s="292" t="n">
        <f aca="false">SUM(AQ136:AQ144)</f>
        <v>1</v>
      </c>
      <c r="AR145" s="292" t="n">
        <f aca="false">SUM(AR136:AR144)</f>
        <v>1</v>
      </c>
      <c r="AS145" s="292" t="n">
        <f aca="false">SUM(AS136:AS144)</f>
        <v>1</v>
      </c>
      <c r="AT145" s="292" t="n">
        <f aca="false">SUM(AT136:AT144)</f>
        <v>1</v>
      </c>
      <c r="AU145" s="293" t="n">
        <f aca="false">SUM(AU136:AU144)</f>
        <v>1</v>
      </c>
      <c r="AV145" s="292" t="n">
        <f aca="false">SUM(AV136:AV144)</f>
        <v>1</v>
      </c>
      <c r="AW145" s="292" t="n">
        <f aca="false">SUM(AW136:AW144)</f>
        <v>1</v>
      </c>
      <c r="AX145" s="292" t="n">
        <f aca="false">SUM(AX136:AX144)</f>
        <v>1</v>
      </c>
      <c r="AY145" s="292" t="n">
        <f aca="false">SUM(AY136:AY144)</f>
        <v>1</v>
      </c>
      <c r="AZ145" s="293" t="n">
        <f aca="false">SUM(AZ136:AZ144)</f>
        <v>1</v>
      </c>
      <c r="BA145" s="292" t="n">
        <f aca="false">SUM(BA136:BA144)</f>
        <v>1</v>
      </c>
      <c r="BB145" s="292" t="n">
        <f aca="false">SUM(BB136:BB144)</f>
        <v>1</v>
      </c>
      <c r="BC145" s="292" t="n">
        <f aca="false">SUM(BC136:BC144)</f>
        <v>1</v>
      </c>
      <c r="BD145" s="292" t="n">
        <f aca="false">SUM(BD136:BD144)</f>
        <v>1</v>
      </c>
      <c r="BE145" s="293" t="n">
        <f aca="false">SUM(BE136:BE144)</f>
        <v>1</v>
      </c>
      <c r="BF145" s="292" t="n">
        <f aca="false">SUM(BF136:BF144)</f>
        <v>1</v>
      </c>
      <c r="BG145" s="292" t="n">
        <f aca="false">SUM(BG136:BG144)</f>
        <v>1</v>
      </c>
      <c r="BH145" s="292" t="n">
        <f aca="false">SUM(BH136:BH144)</f>
        <v>1</v>
      </c>
      <c r="BI145" s="292" t="n">
        <f aca="false">SUM(BI136:BI144)</f>
        <v>1</v>
      </c>
      <c r="BJ145" s="293" t="n">
        <f aca="false">SUM(BJ136:BJ144)</f>
        <v>1</v>
      </c>
      <c r="BK145" s="292" t="n">
        <f aca="false">SUM(BK136:BK144)</f>
        <v>1</v>
      </c>
      <c r="BL145" s="292" t="n">
        <f aca="false">SUM(BL136:BL144)</f>
        <v>1</v>
      </c>
      <c r="BM145" s="292" t="n">
        <f aca="false">SUM(BM136:BM144)</f>
        <v>1</v>
      </c>
      <c r="BN145" s="292" t="n">
        <f aca="false">SUM(BN136:BN144)</f>
        <v>1</v>
      </c>
      <c r="BO145" s="294" t="n">
        <f aca="false">SUM(BO136:BO144)</f>
        <v>1</v>
      </c>
      <c r="BP145" s="295"/>
      <c r="BQ145" s="295"/>
      <c r="BR145" s="295"/>
      <c r="BS145" s="295"/>
      <c r="BT145" s="291"/>
      <c r="BU145" s="295"/>
      <c r="BV145" s="295"/>
      <c r="BW145" s="295"/>
      <c r="BX145" s="295"/>
      <c r="BY145" s="291"/>
      <c r="BZ145" s="291"/>
      <c r="CA145" s="291"/>
      <c r="CB145" s="291"/>
      <c r="CC145" s="207"/>
    </row>
    <row r="146" s="208" customFormat="true" ht="15" hidden="true" customHeight="true" outlineLevel="2" collapsed="false">
      <c r="A146" s="278"/>
      <c r="B146" s="279"/>
      <c r="C146" s="280"/>
      <c r="D146" s="280"/>
      <c r="E146" s="280"/>
      <c r="F146" s="280"/>
      <c r="G146" s="280"/>
      <c r="H146" s="281"/>
      <c r="I146" s="281"/>
      <c r="J146" s="281"/>
      <c r="K146" s="281"/>
      <c r="L146" s="280"/>
      <c r="M146" s="281"/>
      <c r="N146" s="281"/>
      <c r="O146" s="281"/>
      <c r="P146" s="281"/>
      <c r="Q146" s="280"/>
      <c r="R146" s="281"/>
      <c r="S146" s="281"/>
      <c r="T146" s="281"/>
      <c r="U146" s="281"/>
      <c r="V146" s="280"/>
      <c r="W146" s="281"/>
      <c r="X146" s="281"/>
      <c r="Y146" s="281"/>
      <c r="Z146" s="281"/>
      <c r="AA146" s="280"/>
      <c r="AB146" s="281"/>
      <c r="AC146" s="281"/>
      <c r="AD146" s="281"/>
      <c r="AE146" s="281"/>
      <c r="AF146" s="280"/>
      <c r="AG146" s="281"/>
      <c r="AH146" s="281"/>
      <c r="AI146" s="281"/>
      <c r="AJ146" s="281"/>
      <c r="AK146" s="280"/>
      <c r="AL146" s="281"/>
      <c r="AM146" s="281"/>
      <c r="AN146" s="281"/>
      <c r="AO146" s="281"/>
      <c r="AP146" s="280"/>
      <c r="AQ146" s="281"/>
      <c r="AR146" s="281"/>
      <c r="AS146" s="281"/>
      <c r="AT146" s="281"/>
      <c r="AU146" s="280"/>
      <c r="AV146" s="281"/>
      <c r="AW146" s="281"/>
      <c r="AX146" s="281"/>
      <c r="AY146" s="281"/>
      <c r="AZ146" s="280"/>
      <c r="BA146" s="281"/>
      <c r="BB146" s="281"/>
      <c r="BC146" s="281"/>
      <c r="BD146" s="281"/>
      <c r="BE146" s="280"/>
      <c r="BF146" s="281"/>
      <c r="BG146" s="281"/>
      <c r="BH146" s="281"/>
      <c r="BI146" s="281"/>
      <c r="BJ146" s="280"/>
      <c r="BK146" s="281"/>
      <c r="BL146" s="281"/>
      <c r="BM146" s="281"/>
      <c r="BN146" s="281"/>
      <c r="BO146" s="282"/>
      <c r="BP146" s="281"/>
      <c r="BQ146" s="281"/>
      <c r="BR146" s="281"/>
      <c r="BS146" s="281"/>
      <c r="BT146" s="280"/>
      <c r="BU146" s="281"/>
      <c r="BV146" s="281"/>
      <c r="BW146" s="281"/>
      <c r="BX146" s="281"/>
      <c r="BY146" s="280"/>
      <c r="BZ146" s="280"/>
      <c r="CA146" s="280"/>
      <c r="CB146" s="280"/>
      <c r="CC146" s="207"/>
    </row>
    <row r="147" s="45" customFormat="true" ht="15" hidden="true" customHeight="true" outlineLevel="2" collapsed="false">
      <c r="A147" s="242" t="s">
        <v>259</v>
      </c>
      <c r="B147" s="86"/>
      <c r="C147" s="90" t="n">
        <v>421</v>
      </c>
      <c r="D147" s="90" t="n">
        <v>613</v>
      </c>
      <c r="E147" s="90" t="n">
        <v>767</v>
      </c>
      <c r="F147" s="90" t="n">
        <v>930</v>
      </c>
      <c r="G147" s="90" t="n">
        <v>1252</v>
      </c>
      <c r="H147" s="89" t="n">
        <v>367</v>
      </c>
      <c r="I147" s="89" t="n">
        <v>767</v>
      </c>
      <c r="J147" s="89" t="n">
        <v>1205</v>
      </c>
      <c r="K147" s="89" t="n">
        <v>1614</v>
      </c>
      <c r="L147" s="296" t="n">
        <f aca="false">K147</f>
        <v>1614</v>
      </c>
      <c r="M147" s="89" t="n">
        <v>403</v>
      </c>
      <c r="N147" s="89" t="n">
        <v>923</v>
      </c>
      <c r="O147" s="89" t="n">
        <v>1497</v>
      </c>
      <c r="P147" s="89" t="n">
        <v>2050</v>
      </c>
      <c r="Q147" s="296" t="n">
        <f aca="false">P147</f>
        <v>2050</v>
      </c>
      <c r="R147" s="89" t="n">
        <v>477</v>
      </c>
      <c r="S147" s="89" t="n">
        <v>963</v>
      </c>
      <c r="T147" s="89" t="n">
        <v>1540</v>
      </c>
      <c r="U147" s="89" t="n">
        <v>2224</v>
      </c>
      <c r="V147" s="296" t="n">
        <f aca="false">U147</f>
        <v>2224</v>
      </c>
      <c r="W147" s="89" t="n">
        <v>728</v>
      </c>
      <c r="X147" s="89" t="n">
        <v>1445</v>
      </c>
      <c r="Y147" s="89" t="n">
        <v>2073</v>
      </c>
      <c r="Z147" s="89" t="n">
        <v>2679</v>
      </c>
      <c r="AA147" s="296" t="n">
        <f aca="false">Z147</f>
        <v>2679</v>
      </c>
      <c r="AB147" s="89" t="n">
        <v>617</v>
      </c>
      <c r="AC147" s="89" t="n">
        <v>1271</v>
      </c>
      <c r="AD147" s="89" t="n">
        <v>1966</v>
      </c>
      <c r="AE147" s="297" t="n">
        <f aca="false">AF147</f>
        <v>2685</v>
      </c>
      <c r="AF147" s="90" t="n">
        <v>2685</v>
      </c>
      <c r="AG147" s="89" t="n">
        <v>540</v>
      </c>
      <c r="AH147" s="89" t="n">
        <v>1257</v>
      </c>
      <c r="AI147" s="89" t="n">
        <v>1918</v>
      </c>
      <c r="AJ147" s="297" t="n">
        <f aca="false">AK147</f>
        <v>2824</v>
      </c>
      <c r="AK147" s="90" t="n">
        <v>2824</v>
      </c>
      <c r="AL147" s="89" t="n">
        <v>857</v>
      </c>
      <c r="AM147" s="89" t="n">
        <v>1744</v>
      </c>
      <c r="AN147" s="89" t="n">
        <v>2606</v>
      </c>
      <c r="AO147" s="297" t="n">
        <f aca="false">AP147</f>
        <v>3662</v>
      </c>
      <c r="AP147" s="90" t="n">
        <v>3662</v>
      </c>
      <c r="AQ147" s="89" t="n">
        <v>1235</v>
      </c>
      <c r="AR147" s="89" t="n">
        <v>2306</v>
      </c>
      <c r="AS147" s="89" t="n">
        <v>3436</v>
      </c>
      <c r="AT147" s="297" t="n">
        <f aca="false">AU147</f>
        <v>4958</v>
      </c>
      <c r="AU147" s="90" t="n">
        <v>4958</v>
      </c>
      <c r="AV147" s="89" t="n">
        <v>1247</v>
      </c>
      <c r="AW147" s="89" t="n">
        <v>2537</v>
      </c>
      <c r="AX147" s="89" t="n">
        <v>4060</v>
      </c>
      <c r="AY147" s="297" t="n">
        <f aca="false">AZ147</f>
        <v>5743</v>
      </c>
      <c r="AZ147" s="90" t="n">
        <v>5743</v>
      </c>
      <c r="BA147" s="89" t="n">
        <v>1404</v>
      </c>
      <c r="BB147" s="89" t="n">
        <v>2701</v>
      </c>
      <c r="BC147" s="89" t="n">
        <v>4066</v>
      </c>
      <c r="BD147" s="297" t="n">
        <f aca="false">BE147</f>
        <v>5620</v>
      </c>
      <c r="BE147" s="90" t="n">
        <v>5620</v>
      </c>
      <c r="BF147" s="89" t="n">
        <v>1324</v>
      </c>
      <c r="BG147" s="89" t="n">
        <v>2806</v>
      </c>
      <c r="BH147" s="89" t="n">
        <v>4347</v>
      </c>
      <c r="BI147" s="297" t="n">
        <f aca="false">BJ147</f>
        <v>6494</v>
      </c>
      <c r="BJ147" s="90" t="n">
        <v>6494</v>
      </c>
      <c r="BK147" s="89" t="n">
        <v>2001</v>
      </c>
      <c r="BL147" s="89" t="n">
        <v>4096.7</v>
      </c>
      <c r="BM147" s="89" t="n">
        <v>6059</v>
      </c>
      <c r="BN147" s="297" t="n">
        <f aca="false">BO147</f>
        <v>8193</v>
      </c>
      <c r="BO147" s="101" t="n">
        <v>8193</v>
      </c>
      <c r="BP147" s="88"/>
      <c r="BQ147" s="88"/>
      <c r="BR147" s="88"/>
      <c r="BS147" s="88"/>
      <c r="BT147" s="87"/>
      <c r="BU147" s="88"/>
      <c r="BV147" s="88"/>
      <c r="BW147" s="88"/>
      <c r="BX147" s="88"/>
      <c r="BY147" s="87"/>
      <c r="BZ147" s="87"/>
      <c r="CA147" s="87"/>
      <c r="CB147" s="87"/>
      <c r="CC147" s="92"/>
    </row>
    <row r="148" s="45" customFormat="true" ht="15" hidden="true" customHeight="true" outlineLevel="2" collapsed="false">
      <c r="A148" s="298" t="s">
        <v>260</v>
      </c>
      <c r="B148" s="86"/>
      <c r="C148" s="90" t="n">
        <v>315</v>
      </c>
      <c r="D148" s="90" t="n">
        <v>944</v>
      </c>
      <c r="E148" s="90" t="n">
        <v>1856</v>
      </c>
      <c r="F148" s="90" t="n">
        <v>2279</v>
      </c>
      <c r="G148" s="90" t="n">
        <v>2064</v>
      </c>
      <c r="H148" s="89" t="n">
        <v>145</v>
      </c>
      <c r="I148" s="89" t="n">
        <v>473</v>
      </c>
      <c r="J148" s="89" t="n">
        <v>913</v>
      </c>
      <c r="K148" s="89" t="n">
        <v>1186</v>
      </c>
      <c r="L148" s="296" t="n">
        <f aca="false">K148</f>
        <v>1186</v>
      </c>
      <c r="M148" s="89" t="n">
        <v>414</v>
      </c>
      <c r="N148" s="89" t="n">
        <v>872</v>
      </c>
      <c r="O148" s="89" t="n">
        <v>1218</v>
      </c>
      <c r="P148" s="89" t="n">
        <v>1608</v>
      </c>
      <c r="Q148" s="296" t="n">
        <f aca="false">P148</f>
        <v>1608</v>
      </c>
      <c r="R148" s="89" t="n">
        <v>409</v>
      </c>
      <c r="S148" s="89" t="n">
        <v>915</v>
      </c>
      <c r="T148" s="89" t="n">
        <v>1731</v>
      </c>
      <c r="U148" s="89" t="n">
        <v>2155</v>
      </c>
      <c r="V148" s="296" t="n">
        <f aca="false">U148</f>
        <v>2155</v>
      </c>
      <c r="W148" s="89" t="n">
        <v>489</v>
      </c>
      <c r="X148" s="89" t="n">
        <v>995</v>
      </c>
      <c r="Y148" s="89" t="n">
        <v>1725</v>
      </c>
      <c r="Z148" s="89" t="n">
        <v>2289</v>
      </c>
      <c r="AA148" s="296" t="n">
        <f aca="false">Z148</f>
        <v>2289</v>
      </c>
      <c r="AB148" s="88"/>
      <c r="AC148" s="88"/>
      <c r="AD148" s="88"/>
      <c r="AE148" s="88"/>
      <c r="AF148" s="87"/>
      <c r="AG148" s="88"/>
      <c r="AH148" s="88"/>
      <c r="AI148" s="88"/>
      <c r="AJ148" s="88"/>
      <c r="AK148" s="87"/>
      <c r="AL148" s="88"/>
      <c r="AM148" s="88"/>
      <c r="AN148" s="88"/>
      <c r="AO148" s="88"/>
      <c r="AP148" s="87"/>
      <c r="AQ148" s="88"/>
      <c r="AR148" s="88"/>
      <c r="AS148" s="88"/>
      <c r="AT148" s="88"/>
      <c r="AU148" s="87"/>
      <c r="AV148" s="88"/>
      <c r="AW148" s="88"/>
      <c r="AX148" s="88"/>
      <c r="AY148" s="88"/>
      <c r="AZ148" s="87"/>
      <c r="BA148" s="88"/>
      <c r="BB148" s="88"/>
      <c r="BC148" s="88"/>
      <c r="BD148" s="88"/>
      <c r="BE148" s="87"/>
      <c r="BF148" s="88"/>
      <c r="BG148" s="88"/>
      <c r="BH148" s="88"/>
      <c r="BI148" s="88"/>
      <c r="BJ148" s="87"/>
      <c r="BK148" s="88"/>
      <c r="BL148" s="88"/>
      <c r="BM148" s="88"/>
      <c r="BN148" s="88"/>
      <c r="BO148" s="91"/>
      <c r="BP148" s="88"/>
      <c r="BQ148" s="88"/>
      <c r="BR148" s="88"/>
      <c r="BS148" s="88"/>
      <c r="BT148" s="87"/>
      <c r="BU148" s="88"/>
      <c r="BV148" s="88"/>
      <c r="BW148" s="88"/>
      <c r="BX148" s="88"/>
      <c r="BY148" s="87"/>
      <c r="BZ148" s="87"/>
      <c r="CA148" s="87"/>
      <c r="CB148" s="87"/>
      <c r="CC148" s="92"/>
    </row>
    <row r="149" s="45" customFormat="true" ht="15" hidden="true" customHeight="true" outlineLevel="2" collapsed="false">
      <c r="A149" s="299" t="s">
        <v>261</v>
      </c>
      <c r="B149" s="103"/>
      <c r="C149" s="105" t="n">
        <v>233</v>
      </c>
      <c r="D149" s="105" t="n">
        <v>366</v>
      </c>
      <c r="E149" s="105" t="n">
        <v>844</v>
      </c>
      <c r="F149" s="105" t="n">
        <v>588</v>
      </c>
      <c r="G149" s="105" t="n">
        <v>440</v>
      </c>
      <c r="H149" s="106" t="n">
        <v>199</v>
      </c>
      <c r="I149" s="106" t="n">
        <v>526</v>
      </c>
      <c r="J149" s="106" t="n">
        <v>722</v>
      </c>
      <c r="K149" s="106" t="n">
        <v>831</v>
      </c>
      <c r="L149" s="300" t="n">
        <f aca="false">K149</f>
        <v>831</v>
      </c>
      <c r="M149" s="106" t="n">
        <v>154</v>
      </c>
      <c r="N149" s="106" t="n">
        <v>301</v>
      </c>
      <c r="O149" s="106" t="n">
        <v>408</v>
      </c>
      <c r="P149" s="106" t="n">
        <v>514</v>
      </c>
      <c r="Q149" s="300" t="n">
        <f aca="false">P149</f>
        <v>514</v>
      </c>
      <c r="R149" s="106" t="n">
        <v>90</v>
      </c>
      <c r="S149" s="106" t="n">
        <v>402</v>
      </c>
      <c r="T149" s="106" t="n">
        <v>628</v>
      </c>
      <c r="U149" s="106" t="n">
        <v>945</v>
      </c>
      <c r="V149" s="300" t="n">
        <f aca="false">U149</f>
        <v>945</v>
      </c>
      <c r="W149" s="106" t="n">
        <v>153</v>
      </c>
      <c r="X149" s="106" t="n">
        <v>271</v>
      </c>
      <c r="Y149" s="106" t="n">
        <v>773</v>
      </c>
      <c r="Z149" s="106" t="n">
        <v>1117</v>
      </c>
      <c r="AA149" s="300" t="n">
        <f aca="false">Z149</f>
        <v>1117</v>
      </c>
      <c r="AB149" s="117"/>
      <c r="AC149" s="117"/>
      <c r="AD149" s="117"/>
      <c r="AE149" s="117"/>
      <c r="AF149" s="104"/>
      <c r="AG149" s="117"/>
      <c r="AH149" s="117"/>
      <c r="AI149" s="117"/>
      <c r="AJ149" s="117"/>
      <c r="AK149" s="104"/>
      <c r="AL149" s="117"/>
      <c r="AM149" s="117"/>
      <c r="AN149" s="117"/>
      <c r="AO149" s="117"/>
      <c r="AP149" s="104"/>
      <c r="AQ149" s="117"/>
      <c r="AR149" s="117"/>
      <c r="AS149" s="117"/>
      <c r="AT149" s="117"/>
      <c r="AU149" s="104"/>
      <c r="AV149" s="117"/>
      <c r="AW149" s="117"/>
      <c r="AX149" s="117"/>
      <c r="AY149" s="117"/>
      <c r="AZ149" s="104"/>
      <c r="BA149" s="117"/>
      <c r="BB149" s="117"/>
      <c r="BC149" s="117"/>
      <c r="BD149" s="117"/>
      <c r="BE149" s="104"/>
      <c r="BF149" s="117"/>
      <c r="BG149" s="117"/>
      <c r="BH149" s="117"/>
      <c r="BI149" s="117"/>
      <c r="BJ149" s="104"/>
      <c r="BK149" s="117"/>
      <c r="BL149" s="117"/>
      <c r="BM149" s="117"/>
      <c r="BN149" s="117"/>
      <c r="BO149" s="301"/>
      <c r="BP149" s="117"/>
      <c r="BQ149" s="117"/>
      <c r="BR149" s="117"/>
      <c r="BS149" s="117"/>
      <c r="BT149" s="104"/>
      <c r="BU149" s="117"/>
      <c r="BV149" s="117"/>
      <c r="BW149" s="117"/>
      <c r="BX149" s="117"/>
      <c r="BY149" s="104"/>
      <c r="BZ149" s="104"/>
      <c r="CA149" s="104"/>
      <c r="CB149" s="104"/>
      <c r="CC149" s="92"/>
    </row>
    <row r="150" s="45" customFormat="true" ht="15" hidden="true" customHeight="true" outlineLevel="2" collapsed="false">
      <c r="A150" s="302" t="s">
        <v>262</v>
      </c>
      <c r="B150" s="94"/>
      <c r="C150" s="303" t="n">
        <f aca="false">SUM(C148:C149)</f>
        <v>548</v>
      </c>
      <c r="D150" s="303" t="n">
        <f aca="false">SUM(D148:D149)</f>
        <v>1310</v>
      </c>
      <c r="E150" s="303" t="n">
        <f aca="false">SUM(E148:E149)</f>
        <v>2700</v>
      </c>
      <c r="F150" s="303" t="n">
        <f aca="false">SUM(F148:F149)</f>
        <v>2867</v>
      </c>
      <c r="G150" s="303" t="n">
        <f aca="false">SUM(G148:G149)</f>
        <v>2504</v>
      </c>
      <c r="H150" s="304" t="n">
        <f aca="false">SUM(H148:H149)</f>
        <v>344</v>
      </c>
      <c r="I150" s="304" t="n">
        <f aca="false">SUM(I148:I149)</f>
        <v>999</v>
      </c>
      <c r="J150" s="304" t="n">
        <f aca="false">SUM(J148:J149)</f>
        <v>1635</v>
      </c>
      <c r="K150" s="304" t="n">
        <f aca="false">SUM(K148:K149)</f>
        <v>2017</v>
      </c>
      <c r="L150" s="303" t="n">
        <f aca="false">SUM(L148:L149)</f>
        <v>2017</v>
      </c>
      <c r="M150" s="304" t="n">
        <f aca="false">SUM(M148:M149)</f>
        <v>568</v>
      </c>
      <c r="N150" s="304" t="n">
        <f aca="false">SUM(N148:N149)</f>
        <v>1173</v>
      </c>
      <c r="O150" s="304" t="n">
        <f aca="false">SUM(O148:O149)</f>
        <v>1626</v>
      </c>
      <c r="P150" s="304" t="n">
        <f aca="false">SUM(P148:P149)</f>
        <v>2122</v>
      </c>
      <c r="Q150" s="303" t="n">
        <f aca="false">SUM(Q148:Q149)</f>
        <v>2122</v>
      </c>
      <c r="R150" s="304" t="n">
        <f aca="false">SUM(R148:R149)</f>
        <v>499</v>
      </c>
      <c r="S150" s="304" t="n">
        <f aca="false">SUM(S148:S149)</f>
        <v>1317</v>
      </c>
      <c r="T150" s="304" t="n">
        <f aca="false">SUM(T148:T149)</f>
        <v>2359</v>
      </c>
      <c r="U150" s="304" t="n">
        <f aca="false">SUM(U148:U149)</f>
        <v>3100</v>
      </c>
      <c r="V150" s="303" t="n">
        <f aca="false">SUM(V148:V149)</f>
        <v>3100</v>
      </c>
      <c r="W150" s="304" t="n">
        <f aca="false">SUM(W148:W149)</f>
        <v>642</v>
      </c>
      <c r="X150" s="304" t="n">
        <f aca="false">SUM(X148:X149)</f>
        <v>1266</v>
      </c>
      <c r="Y150" s="304" t="n">
        <f aca="false">SUM(Y148:Y149)</f>
        <v>2498</v>
      </c>
      <c r="Z150" s="304" t="n">
        <f aca="false">SUM(Z148:Z149)</f>
        <v>3406</v>
      </c>
      <c r="AA150" s="303" t="n">
        <f aca="false">SUM(AA148:AA149)</f>
        <v>3406</v>
      </c>
      <c r="AB150" s="97" t="n">
        <v>441</v>
      </c>
      <c r="AC150" s="97" t="n">
        <v>1411</v>
      </c>
      <c r="AD150" s="97" t="n">
        <v>2271</v>
      </c>
      <c r="AE150" s="304" t="n">
        <f aca="false">AF150</f>
        <v>3714</v>
      </c>
      <c r="AF150" s="96" t="n">
        <v>3714</v>
      </c>
      <c r="AG150" s="97" t="n">
        <v>1005</v>
      </c>
      <c r="AH150" s="97" t="n">
        <v>2129</v>
      </c>
      <c r="AI150" s="97" t="n">
        <v>3959</v>
      </c>
      <c r="AJ150" s="304" t="n">
        <f aca="false">AK150</f>
        <v>6566</v>
      </c>
      <c r="AK150" s="96" t="n">
        <v>6566</v>
      </c>
      <c r="AL150" s="97" t="n">
        <v>1158</v>
      </c>
      <c r="AM150" s="97" t="n">
        <v>2668</v>
      </c>
      <c r="AN150" s="97" t="n">
        <v>5098</v>
      </c>
      <c r="AO150" s="304" t="n">
        <f aca="false">AP150</f>
        <v>7393</v>
      </c>
      <c r="AP150" s="96" t="n">
        <v>7393</v>
      </c>
      <c r="AQ150" s="97" t="n">
        <v>2427</v>
      </c>
      <c r="AR150" s="97" t="n">
        <v>4556</v>
      </c>
      <c r="AS150" s="97" t="n">
        <v>7049</v>
      </c>
      <c r="AT150" s="304" t="n">
        <f aca="false">AU150</f>
        <v>9589</v>
      </c>
      <c r="AU150" s="96" t="n">
        <v>9589</v>
      </c>
      <c r="AV150" s="97" t="n">
        <v>1154</v>
      </c>
      <c r="AW150" s="97" t="n">
        <v>4074</v>
      </c>
      <c r="AX150" s="97" t="n">
        <v>6954</v>
      </c>
      <c r="AY150" s="304" t="n">
        <f aca="false">AZ150</f>
        <v>9977</v>
      </c>
      <c r="AZ150" s="96" t="n">
        <v>9977</v>
      </c>
      <c r="BA150" s="97" t="n">
        <v>3761</v>
      </c>
      <c r="BB150" s="97" t="n">
        <v>8480</v>
      </c>
      <c r="BC150" s="97" t="n">
        <v>12534</v>
      </c>
      <c r="BD150" s="304" t="n">
        <f aca="false">BE150</f>
        <v>15985</v>
      </c>
      <c r="BE150" s="96" t="n">
        <v>15985</v>
      </c>
      <c r="BF150" s="97" t="n">
        <v>2498</v>
      </c>
      <c r="BG150" s="97" t="n">
        <v>5077</v>
      </c>
      <c r="BH150" s="97" t="n">
        <v>8873</v>
      </c>
      <c r="BI150" s="304" t="n">
        <f aca="false">BJ150</f>
        <v>13195</v>
      </c>
      <c r="BJ150" s="96" t="n">
        <v>13195</v>
      </c>
      <c r="BK150" s="97" t="n">
        <v>3315</v>
      </c>
      <c r="BL150" s="97" t="n">
        <v>7157</v>
      </c>
      <c r="BM150" s="97" t="n">
        <v>10777</v>
      </c>
      <c r="BN150" s="304" t="n">
        <f aca="false">BO150</f>
        <v>16054</v>
      </c>
      <c r="BO150" s="99" t="n">
        <v>16054</v>
      </c>
      <c r="BP150" s="98"/>
      <c r="BQ150" s="98"/>
      <c r="BR150" s="98"/>
      <c r="BS150" s="98"/>
      <c r="BT150" s="95"/>
      <c r="BU150" s="98"/>
      <c r="BV150" s="98"/>
      <c r="BW150" s="98"/>
      <c r="BX150" s="98"/>
      <c r="BY150" s="95"/>
      <c r="BZ150" s="95"/>
      <c r="CA150" s="95"/>
      <c r="CB150" s="95"/>
      <c r="CC150" s="92"/>
    </row>
    <row r="151" s="45" customFormat="true" ht="15" hidden="true" customHeight="true" outlineLevel="2" collapsed="false">
      <c r="A151" s="305" t="s">
        <v>263</v>
      </c>
      <c r="B151" s="103"/>
      <c r="C151" s="105" t="n">
        <v>627</v>
      </c>
      <c r="D151" s="105" t="n">
        <v>2585</v>
      </c>
      <c r="E151" s="105" t="n">
        <v>2184</v>
      </c>
      <c r="F151" s="105" t="n">
        <v>935</v>
      </c>
      <c r="G151" s="105" t="n">
        <v>1489</v>
      </c>
      <c r="H151" s="106" t="n">
        <v>686</v>
      </c>
      <c r="I151" s="106" t="n">
        <v>1274</v>
      </c>
      <c r="J151" s="106" t="n">
        <v>1522</v>
      </c>
      <c r="K151" s="106" t="n">
        <v>2225</v>
      </c>
      <c r="L151" s="300" t="n">
        <f aca="false">K151</f>
        <v>2225</v>
      </c>
      <c r="M151" s="106" t="n">
        <v>679</v>
      </c>
      <c r="N151" s="106" t="n">
        <v>1208</v>
      </c>
      <c r="O151" s="106" t="n">
        <v>1730</v>
      </c>
      <c r="P151" s="106" t="n">
        <v>2115</v>
      </c>
      <c r="Q151" s="300" t="n">
        <f aca="false">P151</f>
        <v>2115</v>
      </c>
      <c r="R151" s="106" t="n">
        <v>357</v>
      </c>
      <c r="S151" s="106" t="n">
        <v>793</v>
      </c>
      <c r="T151" s="106" t="n">
        <v>989</v>
      </c>
      <c r="U151" s="106" t="n">
        <v>1471</v>
      </c>
      <c r="V151" s="300" t="n">
        <f aca="false">U151</f>
        <v>1471</v>
      </c>
      <c r="W151" s="106" t="n">
        <v>574</v>
      </c>
      <c r="X151" s="106" t="n">
        <v>1334</v>
      </c>
      <c r="Y151" s="106" t="n">
        <v>1921</v>
      </c>
      <c r="Z151" s="106" t="n">
        <v>2968</v>
      </c>
      <c r="AA151" s="300" t="n">
        <f aca="false">Z151</f>
        <v>2968</v>
      </c>
      <c r="AB151" s="106" t="n">
        <v>1227</v>
      </c>
      <c r="AC151" s="106" t="n">
        <v>2343</v>
      </c>
      <c r="AD151" s="106" t="n">
        <v>3564</v>
      </c>
      <c r="AE151" s="306" t="n">
        <f aca="false">AF151</f>
        <v>4545</v>
      </c>
      <c r="AF151" s="105" t="n">
        <v>4545</v>
      </c>
      <c r="AG151" s="106" t="n">
        <v>684</v>
      </c>
      <c r="AH151" s="106" t="n">
        <v>1411</v>
      </c>
      <c r="AI151" s="106" t="n">
        <v>1907</v>
      </c>
      <c r="AJ151" s="306" t="n">
        <f aca="false">AK151</f>
        <v>2430</v>
      </c>
      <c r="AK151" s="105" t="n">
        <v>2430</v>
      </c>
      <c r="AL151" s="106" t="n">
        <v>426</v>
      </c>
      <c r="AM151" s="106" t="n">
        <v>1355</v>
      </c>
      <c r="AN151" s="106" t="n">
        <v>2020</v>
      </c>
      <c r="AO151" s="306" t="n">
        <f aca="false">AP151</f>
        <v>2924</v>
      </c>
      <c r="AP151" s="105" t="n">
        <v>2924</v>
      </c>
      <c r="AQ151" s="106" t="n">
        <v>702</v>
      </c>
      <c r="AR151" s="106" t="n">
        <v>1522</v>
      </c>
      <c r="AS151" s="106" t="n">
        <v>3140</v>
      </c>
      <c r="AT151" s="306" t="n">
        <f aca="false">AU151</f>
        <v>4064</v>
      </c>
      <c r="AU151" s="105" t="n">
        <v>4064</v>
      </c>
      <c r="AV151" s="106" t="n">
        <v>1133</v>
      </c>
      <c r="AW151" s="106" t="n">
        <v>2353</v>
      </c>
      <c r="AX151" s="106" t="n">
        <v>3729</v>
      </c>
      <c r="AY151" s="306" t="n">
        <f aca="false">AZ151</f>
        <v>5453</v>
      </c>
      <c r="AZ151" s="105" t="n">
        <v>5453</v>
      </c>
      <c r="BA151" s="106" t="n">
        <v>1581</v>
      </c>
      <c r="BB151" s="106" t="n">
        <v>2468</v>
      </c>
      <c r="BC151" s="106" t="n">
        <v>3722</v>
      </c>
      <c r="BD151" s="306" t="n">
        <f aca="false">BE151</f>
        <v>5954</v>
      </c>
      <c r="BE151" s="105" t="n">
        <v>5954</v>
      </c>
      <c r="BF151" s="106" t="n">
        <v>1468</v>
      </c>
      <c r="BG151" s="106" t="n">
        <v>3650</v>
      </c>
      <c r="BH151" s="106" t="n">
        <v>5780</v>
      </c>
      <c r="BI151" s="306" t="n">
        <f aca="false">BJ151</f>
        <v>8574</v>
      </c>
      <c r="BJ151" s="105" t="n">
        <v>8574</v>
      </c>
      <c r="BK151" s="106" t="n">
        <v>2426</v>
      </c>
      <c r="BL151" s="106" t="n">
        <v>4179</v>
      </c>
      <c r="BM151" s="106" t="n">
        <v>6113</v>
      </c>
      <c r="BN151" s="306" t="n">
        <f aca="false">BO151</f>
        <v>8420</v>
      </c>
      <c r="BO151" s="107" t="n">
        <v>8420</v>
      </c>
      <c r="BP151" s="117"/>
      <c r="BQ151" s="117"/>
      <c r="BR151" s="117"/>
      <c r="BS151" s="117"/>
      <c r="BT151" s="104"/>
      <c r="BU151" s="117"/>
      <c r="BV151" s="117"/>
      <c r="BW151" s="117"/>
      <c r="BX151" s="117"/>
      <c r="BY151" s="104"/>
      <c r="BZ151" s="104"/>
      <c r="CA151" s="104"/>
      <c r="CB151" s="104"/>
      <c r="CC151" s="92"/>
    </row>
    <row r="152" s="115" customFormat="true" ht="15" hidden="true" customHeight="true" outlineLevel="2" collapsed="false">
      <c r="A152" s="307" t="s">
        <v>264</v>
      </c>
      <c r="B152" s="119"/>
      <c r="C152" s="308" t="n">
        <f aca="false">C147+SUM(C150:C151)</f>
        <v>1596</v>
      </c>
      <c r="D152" s="308" t="n">
        <f aca="false">D147+SUM(D150:D151)</f>
        <v>4508</v>
      </c>
      <c r="E152" s="308" t="n">
        <f aca="false">E147+SUM(E150:E151)</f>
        <v>5651</v>
      </c>
      <c r="F152" s="308" t="n">
        <f aca="false">F147+SUM(F150:F151)</f>
        <v>4732</v>
      </c>
      <c r="G152" s="308" t="n">
        <f aca="false">G147+SUM(G150:G151)</f>
        <v>5245</v>
      </c>
      <c r="H152" s="309" t="n">
        <f aca="false">H147+SUM(H150:H151)</f>
        <v>1397</v>
      </c>
      <c r="I152" s="309" t="n">
        <f aca="false">I147+SUM(I150:I151)</f>
        <v>3040</v>
      </c>
      <c r="J152" s="309" t="n">
        <f aca="false">J147+SUM(J150:J151)</f>
        <v>4362</v>
      </c>
      <c r="K152" s="309" t="n">
        <f aca="false">K147+SUM(K150:K151)</f>
        <v>5856</v>
      </c>
      <c r="L152" s="308" t="n">
        <f aca="false">L147+SUM(L150:L151)</f>
        <v>5856</v>
      </c>
      <c r="M152" s="309" t="n">
        <f aca="false">M147+SUM(M150:M151)</f>
        <v>1650</v>
      </c>
      <c r="N152" s="309" t="n">
        <f aca="false">N147+SUM(N150:N151)</f>
        <v>3304</v>
      </c>
      <c r="O152" s="309" t="n">
        <f aca="false">O147+SUM(O150:O151)</f>
        <v>4853</v>
      </c>
      <c r="P152" s="309" t="n">
        <f aca="false">P147+SUM(P150:P151)</f>
        <v>6287</v>
      </c>
      <c r="Q152" s="308" t="n">
        <f aca="false">Q147+SUM(Q150:Q151)</f>
        <v>6287</v>
      </c>
      <c r="R152" s="309" t="n">
        <f aca="false">R147+SUM(R150:R151)</f>
        <v>1333</v>
      </c>
      <c r="S152" s="309" t="n">
        <f aca="false">S147+SUM(S150:S151)</f>
        <v>3073</v>
      </c>
      <c r="T152" s="309" t="n">
        <f aca="false">T147+SUM(T150:T151)</f>
        <v>4888</v>
      </c>
      <c r="U152" s="309" t="n">
        <f aca="false">U147+SUM(U150:U151)</f>
        <v>6795</v>
      </c>
      <c r="V152" s="308" t="n">
        <f aca="false">V147+SUM(V150:V151)</f>
        <v>6795</v>
      </c>
      <c r="W152" s="309" t="n">
        <f aca="false">W147+SUM(W150:W151)</f>
        <v>1944</v>
      </c>
      <c r="X152" s="309" t="n">
        <f aca="false">X147+SUM(X150:X151)</f>
        <v>4045</v>
      </c>
      <c r="Y152" s="309" t="n">
        <f aca="false">Y147+SUM(Y150:Y151)</f>
        <v>6492</v>
      </c>
      <c r="Z152" s="309" t="n">
        <f aca="false">Z147+SUM(Z150:Z151)</f>
        <v>9053</v>
      </c>
      <c r="AA152" s="308" t="n">
        <f aca="false">AA147+SUM(AA150:AA151)</f>
        <v>9053</v>
      </c>
      <c r="AB152" s="309" t="n">
        <f aca="false">AB147+SUM(AB150:AB151)</f>
        <v>2285</v>
      </c>
      <c r="AC152" s="309" t="n">
        <f aca="false">AC147+SUM(AC150:AC151)</f>
        <v>5025</v>
      </c>
      <c r="AD152" s="309" t="n">
        <f aca="false">AD147+SUM(AD150:AD151)</f>
        <v>7801</v>
      </c>
      <c r="AE152" s="309" t="n">
        <f aca="false">AE147+SUM(AE150:AE151)</f>
        <v>10944</v>
      </c>
      <c r="AF152" s="308" t="n">
        <f aca="false">AF147+SUM(AF150:AF151)</f>
        <v>10944</v>
      </c>
      <c r="AG152" s="309" t="n">
        <f aca="false">AG147+SUM(AG150:AG151)</f>
        <v>2229</v>
      </c>
      <c r="AH152" s="309" t="n">
        <f aca="false">AH147+SUM(AH150:AH151)</f>
        <v>4797</v>
      </c>
      <c r="AI152" s="309" t="n">
        <f aca="false">AI147+SUM(AI150:AI151)</f>
        <v>7784</v>
      </c>
      <c r="AJ152" s="309" t="n">
        <f aca="false">AJ147+SUM(AJ150:AJ151)</f>
        <v>11820</v>
      </c>
      <c r="AK152" s="308" t="n">
        <f aca="false">AK147+SUM(AK150:AK151)</f>
        <v>11820</v>
      </c>
      <c r="AL152" s="309" t="n">
        <f aca="false">AL147+SUM(AL150:AL151)</f>
        <v>2441</v>
      </c>
      <c r="AM152" s="309" t="n">
        <f aca="false">AM147+SUM(AM150:AM151)</f>
        <v>5767</v>
      </c>
      <c r="AN152" s="309" t="n">
        <f aca="false">AN147+SUM(AN150:AN151)</f>
        <v>9724</v>
      </c>
      <c r="AO152" s="309" t="n">
        <f aca="false">AO147+SUM(AO150:AO151)</f>
        <v>13979</v>
      </c>
      <c r="AP152" s="308" t="n">
        <f aca="false">AP147+SUM(AP150:AP151)</f>
        <v>13979</v>
      </c>
      <c r="AQ152" s="309" t="n">
        <f aca="false">AQ147+SUM(AQ150:AQ151)</f>
        <v>4364</v>
      </c>
      <c r="AR152" s="309" t="n">
        <f aca="false">AR147+SUM(AR150:AR151)</f>
        <v>8384</v>
      </c>
      <c r="AS152" s="309" t="n">
        <f aca="false">AS147+SUM(AS150:AS151)</f>
        <v>13625</v>
      </c>
      <c r="AT152" s="309" t="n">
        <f aca="false">AT147+SUM(AT150:AT151)</f>
        <v>18611</v>
      </c>
      <c r="AU152" s="308" t="n">
        <f aca="false">AU147+SUM(AU150:AU151)</f>
        <v>18611</v>
      </c>
      <c r="AV152" s="309" t="n">
        <f aca="false">AV147+SUM(AV150:AV151)</f>
        <v>3534</v>
      </c>
      <c r="AW152" s="310" t="n">
        <v>8965</v>
      </c>
      <c r="AX152" s="309" t="n">
        <f aca="false">AX147+SUM(AX150:AX151)</f>
        <v>14743</v>
      </c>
      <c r="AY152" s="309" t="n">
        <f aca="false">AY147+SUM(AY150:AY151)</f>
        <v>21173</v>
      </c>
      <c r="AZ152" s="308" t="n">
        <f aca="false">AZ147+SUM(AZ150:AZ151)</f>
        <v>21173</v>
      </c>
      <c r="BA152" s="309" t="n">
        <f aca="false">BA147+SUM(BA150:BA151)</f>
        <v>6746</v>
      </c>
      <c r="BB152" s="309" t="n">
        <f aca="false">BB147+SUM(BB150:BB151)</f>
        <v>13649</v>
      </c>
      <c r="BC152" s="309" t="n">
        <f aca="false">BC147+SUM(BC150:BC151)</f>
        <v>20322</v>
      </c>
      <c r="BD152" s="309" t="n">
        <f aca="false">BD147+SUM(BD150:BD151)</f>
        <v>27559</v>
      </c>
      <c r="BE152" s="308" t="n">
        <f aca="false">BE147+SUM(BE150:BE151)</f>
        <v>27559</v>
      </c>
      <c r="BF152" s="309" t="n">
        <f aca="false">BF147+SUM(BF150:BF151)</f>
        <v>5290</v>
      </c>
      <c r="BG152" s="309" t="n">
        <f aca="false">BG147+SUM(BG150:BG151)</f>
        <v>11533</v>
      </c>
      <c r="BH152" s="309" t="n">
        <f aca="false">BH147+SUM(BH150:BH151)</f>
        <v>19000</v>
      </c>
      <c r="BI152" s="309" t="n">
        <f aca="false">BI147+SUM(BI150:BI151)</f>
        <v>28263</v>
      </c>
      <c r="BJ152" s="308" t="n">
        <f aca="false">BJ147+SUM(BJ150:BJ151)</f>
        <v>28263</v>
      </c>
      <c r="BK152" s="309" t="n">
        <f aca="false">BK147+SUM(BK150:BK151)</f>
        <v>7742</v>
      </c>
      <c r="BL152" s="309" t="n">
        <f aca="false">BL147+SUM(BL150:BL151)</f>
        <v>15432.7</v>
      </c>
      <c r="BM152" s="309" t="n">
        <f aca="false">BM147+SUM(BM150:BM151)</f>
        <v>22949</v>
      </c>
      <c r="BN152" s="309" t="n">
        <f aca="false">BN147+SUM(BN150:BN151)</f>
        <v>32667</v>
      </c>
      <c r="BO152" s="311" t="n">
        <f aca="false">BO147+SUM(BO150:BO151)</f>
        <v>32667</v>
      </c>
      <c r="BP152" s="121"/>
      <c r="BQ152" s="121"/>
      <c r="BR152" s="121"/>
      <c r="BS152" s="121"/>
      <c r="BT152" s="120"/>
      <c r="BU152" s="121"/>
      <c r="BV152" s="121"/>
      <c r="BW152" s="121"/>
      <c r="BX152" s="121"/>
      <c r="BY152" s="120"/>
      <c r="BZ152" s="120"/>
      <c r="CA152" s="120"/>
      <c r="CB152" s="120"/>
      <c r="CC152" s="114"/>
    </row>
    <row r="153" s="115" customFormat="true" ht="15" hidden="true" customHeight="true" outlineLevel="2" collapsed="false">
      <c r="A153" s="123"/>
      <c r="B153" s="109"/>
      <c r="C153" s="111"/>
      <c r="D153" s="111"/>
      <c r="E153" s="111"/>
      <c r="F153" s="111"/>
      <c r="G153" s="111"/>
      <c r="H153" s="112"/>
      <c r="I153" s="112"/>
      <c r="J153" s="112"/>
      <c r="K153" s="112"/>
      <c r="L153" s="111"/>
      <c r="M153" s="112"/>
      <c r="N153" s="112"/>
      <c r="O153" s="112"/>
      <c r="P153" s="112"/>
      <c r="Q153" s="111"/>
      <c r="R153" s="112"/>
      <c r="S153" s="112"/>
      <c r="T153" s="112"/>
      <c r="U153" s="112"/>
      <c r="V153" s="111"/>
      <c r="W153" s="112"/>
      <c r="X153" s="112"/>
      <c r="Y153" s="112"/>
      <c r="Z153" s="112"/>
      <c r="AA153" s="111"/>
      <c r="AB153" s="112"/>
      <c r="AC153" s="112"/>
      <c r="AD153" s="112"/>
      <c r="AE153" s="112"/>
      <c r="AF153" s="111"/>
      <c r="AG153" s="112"/>
      <c r="AH153" s="112"/>
      <c r="AI153" s="112"/>
      <c r="AJ153" s="112"/>
      <c r="AK153" s="111"/>
      <c r="AL153" s="112"/>
      <c r="AM153" s="112"/>
      <c r="AN153" s="112"/>
      <c r="AO153" s="112"/>
      <c r="AP153" s="111"/>
      <c r="AQ153" s="112"/>
      <c r="AR153" s="112"/>
      <c r="AS153" s="112"/>
      <c r="AT153" s="112"/>
      <c r="AU153" s="111"/>
      <c r="AV153" s="112"/>
      <c r="AW153" s="112"/>
      <c r="AX153" s="112"/>
      <c r="AY153" s="112"/>
      <c r="AZ153" s="111"/>
      <c r="BA153" s="112"/>
      <c r="BB153" s="112"/>
      <c r="BC153" s="112"/>
      <c r="BD153" s="112"/>
      <c r="BE153" s="111"/>
      <c r="BF153" s="112"/>
      <c r="BG153" s="112"/>
      <c r="BH153" s="112"/>
      <c r="BI153" s="112"/>
      <c r="BJ153" s="111"/>
      <c r="BK153" s="112"/>
      <c r="BL153" s="112"/>
      <c r="BM153" s="112"/>
      <c r="BN153" s="112"/>
      <c r="BO153" s="113"/>
      <c r="BP153" s="112"/>
      <c r="BQ153" s="112"/>
      <c r="BR153" s="112"/>
      <c r="BS153" s="112"/>
      <c r="BT153" s="111"/>
      <c r="BU153" s="112"/>
      <c r="BV153" s="112"/>
      <c r="BW153" s="112"/>
      <c r="BX153" s="112"/>
      <c r="BY153" s="111"/>
      <c r="BZ153" s="111"/>
      <c r="CA153" s="111"/>
      <c r="CB153" s="111"/>
      <c r="CC153" s="114"/>
    </row>
    <row r="154" s="45" customFormat="true" ht="15" hidden="true" customHeight="true" outlineLevel="2" collapsed="false">
      <c r="A154" s="242" t="s">
        <v>265</v>
      </c>
      <c r="B154" s="86"/>
      <c r="C154" s="296" t="n">
        <f aca="false">C147</f>
        <v>421</v>
      </c>
      <c r="D154" s="296" t="n">
        <f aca="false">D147</f>
        <v>613</v>
      </c>
      <c r="E154" s="296" t="n">
        <f aca="false">E147</f>
        <v>767</v>
      </c>
      <c r="F154" s="296" t="n">
        <f aca="false">F147</f>
        <v>930</v>
      </c>
      <c r="G154" s="296" t="n">
        <f aca="false">G147</f>
        <v>1252</v>
      </c>
      <c r="H154" s="297" t="n">
        <f aca="false">H147</f>
        <v>367</v>
      </c>
      <c r="I154" s="297" t="n">
        <f aca="false">+I147-H147</f>
        <v>400</v>
      </c>
      <c r="J154" s="297" t="n">
        <f aca="false">+J147-I147</f>
        <v>438</v>
      </c>
      <c r="K154" s="297" t="n">
        <f aca="false">+K147-J147</f>
        <v>409</v>
      </c>
      <c r="L154" s="296" t="n">
        <f aca="false">L147</f>
        <v>1614</v>
      </c>
      <c r="M154" s="297" t="n">
        <f aca="false">M147</f>
        <v>403</v>
      </c>
      <c r="N154" s="297" t="n">
        <f aca="false">+N147-M147</f>
        <v>520</v>
      </c>
      <c r="O154" s="297" t="n">
        <f aca="false">+O147-N147</f>
        <v>574</v>
      </c>
      <c r="P154" s="297" t="n">
        <f aca="false">+P147-O147</f>
        <v>553</v>
      </c>
      <c r="Q154" s="296" t="n">
        <f aca="false">Q147</f>
        <v>2050</v>
      </c>
      <c r="R154" s="297" t="n">
        <f aca="false">R147</f>
        <v>477</v>
      </c>
      <c r="S154" s="297" t="n">
        <f aca="false">+S147-R147</f>
        <v>486</v>
      </c>
      <c r="T154" s="297" t="n">
        <f aca="false">+T147-S147</f>
        <v>577</v>
      </c>
      <c r="U154" s="297" t="n">
        <f aca="false">+U147-T147</f>
        <v>684</v>
      </c>
      <c r="V154" s="296" t="n">
        <f aca="false">V147</f>
        <v>2224</v>
      </c>
      <c r="W154" s="297" t="n">
        <f aca="false">W147</f>
        <v>728</v>
      </c>
      <c r="X154" s="297" t="n">
        <f aca="false">+X147-W147</f>
        <v>717</v>
      </c>
      <c r="Y154" s="297" t="n">
        <f aca="false">+Y147-X147</f>
        <v>628</v>
      </c>
      <c r="Z154" s="297" t="n">
        <f aca="false">+Z147-Y147</f>
        <v>606</v>
      </c>
      <c r="AA154" s="90" t="n">
        <v>2679</v>
      </c>
      <c r="AB154" s="297" t="n">
        <f aca="false">AB147</f>
        <v>617</v>
      </c>
      <c r="AC154" s="297" t="n">
        <f aca="false">+AC147-AB147</f>
        <v>654</v>
      </c>
      <c r="AD154" s="297" t="n">
        <f aca="false">+AD147-AC147</f>
        <v>695</v>
      </c>
      <c r="AE154" s="297" t="n">
        <f aca="false">AF154-SUM(AB154,AC154,AD154)</f>
        <v>719</v>
      </c>
      <c r="AF154" s="296" t="n">
        <f aca="false">AF147</f>
        <v>2685</v>
      </c>
      <c r="AG154" s="297" t="n">
        <f aca="false">AG147</f>
        <v>540</v>
      </c>
      <c r="AH154" s="297" t="n">
        <f aca="false">+AH147-AG147</f>
        <v>717</v>
      </c>
      <c r="AI154" s="297" t="n">
        <f aca="false">+AI147-AH147</f>
        <v>661</v>
      </c>
      <c r="AJ154" s="297" t="n">
        <f aca="false">AK154-SUM(AG154,AH154,AI154)</f>
        <v>906</v>
      </c>
      <c r="AK154" s="296" t="n">
        <f aca="false">AK147</f>
        <v>2824</v>
      </c>
      <c r="AL154" s="297" t="n">
        <f aca="false">AL147</f>
        <v>857</v>
      </c>
      <c r="AM154" s="297" t="n">
        <f aca="false">+AM147-AL147</f>
        <v>887</v>
      </c>
      <c r="AN154" s="297" t="n">
        <f aca="false">+AN147-AM147</f>
        <v>862</v>
      </c>
      <c r="AO154" s="297" t="n">
        <f aca="false">AP154-SUM(AL154,AM154,AN154)</f>
        <v>1056</v>
      </c>
      <c r="AP154" s="296" t="n">
        <f aca="false">AP147</f>
        <v>3662</v>
      </c>
      <c r="AQ154" s="297" t="n">
        <f aca="false">AQ147</f>
        <v>1235</v>
      </c>
      <c r="AR154" s="297" t="n">
        <f aca="false">+AR147-AQ147</f>
        <v>1071</v>
      </c>
      <c r="AS154" s="297" t="n">
        <f aca="false">+AS147-AR147</f>
        <v>1130</v>
      </c>
      <c r="AT154" s="297" t="n">
        <f aca="false">AU154-SUM(AQ154,AR154,AS154)</f>
        <v>1522</v>
      </c>
      <c r="AU154" s="296" t="n">
        <f aca="false">AU147</f>
        <v>4958</v>
      </c>
      <c r="AV154" s="297" t="n">
        <f aca="false">AV147</f>
        <v>1247</v>
      </c>
      <c r="AW154" s="297" t="n">
        <f aca="false">+AW147-AV147</f>
        <v>1290</v>
      </c>
      <c r="AX154" s="297" t="n">
        <f aca="false">+AX147-AW147</f>
        <v>1523</v>
      </c>
      <c r="AY154" s="297" t="n">
        <f aca="false">AZ154-SUM(AV154,AW154,AX154)</f>
        <v>1683</v>
      </c>
      <c r="AZ154" s="296" t="n">
        <f aca="false">AZ147</f>
        <v>5743</v>
      </c>
      <c r="BA154" s="297" t="n">
        <f aca="false">BA147</f>
        <v>1404</v>
      </c>
      <c r="BB154" s="297" t="n">
        <f aca="false">+BB147-BA147</f>
        <v>1297</v>
      </c>
      <c r="BC154" s="297" t="n">
        <f aca="false">+BC147-BB147</f>
        <v>1365</v>
      </c>
      <c r="BD154" s="297" t="n">
        <f aca="false">BE154-SUM(BA154,BB154,BC154)</f>
        <v>1554</v>
      </c>
      <c r="BE154" s="296" t="n">
        <f aca="false">BE147</f>
        <v>5620</v>
      </c>
      <c r="BF154" s="297" t="n">
        <f aca="false">BF147</f>
        <v>1324</v>
      </c>
      <c r="BG154" s="297" t="n">
        <f aca="false">+BG147-BF147</f>
        <v>1482</v>
      </c>
      <c r="BH154" s="297" t="n">
        <f aca="false">+BH147-BG147</f>
        <v>1541</v>
      </c>
      <c r="BI154" s="297" t="n">
        <f aca="false">BJ154-SUM(BF154,BG154,BH154)</f>
        <v>2147</v>
      </c>
      <c r="BJ154" s="296" t="n">
        <f aca="false">BJ147</f>
        <v>6494</v>
      </c>
      <c r="BK154" s="297" t="n">
        <f aca="false">BK147</f>
        <v>2001</v>
      </c>
      <c r="BL154" s="297" t="n">
        <f aca="false">+BL147-BK147</f>
        <v>2095.7</v>
      </c>
      <c r="BM154" s="297" t="n">
        <f aca="false">+BM147-BL147</f>
        <v>1962.3</v>
      </c>
      <c r="BN154" s="297" t="n">
        <f aca="false">BO154-SUM(BK154,BL154,BM154)</f>
        <v>2134</v>
      </c>
      <c r="BO154" s="312" t="n">
        <f aca="false">BO147</f>
        <v>8193</v>
      </c>
      <c r="BP154" s="88"/>
      <c r="BQ154" s="88"/>
      <c r="BR154" s="88"/>
      <c r="BS154" s="88"/>
      <c r="BT154" s="87"/>
      <c r="BU154" s="88"/>
      <c r="BV154" s="88"/>
      <c r="BW154" s="88"/>
      <c r="BX154" s="88"/>
      <c r="BY154" s="87"/>
      <c r="BZ154" s="87"/>
      <c r="CA154" s="87"/>
      <c r="CB154" s="87"/>
      <c r="CC154" s="92"/>
    </row>
    <row r="155" s="45" customFormat="true" ht="15" hidden="true" customHeight="true" outlineLevel="2" collapsed="false">
      <c r="A155" s="298" t="s">
        <v>266</v>
      </c>
      <c r="B155" s="86"/>
      <c r="C155" s="296" t="n">
        <f aca="false">C148</f>
        <v>315</v>
      </c>
      <c r="D155" s="296" t="n">
        <f aca="false">D148</f>
        <v>944</v>
      </c>
      <c r="E155" s="296" t="n">
        <f aca="false">E148</f>
        <v>1856</v>
      </c>
      <c r="F155" s="296" t="n">
        <f aca="false">F148</f>
        <v>2279</v>
      </c>
      <c r="G155" s="296" t="n">
        <f aca="false">G148</f>
        <v>2064</v>
      </c>
      <c r="H155" s="297" t="n">
        <f aca="false">H148</f>
        <v>145</v>
      </c>
      <c r="I155" s="297" t="n">
        <f aca="false">+I148-H148</f>
        <v>328</v>
      </c>
      <c r="J155" s="297" t="n">
        <f aca="false">+J148-I148</f>
        <v>440</v>
      </c>
      <c r="K155" s="297" t="n">
        <f aca="false">+K148-J148</f>
        <v>273</v>
      </c>
      <c r="L155" s="296" t="n">
        <f aca="false">L148</f>
        <v>1186</v>
      </c>
      <c r="M155" s="297" t="n">
        <f aca="false">M148</f>
        <v>414</v>
      </c>
      <c r="N155" s="297" t="n">
        <f aca="false">+N148-M148</f>
        <v>458</v>
      </c>
      <c r="O155" s="297" t="n">
        <f aca="false">+O148-N148</f>
        <v>346</v>
      </c>
      <c r="P155" s="297" t="n">
        <f aca="false">+P148-O148</f>
        <v>390</v>
      </c>
      <c r="Q155" s="296" t="n">
        <f aca="false">Q148</f>
        <v>1608</v>
      </c>
      <c r="R155" s="297" t="n">
        <f aca="false">R148</f>
        <v>409</v>
      </c>
      <c r="S155" s="297" t="n">
        <f aca="false">+S148-R148</f>
        <v>506</v>
      </c>
      <c r="T155" s="297" t="n">
        <f aca="false">+T148-S148</f>
        <v>816</v>
      </c>
      <c r="U155" s="297" t="n">
        <f aca="false">+U148-T148</f>
        <v>424</v>
      </c>
      <c r="V155" s="296" t="n">
        <f aca="false">V148</f>
        <v>2155</v>
      </c>
      <c r="W155" s="297" t="n">
        <f aca="false">W148</f>
        <v>489</v>
      </c>
      <c r="X155" s="297" t="n">
        <f aca="false">+X148-W148</f>
        <v>506</v>
      </c>
      <c r="Y155" s="297" t="n">
        <f aca="false">+Y148-X148</f>
        <v>730</v>
      </c>
      <c r="Z155" s="297" t="n">
        <f aca="false">+Z148-Y148</f>
        <v>564</v>
      </c>
      <c r="AA155" s="90" t="n">
        <v>2289</v>
      </c>
      <c r="AB155" s="88"/>
      <c r="AC155" s="88"/>
      <c r="AD155" s="88"/>
      <c r="AE155" s="88"/>
      <c r="AF155" s="87"/>
      <c r="AG155" s="88"/>
      <c r="AH155" s="88"/>
      <c r="AI155" s="88"/>
      <c r="AJ155" s="88"/>
      <c r="AK155" s="87"/>
      <c r="AL155" s="88"/>
      <c r="AM155" s="88"/>
      <c r="AN155" s="88"/>
      <c r="AO155" s="88"/>
      <c r="AP155" s="87"/>
      <c r="AQ155" s="88"/>
      <c r="AR155" s="88"/>
      <c r="AS155" s="88"/>
      <c r="AT155" s="88"/>
      <c r="AU155" s="87"/>
      <c r="AV155" s="88"/>
      <c r="AW155" s="88"/>
      <c r="AX155" s="88"/>
      <c r="AY155" s="88"/>
      <c r="AZ155" s="87"/>
      <c r="BA155" s="88"/>
      <c r="BB155" s="88"/>
      <c r="BC155" s="88"/>
      <c r="BD155" s="88"/>
      <c r="BE155" s="87"/>
      <c r="BF155" s="88"/>
      <c r="BG155" s="88"/>
      <c r="BH155" s="88"/>
      <c r="BI155" s="88"/>
      <c r="BJ155" s="87"/>
      <c r="BK155" s="88"/>
      <c r="BL155" s="88"/>
      <c r="BM155" s="88"/>
      <c r="BN155" s="88"/>
      <c r="BO155" s="91"/>
      <c r="BP155" s="88"/>
      <c r="BQ155" s="88"/>
      <c r="BR155" s="88"/>
      <c r="BS155" s="88"/>
      <c r="BT155" s="87"/>
      <c r="BU155" s="88"/>
      <c r="BV155" s="88"/>
      <c r="BW155" s="88"/>
      <c r="BX155" s="88"/>
      <c r="BY155" s="87"/>
      <c r="BZ155" s="87"/>
      <c r="CA155" s="87"/>
      <c r="CB155" s="87"/>
      <c r="CC155" s="92"/>
    </row>
    <row r="156" s="45" customFormat="true" ht="15" hidden="true" customHeight="true" outlineLevel="2" collapsed="false">
      <c r="A156" s="299" t="s">
        <v>267</v>
      </c>
      <c r="B156" s="103"/>
      <c r="C156" s="300" t="n">
        <f aca="false">C149</f>
        <v>233</v>
      </c>
      <c r="D156" s="300" t="n">
        <f aca="false">D149</f>
        <v>366</v>
      </c>
      <c r="E156" s="300" t="n">
        <f aca="false">E149</f>
        <v>844</v>
      </c>
      <c r="F156" s="300" t="n">
        <f aca="false">F149</f>
        <v>588</v>
      </c>
      <c r="G156" s="300" t="n">
        <f aca="false">G149</f>
        <v>440</v>
      </c>
      <c r="H156" s="306" t="n">
        <f aca="false">H149</f>
        <v>199</v>
      </c>
      <c r="I156" s="306" t="n">
        <f aca="false">+I149-H149</f>
        <v>327</v>
      </c>
      <c r="J156" s="306" t="n">
        <f aca="false">+J149-I149</f>
        <v>196</v>
      </c>
      <c r="K156" s="306" t="n">
        <f aca="false">+K149-J149</f>
        <v>109</v>
      </c>
      <c r="L156" s="300" t="n">
        <f aca="false">L149</f>
        <v>831</v>
      </c>
      <c r="M156" s="306" t="n">
        <f aca="false">M149</f>
        <v>154</v>
      </c>
      <c r="N156" s="306" t="n">
        <f aca="false">+N149-M149</f>
        <v>147</v>
      </c>
      <c r="O156" s="306" t="n">
        <f aca="false">+O149-N149</f>
        <v>107</v>
      </c>
      <c r="P156" s="306" t="n">
        <f aca="false">+P149-O149</f>
        <v>106</v>
      </c>
      <c r="Q156" s="300" t="n">
        <f aca="false">Q149</f>
        <v>514</v>
      </c>
      <c r="R156" s="306" t="n">
        <f aca="false">R149</f>
        <v>90</v>
      </c>
      <c r="S156" s="306" t="n">
        <f aca="false">+S149-R149</f>
        <v>312</v>
      </c>
      <c r="T156" s="306" t="n">
        <f aca="false">+T149-S149</f>
        <v>226</v>
      </c>
      <c r="U156" s="306" t="n">
        <f aca="false">+U149-T149</f>
        <v>317</v>
      </c>
      <c r="V156" s="300" t="n">
        <f aca="false">V149</f>
        <v>945</v>
      </c>
      <c r="W156" s="306" t="n">
        <f aca="false">W149</f>
        <v>153</v>
      </c>
      <c r="X156" s="306" t="n">
        <f aca="false">+X149-W149</f>
        <v>118</v>
      </c>
      <c r="Y156" s="306" t="n">
        <f aca="false">+Y149-X149</f>
        <v>502</v>
      </c>
      <c r="Z156" s="306" t="n">
        <f aca="false">+Z149-Y149</f>
        <v>344</v>
      </c>
      <c r="AA156" s="105" t="n">
        <v>1117</v>
      </c>
      <c r="AB156" s="117"/>
      <c r="AC156" s="117"/>
      <c r="AD156" s="117"/>
      <c r="AE156" s="117"/>
      <c r="AF156" s="104"/>
      <c r="AG156" s="117"/>
      <c r="AH156" s="117"/>
      <c r="AI156" s="117"/>
      <c r="AJ156" s="117"/>
      <c r="AK156" s="104"/>
      <c r="AL156" s="117"/>
      <c r="AM156" s="117"/>
      <c r="AN156" s="117"/>
      <c r="AO156" s="117"/>
      <c r="AP156" s="104"/>
      <c r="AQ156" s="117"/>
      <c r="AR156" s="117"/>
      <c r="AS156" s="117"/>
      <c r="AT156" s="117"/>
      <c r="AU156" s="104"/>
      <c r="AV156" s="117"/>
      <c r="AW156" s="117"/>
      <c r="AX156" s="117"/>
      <c r="AY156" s="117"/>
      <c r="AZ156" s="104"/>
      <c r="BA156" s="117"/>
      <c r="BB156" s="117"/>
      <c r="BC156" s="117"/>
      <c r="BD156" s="117"/>
      <c r="BE156" s="104"/>
      <c r="BF156" s="117"/>
      <c r="BG156" s="117"/>
      <c r="BH156" s="117"/>
      <c r="BI156" s="117"/>
      <c r="BJ156" s="104"/>
      <c r="BK156" s="117"/>
      <c r="BL156" s="117"/>
      <c r="BM156" s="117"/>
      <c r="BN156" s="117"/>
      <c r="BO156" s="301"/>
      <c r="BP156" s="117"/>
      <c r="BQ156" s="117"/>
      <c r="BR156" s="117"/>
      <c r="BS156" s="117"/>
      <c r="BT156" s="104"/>
      <c r="BU156" s="117"/>
      <c r="BV156" s="117"/>
      <c r="BW156" s="117"/>
      <c r="BX156" s="117"/>
      <c r="BY156" s="104"/>
      <c r="BZ156" s="104"/>
      <c r="CA156" s="104"/>
      <c r="CB156" s="104"/>
      <c r="CC156" s="92"/>
    </row>
    <row r="157" s="45" customFormat="true" ht="15" hidden="true" customHeight="true" outlineLevel="2" collapsed="false">
      <c r="A157" s="302" t="s">
        <v>268</v>
      </c>
      <c r="B157" s="94"/>
      <c r="C157" s="303" t="n">
        <f aca="false">SUM(C155:C156)</f>
        <v>548</v>
      </c>
      <c r="D157" s="303" t="n">
        <f aca="false">SUM(D155:D156)</f>
        <v>1310</v>
      </c>
      <c r="E157" s="303" t="n">
        <f aca="false">SUM(E155:E156)</f>
        <v>2700</v>
      </c>
      <c r="F157" s="303" t="n">
        <f aca="false">SUM(F155:F156)</f>
        <v>2867</v>
      </c>
      <c r="G157" s="303" t="n">
        <f aca="false">SUM(G155:G156)</f>
        <v>2504</v>
      </c>
      <c r="H157" s="304" t="n">
        <f aca="false">SUM(H155:H156)</f>
        <v>344</v>
      </c>
      <c r="I157" s="304" t="n">
        <f aca="false">SUM(I155:I156)</f>
        <v>655</v>
      </c>
      <c r="J157" s="304" t="n">
        <f aca="false">SUM(J155:J156)</f>
        <v>636</v>
      </c>
      <c r="K157" s="304" t="n">
        <f aca="false">SUM(K155:K156)</f>
        <v>382</v>
      </c>
      <c r="L157" s="303" t="n">
        <f aca="false">SUM(L155:L156)</f>
        <v>2017</v>
      </c>
      <c r="M157" s="304" t="n">
        <f aca="false">SUM(M155:M156)</f>
        <v>568</v>
      </c>
      <c r="N157" s="304" t="n">
        <f aca="false">SUM(N155:N156)</f>
        <v>605</v>
      </c>
      <c r="O157" s="304" t="n">
        <f aca="false">SUM(O155:O156)</f>
        <v>453</v>
      </c>
      <c r="P157" s="304" t="n">
        <f aca="false">SUM(P155:P156)</f>
        <v>496</v>
      </c>
      <c r="Q157" s="303" t="n">
        <f aca="false">SUM(Q155:Q156)</f>
        <v>2122</v>
      </c>
      <c r="R157" s="304" t="n">
        <f aca="false">SUM(R155:R156)</f>
        <v>499</v>
      </c>
      <c r="S157" s="304" t="n">
        <f aca="false">SUM(S155:S156)</f>
        <v>818</v>
      </c>
      <c r="T157" s="304" t="n">
        <f aca="false">SUM(T155:T156)</f>
        <v>1042</v>
      </c>
      <c r="U157" s="304" t="n">
        <f aca="false">SUM(U155:U156)</f>
        <v>741</v>
      </c>
      <c r="V157" s="303" t="n">
        <f aca="false">SUM(V155:V156)</f>
        <v>3100</v>
      </c>
      <c r="W157" s="304" t="n">
        <f aca="false">SUM(W155:W156)</f>
        <v>642</v>
      </c>
      <c r="X157" s="304" t="n">
        <f aca="false">SUM(X155:X156)</f>
        <v>624</v>
      </c>
      <c r="Y157" s="304" t="n">
        <f aca="false">SUM(Y155:Y156)</f>
        <v>1232</v>
      </c>
      <c r="Z157" s="304" t="n">
        <f aca="false">SUM(Z155:Z156)</f>
        <v>908</v>
      </c>
      <c r="AA157" s="303" t="n">
        <f aca="false">SUM(AA155:AA156)</f>
        <v>3406</v>
      </c>
      <c r="AB157" s="304" t="n">
        <f aca="false">AB150</f>
        <v>441</v>
      </c>
      <c r="AC157" s="304" t="n">
        <f aca="false">+AC150-AB150</f>
        <v>970</v>
      </c>
      <c r="AD157" s="304" t="n">
        <f aca="false">+AD150-AC150</f>
        <v>860</v>
      </c>
      <c r="AE157" s="304" t="n">
        <f aca="false">AF157-SUM(AB157,AC157,AD157)</f>
        <v>1443</v>
      </c>
      <c r="AF157" s="303" t="n">
        <f aca="false">AF150</f>
        <v>3714</v>
      </c>
      <c r="AG157" s="304" t="n">
        <f aca="false">AG150</f>
        <v>1005</v>
      </c>
      <c r="AH157" s="304" t="n">
        <f aca="false">+AH150-AG150</f>
        <v>1124</v>
      </c>
      <c r="AI157" s="304" t="n">
        <f aca="false">+AI150-AH150</f>
        <v>1830</v>
      </c>
      <c r="AJ157" s="304" t="n">
        <f aca="false">AK157-SUM(AG157,AH157,AI157)</f>
        <v>2607</v>
      </c>
      <c r="AK157" s="303" t="n">
        <f aca="false">AK150</f>
        <v>6566</v>
      </c>
      <c r="AL157" s="304" t="n">
        <f aca="false">AL150</f>
        <v>1158</v>
      </c>
      <c r="AM157" s="304" t="n">
        <f aca="false">+AM150-AL150</f>
        <v>1510</v>
      </c>
      <c r="AN157" s="304" t="n">
        <f aca="false">+AN150-AM150</f>
        <v>2430</v>
      </c>
      <c r="AO157" s="304" t="n">
        <f aca="false">AP157-SUM(AL157,AM157,AN157)</f>
        <v>2295</v>
      </c>
      <c r="AP157" s="303" t="n">
        <f aca="false">AP150</f>
        <v>7393</v>
      </c>
      <c r="AQ157" s="304" t="n">
        <f aca="false">AQ150</f>
        <v>2427</v>
      </c>
      <c r="AR157" s="304" t="n">
        <f aca="false">+AR150-AQ150</f>
        <v>2129</v>
      </c>
      <c r="AS157" s="304" t="n">
        <f aca="false">+AS150-AR150</f>
        <v>2493</v>
      </c>
      <c r="AT157" s="304" t="n">
        <f aca="false">AU157-SUM(AQ157,AR157,AS157)</f>
        <v>2540</v>
      </c>
      <c r="AU157" s="303" t="n">
        <f aca="false">AU150</f>
        <v>9589</v>
      </c>
      <c r="AV157" s="304" t="n">
        <f aca="false">AV150</f>
        <v>1154</v>
      </c>
      <c r="AW157" s="304" t="n">
        <f aca="false">+AW150-AV150</f>
        <v>2920</v>
      </c>
      <c r="AX157" s="304" t="n">
        <f aca="false">+AX150-AW150</f>
        <v>2880</v>
      </c>
      <c r="AY157" s="304" t="n">
        <f aca="false">AZ157-SUM(AV157,AW157,AX157)</f>
        <v>3023</v>
      </c>
      <c r="AZ157" s="303" t="n">
        <f aca="false">AZ150</f>
        <v>9977</v>
      </c>
      <c r="BA157" s="304" t="n">
        <f aca="false">BA150</f>
        <v>3761</v>
      </c>
      <c r="BB157" s="304" t="n">
        <f aca="false">+BB150-BA150</f>
        <v>4719</v>
      </c>
      <c r="BC157" s="304" t="n">
        <f aca="false">+BC150-BB150</f>
        <v>4054</v>
      </c>
      <c r="BD157" s="304" t="n">
        <f aca="false">BE157-SUM(BA157,BB157,BC157)</f>
        <v>3451</v>
      </c>
      <c r="BE157" s="303" t="n">
        <f aca="false">BE150</f>
        <v>15985</v>
      </c>
      <c r="BF157" s="304" t="n">
        <f aca="false">BF150</f>
        <v>2498</v>
      </c>
      <c r="BG157" s="304" t="n">
        <f aca="false">+BG150-BF150</f>
        <v>2579</v>
      </c>
      <c r="BH157" s="304" t="n">
        <f aca="false">+BH150-BG150</f>
        <v>3796</v>
      </c>
      <c r="BI157" s="304" t="n">
        <f aca="false">BJ157-SUM(BF157,BG157,BH157)</f>
        <v>4322</v>
      </c>
      <c r="BJ157" s="303" t="n">
        <f aca="false">BJ150</f>
        <v>13195</v>
      </c>
      <c r="BK157" s="304" t="n">
        <f aca="false">BK150</f>
        <v>3315</v>
      </c>
      <c r="BL157" s="304" t="n">
        <f aca="false">+BL150-BK150</f>
        <v>3842</v>
      </c>
      <c r="BM157" s="304" t="n">
        <f aca="false">+BM150-BL150</f>
        <v>3620</v>
      </c>
      <c r="BN157" s="304" t="n">
        <f aca="false">BO157-SUM(BK157,BL157,BM157)</f>
        <v>5277</v>
      </c>
      <c r="BO157" s="313" t="n">
        <f aca="false">BO150</f>
        <v>16054</v>
      </c>
      <c r="BP157" s="98"/>
      <c r="BQ157" s="98"/>
      <c r="BR157" s="98"/>
      <c r="BS157" s="98"/>
      <c r="BT157" s="95"/>
      <c r="BU157" s="98"/>
      <c r="BV157" s="98"/>
      <c r="BW157" s="98"/>
      <c r="BX157" s="98"/>
      <c r="BY157" s="95"/>
      <c r="BZ157" s="95"/>
      <c r="CA157" s="95"/>
      <c r="CB157" s="95"/>
      <c r="CC157" s="92"/>
    </row>
    <row r="158" s="45" customFormat="true" ht="15" hidden="true" customHeight="true" outlineLevel="2" collapsed="false">
      <c r="A158" s="305" t="s">
        <v>269</v>
      </c>
      <c r="B158" s="103"/>
      <c r="C158" s="300" t="n">
        <f aca="false">C151</f>
        <v>627</v>
      </c>
      <c r="D158" s="300" t="n">
        <f aca="false">D151</f>
        <v>2585</v>
      </c>
      <c r="E158" s="300" t="n">
        <f aca="false">E151</f>
        <v>2184</v>
      </c>
      <c r="F158" s="300" t="n">
        <f aca="false">F151</f>
        <v>935</v>
      </c>
      <c r="G158" s="300" t="n">
        <f aca="false">G151</f>
        <v>1489</v>
      </c>
      <c r="H158" s="306" t="n">
        <f aca="false">H151</f>
        <v>686</v>
      </c>
      <c r="I158" s="306" t="n">
        <f aca="false">+I151-H151</f>
        <v>588</v>
      </c>
      <c r="J158" s="306" t="n">
        <f aca="false">+J151-I151</f>
        <v>248</v>
      </c>
      <c r="K158" s="306" t="n">
        <f aca="false">+K151-J151</f>
        <v>703</v>
      </c>
      <c r="L158" s="300" t="n">
        <f aca="false">L151</f>
        <v>2225</v>
      </c>
      <c r="M158" s="306" t="n">
        <f aca="false">M151</f>
        <v>679</v>
      </c>
      <c r="N158" s="306" t="n">
        <f aca="false">+N151-M151</f>
        <v>529</v>
      </c>
      <c r="O158" s="306" t="n">
        <f aca="false">+O151-N151</f>
        <v>522</v>
      </c>
      <c r="P158" s="306" t="n">
        <f aca="false">+P151-O151</f>
        <v>385</v>
      </c>
      <c r="Q158" s="300" t="n">
        <f aca="false">Q151</f>
        <v>2115</v>
      </c>
      <c r="R158" s="306" t="n">
        <f aca="false">R151</f>
        <v>357</v>
      </c>
      <c r="S158" s="306" t="n">
        <f aca="false">+S151-R151</f>
        <v>436</v>
      </c>
      <c r="T158" s="306" t="n">
        <f aca="false">+T151-S151</f>
        <v>196</v>
      </c>
      <c r="U158" s="306" t="n">
        <f aca="false">+U151-T151</f>
        <v>482</v>
      </c>
      <c r="V158" s="300" t="n">
        <f aca="false">V151</f>
        <v>1471</v>
      </c>
      <c r="W158" s="306" t="n">
        <f aca="false">W151</f>
        <v>574</v>
      </c>
      <c r="X158" s="306" t="n">
        <f aca="false">+X151-W151</f>
        <v>760</v>
      </c>
      <c r="Y158" s="306" t="n">
        <f aca="false">+Y151-X151</f>
        <v>587</v>
      </c>
      <c r="Z158" s="306" t="n">
        <f aca="false">+Z151-Y151</f>
        <v>1047</v>
      </c>
      <c r="AA158" s="105" t="n">
        <v>2968</v>
      </c>
      <c r="AB158" s="306" t="n">
        <f aca="false">AB151</f>
        <v>1227</v>
      </c>
      <c r="AC158" s="306" t="n">
        <f aca="false">+AC151-AB151</f>
        <v>1116</v>
      </c>
      <c r="AD158" s="306" t="n">
        <f aca="false">+AD151-AC151</f>
        <v>1221</v>
      </c>
      <c r="AE158" s="306" t="n">
        <f aca="false">AF158-SUM(AB158,AC158,AD158)</f>
        <v>981</v>
      </c>
      <c r="AF158" s="300" t="n">
        <f aca="false">AF151</f>
        <v>4545</v>
      </c>
      <c r="AG158" s="306" t="n">
        <f aca="false">AG151</f>
        <v>684</v>
      </c>
      <c r="AH158" s="306" t="n">
        <f aca="false">+AH151-AG151</f>
        <v>727</v>
      </c>
      <c r="AI158" s="306" t="n">
        <f aca="false">+AI151-AH151</f>
        <v>496</v>
      </c>
      <c r="AJ158" s="306" t="n">
        <f aca="false">AK158-SUM(AG158,AH158,AI158)</f>
        <v>523</v>
      </c>
      <c r="AK158" s="300" t="n">
        <f aca="false">AK151</f>
        <v>2430</v>
      </c>
      <c r="AL158" s="306" t="n">
        <f aca="false">AL151</f>
        <v>426</v>
      </c>
      <c r="AM158" s="306" t="n">
        <f aca="false">+AM151-AL151</f>
        <v>929</v>
      </c>
      <c r="AN158" s="306" t="n">
        <f aca="false">+AN151-AM151</f>
        <v>665</v>
      </c>
      <c r="AO158" s="306" t="n">
        <f aca="false">AP158-SUM(AL158,AM158,AN158)</f>
        <v>904</v>
      </c>
      <c r="AP158" s="300" t="n">
        <f aca="false">AP151</f>
        <v>2924</v>
      </c>
      <c r="AQ158" s="306" t="n">
        <f aca="false">AQ151</f>
        <v>702</v>
      </c>
      <c r="AR158" s="306" t="n">
        <f aca="false">+AR151-AQ151</f>
        <v>820</v>
      </c>
      <c r="AS158" s="306" t="n">
        <f aca="false">+AS151-AR151</f>
        <v>1618</v>
      </c>
      <c r="AT158" s="306" t="n">
        <f aca="false">AU158-SUM(AQ158,AR158,AS158)</f>
        <v>924</v>
      </c>
      <c r="AU158" s="300" t="n">
        <f aca="false">AU151</f>
        <v>4064</v>
      </c>
      <c r="AV158" s="306" t="n">
        <f aca="false">AV151</f>
        <v>1133</v>
      </c>
      <c r="AW158" s="306" t="n">
        <f aca="false">+AW151-AV151</f>
        <v>1220</v>
      </c>
      <c r="AX158" s="306" t="n">
        <f aca="false">+AX151-AW151</f>
        <v>1376</v>
      </c>
      <c r="AY158" s="306" t="n">
        <f aca="false">AZ158-SUM(AV158,AW158,AX158)</f>
        <v>1724</v>
      </c>
      <c r="AZ158" s="300" t="n">
        <f aca="false">AZ151</f>
        <v>5453</v>
      </c>
      <c r="BA158" s="306" t="n">
        <f aca="false">BA151</f>
        <v>1581</v>
      </c>
      <c r="BB158" s="306" t="n">
        <f aca="false">+BB151-BA151</f>
        <v>887</v>
      </c>
      <c r="BC158" s="306" t="n">
        <f aca="false">+BC151-BB151</f>
        <v>1254</v>
      </c>
      <c r="BD158" s="306" t="n">
        <f aca="false">BE158-SUM(BA158,BB158,BC158)</f>
        <v>2232</v>
      </c>
      <c r="BE158" s="300" t="n">
        <f aca="false">BE151</f>
        <v>5954</v>
      </c>
      <c r="BF158" s="306" t="n">
        <f aca="false">BF151</f>
        <v>1468</v>
      </c>
      <c r="BG158" s="306" t="n">
        <f aca="false">+BG151-BF151</f>
        <v>2182</v>
      </c>
      <c r="BH158" s="306" t="n">
        <f aca="false">+BH151-BG151</f>
        <v>2130</v>
      </c>
      <c r="BI158" s="306" t="n">
        <f aca="false">BJ158-SUM(BF158,BG158,BH158)</f>
        <v>2794</v>
      </c>
      <c r="BJ158" s="300" t="n">
        <f aca="false">BJ151</f>
        <v>8574</v>
      </c>
      <c r="BK158" s="306" t="n">
        <f aca="false">BK151</f>
        <v>2426</v>
      </c>
      <c r="BL158" s="306" t="n">
        <f aca="false">+BL151-BK151</f>
        <v>1753</v>
      </c>
      <c r="BM158" s="306" t="n">
        <f aca="false">+BM151-BL151</f>
        <v>1934</v>
      </c>
      <c r="BN158" s="306" t="n">
        <f aca="false">BO158-SUM(BK158,BL158,BM158)</f>
        <v>2307</v>
      </c>
      <c r="BO158" s="314" t="n">
        <f aca="false">BO151</f>
        <v>8420</v>
      </c>
      <c r="BP158" s="117"/>
      <c r="BQ158" s="117"/>
      <c r="BR158" s="117"/>
      <c r="BS158" s="117"/>
      <c r="BT158" s="104"/>
      <c r="BU158" s="117"/>
      <c r="BV158" s="117"/>
      <c r="BW158" s="117"/>
      <c r="BX158" s="117"/>
      <c r="BY158" s="104"/>
      <c r="BZ158" s="104"/>
      <c r="CA158" s="104"/>
      <c r="CB158" s="104"/>
      <c r="CC158" s="92"/>
    </row>
    <row r="159" s="115" customFormat="true" ht="15" hidden="true" customHeight="true" outlineLevel="2" collapsed="false">
      <c r="A159" s="307" t="s">
        <v>270</v>
      </c>
      <c r="B159" s="119"/>
      <c r="C159" s="308" t="n">
        <f aca="false">C154+SUM(C157:C158)</f>
        <v>1596</v>
      </c>
      <c r="D159" s="308" t="n">
        <f aca="false">D154+SUM(D157:D158)</f>
        <v>4508</v>
      </c>
      <c r="E159" s="308" t="n">
        <f aca="false">E154+SUM(E157:E158)</f>
        <v>5651</v>
      </c>
      <c r="F159" s="308" t="n">
        <f aca="false">F154+SUM(F157:F158)</f>
        <v>4732</v>
      </c>
      <c r="G159" s="308" t="n">
        <f aca="false">G154+SUM(G157:G158)</f>
        <v>5245</v>
      </c>
      <c r="H159" s="309" t="n">
        <f aca="false">H154+SUM(H157:H158)</f>
        <v>1397</v>
      </c>
      <c r="I159" s="309" t="n">
        <f aca="false">I154+SUM(I157:I158)</f>
        <v>1643</v>
      </c>
      <c r="J159" s="309" t="n">
        <f aca="false">J154+SUM(J157:J158)</f>
        <v>1322</v>
      </c>
      <c r="K159" s="309" t="n">
        <f aca="false">K154+SUM(K157:K158)</f>
        <v>1494</v>
      </c>
      <c r="L159" s="308" t="n">
        <f aca="false">L154+SUM(L157:L158)</f>
        <v>5856</v>
      </c>
      <c r="M159" s="309" t="n">
        <f aca="false">M154+SUM(M157:M158)</f>
        <v>1650</v>
      </c>
      <c r="N159" s="309" t="n">
        <f aca="false">N154+SUM(N157:N158)</f>
        <v>1654</v>
      </c>
      <c r="O159" s="309" t="n">
        <f aca="false">O154+SUM(O157:O158)</f>
        <v>1549</v>
      </c>
      <c r="P159" s="309" t="n">
        <f aca="false">P154+SUM(P157:P158)</f>
        <v>1434</v>
      </c>
      <c r="Q159" s="308" t="n">
        <f aca="false">Q154+SUM(Q157:Q158)</f>
        <v>6287</v>
      </c>
      <c r="R159" s="309" t="n">
        <f aca="false">R154+SUM(R157:R158)</f>
        <v>1333</v>
      </c>
      <c r="S159" s="309" t="n">
        <f aca="false">S154+SUM(S157:S158)</f>
        <v>1740</v>
      </c>
      <c r="T159" s="309" t="n">
        <f aca="false">T154+SUM(T157:T158)</f>
        <v>1815</v>
      </c>
      <c r="U159" s="309" t="n">
        <f aca="false">U154+SUM(U157:U158)</f>
        <v>1907</v>
      </c>
      <c r="V159" s="308" t="n">
        <f aca="false">V154+SUM(V157:V158)</f>
        <v>6795</v>
      </c>
      <c r="W159" s="309" t="n">
        <f aca="false">W154+SUM(W157:W158)</f>
        <v>1944</v>
      </c>
      <c r="X159" s="309" t="n">
        <f aca="false">X154+SUM(X157:X158)</f>
        <v>2101</v>
      </c>
      <c r="Y159" s="309" t="n">
        <f aca="false">Y154+SUM(Y157:Y158)</f>
        <v>2447</v>
      </c>
      <c r="Z159" s="309" t="n">
        <f aca="false">Z154+SUM(Z157:Z158)</f>
        <v>2561</v>
      </c>
      <c r="AA159" s="308" t="n">
        <f aca="false">AA154+SUM(AA157:AA158)</f>
        <v>9053</v>
      </c>
      <c r="AB159" s="309" t="n">
        <f aca="false">AB154+SUM(AB157:AB158)</f>
        <v>2285</v>
      </c>
      <c r="AC159" s="309" t="n">
        <f aca="false">AC154+SUM(AC157:AC158)</f>
        <v>2740</v>
      </c>
      <c r="AD159" s="309" t="n">
        <f aca="false">AD154+SUM(AD157:AD158)</f>
        <v>2776</v>
      </c>
      <c r="AE159" s="309" t="n">
        <f aca="false">AE154+SUM(AE157:AE158)</f>
        <v>3143</v>
      </c>
      <c r="AF159" s="308" t="n">
        <f aca="false">AF154+SUM(AF157:AF158)</f>
        <v>10944</v>
      </c>
      <c r="AG159" s="309" t="n">
        <f aca="false">AG154+SUM(AG157:AG158)</f>
        <v>2229</v>
      </c>
      <c r="AH159" s="309" t="n">
        <f aca="false">AH154+SUM(AH157:AH158)</f>
        <v>2568</v>
      </c>
      <c r="AI159" s="309" t="n">
        <f aca="false">AI154+SUM(AI157:AI158)</f>
        <v>2987</v>
      </c>
      <c r="AJ159" s="309" t="n">
        <f aca="false">AJ154+SUM(AJ157:AJ158)</f>
        <v>4036</v>
      </c>
      <c r="AK159" s="308" t="n">
        <f aca="false">AK154+SUM(AK157:AK158)</f>
        <v>11820</v>
      </c>
      <c r="AL159" s="309" t="n">
        <f aca="false">AL154+SUM(AL157:AL158)</f>
        <v>2441</v>
      </c>
      <c r="AM159" s="309" t="n">
        <f aca="false">AM154+SUM(AM157:AM158)</f>
        <v>3326</v>
      </c>
      <c r="AN159" s="309" t="n">
        <f aca="false">AN154+SUM(AN157:AN158)</f>
        <v>3957</v>
      </c>
      <c r="AO159" s="309" t="n">
        <f aca="false">AO154+SUM(AO157:AO158)</f>
        <v>4255</v>
      </c>
      <c r="AP159" s="308" t="n">
        <f aca="false">AP154+SUM(AP157:AP158)</f>
        <v>13979</v>
      </c>
      <c r="AQ159" s="309" t="n">
        <f aca="false">AQ154+SUM(AQ157:AQ158)</f>
        <v>4364</v>
      </c>
      <c r="AR159" s="309" t="n">
        <f aca="false">AR154+SUM(AR157:AR158)</f>
        <v>4020</v>
      </c>
      <c r="AS159" s="309" t="n">
        <f aca="false">AS154+SUM(AS157:AS158)</f>
        <v>5241</v>
      </c>
      <c r="AT159" s="309" t="n">
        <f aca="false">AT154+SUM(AT157:AT158)</f>
        <v>4986</v>
      </c>
      <c r="AU159" s="308" t="n">
        <f aca="false">AU154+SUM(AU157:AU158)</f>
        <v>18611</v>
      </c>
      <c r="AV159" s="309" t="n">
        <f aca="false">AV154+SUM(AV157:AV158)</f>
        <v>3534</v>
      </c>
      <c r="AW159" s="309" t="n">
        <f aca="false">AW154+SUM(AW157:AW158)</f>
        <v>5430</v>
      </c>
      <c r="AX159" s="309" t="n">
        <f aca="false">AX154+SUM(AX157:AX158)</f>
        <v>5779</v>
      </c>
      <c r="AY159" s="309" t="n">
        <f aca="false">AY154+SUM(AY157:AY158)</f>
        <v>6430</v>
      </c>
      <c r="AZ159" s="308" t="n">
        <f aca="false">AZ154+SUM(AZ157:AZ158)</f>
        <v>21173</v>
      </c>
      <c r="BA159" s="309" t="n">
        <f aca="false">BA154+SUM(BA157:BA158)</f>
        <v>6746</v>
      </c>
      <c r="BB159" s="309" t="n">
        <f aca="false">BB154+SUM(BB157:BB158)</f>
        <v>6903</v>
      </c>
      <c r="BC159" s="309" t="n">
        <f aca="false">BC154+SUM(BC157:BC158)</f>
        <v>6673</v>
      </c>
      <c r="BD159" s="309" t="n">
        <f aca="false">BD154+SUM(BD157:BD158)</f>
        <v>7237</v>
      </c>
      <c r="BE159" s="308" t="n">
        <f aca="false">BE154+SUM(BE157:BE158)</f>
        <v>27559</v>
      </c>
      <c r="BF159" s="309" t="n">
        <f aca="false">BF154+SUM(BF157:BF158)</f>
        <v>5290</v>
      </c>
      <c r="BG159" s="309" t="n">
        <f aca="false">BG154+SUM(BG157:BG158)</f>
        <v>6243</v>
      </c>
      <c r="BH159" s="309" t="n">
        <f aca="false">BH154+SUM(BH157:BH158)</f>
        <v>7467</v>
      </c>
      <c r="BI159" s="309" t="n">
        <f aca="false">BI154+SUM(BI157:BI158)</f>
        <v>9263</v>
      </c>
      <c r="BJ159" s="308" t="n">
        <f aca="false">BJ154+SUM(BJ157:BJ158)</f>
        <v>28263</v>
      </c>
      <c r="BK159" s="309" t="n">
        <f aca="false">BK154+SUM(BK157:BK158)</f>
        <v>7742</v>
      </c>
      <c r="BL159" s="309" t="n">
        <f aca="false">BL154+SUM(BL157:BL158)</f>
        <v>7690.7</v>
      </c>
      <c r="BM159" s="309" t="n">
        <f aca="false">BM154+SUM(BM157:BM158)</f>
        <v>7516.3</v>
      </c>
      <c r="BN159" s="309" t="n">
        <f aca="false">BN154+SUM(BN157:BN158)</f>
        <v>9718</v>
      </c>
      <c r="BO159" s="311" t="n">
        <f aca="false">BO154+SUM(BO157:BO158)</f>
        <v>32667</v>
      </c>
      <c r="BP159" s="121"/>
      <c r="BQ159" s="121"/>
      <c r="BR159" s="121"/>
      <c r="BS159" s="121"/>
      <c r="BT159" s="120"/>
      <c r="BU159" s="121"/>
      <c r="BV159" s="121"/>
      <c r="BW159" s="121"/>
      <c r="BX159" s="121"/>
      <c r="BY159" s="120"/>
      <c r="BZ159" s="120"/>
      <c r="CA159" s="120"/>
      <c r="CB159" s="120"/>
      <c r="CC159" s="114"/>
    </row>
    <row r="160" s="157" customFormat="true" ht="15" hidden="true" customHeight="true" outlineLevel="2" collapsed="false">
      <c r="A160" s="252"/>
      <c r="B160" s="222"/>
      <c r="C160" s="223"/>
      <c r="D160" s="223"/>
      <c r="E160" s="223"/>
      <c r="F160" s="223"/>
      <c r="G160" s="223"/>
      <c r="H160" s="224"/>
      <c r="I160" s="224"/>
      <c r="J160" s="224"/>
      <c r="K160" s="224"/>
      <c r="L160" s="223"/>
      <c r="M160" s="224"/>
      <c r="N160" s="224"/>
      <c r="O160" s="224"/>
      <c r="P160" s="224"/>
      <c r="Q160" s="223"/>
      <c r="R160" s="224"/>
      <c r="S160" s="224"/>
      <c r="T160" s="224"/>
      <c r="U160" s="224"/>
      <c r="V160" s="223"/>
      <c r="W160" s="224"/>
      <c r="X160" s="224"/>
      <c r="Y160" s="224"/>
      <c r="Z160" s="224"/>
      <c r="AA160" s="223"/>
      <c r="AB160" s="224"/>
      <c r="AC160" s="224"/>
      <c r="AD160" s="224"/>
      <c r="AE160" s="224"/>
      <c r="AF160" s="223"/>
      <c r="AG160" s="224"/>
      <c r="AH160" s="224"/>
      <c r="AI160" s="224"/>
      <c r="AJ160" s="224"/>
      <c r="AK160" s="223"/>
      <c r="AL160" s="224"/>
      <c r="AM160" s="224"/>
      <c r="AN160" s="224"/>
      <c r="AO160" s="224"/>
      <c r="AP160" s="223"/>
      <c r="AQ160" s="224"/>
      <c r="AR160" s="224"/>
      <c r="AS160" s="224"/>
      <c r="AT160" s="224"/>
      <c r="AU160" s="223"/>
      <c r="AV160" s="224"/>
      <c r="AW160" s="224"/>
      <c r="AX160" s="224"/>
      <c r="AY160" s="224"/>
      <c r="AZ160" s="223"/>
      <c r="BA160" s="224"/>
      <c r="BB160" s="224"/>
      <c r="BC160" s="224"/>
      <c r="BD160" s="224"/>
      <c r="BE160" s="223"/>
      <c r="BF160" s="224"/>
      <c r="BG160" s="224"/>
      <c r="BH160" s="224"/>
      <c r="BI160" s="224"/>
      <c r="BJ160" s="223"/>
      <c r="BK160" s="224"/>
      <c r="BL160" s="224"/>
      <c r="BM160" s="224"/>
      <c r="BN160" s="224"/>
      <c r="BO160" s="225"/>
      <c r="BP160" s="224"/>
      <c r="BQ160" s="224"/>
      <c r="BR160" s="224"/>
      <c r="BS160" s="224"/>
      <c r="BT160" s="223"/>
      <c r="BU160" s="224"/>
      <c r="BV160" s="224"/>
      <c r="BW160" s="224"/>
      <c r="BX160" s="224"/>
      <c r="BY160" s="223"/>
      <c r="BZ160" s="223"/>
      <c r="CA160" s="223"/>
      <c r="CB160" s="223"/>
      <c r="CC160" s="156"/>
    </row>
    <row r="161" s="237" customFormat="true" ht="15" hidden="true" customHeight="true" outlineLevel="2" collapsed="false">
      <c r="A161" s="315" t="s">
        <v>271</v>
      </c>
      <c r="B161" s="232"/>
      <c r="C161" s="233"/>
      <c r="D161" s="233"/>
      <c r="E161" s="233"/>
      <c r="F161" s="233"/>
      <c r="G161" s="233"/>
      <c r="H161" s="316" t="n">
        <f aca="false">+H155/H196</f>
        <v>0.338785046728972</v>
      </c>
      <c r="I161" s="316" t="n">
        <f aca="false">+I155/I196</f>
        <v>0.72785371915498</v>
      </c>
      <c r="J161" s="316" t="n">
        <f aca="false">+J155/J196</f>
        <v>2.0997375328084</v>
      </c>
      <c r="K161" s="316" t="n">
        <f aca="false">+K155/K196</f>
        <v>0.30281182408075</v>
      </c>
      <c r="L161" s="317" t="n">
        <f aca="false">+L155/L196</f>
        <v>0.596057776392896</v>
      </c>
      <c r="M161" s="316" t="n">
        <f aca="false">+M155/M196</f>
        <v>1.29910882389858</v>
      </c>
      <c r="N161" s="316" t="n">
        <f aca="false">+N155/N196</f>
        <v>1.30748808130406</v>
      </c>
      <c r="O161" s="316" t="n">
        <f aca="false">+O155/O196</f>
        <v>1.00721937587331</v>
      </c>
      <c r="P161" s="316" t="n">
        <f aca="false">+P155/P196</f>
        <v>0.633445945945946</v>
      </c>
      <c r="Q161" s="317" t="n">
        <f aca="false">+Q155/Q196</f>
        <v>0.987611858712542</v>
      </c>
      <c r="R161" s="316" t="n">
        <f aca="false">+R155/R196</f>
        <v>0.731075163106623</v>
      </c>
      <c r="S161" s="316" t="n">
        <f aca="false">+S155/S196</f>
        <v>0.566870560820954</v>
      </c>
      <c r="T161" s="316" t="n">
        <f aca="false">+T155/T196</f>
        <v>1.10899701005708</v>
      </c>
      <c r="U161" s="316" t="n">
        <f aca="false">+U155/U196</f>
        <v>0.526185157607347</v>
      </c>
      <c r="V161" s="317" t="n">
        <f aca="false">+V155/V196</f>
        <v>0.719852221520742</v>
      </c>
      <c r="W161" s="316" t="n">
        <f aca="false">+W155/W196</f>
        <v>0.600427297954372</v>
      </c>
      <c r="X161" s="316" t="n">
        <f aca="false">+X155/X196</f>
        <v>0.532631578947369</v>
      </c>
      <c r="Y161" s="316" t="n">
        <f aca="false">+Y155/Y196</f>
        <v>3.76560404415558</v>
      </c>
      <c r="Z161" s="316" t="n">
        <f aca="false">+Z155/Z196</f>
        <v>0.640545144804089</v>
      </c>
      <c r="AA161" s="317" t="n">
        <f aca="false">+AA155/AA196</f>
        <v>0.806332297677171</v>
      </c>
      <c r="AB161" s="234"/>
      <c r="AC161" s="234"/>
      <c r="AD161" s="234"/>
      <c r="AE161" s="234"/>
      <c r="AF161" s="233"/>
      <c r="AG161" s="234"/>
      <c r="AH161" s="234"/>
      <c r="AI161" s="234"/>
      <c r="AJ161" s="234"/>
      <c r="AK161" s="233"/>
      <c r="AL161" s="234"/>
      <c r="AM161" s="234"/>
      <c r="AN161" s="234"/>
      <c r="AO161" s="234"/>
      <c r="AP161" s="233"/>
      <c r="AQ161" s="234"/>
      <c r="AR161" s="234"/>
      <c r="AS161" s="234"/>
      <c r="AT161" s="234"/>
      <c r="AU161" s="233"/>
      <c r="AV161" s="234"/>
      <c r="AW161" s="234"/>
      <c r="AX161" s="234"/>
      <c r="AY161" s="234"/>
      <c r="AZ161" s="233"/>
      <c r="BA161" s="234"/>
      <c r="BB161" s="234"/>
      <c r="BC161" s="234"/>
      <c r="BD161" s="234"/>
      <c r="BE161" s="233"/>
      <c r="BF161" s="234"/>
      <c r="BG161" s="234"/>
      <c r="BH161" s="234"/>
      <c r="BI161" s="234"/>
      <c r="BJ161" s="233"/>
      <c r="BK161" s="234"/>
      <c r="BL161" s="234"/>
      <c r="BM161" s="234"/>
      <c r="BN161" s="234"/>
      <c r="BO161" s="235"/>
      <c r="BP161" s="234"/>
      <c r="BQ161" s="234"/>
      <c r="BR161" s="234"/>
      <c r="BS161" s="234"/>
      <c r="BT161" s="233"/>
      <c r="BU161" s="234"/>
      <c r="BV161" s="234"/>
      <c r="BW161" s="234"/>
      <c r="BX161" s="234"/>
      <c r="BY161" s="233"/>
      <c r="BZ161" s="233"/>
      <c r="CA161" s="233"/>
      <c r="CB161" s="233"/>
      <c r="CC161" s="236"/>
    </row>
    <row r="162" s="237" customFormat="true" ht="15" hidden="true" customHeight="true" outlineLevel="2" collapsed="false">
      <c r="A162" s="318" t="s">
        <v>272</v>
      </c>
      <c r="B162" s="319"/>
      <c r="C162" s="320"/>
      <c r="D162" s="320"/>
      <c r="E162" s="320"/>
      <c r="F162" s="320"/>
      <c r="G162" s="320"/>
      <c r="H162" s="321" t="n">
        <f aca="false">+H156/H197</f>
        <v>0.74392523364486</v>
      </c>
      <c r="I162" s="321" t="n">
        <f aca="false">+I156/I197</f>
        <v>15.6011450381679</v>
      </c>
      <c r="J162" s="321" t="n">
        <f aca="false">+J156/J197</f>
        <v>1.55889604708502</v>
      </c>
      <c r="K162" s="321" t="n">
        <f aca="false">+K156/K197</f>
        <v>0.982335976928623</v>
      </c>
      <c r="L162" s="322" t="n">
        <f aca="false">+L156/L197</f>
        <v>1.5824050271351</v>
      </c>
      <c r="M162" s="321" t="n">
        <f aca="false">+M156/M197</f>
        <v>0.936284046692607</v>
      </c>
      <c r="N162" s="321" t="n">
        <f aca="false">+N156/N197</f>
        <v>0.247487246830648</v>
      </c>
      <c r="O162" s="321" t="n">
        <f aca="false">+O156/O197</f>
        <v>1.18362831858407</v>
      </c>
      <c r="P162" s="321" t="n">
        <f aca="false">+P156/P197</f>
        <v>8.9527027027027</v>
      </c>
      <c r="Q162" s="322" t="n">
        <f aca="false">+Q156/Q197</f>
        <v>0.597195273559586</v>
      </c>
      <c r="R162" s="321" t="n">
        <f aca="false">+R156/R197</f>
        <v>0.567286479672234</v>
      </c>
      <c r="S162" s="321" t="n">
        <f aca="false">+S156/S197</f>
        <v>1.1068539804172</v>
      </c>
      <c r="T162" s="321" t="n">
        <f aca="false">+T156/T197</f>
        <v>1.33097762073027</v>
      </c>
      <c r="U162" s="321" t="n">
        <f aca="false">+U156/U197</f>
        <v>1.33755274261603</v>
      </c>
      <c r="V162" s="322" t="n">
        <f aca="false">+V156/V197</f>
        <v>1.11526795935468</v>
      </c>
      <c r="W162" s="321" t="n">
        <f aca="false">+W156/W197</f>
        <v>0.448785638859557</v>
      </c>
      <c r="X162" s="321" t="n">
        <f aca="false">+X156/X197</f>
        <v>0.248421052631579</v>
      </c>
      <c r="Y162" s="321" t="n">
        <f aca="false">+Y156/Y197</f>
        <v>1.66467701286643</v>
      </c>
      <c r="Z162" s="321" t="n">
        <f aca="false">+Z156/Z197</f>
        <v>0.78137421919364</v>
      </c>
      <c r="AA162" s="322" t="n">
        <f aca="false">+AA156/AA197</f>
        <v>0.717069068452171</v>
      </c>
      <c r="AB162" s="323"/>
      <c r="AC162" s="323"/>
      <c r="AD162" s="323"/>
      <c r="AE162" s="323"/>
      <c r="AF162" s="320"/>
      <c r="AG162" s="323"/>
      <c r="AH162" s="323"/>
      <c r="AI162" s="323"/>
      <c r="AJ162" s="323"/>
      <c r="AK162" s="320"/>
      <c r="AL162" s="323"/>
      <c r="AM162" s="323"/>
      <c r="AN162" s="323"/>
      <c r="AO162" s="323"/>
      <c r="AP162" s="320"/>
      <c r="AQ162" s="323"/>
      <c r="AR162" s="323"/>
      <c r="AS162" s="323"/>
      <c r="AT162" s="323"/>
      <c r="AU162" s="320"/>
      <c r="AV162" s="323"/>
      <c r="AW162" s="323"/>
      <c r="AX162" s="323"/>
      <c r="AY162" s="323"/>
      <c r="AZ162" s="320"/>
      <c r="BA162" s="323"/>
      <c r="BB162" s="323"/>
      <c r="BC162" s="323"/>
      <c r="BD162" s="323"/>
      <c r="BE162" s="320"/>
      <c r="BF162" s="323"/>
      <c r="BG162" s="323"/>
      <c r="BH162" s="323"/>
      <c r="BI162" s="323"/>
      <c r="BJ162" s="320"/>
      <c r="BK162" s="323"/>
      <c r="BL162" s="323"/>
      <c r="BM162" s="323"/>
      <c r="BN162" s="323"/>
      <c r="BO162" s="324"/>
      <c r="BP162" s="323"/>
      <c r="BQ162" s="323"/>
      <c r="BR162" s="323"/>
      <c r="BS162" s="323"/>
      <c r="BT162" s="320"/>
      <c r="BU162" s="323"/>
      <c r="BV162" s="323"/>
      <c r="BW162" s="323"/>
      <c r="BX162" s="323"/>
      <c r="BY162" s="320"/>
      <c r="BZ162" s="320"/>
      <c r="CA162" s="320"/>
      <c r="CB162" s="320"/>
      <c r="CC162" s="236"/>
    </row>
    <row r="163" s="237" customFormat="true" ht="15" hidden="true" customHeight="true" outlineLevel="2" collapsed="false">
      <c r="A163" s="325" t="s">
        <v>273</v>
      </c>
      <c r="B163" s="326"/>
      <c r="C163" s="327"/>
      <c r="D163" s="327"/>
      <c r="E163" s="327"/>
      <c r="F163" s="327"/>
      <c r="G163" s="327"/>
      <c r="H163" s="328" t="n">
        <f aca="false">+H157/H198</f>
        <v>0.494608195542775</v>
      </c>
      <c r="I163" s="328" t="n">
        <f aca="false">+I157/I198</f>
        <v>1.38888888888889</v>
      </c>
      <c r="J163" s="328" t="n">
        <f aca="false">+J157/J198</f>
        <v>1.89692197566213</v>
      </c>
      <c r="K163" s="328" t="n">
        <f aca="false">+K157/K198</f>
        <v>0.377280224392846</v>
      </c>
      <c r="L163" s="329" t="n">
        <f aca="false">+L157/L198</f>
        <v>0.802023150117898</v>
      </c>
      <c r="M163" s="328" t="n">
        <f aca="false">+M157/M198</f>
        <v>1.17559400612634</v>
      </c>
      <c r="N163" s="328" t="n">
        <f aca="false">+N157/N198</f>
        <v>0.640713362844979</v>
      </c>
      <c r="O163" s="328" t="n">
        <f aca="false">+O157/O198</f>
        <v>1.04397123893805</v>
      </c>
      <c r="P163" s="328" t="n">
        <f aca="false">+P157/P198</f>
        <v>0.790413054563998</v>
      </c>
      <c r="Q163" s="329" t="n">
        <f aca="false">+Q157/Q198</f>
        <v>0.852599181954791</v>
      </c>
      <c r="R163" s="328" t="n">
        <f aca="false">+R157/R198</f>
        <v>0.694889291185072</v>
      </c>
      <c r="S163" s="328" t="n">
        <f aca="false">+S157/S198</f>
        <v>0.696466581524053</v>
      </c>
      <c r="T163" s="328" t="n">
        <f aca="false">+T157/T198</f>
        <v>1.1506183745583</v>
      </c>
      <c r="U163" s="328" t="n">
        <f aca="false">+U157/U198</f>
        <v>0.710586881472957</v>
      </c>
      <c r="V163" s="329" t="n">
        <f aca="false">+V157/V198</f>
        <v>0.807081489195522</v>
      </c>
      <c r="W163" s="328" t="n">
        <f aca="false">+W157/W198</f>
        <v>0.555680578877214</v>
      </c>
      <c r="X163" s="328" t="n">
        <f aca="false">+X157/X198</f>
        <v>0.437894736842105</v>
      </c>
      <c r="Y163" s="328" t="n">
        <f aca="false">+Y157/Y198</f>
        <v>2.48677889467523</v>
      </c>
      <c r="Z163" s="328" t="n">
        <f aca="false">+Z157/Z198</f>
        <v>0.687488169600606</v>
      </c>
      <c r="AA163" s="329" t="n">
        <f aca="false">+AA157/AA198</f>
        <v>0.774705391321753</v>
      </c>
      <c r="AB163" s="328" t="n">
        <f aca="false">+AB157/AB198</f>
        <v>0.316824001034527</v>
      </c>
      <c r="AC163" s="328" t="n">
        <f aca="false">+AC157/AC198</f>
        <v>1.10428051001822</v>
      </c>
      <c r="AD163" s="328" t="n">
        <f aca="false">+AD157/AD198</f>
        <v>1.08585858585859</v>
      </c>
      <c r="AE163" s="328" t="n">
        <f aca="false">+AE157/AE198</f>
        <v>1.13657844990548</v>
      </c>
      <c r="AF163" s="329" t="n">
        <f aca="false">+AF157/AF198</f>
        <v>0.857352594911287</v>
      </c>
      <c r="AG163" s="328" t="n">
        <f aca="false">+AG157/AG198</f>
        <v>0.9578270192995</v>
      </c>
      <c r="AH163" s="328" t="n">
        <f aca="false">+AH157/AH198</f>
        <v>0.593214971817011</v>
      </c>
      <c r="AI163" s="328" t="n">
        <f aca="false">+AI157/AI198</f>
        <v>0.49048118079994</v>
      </c>
      <c r="AJ163" s="328" t="n">
        <f aca="false">+AJ157/AJ198</f>
        <v>1.37385512073272</v>
      </c>
      <c r="AK163" s="329" t="n">
        <f aca="false">+AK157/AK198</f>
        <v>0.765926869498473</v>
      </c>
      <c r="AL163" s="328" t="n">
        <f aca="false">+AL157/AL198</f>
        <v>0.56873434507146</v>
      </c>
      <c r="AM163" s="328" t="n">
        <f aca="false">+AM157/AM198</f>
        <v>2.74296094459582</v>
      </c>
      <c r="AN163" s="328" t="n">
        <f aca="false">+AN157/AN198</f>
        <v>0.985209691544225</v>
      </c>
      <c r="AO163" s="328" t="n">
        <f aca="false">+AO157/AO198</f>
        <v>0.69426797836425</v>
      </c>
      <c r="AP163" s="329" t="n">
        <f aca="false">+AP157/AP198</f>
        <v>0.884465564105509</v>
      </c>
      <c r="AQ163" s="328" t="n">
        <f aca="false">+AQ157/AQ198</f>
        <v>0.673717521652232</v>
      </c>
      <c r="AR163" s="328" t="n">
        <f aca="false">+AR157/AR198</f>
        <v>0.36254280610516</v>
      </c>
      <c r="AS163" s="328" t="n">
        <f aca="false">+AS157/AS198</f>
        <v>0.4803135042656</v>
      </c>
      <c r="AT163" s="328" t="n">
        <f aca="false">+AT157/AT198</f>
        <v>0.467900893432808</v>
      </c>
      <c r="AU163" s="329" t="n">
        <f aca="false">+AU157/AU198</f>
        <v>0.477214963717429</v>
      </c>
      <c r="AV163" s="328" t="n">
        <f aca="false">+AV157/AV198</f>
        <v>0.25060697269383</v>
      </c>
      <c r="AW163" s="328" t="n">
        <f aca="false">+AW157/AW198</f>
        <v>0.575188118031754</v>
      </c>
      <c r="AX163" s="328" t="n">
        <f aca="false">+AX157/AX198</f>
        <v>0.419311630073962</v>
      </c>
      <c r="AY163" s="328" t="n">
        <f aca="false">+AY157/AY198</f>
        <v>0.725190473448865</v>
      </c>
      <c r="AZ163" s="329" t="n">
        <f aca="false">+AZ157/AZ198</f>
        <v>0.481553094402169</v>
      </c>
      <c r="BA163" s="328" t="n">
        <f aca="false">+BA157/BA198</f>
        <v>1.26885914010418</v>
      </c>
      <c r="BB163" s="328" t="n">
        <f aca="false">+BB157/BB198</f>
        <v>1.51980676328502</v>
      </c>
      <c r="BC163" s="328" t="n">
        <f aca="false">+BC157/BC198</f>
        <v>1.94754035357417</v>
      </c>
      <c r="BD163" s="328" t="n">
        <f aca="false">+BD157/BD198</f>
        <v>0.708830911682667</v>
      </c>
      <c r="BE163" s="329" t="n">
        <f aca="false">+BE157/BE198</f>
        <v>1.22779635708942</v>
      </c>
      <c r="BF163" s="328" t="n">
        <f aca="false">+BF157/BF198</f>
        <v>1.68725641839636</v>
      </c>
      <c r="BG163" s="328" t="n">
        <f aca="false">+BG157/BG198</f>
        <v>0.634610510567409</v>
      </c>
      <c r="BH163" s="328" t="n">
        <f aca="false">+BH157/BH198</f>
        <v>3.13413365478294</v>
      </c>
      <c r="BI163" s="328" t="n">
        <f aca="false">+BI157/BI198</f>
        <v>0.999611442104874</v>
      </c>
      <c r="BJ163" s="329" t="n">
        <f aca="false">+BJ157/BJ198</f>
        <v>1.19096186755818</v>
      </c>
      <c r="BK163" s="328" t="n">
        <f aca="false">+BK157/BK198</f>
        <v>1.4037093495935</v>
      </c>
      <c r="BL163" s="328" t="n">
        <f aca="false">+BL157/BL198</f>
        <v>0.825448389065065</v>
      </c>
      <c r="BM163" s="328" t="n">
        <f aca="false">+BM157/BM198</f>
        <v>1.26508403023621</v>
      </c>
      <c r="BN163" s="328" t="n">
        <f aca="false">+BN157/BN198</f>
        <v>0.911474526385607</v>
      </c>
      <c r="BO163" s="330" t="n">
        <f aca="false">+BO157/BO198</f>
        <v>1.02469963994452</v>
      </c>
      <c r="BP163" s="331"/>
      <c r="BQ163" s="331"/>
      <c r="BR163" s="331"/>
      <c r="BS163" s="331"/>
      <c r="BT163" s="327"/>
      <c r="BU163" s="331"/>
      <c r="BV163" s="331"/>
      <c r="BW163" s="331"/>
      <c r="BX163" s="331"/>
      <c r="BY163" s="327"/>
      <c r="BZ163" s="327"/>
      <c r="CA163" s="327"/>
      <c r="CB163" s="327"/>
      <c r="CC163" s="236"/>
    </row>
    <row r="164" s="237" customFormat="true" ht="15" hidden="true" customHeight="true" outlineLevel="2" collapsed="false">
      <c r="A164" s="241" t="s">
        <v>274</v>
      </c>
      <c r="B164" s="232"/>
      <c r="C164" s="233"/>
      <c r="D164" s="233"/>
      <c r="E164" s="233"/>
      <c r="F164" s="233"/>
      <c r="G164" s="233"/>
      <c r="H164" s="316" t="n">
        <f aca="false">+H158/H199</f>
        <v>1.83177570093458</v>
      </c>
      <c r="I164" s="316" t="n">
        <f aca="false">+I158/I199</f>
        <v>1.02012491325468</v>
      </c>
      <c r="J164" s="316" t="n">
        <f aca="false">+J158/J199</f>
        <v>0.233583242286102</v>
      </c>
      <c r="K164" s="316" t="n">
        <f aca="false">+K158/K199</f>
        <v>1.87721968543886</v>
      </c>
      <c r="L164" s="317" t="n">
        <f aca="false">+L158/L199</f>
        <v>0.932089430315318</v>
      </c>
      <c r="M164" s="316" t="n">
        <f aca="false">+M158/M199</f>
        <v>1.24623742750165</v>
      </c>
      <c r="N164" s="316" t="n">
        <f aca="false">+N158/N199</f>
        <v>0.914054670491067</v>
      </c>
      <c r="O164" s="316" t="n">
        <f aca="false">+O158/O199</f>
        <v>1.11044928522805</v>
      </c>
      <c r="P164" s="316" t="n">
        <f aca="false">+P158/P199</f>
        <v>0.691848763657274</v>
      </c>
      <c r="Q164" s="317" t="n">
        <f aca="false">+Q158/Q199</f>
        <v>0.983656878156771</v>
      </c>
      <c r="R164" s="316" t="n">
        <f aca="false">+R158/R199</f>
        <v>3.05389221556886</v>
      </c>
      <c r="S164" s="316" t="n">
        <f aca="false">+S158/S199</f>
        <v>1.11366538952746</v>
      </c>
      <c r="T164" s="316" t="n">
        <f aca="false">+T158/T199</f>
        <v>0.38476639183353</v>
      </c>
      <c r="U164" s="316" t="n">
        <f aca="false">+U158/U199</f>
        <v>0.897244973938943</v>
      </c>
      <c r="V164" s="317" t="n">
        <f aca="false">+V158/V199</f>
        <v>0.945980707395498</v>
      </c>
      <c r="W164" s="316" t="n">
        <f aca="false">+W158/W199</f>
        <v>0.777082825657271</v>
      </c>
      <c r="X164" s="316" t="n">
        <f aca="false">+X158/X199</f>
        <v>0.8</v>
      </c>
      <c r="Y164" s="316" t="n">
        <f aca="false">+Y158/Y199</f>
        <v>0.353917206284894</v>
      </c>
      <c r="Z164" s="316" t="n">
        <f aca="false">+Z158/Z199</f>
        <v>0.648598420319034</v>
      </c>
      <c r="AA164" s="317" t="n">
        <f aca="false">+AA158/AA199</f>
        <v>0.598207393343532</v>
      </c>
      <c r="AB164" s="316" t="n">
        <f aca="false">+AB158/AB199</f>
        <v>1.16850465687675</v>
      </c>
      <c r="AC164" s="316" t="n">
        <f aca="false">+AC158/AC199</f>
        <v>1.03949329359165</v>
      </c>
      <c r="AD164" s="316" t="n">
        <f aca="false">+AD158/AD199</f>
        <v>0.8671875</v>
      </c>
      <c r="AE164" s="316" t="n">
        <f aca="false">+AE158/AE199</f>
        <v>3.09073724007561</v>
      </c>
      <c r="AF164" s="317" t="n">
        <f aca="false">+AF158/AF199</f>
        <v>1.18080778164019</v>
      </c>
      <c r="AG164" s="316" t="n">
        <f aca="false">+AG158/AG199</f>
        <v>1.95568263045032</v>
      </c>
      <c r="AH164" s="316" t="n">
        <f aca="false">+AH158/AH199</f>
        <v>0.779006472075779</v>
      </c>
      <c r="AI164" s="316" t="n">
        <f aca="false">+AI158/AI199</f>
        <v>0.359428103509497</v>
      </c>
      <c r="AJ164" s="316" t="n">
        <f aca="false">+AJ158/AJ199</f>
        <v>1.03683438404504</v>
      </c>
      <c r="AK164" s="317" t="n">
        <f aca="false">+AK158/AK199</f>
        <v>0.767195600149019</v>
      </c>
      <c r="AL164" s="316" t="n">
        <f aca="false">+AL158/AL199</f>
        <v>0.406139765468586</v>
      </c>
      <c r="AM164" s="316" t="n">
        <f aca="false">+AM158/AM199</f>
        <v>1.68755676657584</v>
      </c>
      <c r="AN164" s="316" t="n">
        <f aca="false">+AN158/AN199</f>
        <v>1.65620641562064</v>
      </c>
      <c r="AO164" s="316" t="n">
        <f aca="false">+AO158/AO199</f>
        <v>0.969582564674589</v>
      </c>
      <c r="AP164" s="317" t="n">
        <f aca="false">+AP158/AP199</f>
        <v>0.996836306114657</v>
      </c>
      <c r="AQ164" s="316" t="n">
        <f aca="false">+AQ158/AQ199</f>
        <v>0.617088607594937</v>
      </c>
      <c r="AR164" s="316" t="n">
        <f aca="false">+AR158/AR199</f>
        <v>0.341867513831042</v>
      </c>
      <c r="AS164" s="316" t="n">
        <f aca="false">+AS158/AS199</f>
        <v>1.63659168150186</v>
      </c>
      <c r="AT164" s="316" t="n">
        <f aca="false">+AT158/AT199</f>
        <v>0.569842738205365</v>
      </c>
      <c r="AU164" s="317" t="n">
        <f aca="false">+AU158/AU199</f>
        <v>0.661207582410967</v>
      </c>
      <c r="AV164" s="316" t="n">
        <f aca="false">+AV158/AV199</f>
        <v>0.477619742178081</v>
      </c>
      <c r="AW164" s="316" t="n">
        <f aca="false">+AW158/AW199</f>
        <v>0.360477484930859</v>
      </c>
      <c r="AX164" s="316" t="n">
        <f aca="false">+AX158/AX199</f>
        <v>0.670696042113472</v>
      </c>
      <c r="AY164" s="316" t="n">
        <f aca="false">+AY158/AY199</f>
        <v>0.802816376709012</v>
      </c>
      <c r="AZ164" s="317" t="n">
        <f aca="false">+AZ158/AZ199</f>
        <v>0.54773082942097</v>
      </c>
      <c r="BA164" s="316" t="n">
        <f aca="false">+BA158/BA199</f>
        <v>2.006548888212</v>
      </c>
      <c r="BB164" s="316" t="n">
        <f aca="false">+BB158/BB199</f>
        <v>0.63584229390681</v>
      </c>
      <c r="BC164" s="316" t="n">
        <f aca="false">+BC158/BC199</f>
        <v>2.40968485780169</v>
      </c>
      <c r="BD164" s="316" t="n">
        <f aca="false">+BD158/BD199</f>
        <v>0.516975415873369</v>
      </c>
      <c r="BE164" s="317" t="n">
        <f aca="false">+BE158/BE199</f>
        <v>0.848058751641565</v>
      </c>
      <c r="BF164" s="316" t="n">
        <f aca="false">+BF158/BF199</f>
        <v>0.689043365610728</v>
      </c>
      <c r="BG164" s="316" t="n">
        <f aca="false">+BG158/BG199</f>
        <v>1.45167621366651</v>
      </c>
      <c r="BH164" s="316" t="n">
        <f aca="false">+BH158/BH199</f>
        <v>1.498079925729</v>
      </c>
      <c r="BI164" s="316" t="n">
        <f aca="false">+BI158/BI199</f>
        <v>1.01073681773456</v>
      </c>
      <c r="BJ164" s="317" t="n">
        <f aca="false">+BJ158/BJ199</f>
        <v>1.09645869673083</v>
      </c>
      <c r="BK164" s="316" t="n">
        <f aca="false">+BK158/BK199</f>
        <v>1.54090447154472</v>
      </c>
      <c r="BL164" s="316" t="n">
        <f aca="false">+BL158/BL199</f>
        <v>1.97730554051615</v>
      </c>
      <c r="BM164" s="316" t="n">
        <f aca="false">+BM158/BM199</f>
        <v>0.762158476944115</v>
      </c>
      <c r="BN164" s="316" t="n">
        <f aca="false">+BN158/BN199</f>
        <v>0.313090352420038</v>
      </c>
      <c r="BO164" s="332" t="n">
        <f aca="false">+BO158/BO199</f>
        <v>0.680845833700575</v>
      </c>
      <c r="BP164" s="234"/>
      <c r="BQ164" s="234"/>
      <c r="BR164" s="234"/>
      <c r="BS164" s="234"/>
      <c r="BT164" s="233"/>
      <c r="BU164" s="234"/>
      <c r="BV164" s="234"/>
      <c r="BW164" s="234"/>
      <c r="BX164" s="234"/>
      <c r="BY164" s="233"/>
      <c r="BZ164" s="233"/>
      <c r="CA164" s="233"/>
      <c r="CB164" s="233"/>
      <c r="CC164" s="236"/>
    </row>
    <row r="165" s="115" customFormat="true" ht="15" hidden="true" customHeight="true" outlineLevel="2" collapsed="false">
      <c r="A165" s="123"/>
      <c r="B165" s="109"/>
      <c r="C165" s="111"/>
      <c r="D165" s="111"/>
      <c r="E165" s="111"/>
      <c r="F165" s="111"/>
      <c r="G165" s="111"/>
      <c r="H165" s="112"/>
      <c r="I165" s="112"/>
      <c r="J165" s="112"/>
      <c r="K165" s="112"/>
      <c r="L165" s="111"/>
      <c r="M165" s="112"/>
      <c r="N165" s="112"/>
      <c r="O165" s="112"/>
      <c r="P165" s="112"/>
      <c r="Q165" s="111"/>
      <c r="R165" s="112"/>
      <c r="S165" s="112"/>
      <c r="T165" s="112"/>
      <c r="U165" s="112"/>
      <c r="V165" s="111"/>
      <c r="W165" s="112"/>
      <c r="X165" s="112"/>
      <c r="Y165" s="112"/>
      <c r="Z165" s="112"/>
      <c r="AA165" s="111"/>
      <c r="AB165" s="112"/>
      <c r="AC165" s="112"/>
      <c r="AD165" s="112"/>
      <c r="AE165" s="112"/>
      <c r="AF165" s="111"/>
      <c r="AG165" s="112"/>
      <c r="AH165" s="112"/>
      <c r="AI165" s="112"/>
      <c r="AJ165" s="112"/>
      <c r="AK165" s="111"/>
      <c r="AL165" s="112"/>
      <c r="AM165" s="112"/>
      <c r="AN165" s="112"/>
      <c r="AO165" s="112"/>
      <c r="AP165" s="111"/>
      <c r="AQ165" s="112"/>
      <c r="AR165" s="112"/>
      <c r="AS165" s="112"/>
      <c r="AT165" s="112"/>
      <c r="AU165" s="111"/>
      <c r="AV165" s="112"/>
      <c r="AW165" s="112"/>
      <c r="AX165" s="112"/>
      <c r="AY165" s="112"/>
      <c r="AZ165" s="111"/>
      <c r="BA165" s="112"/>
      <c r="BB165" s="112"/>
      <c r="BC165" s="112"/>
      <c r="BD165" s="112"/>
      <c r="BE165" s="111"/>
      <c r="BF165" s="112"/>
      <c r="BG165" s="112"/>
      <c r="BH165" s="112"/>
      <c r="BI165" s="112"/>
      <c r="BJ165" s="111"/>
      <c r="BK165" s="112"/>
      <c r="BL165" s="112"/>
      <c r="BM165" s="112"/>
      <c r="BN165" s="112"/>
      <c r="BO165" s="113"/>
      <c r="BP165" s="112"/>
      <c r="BQ165" s="112"/>
      <c r="BR165" s="112"/>
      <c r="BS165" s="112"/>
      <c r="BT165" s="111"/>
      <c r="BU165" s="112"/>
      <c r="BV165" s="112"/>
      <c r="BW165" s="112"/>
      <c r="BX165" s="112"/>
      <c r="BY165" s="111"/>
      <c r="BZ165" s="111"/>
      <c r="CA165" s="111"/>
      <c r="CB165" s="111"/>
      <c r="CC165" s="114"/>
    </row>
    <row r="166" s="51" customFormat="true" ht="15" hidden="true" customHeight="true" outlineLevel="2" collapsed="false">
      <c r="A166" s="270" t="s">
        <v>275</v>
      </c>
      <c r="B166" s="146"/>
      <c r="C166" s="148" t="n">
        <v>993.26</v>
      </c>
      <c r="D166" s="148" t="n">
        <v>3704.29</v>
      </c>
      <c r="E166" s="148" t="n">
        <v>4780.72</v>
      </c>
      <c r="F166" s="148" t="n">
        <v>3620.26</v>
      </c>
      <c r="G166" s="148" t="n">
        <v>3890.154</v>
      </c>
      <c r="H166" s="149"/>
      <c r="I166" s="149"/>
      <c r="J166" s="149"/>
      <c r="K166" s="149"/>
      <c r="L166" s="148" t="n">
        <v>4127.433</v>
      </c>
      <c r="M166" s="149"/>
      <c r="N166" s="149"/>
      <c r="O166" s="149"/>
      <c r="P166" s="149"/>
      <c r="Q166" s="148" t="n">
        <v>4109.439</v>
      </c>
      <c r="R166" s="149"/>
      <c r="S166" s="149"/>
      <c r="T166" s="149"/>
      <c r="U166" s="149"/>
      <c r="V166" s="148" t="n">
        <v>4600.2</v>
      </c>
      <c r="W166" s="149"/>
      <c r="X166" s="149"/>
      <c r="Y166" s="149"/>
      <c r="Z166" s="149"/>
      <c r="AA166" s="148" t="n">
        <v>6266.7</v>
      </c>
      <c r="AB166" s="149"/>
      <c r="AC166" s="149"/>
      <c r="AD166" s="149"/>
      <c r="AE166" s="149"/>
      <c r="AF166" s="148" t="n">
        <v>8115.6</v>
      </c>
      <c r="AG166" s="149"/>
      <c r="AH166" s="149"/>
      <c r="AI166" s="149"/>
      <c r="AJ166" s="149"/>
      <c r="AK166" s="148" t="n">
        <v>8807.1</v>
      </c>
      <c r="AL166" s="149"/>
      <c r="AM166" s="149"/>
      <c r="AN166" s="149"/>
      <c r="AO166" s="149"/>
      <c r="AP166" s="148" t="n">
        <v>10160.8</v>
      </c>
      <c r="AQ166" s="149"/>
      <c r="AR166" s="149"/>
      <c r="AS166" s="149"/>
      <c r="AT166" s="149"/>
      <c r="AU166" s="148" t="n">
        <v>13446.1</v>
      </c>
      <c r="AV166" s="149"/>
      <c r="AW166" s="149"/>
      <c r="AX166" s="149"/>
      <c r="AY166" s="149"/>
      <c r="AZ166" s="148" t="n">
        <v>15152.3</v>
      </c>
      <c r="BA166" s="149"/>
      <c r="BB166" s="149"/>
      <c r="BC166" s="149"/>
      <c r="BD166" s="149"/>
      <c r="BE166" s="148" t="n">
        <v>21622.4</v>
      </c>
      <c r="BF166" s="149"/>
      <c r="BG166" s="149"/>
      <c r="BH166" s="149"/>
      <c r="BI166" s="149"/>
      <c r="BJ166" s="148" t="n">
        <v>21139.7</v>
      </c>
      <c r="BK166" s="149"/>
      <c r="BL166" s="149"/>
      <c r="BM166" s="149"/>
      <c r="BN166" s="149"/>
      <c r="BO166" s="150"/>
      <c r="BP166" s="149"/>
      <c r="BQ166" s="149"/>
      <c r="BR166" s="149"/>
      <c r="BS166" s="149"/>
      <c r="BT166" s="147"/>
      <c r="BU166" s="149"/>
      <c r="BV166" s="149"/>
      <c r="BW166" s="149"/>
      <c r="BX166" s="149"/>
      <c r="BY166" s="147"/>
      <c r="BZ166" s="147"/>
      <c r="CA166" s="147"/>
      <c r="CB166" s="147"/>
      <c r="CC166" s="50"/>
    </row>
    <row r="167" s="51" customFormat="true" ht="15" hidden="true" customHeight="true" outlineLevel="2" collapsed="false">
      <c r="A167" s="226" t="s">
        <v>276</v>
      </c>
      <c r="B167" s="227"/>
      <c r="C167" s="333" t="n">
        <v>181.598</v>
      </c>
      <c r="D167" s="333" t="n">
        <v>190.452</v>
      </c>
      <c r="E167" s="333" t="n">
        <v>103.193</v>
      </c>
      <c r="F167" s="333" t="n">
        <v>181.372</v>
      </c>
      <c r="G167" s="333" t="n">
        <v>102.975</v>
      </c>
      <c r="H167" s="229"/>
      <c r="I167" s="229"/>
      <c r="J167" s="229"/>
      <c r="K167" s="229"/>
      <c r="L167" s="333" t="n">
        <v>115.357</v>
      </c>
      <c r="M167" s="229"/>
      <c r="N167" s="229"/>
      <c r="O167" s="229"/>
      <c r="P167" s="229"/>
      <c r="Q167" s="333" t="n">
        <v>127.744</v>
      </c>
      <c r="R167" s="229"/>
      <c r="S167" s="229"/>
      <c r="T167" s="229"/>
      <c r="U167" s="229"/>
      <c r="V167" s="333" t="n">
        <v>71.8</v>
      </c>
      <c r="W167" s="229"/>
      <c r="X167" s="229"/>
      <c r="Y167" s="229"/>
      <c r="Z167" s="229"/>
      <c r="AA167" s="333" t="n">
        <v>107</v>
      </c>
      <c r="AB167" s="229"/>
      <c r="AC167" s="229"/>
      <c r="AD167" s="229"/>
      <c r="AE167" s="229"/>
      <c r="AF167" s="333" t="n">
        <v>143.5</v>
      </c>
      <c r="AG167" s="229"/>
      <c r="AH167" s="229"/>
      <c r="AI167" s="229"/>
      <c r="AJ167" s="229"/>
      <c r="AK167" s="333" t="n">
        <v>189.1</v>
      </c>
      <c r="AL167" s="229"/>
      <c r="AM167" s="229"/>
      <c r="AN167" s="229"/>
      <c r="AO167" s="229"/>
      <c r="AP167" s="333" t="n">
        <v>155.8</v>
      </c>
      <c r="AQ167" s="229"/>
      <c r="AR167" s="229"/>
      <c r="AS167" s="229"/>
      <c r="AT167" s="229"/>
      <c r="AU167" s="333" t="n">
        <v>206.7</v>
      </c>
      <c r="AV167" s="229"/>
      <c r="AW167" s="229"/>
      <c r="AX167" s="229"/>
      <c r="AY167" s="229"/>
      <c r="AZ167" s="333" t="n">
        <v>278</v>
      </c>
      <c r="BA167" s="229"/>
      <c r="BB167" s="229"/>
      <c r="BC167" s="229"/>
      <c r="BD167" s="229"/>
      <c r="BE167" s="333" t="n">
        <v>316.2</v>
      </c>
      <c r="BF167" s="229"/>
      <c r="BG167" s="229"/>
      <c r="BH167" s="229"/>
      <c r="BI167" s="229"/>
      <c r="BJ167" s="333" t="n">
        <v>629</v>
      </c>
      <c r="BK167" s="229"/>
      <c r="BL167" s="229"/>
      <c r="BM167" s="229"/>
      <c r="BN167" s="229"/>
      <c r="BO167" s="230"/>
      <c r="BP167" s="229"/>
      <c r="BQ167" s="229"/>
      <c r="BR167" s="229"/>
      <c r="BS167" s="229"/>
      <c r="BT167" s="228"/>
      <c r="BU167" s="229"/>
      <c r="BV167" s="229"/>
      <c r="BW167" s="229"/>
      <c r="BX167" s="229"/>
      <c r="BY167" s="228"/>
      <c r="BZ167" s="228"/>
      <c r="CA167" s="228"/>
      <c r="CB167" s="228"/>
      <c r="CC167" s="50"/>
    </row>
    <row r="168" s="157" customFormat="true" ht="15" hidden="true" customHeight="true" outlineLevel="2" collapsed="false">
      <c r="A168" s="244" t="s">
        <v>277</v>
      </c>
      <c r="B168" s="152"/>
      <c r="C168" s="272" t="n">
        <f aca="false">SUM(C166:C167)</f>
        <v>1174.858</v>
      </c>
      <c r="D168" s="272" t="n">
        <f aca="false">SUM(D166:D167)</f>
        <v>3894.742</v>
      </c>
      <c r="E168" s="272" t="n">
        <f aca="false">SUM(E166:E167)</f>
        <v>4883.913</v>
      </c>
      <c r="F168" s="272" t="n">
        <f aca="false">SUM(F166:F167)</f>
        <v>3801.632</v>
      </c>
      <c r="G168" s="272" t="n">
        <f aca="false">SUM(G166:G167)</f>
        <v>3993.129</v>
      </c>
      <c r="H168" s="154"/>
      <c r="I168" s="154"/>
      <c r="J168" s="154"/>
      <c r="K168" s="154"/>
      <c r="L168" s="272" t="n">
        <f aca="false">SUM(L166:L167)</f>
        <v>4242.79</v>
      </c>
      <c r="M168" s="154"/>
      <c r="N168" s="154"/>
      <c r="O168" s="154"/>
      <c r="P168" s="154"/>
      <c r="Q168" s="272" t="n">
        <f aca="false">SUM(Q166:Q167)</f>
        <v>4237.183</v>
      </c>
      <c r="R168" s="154"/>
      <c r="S168" s="154"/>
      <c r="T168" s="154"/>
      <c r="U168" s="154"/>
      <c r="V168" s="272" t="n">
        <f aca="false">SUM(V166:V167)</f>
        <v>4672</v>
      </c>
      <c r="W168" s="154"/>
      <c r="X168" s="154"/>
      <c r="Y168" s="154"/>
      <c r="Z168" s="154"/>
      <c r="AA168" s="272" t="n">
        <f aca="false">SUM(AA166:AA167)</f>
        <v>6373.7</v>
      </c>
      <c r="AB168" s="154"/>
      <c r="AC168" s="154"/>
      <c r="AD168" s="154"/>
      <c r="AE168" s="154"/>
      <c r="AF168" s="272" t="n">
        <f aca="false">SUM(AF166:AF167)</f>
        <v>8259.1</v>
      </c>
      <c r="AG168" s="154"/>
      <c r="AH168" s="154"/>
      <c r="AI168" s="154"/>
      <c r="AJ168" s="154"/>
      <c r="AK168" s="272" t="n">
        <f aca="false">SUM(AK166:AK167)</f>
        <v>8996.2</v>
      </c>
      <c r="AL168" s="154"/>
      <c r="AM168" s="154"/>
      <c r="AN168" s="154"/>
      <c r="AO168" s="154"/>
      <c r="AP168" s="272" t="n">
        <f aca="false">SUM(AP166:AP167)</f>
        <v>10316.6</v>
      </c>
      <c r="AQ168" s="154"/>
      <c r="AR168" s="154"/>
      <c r="AS168" s="154"/>
      <c r="AT168" s="154"/>
      <c r="AU168" s="153" t="n">
        <f aca="false">SUM(AU166:AU167)</f>
        <v>13652.8</v>
      </c>
      <c r="AV168" s="154"/>
      <c r="AW168" s="154"/>
      <c r="AX168" s="154"/>
      <c r="AY168" s="154"/>
      <c r="AZ168" s="153" t="n">
        <f aca="false">SUM(AZ166:AZ167)</f>
        <v>15430.3</v>
      </c>
      <c r="BA168" s="154"/>
      <c r="BB168" s="154"/>
      <c r="BC168" s="154"/>
      <c r="BD168" s="154"/>
      <c r="BE168" s="153" t="n">
        <f aca="false">SUM(BE166:BE167)</f>
        <v>21938.6</v>
      </c>
      <c r="BF168" s="154"/>
      <c r="BG168" s="154"/>
      <c r="BH168" s="154"/>
      <c r="BI168" s="154"/>
      <c r="BJ168" s="153" t="n">
        <f aca="false">SUM(BJ166:BJ167)</f>
        <v>21768.7</v>
      </c>
      <c r="BK168" s="154"/>
      <c r="BL168" s="154"/>
      <c r="BM168" s="154"/>
      <c r="BN168" s="154"/>
      <c r="BO168" s="155"/>
      <c r="BP168" s="154"/>
      <c r="BQ168" s="154"/>
      <c r="BR168" s="154"/>
      <c r="BS168" s="154"/>
      <c r="BT168" s="153"/>
      <c r="BU168" s="154"/>
      <c r="BV168" s="154"/>
      <c r="BW168" s="154"/>
      <c r="BX168" s="154"/>
      <c r="BY168" s="153"/>
      <c r="BZ168" s="153"/>
      <c r="CA168" s="153"/>
      <c r="CB168" s="153"/>
      <c r="CC168" s="156"/>
    </row>
    <row r="169" s="157" customFormat="true" ht="15" hidden="true" customHeight="true" outlineLevel="1" collapsed="true">
      <c r="A169" s="252"/>
      <c r="B169" s="222"/>
      <c r="C169" s="223"/>
      <c r="D169" s="223"/>
      <c r="E169" s="223"/>
      <c r="F169" s="223"/>
      <c r="G169" s="223"/>
      <c r="H169" s="224"/>
      <c r="I169" s="224"/>
      <c r="J169" s="224"/>
      <c r="K169" s="224"/>
      <c r="L169" s="223"/>
      <c r="M169" s="224"/>
      <c r="N169" s="224"/>
      <c r="O169" s="224"/>
      <c r="P169" s="224"/>
      <c r="Q169" s="223"/>
      <c r="R169" s="224"/>
      <c r="S169" s="224"/>
      <c r="T169" s="224"/>
      <c r="U169" s="224"/>
      <c r="V169" s="223"/>
      <c r="W169" s="224"/>
      <c r="X169" s="224"/>
      <c r="Y169" s="224"/>
      <c r="Z169" s="224"/>
      <c r="AA169" s="223"/>
      <c r="AB169" s="224"/>
      <c r="AC169" s="224"/>
      <c r="AD169" s="224"/>
      <c r="AE169" s="224"/>
      <c r="AF169" s="223"/>
      <c r="AG169" s="224"/>
      <c r="AH169" s="224"/>
      <c r="AI169" s="224"/>
      <c r="AJ169" s="224"/>
      <c r="AK169" s="223"/>
      <c r="AL169" s="224"/>
      <c r="AM169" s="224"/>
      <c r="AN169" s="224"/>
      <c r="AO169" s="224"/>
      <c r="AP169" s="223"/>
      <c r="AQ169" s="224"/>
      <c r="AR169" s="224"/>
      <c r="AS169" s="224"/>
      <c r="AT169" s="224"/>
      <c r="AU169" s="223"/>
      <c r="AV169" s="224"/>
      <c r="AW169" s="224"/>
      <c r="AX169" s="224"/>
      <c r="AY169" s="224"/>
      <c r="AZ169" s="223"/>
      <c r="BA169" s="224"/>
      <c r="BB169" s="224"/>
      <c r="BC169" s="224"/>
      <c r="BD169" s="224"/>
      <c r="BE169" s="223"/>
      <c r="BF169" s="224"/>
      <c r="BG169" s="224"/>
      <c r="BH169" s="224"/>
      <c r="BI169" s="224"/>
      <c r="BJ169" s="223"/>
      <c r="BK169" s="224"/>
      <c r="BL169" s="224"/>
      <c r="BM169" s="224"/>
      <c r="BN169" s="224"/>
      <c r="BO169" s="225"/>
      <c r="BP169" s="224"/>
      <c r="BQ169" s="224"/>
      <c r="BR169" s="224"/>
      <c r="BS169" s="224"/>
      <c r="BT169" s="223"/>
      <c r="BU169" s="224"/>
      <c r="BV169" s="224"/>
      <c r="BW169" s="224"/>
      <c r="BX169" s="224"/>
      <c r="BY169" s="223"/>
      <c r="BZ169" s="223"/>
      <c r="CA169" s="223"/>
      <c r="CB169" s="223"/>
      <c r="CC169" s="156"/>
    </row>
    <row r="170" s="157" customFormat="true" ht="15" hidden="true" customHeight="true" outlineLevel="1" collapsed="false">
      <c r="A170" s="219" t="s">
        <v>278</v>
      </c>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c r="AJ170" s="219"/>
      <c r="AK170" s="219"/>
      <c r="AL170" s="219"/>
      <c r="AM170" s="219"/>
      <c r="AN170" s="219"/>
      <c r="AO170" s="219"/>
      <c r="AP170" s="219"/>
      <c r="AQ170" s="219"/>
      <c r="AR170" s="219"/>
      <c r="AS170" s="219"/>
      <c r="AT170" s="219"/>
      <c r="AU170" s="219"/>
      <c r="AV170" s="219"/>
      <c r="AW170" s="219"/>
      <c r="AX170" s="219"/>
      <c r="AY170" s="219"/>
      <c r="AZ170" s="219"/>
      <c r="BA170" s="219"/>
      <c r="BB170" s="219"/>
      <c r="BC170" s="219"/>
      <c r="BD170" s="219"/>
      <c r="BE170" s="219"/>
      <c r="BF170" s="219"/>
      <c r="BG170" s="219"/>
      <c r="BH170" s="219"/>
      <c r="BI170" s="219"/>
      <c r="BJ170" s="219"/>
      <c r="BK170" s="219"/>
      <c r="BL170" s="219"/>
      <c r="BM170" s="219"/>
      <c r="BN170" s="219"/>
      <c r="BO170" s="220"/>
      <c r="BP170" s="219"/>
      <c r="BQ170" s="219"/>
      <c r="BR170" s="219"/>
      <c r="BS170" s="219"/>
      <c r="BT170" s="219"/>
      <c r="BU170" s="219"/>
      <c r="BV170" s="219"/>
      <c r="BW170" s="219"/>
      <c r="BX170" s="219"/>
      <c r="BY170" s="219"/>
      <c r="BZ170" s="219"/>
      <c r="CA170" s="219"/>
      <c r="CB170" s="219"/>
      <c r="CC170" s="156"/>
    </row>
    <row r="171" s="45" customFormat="true" ht="15" hidden="true" customHeight="true" outlineLevel="2" collapsed="false">
      <c r="A171" s="242" t="s">
        <v>279</v>
      </c>
      <c r="B171" s="86"/>
      <c r="C171" s="90" t="n">
        <v>47</v>
      </c>
      <c r="D171" s="90" t="n">
        <v>154</v>
      </c>
      <c r="E171" s="90" t="n">
        <v>195</v>
      </c>
      <c r="F171" s="90" t="n">
        <v>146</v>
      </c>
      <c r="G171" s="90" t="n">
        <v>142</v>
      </c>
      <c r="H171" s="89" t="n">
        <v>35</v>
      </c>
      <c r="I171" s="89" t="n">
        <v>27</v>
      </c>
      <c r="J171" s="89" t="n">
        <v>24</v>
      </c>
      <c r="K171" s="89" t="n">
        <v>30</v>
      </c>
      <c r="L171" s="90" t="n">
        <v>116</v>
      </c>
      <c r="M171" s="89" t="n">
        <v>39</v>
      </c>
      <c r="N171" s="89" t="n">
        <v>34</v>
      </c>
      <c r="O171" s="89" t="n">
        <v>39</v>
      </c>
      <c r="P171" s="89" t="n">
        <v>32</v>
      </c>
      <c r="Q171" s="90" t="n">
        <v>144</v>
      </c>
      <c r="R171" s="89" t="n">
        <v>28</v>
      </c>
      <c r="S171" s="89" t="n">
        <v>39</v>
      </c>
      <c r="T171" s="89" t="n">
        <v>38</v>
      </c>
      <c r="U171" s="89" t="n">
        <v>34</v>
      </c>
      <c r="V171" s="90" t="n">
        <v>139</v>
      </c>
      <c r="W171" s="89" t="n">
        <v>39</v>
      </c>
      <c r="X171" s="89" t="n">
        <v>39</v>
      </c>
      <c r="Y171" s="89" t="n">
        <v>48</v>
      </c>
      <c r="Z171" s="89" t="n">
        <v>48</v>
      </c>
      <c r="AA171" s="90" t="n">
        <v>174</v>
      </c>
      <c r="AB171" s="89" t="n">
        <v>48</v>
      </c>
      <c r="AC171" s="89" t="n">
        <v>50</v>
      </c>
      <c r="AD171" s="89" t="n">
        <v>51</v>
      </c>
      <c r="AE171" s="89" t="n">
        <v>58</v>
      </c>
      <c r="AF171" s="90" t="n">
        <v>207</v>
      </c>
      <c r="AG171" s="89" t="n">
        <v>43</v>
      </c>
      <c r="AH171" s="89" t="n">
        <v>41</v>
      </c>
      <c r="AI171" s="89" t="n">
        <v>52</v>
      </c>
      <c r="AJ171" s="89" t="n">
        <v>67</v>
      </c>
      <c r="AK171" s="90" t="n">
        <v>203</v>
      </c>
      <c r="AL171" s="89" t="n">
        <v>49</v>
      </c>
      <c r="AM171" s="89" t="n">
        <v>57</v>
      </c>
      <c r="AN171" s="89" t="n">
        <v>57</v>
      </c>
      <c r="AO171" s="89" t="n">
        <v>73</v>
      </c>
      <c r="AP171" s="90" t="n">
        <v>236</v>
      </c>
      <c r="AQ171" s="89" t="n">
        <v>73</v>
      </c>
      <c r="AR171" s="89" t="n">
        <v>69</v>
      </c>
      <c r="AS171" s="89" t="n">
        <v>72</v>
      </c>
      <c r="AT171" s="89" t="n">
        <v>72</v>
      </c>
      <c r="AU171" s="296" t="n">
        <f aca="false">SUM(AQ171,AR171,AS171,AT171)</f>
        <v>286</v>
      </c>
      <c r="AV171" s="89" t="n">
        <v>59</v>
      </c>
      <c r="AW171" s="89" t="n">
        <v>83</v>
      </c>
      <c r="AX171" s="89" t="n">
        <v>80</v>
      </c>
      <c r="AY171" s="89" t="n">
        <v>95</v>
      </c>
      <c r="AZ171" s="296" t="n">
        <f aca="false">SUM(AV171,AW171,AX171,AY171)</f>
        <v>317</v>
      </c>
      <c r="BA171" s="89" t="n">
        <v>96</v>
      </c>
      <c r="BB171" s="89" t="n">
        <v>107</v>
      </c>
      <c r="BC171" s="89" t="n">
        <v>105</v>
      </c>
      <c r="BD171" s="89" t="n">
        <v>113</v>
      </c>
      <c r="BE171" s="296" t="n">
        <f aca="false">SUM(BA171,BB171,BC171,BD171)</f>
        <v>421</v>
      </c>
      <c r="BF171" s="89" t="n">
        <v>66</v>
      </c>
      <c r="BG171" s="89" t="n">
        <v>89</v>
      </c>
      <c r="BH171" s="89" t="n">
        <v>106</v>
      </c>
      <c r="BI171" s="89" t="n">
        <v>119</v>
      </c>
      <c r="BJ171" s="296" t="n">
        <f aca="false">SUM(BF171,BG171,BH171,BI171)</f>
        <v>380</v>
      </c>
      <c r="BK171" s="89" t="n">
        <v>73</v>
      </c>
      <c r="BL171" s="89" t="n">
        <v>67</v>
      </c>
      <c r="BM171" s="89" t="n">
        <v>66</v>
      </c>
      <c r="BN171" s="89" t="n">
        <v>94</v>
      </c>
      <c r="BO171" s="312" t="n">
        <f aca="false">SUM(BK171,BL171,BM171,BN171)</f>
        <v>300</v>
      </c>
      <c r="BP171" s="88"/>
      <c r="BQ171" s="88"/>
      <c r="BR171" s="88"/>
      <c r="BS171" s="88"/>
      <c r="BT171" s="87"/>
      <c r="BU171" s="88"/>
      <c r="BV171" s="88"/>
      <c r="BW171" s="88"/>
      <c r="BX171" s="88"/>
      <c r="BY171" s="87"/>
      <c r="BZ171" s="87"/>
      <c r="CA171" s="87"/>
      <c r="CB171" s="87"/>
      <c r="CC171" s="92"/>
    </row>
    <row r="172" s="45" customFormat="true" ht="15" hidden="true" customHeight="true" outlineLevel="2" collapsed="false">
      <c r="A172" s="305" t="s">
        <v>280</v>
      </c>
      <c r="B172" s="103"/>
      <c r="C172" s="105" t="n">
        <v>23</v>
      </c>
      <c r="D172" s="105" t="n">
        <v>43</v>
      </c>
      <c r="E172" s="105" t="n">
        <v>27</v>
      </c>
      <c r="F172" s="105" t="n">
        <v>24</v>
      </c>
      <c r="G172" s="105" t="n">
        <v>15</v>
      </c>
      <c r="H172" s="106" t="n">
        <v>5</v>
      </c>
      <c r="I172" s="106" t="n">
        <v>4</v>
      </c>
      <c r="J172" s="106" t="n">
        <v>6</v>
      </c>
      <c r="K172" s="106" t="n">
        <v>5</v>
      </c>
      <c r="L172" s="105" t="n">
        <v>20</v>
      </c>
      <c r="M172" s="106" t="n">
        <v>8</v>
      </c>
      <c r="N172" s="106" t="n">
        <v>7</v>
      </c>
      <c r="O172" s="106" t="n">
        <v>5</v>
      </c>
      <c r="P172" s="106" t="n">
        <v>5</v>
      </c>
      <c r="Q172" s="105" t="n">
        <v>25</v>
      </c>
      <c r="R172" s="106" t="n">
        <v>5</v>
      </c>
      <c r="S172" s="106" t="n">
        <v>7</v>
      </c>
      <c r="T172" s="106" t="n">
        <v>2</v>
      </c>
      <c r="U172" s="106" t="n">
        <v>4</v>
      </c>
      <c r="V172" s="105" t="n">
        <v>18</v>
      </c>
      <c r="W172" s="106" t="n">
        <v>5</v>
      </c>
      <c r="X172" s="106" t="n">
        <v>3</v>
      </c>
      <c r="Y172" s="106" t="n">
        <v>7</v>
      </c>
      <c r="Z172" s="106" t="n">
        <v>9</v>
      </c>
      <c r="AA172" s="105" t="n">
        <v>24</v>
      </c>
      <c r="AB172" s="106" t="n">
        <v>1</v>
      </c>
      <c r="AC172" s="106" t="n">
        <v>8</v>
      </c>
      <c r="AD172" s="106" t="n">
        <v>2</v>
      </c>
      <c r="AE172" s="106" t="n">
        <v>6</v>
      </c>
      <c r="AF172" s="105" t="n">
        <v>17</v>
      </c>
      <c r="AG172" s="106" t="n">
        <v>5</v>
      </c>
      <c r="AH172" s="106" t="n">
        <v>7</v>
      </c>
      <c r="AI172" s="106" t="n">
        <v>5</v>
      </c>
      <c r="AJ172" s="106" t="n">
        <v>9</v>
      </c>
      <c r="AK172" s="105" t="n">
        <v>26</v>
      </c>
      <c r="AL172" s="106" t="n">
        <v>8</v>
      </c>
      <c r="AM172" s="106" t="n">
        <v>4</v>
      </c>
      <c r="AN172" s="106" t="n">
        <v>3</v>
      </c>
      <c r="AO172" s="106" t="n">
        <v>7</v>
      </c>
      <c r="AP172" s="105" t="n">
        <v>22</v>
      </c>
      <c r="AQ172" s="106" t="n">
        <v>3</v>
      </c>
      <c r="AR172" s="106" t="n">
        <v>3</v>
      </c>
      <c r="AS172" s="106" t="n">
        <v>7</v>
      </c>
      <c r="AT172" s="106" t="n">
        <v>10</v>
      </c>
      <c r="AU172" s="300" t="n">
        <f aca="false">SUM(AQ172,AR172,AS172,AT172)</f>
        <v>23</v>
      </c>
      <c r="AV172" s="106" t="n">
        <v>3</v>
      </c>
      <c r="AW172" s="106" t="n">
        <v>8</v>
      </c>
      <c r="AX172" s="106" t="n">
        <v>6</v>
      </c>
      <c r="AY172" s="106" t="n">
        <v>11</v>
      </c>
      <c r="AZ172" s="300" t="n">
        <f aca="false">SUM(AV172,AW172,AX172,AY172)</f>
        <v>28</v>
      </c>
      <c r="BA172" s="106" t="n">
        <v>4</v>
      </c>
      <c r="BB172" s="106" t="n">
        <v>6</v>
      </c>
      <c r="BC172" s="106" t="n">
        <v>7</v>
      </c>
      <c r="BD172" s="106" t="n">
        <v>11</v>
      </c>
      <c r="BE172" s="300" t="n">
        <f aca="false">SUM(BA172,BB172,BC172,BD172)</f>
        <v>28</v>
      </c>
      <c r="BF172" s="106" t="n">
        <v>4</v>
      </c>
      <c r="BG172" s="106" t="n">
        <v>11</v>
      </c>
      <c r="BH172" s="106" t="n">
        <v>10</v>
      </c>
      <c r="BI172" s="106" t="n">
        <v>13</v>
      </c>
      <c r="BJ172" s="300" t="n">
        <f aca="false">SUM(BF172,BG172,BH172,BI172)</f>
        <v>38</v>
      </c>
      <c r="BK172" s="106" t="n">
        <v>4</v>
      </c>
      <c r="BL172" s="106" t="n">
        <v>9</v>
      </c>
      <c r="BM172" s="106" t="n">
        <v>6</v>
      </c>
      <c r="BN172" s="106" t="n">
        <v>8</v>
      </c>
      <c r="BO172" s="314" t="n">
        <f aca="false">SUM(BK172,BL172,BM172,BN172)</f>
        <v>27</v>
      </c>
      <c r="BP172" s="117"/>
      <c r="BQ172" s="117"/>
      <c r="BR172" s="117"/>
      <c r="BS172" s="117"/>
      <c r="BT172" s="104"/>
      <c r="BU172" s="117"/>
      <c r="BV172" s="117"/>
      <c r="BW172" s="117"/>
      <c r="BX172" s="117"/>
      <c r="BY172" s="104"/>
      <c r="BZ172" s="104"/>
      <c r="CA172" s="104"/>
      <c r="CB172" s="104"/>
      <c r="CC172" s="92"/>
    </row>
    <row r="173" s="115" customFormat="true" ht="15" hidden="true" customHeight="true" outlineLevel="2" collapsed="false">
      <c r="A173" s="307" t="s">
        <v>281</v>
      </c>
      <c r="B173" s="119"/>
      <c r="C173" s="308" t="n">
        <f aca="false">SUM(C171:C172)</f>
        <v>70</v>
      </c>
      <c r="D173" s="308" t="n">
        <f aca="false">SUM(D171:D172)</f>
        <v>197</v>
      </c>
      <c r="E173" s="308" t="n">
        <f aca="false">SUM(E171:E172)</f>
        <v>222</v>
      </c>
      <c r="F173" s="308" t="n">
        <f aca="false">SUM(F171:F172)</f>
        <v>170</v>
      </c>
      <c r="G173" s="308" t="n">
        <f aca="false">SUM(G171:G172)</f>
        <v>157</v>
      </c>
      <c r="H173" s="309" t="n">
        <f aca="false">SUM(H171:H172)</f>
        <v>40</v>
      </c>
      <c r="I173" s="309" t="n">
        <f aca="false">SUM(I171:I172)</f>
        <v>31</v>
      </c>
      <c r="J173" s="309" t="n">
        <f aca="false">SUM(J171:J172)</f>
        <v>30</v>
      </c>
      <c r="K173" s="309" t="n">
        <f aca="false">SUM(K171:K172)</f>
        <v>35</v>
      </c>
      <c r="L173" s="308" t="n">
        <f aca="false">SUM(L171:L172)</f>
        <v>136</v>
      </c>
      <c r="M173" s="309" t="n">
        <f aca="false">SUM(M171:M172)</f>
        <v>47</v>
      </c>
      <c r="N173" s="309" t="n">
        <f aca="false">SUM(N171:N172)</f>
        <v>41</v>
      </c>
      <c r="O173" s="309" t="n">
        <f aca="false">SUM(O171:O172)</f>
        <v>44</v>
      </c>
      <c r="P173" s="309" t="n">
        <f aca="false">SUM(P171:P172)</f>
        <v>37</v>
      </c>
      <c r="Q173" s="308" t="n">
        <f aca="false">SUM(Q171:Q172)</f>
        <v>169</v>
      </c>
      <c r="R173" s="309" t="n">
        <f aca="false">SUM(R171:R172)</f>
        <v>33</v>
      </c>
      <c r="S173" s="309" t="n">
        <f aca="false">SUM(S171:S172)</f>
        <v>46</v>
      </c>
      <c r="T173" s="309" t="n">
        <f aca="false">SUM(T171:T172)</f>
        <v>40</v>
      </c>
      <c r="U173" s="309" t="n">
        <f aca="false">SUM(U171:U172)</f>
        <v>38</v>
      </c>
      <c r="V173" s="308" t="n">
        <f aca="false">SUM(V171:V172)</f>
        <v>157</v>
      </c>
      <c r="W173" s="309" t="n">
        <f aca="false">SUM(W171:W172)</f>
        <v>44</v>
      </c>
      <c r="X173" s="309" t="n">
        <f aca="false">SUM(X171:X172)</f>
        <v>42</v>
      </c>
      <c r="Y173" s="309" t="n">
        <f aca="false">SUM(Y171:Y172)</f>
        <v>55</v>
      </c>
      <c r="Z173" s="309" t="n">
        <f aca="false">SUM(Z171:Z172)</f>
        <v>57</v>
      </c>
      <c r="AA173" s="308" t="n">
        <f aca="false">SUM(AA171:AA172)</f>
        <v>198</v>
      </c>
      <c r="AB173" s="309" t="n">
        <f aca="false">SUM(AB171:AB172)</f>
        <v>49</v>
      </c>
      <c r="AC173" s="309" t="n">
        <f aca="false">SUM(AC171:AC172)</f>
        <v>58</v>
      </c>
      <c r="AD173" s="309" t="n">
        <f aca="false">SUM(AD171:AD172)</f>
        <v>53</v>
      </c>
      <c r="AE173" s="309" t="n">
        <f aca="false">SUM(AE171:AE172)</f>
        <v>64</v>
      </c>
      <c r="AF173" s="308" t="n">
        <f aca="false">SUM(AF171:AF172)</f>
        <v>224</v>
      </c>
      <c r="AG173" s="309" t="n">
        <f aca="false">SUM(AG171:AG172)</f>
        <v>48</v>
      </c>
      <c r="AH173" s="309" t="n">
        <f aca="false">SUM(AH171:AH172)</f>
        <v>48</v>
      </c>
      <c r="AI173" s="309" t="n">
        <f aca="false">SUM(AI171:AI172)</f>
        <v>57</v>
      </c>
      <c r="AJ173" s="309" t="n">
        <f aca="false">SUM(AJ171:AJ172)</f>
        <v>76</v>
      </c>
      <c r="AK173" s="308" t="n">
        <f aca="false">SUM(AK171:AK172)</f>
        <v>229</v>
      </c>
      <c r="AL173" s="309" t="n">
        <f aca="false">SUM(AL171:AL172)</f>
        <v>57</v>
      </c>
      <c r="AM173" s="309" t="n">
        <f aca="false">SUM(AM171:AM172)</f>
        <v>61</v>
      </c>
      <c r="AN173" s="309" t="n">
        <f aca="false">SUM(AN171:AN172)</f>
        <v>60</v>
      </c>
      <c r="AO173" s="309" t="n">
        <f aca="false">SUM(AO171:AO172)</f>
        <v>80</v>
      </c>
      <c r="AP173" s="308" t="n">
        <f aca="false">SUM(AP171:AP172)</f>
        <v>258</v>
      </c>
      <c r="AQ173" s="309" t="n">
        <f aca="false">SUM(AQ171:AQ172)</f>
        <v>76</v>
      </c>
      <c r="AR173" s="309" t="n">
        <f aca="false">SUM(AR171:AR172)</f>
        <v>72</v>
      </c>
      <c r="AS173" s="309" t="n">
        <f aca="false">SUM(AS171:AS172)</f>
        <v>79</v>
      </c>
      <c r="AT173" s="309" t="n">
        <f aca="false">SUM(AT171:AT172)</f>
        <v>82</v>
      </c>
      <c r="AU173" s="308" t="n">
        <f aca="false">SUM(AU171:AU172)</f>
        <v>309</v>
      </c>
      <c r="AV173" s="309" t="n">
        <f aca="false">SUM(AV171:AV172)</f>
        <v>62</v>
      </c>
      <c r="AW173" s="309" t="n">
        <f aca="false">SUM(AW171:AW172)</f>
        <v>91</v>
      </c>
      <c r="AX173" s="309" t="n">
        <f aca="false">SUM(AX171:AX172)</f>
        <v>86</v>
      </c>
      <c r="AY173" s="309" t="n">
        <f aca="false">SUM(AY171:AY172)</f>
        <v>106</v>
      </c>
      <c r="AZ173" s="308" t="n">
        <f aca="false">SUM(AZ171:AZ172)</f>
        <v>345</v>
      </c>
      <c r="BA173" s="309" t="n">
        <f aca="false">SUM(BA171:BA172)</f>
        <v>100</v>
      </c>
      <c r="BB173" s="309" t="n">
        <f aca="false">SUM(BB171:BB172)</f>
        <v>113</v>
      </c>
      <c r="BC173" s="309" t="n">
        <f aca="false">SUM(BC171:BC172)</f>
        <v>112</v>
      </c>
      <c r="BD173" s="309" t="n">
        <f aca="false">SUM(BD171:BD172)</f>
        <v>124</v>
      </c>
      <c r="BE173" s="308" t="n">
        <f aca="false">SUM(BE171:BE172)</f>
        <v>449</v>
      </c>
      <c r="BF173" s="309" t="n">
        <f aca="false">SUM(BF171:BF172)</f>
        <v>70</v>
      </c>
      <c r="BG173" s="309" t="n">
        <f aca="false">SUM(BG171:BG172)</f>
        <v>100</v>
      </c>
      <c r="BH173" s="309" t="n">
        <f aca="false">SUM(BH171:BH172)</f>
        <v>116</v>
      </c>
      <c r="BI173" s="309" t="n">
        <f aca="false">SUM(BI171:BI172)</f>
        <v>132</v>
      </c>
      <c r="BJ173" s="308" t="n">
        <f aca="false">SUM(BJ171:BJ172)</f>
        <v>418</v>
      </c>
      <c r="BK173" s="309" t="n">
        <f aca="false">SUM(BK171:BK172)</f>
        <v>77</v>
      </c>
      <c r="BL173" s="309" t="n">
        <f aca="false">SUM(BL171:BL172)</f>
        <v>76</v>
      </c>
      <c r="BM173" s="309" t="n">
        <f aca="false">SUM(BM171:BM172)</f>
        <v>72</v>
      </c>
      <c r="BN173" s="309" t="n">
        <f aca="false">SUM(BN171:BN172)</f>
        <v>102</v>
      </c>
      <c r="BO173" s="311" t="n">
        <f aca="false">SUM(BO171:BO172)</f>
        <v>327</v>
      </c>
      <c r="BP173" s="121"/>
      <c r="BQ173" s="121"/>
      <c r="BR173" s="121"/>
      <c r="BS173" s="121"/>
      <c r="BT173" s="120"/>
      <c r="BU173" s="121"/>
      <c r="BV173" s="121"/>
      <c r="BW173" s="121"/>
      <c r="BX173" s="121"/>
      <c r="BY173" s="120"/>
      <c r="BZ173" s="120"/>
      <c r="CA173" s="120"/>
      <c r="CB173" s="120"/>
      <c r="CC173" s="114"/>
    </row>
    <row r="174" s="45" customFormat="true" ht="15" hidden="true" customHeight="true" outlineLevel="2" collapsed="false">
      <c r="A174" s="238"/>
      <c r="B174" s="86"/>
      <c r="C174" s="87"/>
      <c r="D174" s="87"/>
      <c r="E174" s="87"/>
      <c r="F174" s="87"/>
      <c r="G174" s="87"/>
      <c r="H174" s="88"/>
      <c r="I174" s="88"/>
      <c r="J174" s="88"/>
      <c r="K174" s="88"/>
      <c r="L174" s="87"/>
      <c r="M174" s="88"/>
      <c r="N174" s="88"/>
      <c r="O174" s="88"/>
      <c r="P174" s="88"/>
      <c r="Q174" s="87"/>
      <c r="R174" s="88"/>
      <c r="S174" s="88"/>
      <c r="T174" s="88"/>
      <c r="U174" s="88"/>
      <c r="V174" s="87"/>
      <c r="W174" s="88"/>
      <c r="X174" s="88"/>
      <c r="Y174" s="88"/>
      <c r="Z174" s="88"/>
      <c r="AA174" s="87"/>
      <c r="AB174" s="88"/>
      <c r="AC174" s="88"/>
      <c r="AD174" s="88"/>
      <c r="AE174" s="88"/>
      <c r="AF174" s="87"/>
      <c r="AG174" s="88"/>
      <c r="AH174" s="88"/>
      <c r="AI174" s="88"/>
      <c r="AJ174" s="88"/>
      <c r="AK174" s="87"/>
      <c r="AL174" s="88"/>
      <c r="AM174" s="88"/>
      <c r="AN174" s="88"/>
      <c r="AO174" s="88"/>
      <c r="AP174" s="87"/>
      <c r="AQ174" s="88"/>
      <c r="AR174" s="88"/>
      <c r="AS174" s="88"/>
      <c r="AT174" s="88"/>
      <c r="AU174" s="87"/>
      <c r="AV174" s="88"/>
      <c r="AW174" s="88"/>
      <c r="AX174" s="88"/>
      <c r="AY174" s="88"/>
      <c r="AZ174" s="87"/>
      <c r="BA174" s="88"/>
      <c r="BB174" s="88"/>
      <c r="BC174" s="88"/>
      <c r="BD174" s="88"/>
      <c r="BE174" s="87"/>
      <c r="BF174" s="88"/>
      <c r="BG174" s="88"/>
      <c r="BH174" s="88"/>
      <c r="BI174" s="88"/>
      <c r="BJ174" s="87"/>
      <c r="BK174" s="88"/>
      <c r="BL174" s="88"/>
      <c r="BM174" s="88"/>
      <c r="BN174" s="88"/>
      <c r="BO174" s="91"/>
      <c r="BP174" s="88"/>
      <c r="BQ174" s="88"/>
      <c r="BR174" s="88"/>
      <c r="BS174" s="88"/>
      <c r="BT174" s="87"/>
      <c r="BU174" s="88"/>
      <c r="BV174" s="88"/>
      <c r="BW174" s="88"/>
      <c r="BX174" s="88"/>
      <c r="BY174" s="87"/>
      <c r="BZ174" s="87"/>
      <c r="CA174" s="87"/>
      <c r="CB174" s="87"/>
      <c r="CC174" s="92"/>
    </row>
    <row r="175" s="45" customFormat="true" ht="15" hidden="true" customHeight="true" outlineLevel="2" collapsed="false">
      <c r="A175" s="242" t="s">
        <v>282</v>
      </c>
      <c r="B175" s="86"/>
      <c r="C175" s="87"/>
      <c r="D175" s="87"/>
      <c r="E175" s="87"/>
      <c r="F175" s="87"/>
      <c r="G175" s="87"/>
      <c r="H175" s="88"/>
      <c r="I175" s="88"/>
      <c r="J175" s="88"/>
      <c r="K175" s="88"/>
      <c r="L175" s="87"/>
      <c r="M175" s="88"/>
      <c r="N175" s="88"/>
      <c r="O175" s="88"/>
      <c r="P175" s="88"/>
      <c r="Q175" s="87"/>
      <c r="R175" s="88"/>
      <c r="S175" s="88"/>
      <c r="T175" s="88"/>
      <c r="U175" s="88"/>
      <c r="V175" s="87"/>
      <c r="W175" s="88"/>
      <c r="X175" s="88"/>
      <c r="Y175" s="88"/>
      <c r="Z175" s="88"/>
      <c r="AA175" s="90" t="n">
        <v>145</v>
      </c>
      <c r="AB175" s="88"/>
      <c r="AC175" s="88"/>
      <c r="AD175" s="88"/>
      <c r="AE175" s="88"/>
      <c r="AF175" s="90" t="n">
        <v>125</v>
      </c>
      <c r="AG175" s="88"/>
      <c r="AH175" s="88"/>
      <c r="AI175" s="88"/>
      <c r="AJ175" s="88"/>
      <c r="AK175" s="90" t="n">
        <v>238</v>
      </c>
      <c r="AL175" s="88"/>
      <c r="AM175" s="88"/>
      <c r="AN175" s="88"/>
      <c r="AO175" s="88"/>
      <c r="AP175" s="90" t="n">
        <v>260</v>
      </c>
      <c r="AQ175" s="88"/>
      <c r="AR175" s="88"/>
      <c r="AS175" s="88"/>
      <c r="AT175" s="88"/>
      <c r="AU175" s="90" t="n">
        <v>327</v>
      </c>
      <c r="AV175" s="88"/>
      <c r="AW175" s="88"/>
      <c r="AX175" s="88"/>
      <c r="AY175" s="88"/>
      <c r="AZ175" s="90" t="n">
        <v>357</v>
      </c>
      <c r="BA175" s="88"/>
      <c r="BB175" s="88"/>
      <c r="BC175" s="88"/>
      <c r="BD175" s="88"/>
      <c r="BE175" s="90" t="n">
        <v>439</v>
      </c>
      <c r="BF175" s="88"/>
      <c r="BG175" s="88"/>
      <c r="BH175" s="88"/>
      <c r="BI175" s="88"/>
      <c r="BJ175" s="90" t="n">
        <v>399</v>
      </c>
      <c r="BK175" s="88"/>
      <c r="BL175" s="88"/>
      <c r="BM175" s="88"/>
      <c r="BN175" s="88"/>
      <c r="BO175" s="91"/>
      <c r="BP175" s="88"/>
      <c r="BQ175" s="88"/>
      <c r="BR175" s="88"/>
      <c r="BS175" s="88"/>
      <c r="BT175" s="87"/>
      <c r="BU175" s="88"/>
      <c r="BV175" s="88"/>
      <c r="BW175" s="88"/>
      <c r="BX175" s="88"/>
      <c r="BY175" s="87"/>
      <c r="BZ175" s="87"/>
      <c r="CA175" s="87"/>
      <c r="CB175" s="87"/>
      <c r="CC175" s="92"/>
    </row>
    <row r="176" s="45" customFormat="true" ht="15" hidden="true" customHeight="true" outlineLevel="2" collapsed="false">
      <c r="A176" s="242" t="s">
        <v>283</v>
      </c>
      <c r="B176" s="86"/>
      <c r="C176" s="87"/>
      <c r="D176" s="87"/>
      <c r="E176" s="87"/>
      <c r="F176" s="87"/>
      <c r="G176" s="87"/>
      <c r="H176" s="88"/>
      <c r="I176" s="88"/>
      <c r="J176" s="88"/>
      <c r="K176" s="88"/>
      <c r="L176" s="87"/>
      <c r="M176" s="88"/>
      <c r="N176" s="88"/>
      <c r="O176" s="88"/>
      <c r="P176" s="88"/>
      <c r="Q176" s="87"/>
      <c r="R176" s="88"/>
      <c r="S176" s="88"/>
      <c r="T176" s="88"/>
      <c r="U176" s="88"/>
      <c r="V176" s="87"/>
      <c r="W176" s="88"/>
      <c r="X176" s="88"/>
      <c r="Y176" s="88"/>
      <c r="Z176" s="88"/>
      <c r="AA176" s="90" t="n">
        <v>147</v>
      </c>
      <c r="AB176" s="88"/>
      <c r="AC176" s="88"/>
      <c r="AD176" s="88"/>
      <c r="AE176" s="88"/>
      <c r="AF176" s="90" t="n">
        <v>213</v>
      </c>
      <c r="AG176" s="88"/>
      <c r="AH176" s="88"/>
      <c r="AI176" s="88"/>
      <c r="AJ176" s="88"/>
      <c r="AK176" s="90" t="n">
        <v>106</v>
      </c>
      <c r="AL176" s="88"/>
      <c r="AM176" s="88"/>
      <c r="AN176" s="88"/>
      <c r="AO176" s="88"/>
      <c r="AP176" s="90" t="n">
        <v>135</v>
      </c>
      <c r="AQ176" s="88"/>
      <c r="AR176" s="88"/>
      <c r="AS176" s="88"/>
      <c r="AT176" s="88"/>
      <c r="AU176" s="90" t="n">
        <v>178</v>
      </c>
      <c r="AV176" s="88"/>
      <c r="AW176" s="88"/>
      <c r="AX176" s="88"/>
      <c r="AY176" s="88"/>
      <c r="AZ176" s="90" t="n">
        <v>204</v>
      </c>
      <c r="BA176" s="88"/>
      <c r="BB176" s="88"/>
      <c r="BC176" s="88"/>
      <c r="BD176" s="88"/>
      <c r="BE176" s="90" t="n">
        <v>161</v>
      </c>
      <c r="BF176" s="88"/>
      <c r="BG176" s="88"/>
      <c r="BH176" s="88"/>
      <c r="BI176" s="88"/>
      <c r="BJ176" s="90" t="n">
        <v>184</v>
      </c>
      <c r="BK176" s="88"/>
      <c r="BL176" s="88"/>
      <c r="BM176" s="88"/>
      <c r="BN176" s="88"/>
      <c r="BO176" s="91"/>
      <c r="BP176" s="88"/>
      <c r="BQ176" s="88"/>
      <c r="BR176" s="88"/>
      <c r="BS176" s="88"/>
      <c r="BT176" s="87"/>
      <c r="BU176" s="88"/>
      <c r="BV176" s="88"/>
      <c r="BW176" s="88"/>
      <c r="BX176" s="88"/>
      <c r="BY176" s="87"/>
      <c r="BZ176" s="87"/>
      <c r="CA176" s="87"/>
      <c r="CB176" s="87"/>
      <c r="CC176" s="92"/>
    </row>
    <row r="177" s="115" customFormat="true" ht="15" hidden="true" customHeight="true" outlineLevel="2" collapsed="false">
      <c r="A177" s="307" t="s">
        <v>284</v>
      </c>
      <c r="B177" s="119"/>
      <c r="C177" s="120"/>
      <c r="D177" s="120"/>
      <c r="E177" s="120"/>
      <c r="F177" s="120"/>
      <c r="G177" s="120"/>
      <c r="H177" s="121"/>
      <c r="I177" s="121"/>
      <c r="J177" s="121"/>
      <c r="K177" s="121"/>
      <c r="L177" s="120"/>
      <c r="M177" s="121"/>
      <c r="N177" s="121"/>
      <c r="O177" s="121"/>
      <c r="P177" s="121"/>
      <c r="Q177" s="120"/>
      <c r="R177" s="121"/>
      <c r="S177" s="121"/>
      <c r="T177" s="121"/>
      <c r="U177" s="121"/>
      <c r="V177" s="120" t="n">
        <f aca="false">V18</f>
        <v>212</v>
      </c>
      <c r="W177" s="121"/>
      <c r="X177" s="121"/>
      <c r="Y177" s="121"/>
      <c r="Z177" s="121"/>
      <c r="AA177" s="120" t="n">
        <f aca="false">SUM(AA175:AA176)</f>
        <v>292</v>
      </c>
      <c r="AB177" s="121"/>
      <c r="AC177" s="121"/>
      <c r="AD177" s="121"/>
      <c r="AE177" s="121"/>
      <c r="AF177" s="308" t="n">
        <f aca="false">SUM(AF175:AF176)</f>
        <v>338</v>
      </c>
      <c r="AG177" s="121"/>
      <c r="AH177" s="121"/>
      <c r="AI177" s="121"/>
      <c r="AJ177" s="121"/>
      <c r="AK177" s="308" t="n">
        <f aca="false">SUM(AK175:AK176)</f>
        <v>344</v>
      </c>
      <c r="AL177" s="121"/>
      <c r="AM177" s="121"/>
      <c r="AN177" s="121"/>
      <c r="AO177" s="121"/>
      <c r="AP177" s="308" t="n">
        <f aca="false">SUM(AP175:AP176)</f>
        <v>395</v>
      </c>
      <c r="AQ177" s="121"/>
      <c r="AR177" s="121"/>
      <c r="AS177" s="121"/>
      <c r="AT177" s="121"/>
      <c r="AU177" s="308" t="n">
        <f aca="false">SUM(AU175:AU176)</f>
        <v>505</v>
      </c>
      <c r="AV177" s="121"/>
      <c r="AW177" s="121"/>
      <c r="AX177" s="121"/>
      <c r="AY177" s="121"/>
      <c r="AZ177" s="308" t="n">
        <f aca="false">SUM(AZ175:AZ176)</f>
        <v>561</v>
      </c>
      <c r="BA177" s="121"/>
      <c r="BB177" s="121"/>
      <c r="BC177" s="121"/>
      <c r="BD177" s="121"/>
      <c r="BE177" s="120" t="n">
        <f aca="false">SUM(BE175:BE176)</f>
        <v>600</v>
      </c>
      <c r="BF177" s="121"/>
      <c r="BG177" s="121"/>
      <c r="BH177" s="121"/>
      <c r="BI177" s="121"/>
      <c r="BJ177" s="120" t="n">
        <f aca="false">SUM(BJ175:BJ176)</f>
        <v>583</v>
      </c>
      <c r="BK177" s="121"/>
      <c r="BL177" s="121"/>
      <c r="BM177" s="121"/>
      <c r="BN177" s="121"/>
      <c r="BO177" s="122"/>
      <c r="BP177" s="121"/>
      <c r="BQ177" s="121"/>
      <c r="BR177" s="121"/>
      <c r="BS177" s="121"/>
      <c r="BT177" s="120"/>
      <c r="BU177" s="121"/>
      <c r="BV177" s="121"/>
      <c r="BW177" s="121"/>
      <c r="BX177" s="121"/>
      <c r="BY177" s="120"/>
      <c r="BZ177" s="120"/>
      <c r="CA177" s="120"/>
      <c r="CB177" s="120"/>
      <c r="CC177" s="114"/>
    </row>
    <row r="178" s="84" customFormat="true" ht="15" hidden="true" customHeight="true" outlineLevel="1" collapsed="true">
      <c r="A178" s="140"/>
      <c r="B178" s="141"/>
      <c r="C178" s="142"/>
      <c r="D178" s="142"/>
      <c r="E178" s="142"/>
      <c r="F178" s="142"/>
      <c r="G178" s="142"/>
      <c r="H178" s="143"/>
      <c r="I178" s="143"/>
      <c r="J178" s="143"/>
      <c r="K178" s="143"/>
      <c r="L178" s="142"/>
      <c r="M178" s="143"/>
      <c r="N178" s="143"/>
      <c r="O178" s="143"/>
      <c r="P178" s="143"/>
      <c r="Q178" s="142"/>
      <c r="R178" s="143"/>
      <c r="S178" s="143"/>
      <c r="T178" s="143"/>
      <c r="U178" s="143"/>
      <c r="V178" s="142"/>
      <c r="W178" s="143"/>
      <c r="X178" s="143"/>
      <c r="Y178" s="143"/>
      <c r="Z178" s="143"/>
      <c r="AA178" s="142"/>
      <c r="AB178" s="143"/>
      <c r="AC178" s="143"/>
      <c r="AD178" s="143"/>
      <c r="AE178" s="143"/>
      <c r="AF178" s="142"/>
      <c r="AG178" s="143"/>
      <c r="AH178" s="143"/>
      <c r="AI178" s="143"/>
      <c r="AJ178" s="143"/>
      <c r="AK178" s="142"/>
      <c r="AL178" s="143"/>
      <c r="AM178" s="143"/>
      <c r="AN178" s="143"/>
      <c r="AO178" s="143"/>
      <c r="AP178" s="142"/>
      <c r="AQ178" s="143"/>
      <c r="AR178" s="143"/>
      <c r="AS178" s="143"/>
      <c r="AT178" s="143"/>
      <c r="AU178" s="142"/>
      <c r="AV178" s="143"/>
      <c r="AW178" s="143"/>
      <c r="AX178" s="143"/>
      <c r="AY178" s="143"/>
      <c r="AZ178" s="142"/>
      <c r="BA178" s="143"/>
      <c r="BB178" s="143"/>
      <c r="BC178" s="143"/>
      <c r="BD178" s="143"/>
      <c r="BE178" s="142"/>
      <c r="BF178" s="143"/>
      <c r="BG178" s="143"/>
      <c r="BH178" s="143"/>
      <c r="BI178" s="143"/>
      <c r="BJ178" s="142"/>
      <c r="BK178" s="143"/>
      <c r="BL178" s="143"/>
      <c r="BM178" s="143"/>
      <c r="BN178" s="143"/>
      <c r="BO178" s="144"/>
      <c r="BP178" s="143"/>
      <c r="BQ178" s="143"/>
      <c r="BR178" s="143"/>
      <c r="BS178" s="143"/>
      <c r="BT178" s="142"/>
      <c r="BU178" s="143"/>
      <c r="BV178" s="143"/>
      <c r="BW178" s="143"/>
      <c r="BX178" s="143"/>
      <c r="BY178" s="142"/>
      <c r="BZ178" s="142"/>
      <c r="CA178" s="142"/>
      <c r="CB178" s="142"/>
      <c r="CC178" s="83"/>
    </row>
    <row r="179" s="157" customFormat="true" ht="15" hidden="true" customHeight="true" outlineLevel="1" collapsed="false">
      <c r="A179" s="219" t="s">
        <v>285</v>
      </c>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c r="AA179" s="219"/>
      <c r="AB179" s="219"/>
      <c r="AC179" s="219"/>
      <c r="AD179" s="219"/>
      <c r="AE179" s="219"/>
      <c r="AF179" s="219"/>
      <c r="AG179" s="219"/>
      <c r="AH179" s="219"/>
      <c r="AI179" s="219"/>
      <c r="AJ179" s="219"/>
      <c r="AK179" s="219"/>
      <c r="AL179" s="219"/>
      <c r="AM179" s="219"/>
      <c r="AN179" s="219"/>
      <c r="AO179" s="219"/>
      <c r="AP179" s="219"/>
      <c r="AQ179" s="219"/>
      <c r="AR179" s="219"/>
      <c r="AS179" s="219"/>
      <c r="AT179" s="219"/>
      <c r="AU179" s="219"/>
      <c r="AV179" s="219"/>
      <c r="AW179" s="219"/>
      <c r="AX179" s="219"/>
      <c r="AY179" s="219"/>
      <c r="AZ179" s="219"/>
      <c r="BA179" s="219"/>
      <c r="BB179" s="219"/>
      <c r="BC179" s="219"/>
      <c r="BD179" s="219"/>
      <c r="BE179" s="219"/>
      <c r="BF179" s="219"/>
      <c r="BG179" s="219"/>
      <c r="BH179" s="219"/>
      <c r="BI179" s="219"/>
      <c r="BJ179" s="219"/>
      <c r="BK179" s="219"/>
      <c r="BL179" s="219"/>
      <c r="BM179" s="219"/>
      <c r="BN179" s="219"/>
      <c r="BO179" s="220"/>
      <c r="BP179" s="219"/>
      <c r="BQ179" s="219"/>
      <c r="BR179" s="219"/>
      <c r="BS179" s="219"/>
      <c r="BT179" s="219"/>
      <c r="BU179" s="219"/>
      <c r="BV179" s="219"/>
      <c r="BW179" s="219"/>
      <c r="BX179" s="219"/>
      <c r="BY179" s="219"/>
      <c r="BZ179" s="219"/>
      <c r="CA179" s="219"/>
      <c r="CB179" s="219"/>
      <c r="CC179" s="156"/>
    </row>
    <row r="180" s="45" customFormat="true" ht="15" hidden="true" customHeight="true" outlineLevel="2" collapsed="false">
      <c r="A180" s="242" t="s">
        <v>286</v>
      </c>
      <c r="B180" s="86"/>
      <c r="C180" s="87"/>
      <c r="D180" s="87"/>
      <c r="E180" s="87"/>
      <c r="F180" s="87"/>
      <c r="G180" s="87"/>
      <c r="H180" s="89" t="n">
        <v>27</v>
      </c>
      <c r="I180" s="89" t="n">
        <v>22</v>
      </c>
      <c r="J180" s="89" t="n">
        <v>37</v>
      </c>
      <c r="K180" s="89" t="n">
        <v>43</v>
      </c>
      <c r="L180" s="296" t="n">
        <f aca="false">SUM(H180,I180,J180,K180)</f>
        <v>129</v>
      </c>
      <c r="M180" s="89" t="n">
        <v>35</v>
      </c>
      <c r="N180" s="89" t="n">
        <v>41</v>
      </c>
      <c r="O180" s="89" t="n">
        <v>32</v>
      </c>
      <c r="P180" s="89" t="n">
        <v>39</v>
      </c>
      <c r="Q180" s="296" t="n">
        <f aca="false">SUM(M180,N180,O180,P180)</f>
        <v>147</v>
      </c>
      <c r="R180" s="89" t="n">
        <v>24</v>
      </c>
      <c r="S180" s="89" t="n">
        <v>40</v>
      </c>
      <c r="T180" s="89" t="n">
        <v>37</v>
      </c>
      <c r="U180" s="89" t="n">
        <v>39</v>
      </c>
      <c r="V180" s="296" t="n">
        <f aca="false">SUM(R180,S180,T180,U180)</f>
        <v>140</v>
      </c>
      <c r="W180" s="89" t="n">
        <v>52</v>
      </c>
      <c r="X180" s="89" t="n">
        <v>49</v>
      </c>
      <c r="Y180" s="89" t="n">
        <v>65</v>
      </c>
      <c r="Z180" s="89" t="n">
        <v>68</v>
      </c>
      <c r="AA180" s="296" t="n">
        <f aca="false">SUM(W180,X180,Y180,Z180)</f>
        <v>234</v>
      </c>
      <c r="AB180" s="89" t="n">
        <v>55</v>
      </c>
      <c r="AC180" s="89" t="n">
        <v>52</v>
      </c>
      <c r="AD180" s="89" t="n">
        <v>62</v>
      </c>
      <c r="AE180" s="89" t="n">
        <v>43</v>
      </c>
      <c r="AF180" s="296" t="n">
        <f aca="false">SUM(AB180,AC180,AD180,AE180)</f>
        <v>212</v>
      </c>
      <c r="AG180" s="89" t="n">
        <v>32</v>
      </c>
      <c r="AH180" s="89" t="n">
        <v>50</v>
      </c>
      <c r="AI180" s="89" t="n">
        <v>78</v>
      </c>
      <c r="AJ180" s="89" t="n">
        <v>57</v>
      </c>
      <c r="AK180" s="296" t="n">
        <f aca="false">SUM(AG180,AH180,AI180,AJ180)</f>
        <v>217</v>
      </c>
      <c r="AL180" s="89" t="n">
        <v>72</v>
      </c>
      <c r="AM180" s="89" t="n">
        <v>28</v>
      </c>
      <c r="AN180" s="89" t="n">
        <v>67</v>
      </c>
      <c r="AO180" s="89" t="n">
        <v>114</v>
      </c>
      <c r="AP180" s="296" t="n">
        <f aca="false">SUM(AL180,AM180,AN180,AO180)</f>
        <v>281</v>
      </c>
      <c r="AQ180" s="89" t="n">
        <v>110</v>
      </c>
      <c r="AR180" s="89" t="n">
        <v>156</v>
      </c>
      <c r="AS180" s="89" t="n">
        <v>168</v>
      </c>
      <c r="AT180" s="89" t="n">
        <v>182</v>
      </c>
      <c r="AU180" s="296" t="n">
        <f aca="false">SUM(AQ180,AR180,AS180,AT180)</f>
        <v>616</v>
      </c>
      <c r="AV180" s="89" t="n">
        <v>154</v>
      </c>
      <c r="AW180" s="89" t="n">
        <v>137</v>
      </c>
      <c r="AX180" s="89" t="n">
        <v>135</v>
      </c>
      <c r="AY180" s="88"/>
      <c r="AZ180" s="87"/>
      <c r="BA180" s="88"/>
      <c r="BB180" s="88"/>
      <c r="BC180" s="88"/>
      <c r="BD180" s="88"/>
      <c r="BE180" s="87"/>
      <c r="BF180" s="88"/>
      <c r="BG180" s="88"/>
      <c r="BH180" s="88"/>
      <c r="BI180" s="88"/>
      <c r="BJ180" s="87"/>
      <c r="BK180" s="88"/>
      <c r="BL180" s="88"/>
      <c r="BM180" s="88"/>
      <c r="BN180" s="88"/>
      <c r="BO180" s="91"/>
      <c r="BP180" s="88"/>
      <c r="BQ180" s="88"/>
      <c r="BR180" s="88"/>
      <c r="BS180" s="88"/>
      <c r="BT180" s="87"/>
      <c r="BU180" s="88"/>
      <c r="BV180" s="88"/>
      <c r="BW180" s="88"/>
      <c r="BX180" s="88"/>
      <c r="BY180" s="87"/>
      <c r="BZ180" s="87"/>
      <c r="CA180" s="87"/>
      <c r="CB180" s="87"/>
      <c r="CC180" s="92"/>
    </row>
    <row r="181" s="45" customFormat="true" ht="15" hidden="true" customHeight="true" outlineLevel="2" collapsed="false">
      <c r="A181" s="305" t="s">
        <v>287</v>
      </c>
      <c r="B181" s="103"/>
      <c r="C181" s="104"/>
      <c r="D181" s="104"/>
      <c r="E181" s="104"/>
      <c r="F181" s="104"/>
      <c r="G181" s="104"/>
      <c r="H181" s="106" t="n">
        <v>3</v>
      </c>
      <c r="I181" s="106" t="n">
        <v>7</v>
      </c>
      <c r="J181" s="106" t="n">
        <v>10</v>
      </c>
      <c r="K181" s="106" t="n">
        <v>8</v>
      </c>
      <c r="L181" s="300" t="n">
        <f aca="false">SUM(H181,I181,J181,K181)</f>
        <v>28</v>
      </c>
      <c r="M181" s="106" t="n">
        <v>5</v>
      </c>
      <c r="N181" s="106" t="n">
        <v>5</v>
      </c>
      <c r="O181" s="106" t="n">
        <v>3</v>
      </c>
      <c r="P181" s="106" t="n">
        <v>5</v>
      </c>
      <c r="Q181" s="300" t="n">
        <f aca="false">SUM(M181,N181,O181,P181)</f>
        <v>18</v>
      </c>
      <c r="R181" s="106" t="n">
        <v>6</v>
      </c>
      <c r="S181" s="106" t="n">
        <v>3</v>
      </c>
      <c r="T181" s="106" t="n">
        <v>6</v>
      </c>
      <c r="U181" s="106" t="n">
        <v>5</v>
      </c>
      <c r="V181" s="300" t="n">
        <f aca="false">SUM(R181,S181,T181,U181)</f>
        <v>20</v>
      </c>
      <c r="W181" s="106" t="n">
        <v>3</v>
      </c>
      <c r="X181" s="106" t="n">
        <v>6</v>
      </c>
      <c r="Y181" s="106" t="n">
        <v>5</v>
      </c>
      <c r="Z181" s="106" t="n">
        <v>7</v>
      </c>
      <c r="AA181" s="300" t="n">
        <f aca="false">SUM(W181,X181,Y181,Z181)</f>
        <v>21</v>
      </c>
      <c r="AB181" s="106" t="n">
        <v>7</v>
      </c>
      <c r="AC181" s="106" t="n">
        <v>7</v>
      </c>
      <c r="AD181" s="106" t="n">
        <v>5</v>
      </c>
      <c r="AE181" s="106" t="n">
        <v>10</v>
      </c>
      <c r="AF181" s="300" t="n">
        <f aca="false">SUM(AB181,AC181,AD181,AE181)</f>
        <v>29</v>
      </c>
      <c r="AG181" s="106" t="n">
        <v>2</v>
      </c>
      <c r="AH181" s="106" t="n">
        <v>11</v>
      </c>
      <c r="AI181" s="106" t="n">
        <v>3</v>
      </c>
      <c r="AJ181" s="106" t="n">
        <v>3</v>
      </c>
      <c r="AK181" s="300" t="n">
        <f aca="false">SUM(AG181,AH181,AI181,AJ181)</f>
        <v>19</v>
      </c>
      <c r="AL181" s="106" t="n">
        <v>1</v>
      </c>
      <c r="AM181" s="106" t="n">
        <v>6</v>
      </c>
      <c r="AN181" s="106" t="n">
        <v>6</v>
      </c>
      <c r="AO181" s="106" t="n">
        <v>9</v>
      </c>
      <c r="AP181" s="300" t="n">
        <f aca="false">SUM(AL181,AM181,AN181,AO181)</f>
        <v>22</v>
      </c>
      <c r="AQ181" s="106" t="n">
        <v>10</v>
      </c>
      <c r="AR181" s="106" t="n">
        <v>11</v>
      </c>
      <c r="AS181" s="106" t="n">
        <v>10</v>
      </c>
      <c r="AT181" s="106" t="n">
        <v>9</v>
      </c>
      <c r="AU181" s="300" t="n">
        <f aca="false">SUM(AQ181,AR181,AS181,AT181)</f>
        <v>40</v>
      </c>
      <c r="AV181" s="106" t="n">
        <v>9</v>
      </c>
      <c r="AW181" s="106" t="n">
        <v>2</v>
      </c>
      <c r="AX181" s="106" t="n">
        <v>15</v>
      </c>
      <c r="AY181" s="117"/>
      <c r="AZ181" s="104"/>
      <c r="BA181" s="117"/>
      <c r="BB181" s="117"/>
      <c r="BC181" s="117"/>
      <c r="BD181" s="117"/>
      <c r="BE181" s="104"/>
      <c r="BF181" s="117"/>
      <c r="BG181" s="117"/>
      <c r="BH181" s="117"/>
      <c r="BI181" s="117"/>
      <c r="BJ181" s="104"/>
      <c r="BK181" s="117"/>
      <c r="BL181" s="117"/>
      <c r="BM181" s="117"/>
      <c r="BN181" s="117"/>
      <c r="BO181" s="301"/>
      <c r="BP181" s="117"/>
      <c r="BQ181" s="117"/>
      <c r="BR181" s="117"/>
      <c r="BS181" s="117"/>
      <c r="BT181" s="104"/>
      <c r="BU181" s="117"/>
      <c r="BV181" s="117"/>
      <c r="BW181" s="117"/>
      <c r="BX181" s="117"/>
      <c r="BY181" s="104"/>
      <c r="BZ181" s="104"/>
      <c r="CA181" s="104"/>
      <c r="CB181" s="104"/>
      <c r="CC181" s="92"/>
    </row>
    <row r="182" s="115" customFormat="true" ht="15" hidden="true" customHeight="true" outlineLevel="2" collapsed="false">
      <c r="A182" s="307" t="s">
        <v>288</v>
      </c>
      <c r="B182" s="119"/>
      <c r="C182" s="110" t="n">
        <v>98</v>
      </c>
      <c r="D182" s="110" t="n">
        <v>285</v>
      </c>
      <c r="E182" s="110" t="n">
        <v>134</v>
      </c>
      <c r="F182" s="110" t="n">
        <v>144</v>
      </c>
      <c r="G182" s="110" t="n">
        <v>166</v>
      </c>
      <c r="H182" s="309" t="n">
        <f aca="false">SUM(H180:H181)</f>
        <v>30</v>
      </c>
      <c r="I182" s="309" t="n">
        <f aca="false">SUM(I180:I181)</f>
        <v>29</v>
      </c>
      <c r="J182" s="309" t="n">
        <f aca="false">SUM(J180:J181)</f>
        <v>47</v>
      </c>
      <c r="K182" s="309" t="n">
        <f aca="false">SUM(K180:K181)</f>
        <v>51</v>
      </c>
      <c r="L182" s="308" t="n">
        <f aca="false">SUM(L180:L181)</f>
        <v>157</v>
      </c>
      <c r="M182" s="309" t="n">
        <f aca="false">SUM(M180:M181)</f>
        <v>40</v>
      </c>
      <c r="N182" s="309" t="n">
        <f aca="false">SUM(N180:N181)</f>
        <v>46</v>
      </c>
      <c r="O182" s="309" t="n">
        <f aca="false">SUM(O180:O181)</f>
        <v>35</v>
      </c>
      <c r="P182" s="309" t="n">
        <f aca="false">SUM(P180:P181)</f>
        <v>44</v>
      </c>
      <c r="Q182" s="308" t="n">
        <f aca="false">SUM(Q180:Q181)</f>
        <v>165</v>
      </c>
      <c r="R182" s="309" t="n">
        <f aca="false">SUM(R180:R181)</f>
        <v>30</v>
      </c>
      <c r="S182" s="309" t="n">
        <f aca="false">SUM(S180:S181)</f>
        <v>43</v>
      </c>
      <c r="T182" s="309" t="n">
        <f aca="false">SUM(T180:T181)</f>
        <v>43</v>
      </c>
      <c r="U182" s="309" t="n">
        <f aca="false">SUM(U180:U181)</f>
        <v>44</v>
      </c>
      <c r="V182" s="308" t="n">
        <f aca="false">SUM(V180:V181)</f>
        <v>160</v>
      </c>
      <c r="W182" s="309" t="n">
        <f aca="false">SUM(W180:W181)</f>
        <v>55</v>
      </c>
      <c r="X182" s="309" t="n">
        <f aca="false">SUM(X180:X181)</f>
        <v>55</v>
      </c>
      <c r="Y182" s="309" t="n">
        <f aca="false">SUM(Y180:Y181)</f>
        <v>70</v>
      </c>
      <c r="Z182" s="309" t="n">
        <f aca="false">SUM(Z180:Z181)</f>
        <v>75</v>
      </c>
      <c r="AA182" s="308" t="n">
        <f aca="false">SUM(AA180:AA181)</f>
        <v>255</v>
      </c>
      <c r="AB182" s="309" t="n">
        <f aca="false">SUM(AB180:AB181)</f>
        <v>62</v>
      </c>
      <c r="AC182" s="309" t="n">
        <f aca="false">SUM(AC180:AC181)</f>
        <v>59</v>
      </c>
      <c r="AD182" s="309" t="n">
        <f aca="false">SUM(AD180:AD181)</f>
        <v>67</v>
      </c>
      <c r="AE182" s="309" t="n">
        <f aca="false">SUM(AE180:AE181)</f>
        <v>53</v>
      </c>
      <c r="AF182" s="308" t="n">
        <f aca="false">SUM(AF180:AF181)</f>
        <v>241</v>
      </c>
      <c r="AG182" s="309" t="n">
        <f aca="false">SUM(AG180:AG181)</f>
        <v>34</v>
      </c>
      <c r="AH182" s="309" t="n">
        <f aca="false">SUM(AH180:AH181)</f>
        <v>61</v>
      </c>
      <c r="AI182" s="309" t="n">
        <f aca="false">SUM(AI180:AI181)</f>
        <v>81</v>
      </c>
      <c r="AJ182" s="309" t="n">
        <f aca="false">SUM(AJ180:AJ181)</f>
        <v>60</v>
      </c>
      <c r="AK182" s="308" t="n">
        <f aca="false">SUM(AK180:AK181)</f>
        <v>236</v>
      </c>
      <c r="AL182" s="309" t="n">
        <f aca="false">SUM(AL180:AL181)</f>
        <v>73</v>
      </c>
      <c r="AM182" s="309" t="n">
        <f aca="false">SUM(AM180:AM181)</f>
        <v>34</v>
      </c>
      <c r="AN182" s="309" t="n">
        <f aca="false">SUM(AN180:AN181)</f>
        <v>73</v>
      </c>
      <c r="AO182" s="309" t="n">
        <f aca="false">SUM(AO180:AO181)</f>
        <v>123</v>
      </c>
      <c r="AP182" s="308" t="n">
        <f aca="false">SUM(AP180:AP181)</f>
        <v>303</v>
      </c>
      <c r="AQ182" s="309" t="n">
        <f aca="false">SUM(AQ180:AQ181)</f>
        <v>120</v>
      </c>
      <c r="AR182" s="309" t="n">
        <f aca="false">SUM(AR180:AR181)</f>
        <v>167</v>
      </c>
      <c r="AS182" s="309" t="n">
        <f aca="false">SUM(AS180:AS181)</f>
        <v>178</v>
      </c>
      <c r="AT182" s="309" t="n">
        <f aca="false">SUM(AT180:AT181)</f>
        <v>191</v>
      </c>
      <c r="AU182" s="308" t="n">
        <f aca="false">SUM(AU180:AU181)</f>
        <v>656</v>
      </c>
      <c r="AV182" s="309" t="n">
        <f aca="false">SUM(AV180:AV181)</f>
        <v>163</v>
      </c>
      <c r="AW182" s="309" t="n">
        <f aca="false">SUM(AW180:AW181)</f>
        <v>139</v>
      </c>
      <c r="AX182" s="309" t="n">
        <f aca="false">SUM(AX180:AX181)</f>
        <v>150</v>
      </c>
      <c r="AY182" s="310" t="n">
        <v>101</v>
      </c>
      <c r="AZ182" s="110" t="n">
        <v>553</v>
      </c>
      <c r="BA182" s="121"/>
      <c r="BB182" s="121"/>
      <c r="BC182" s="121"/>
      <c r="BD182" s="121"/>
      <c r="BE182" s="120"/>
      <c r="BF182" s="121"/>
      <c r="BG182" s="121"/>
      <c r="BH182" s="121"/>
      <c r="BI182" s="121"/>
      <c r="BJ182" s="120"/>
      <c r="BK182" s="121"/>
      <c r="BL182" s="121"/>
      <c r="BM182" s="121"/>
      <c r="BN182" s="121"/>
      <c r="BO182" s="122"/>
      <c r="BP182" s="121"/>
      <c r="BQ182" s="121"/>
      <c r="BR182" s="121"/>
      <c r="BS182" s="121"/>
      <c r="BT182" s="120"/>
      <c r="BU182" s="121"/>
      <c r="BV182" s="121"/>
      <c r="BW182" s="121"/>
      <c r="BX182" s="121"/>
      <c r="BY182" s="120"/>
      <c r="BZ182" s="120"/>
      <c r="CA182" s="120"/>
      <c r="CB182" s="120"/>
      <c r="CC182" s="114"/>
    </row>
    <row r="183" s="139" customFormat="true" ht="15" hidden="true" customHeight="true" outlineLevel="2" collapsed="false">
      <c r="A183" s="240" t="s">
        <v>289</v>
      </c>
      <c r="B183" s="132"/>
      <c r="C183" s="133"/>
      <c r="D183" s="133"/>
      <c r="E183" s="133"/>
      <c r="F183" s="133"/>
      <c r="G183" s="133"/>
      <c r="H183" s="134"/>
      <c r="I183" s="134" t="n">
        <f aca="false">I182/H182-1</f>
        <v>-0.0333333333333333</v>
      </c>
      <c r="J183" s="134" t="n">
        <f aca="false">J182/I182-1</f>
        <v>0.620689655172414</v>
      </c>
      <c r="K183" s="134" t="n">
        <f aca="false">K182/J182-1</f>
        <v>0.0851063829787233</v>
      </c>
      <c r="L183" s="133"/>
      <c r="M183" s="134" t="n">
        <f aca="false">M182/K182-1</f>
        <v>-0.215686274509804</v>
      </c>
      <c r="N183" s="134" t="n">
        <f aca="false">N182/M182-1</f>
        <v>0.15</v>
      </c>
      <c r="O183" s="134" t="n">
        <f aca="false">O182/N182-1</f>
        <v>-0.239130434782609</v>
      </c>
      <c r="P183" s="134" t="n">
        <f aca="false">P182/O182-1</f>
        <v>0.257142857142857</v>
      </c>
      <c r="Q183" s="133"/>
      <c r="R183" s="134" t="n">
        <f aca="false">R182/P182-1</f>
        <v>-0.318181818181818</v>
      </c>
      <c r="S183" s="134" t="n">
        <f aca="false">S182/R182-1</f>
        <v>0.433333333333333</v>
      </c>
      <c r="T183" s="134" t="n">
        <f aca="false">T182/S182-1</f>
        <v>0</v>
      </c>
      <c r="U183" s="134" t="n">
        <f aca="false">U182/T182-1</f>
        <v>0.0232558139534884</v>
      </c>
      <c r="V183" s="133"/>
      <c r="W183" s="134" t="n">
        <f aca="false">W182/U182-1</f>
        <v>0.25</v>
      </c>
      <c r="X183" s="134" t="n">
        <f aca="false">X182/W182-1</f>
        <v>0</v>
      </c>
      <c r="Y183" s="134" t="n">
        <f aca="false">Y182/X182-1</f>
        <v>0.272727272727273</v>
      </c>
      <c r="Z183" s="134" t="n">
        <f aca="false">Z182/Y182-1</f>
        <v>0.0714285714285714</v>
      </c>
      <c r="AA183" s="133"/>
      <c r="AB183" s="134" t="n">
        <f aca="false">AB182/Z182-1</f>
        <v>-0.173333333333333</v>
      </c>
      <c r="AC183" s="134" t="n">
        <f aca="false">AC182/AB182-1</f>
        <v>-0.0483870967741935</v>
      </c>
      <c r="AD183" s="134" t="n">
        <f aca="false">AD182/AC182-1</f>
        <v>0.135593220338983</v>
      </c>
      <c r="AE183" s="134" t="n">
        <f aca="false">AE182/AD182-1</f>
        <v>-0.208955223880597</v>
      </c>
      <c r="AF183" s="133"/>
      <c r="AG183" s="134" t="n">
        <f aca="false">AG182/AE182-1</f>
        <v>-0.358490566037736</v>
      </c>
      <c r="AH183" s="134" t="n">
        <f aca="false">AH182/AG182-1</f>
        <v>0.794117647058824</v>
      </c>
      <c r="AI183" s="134" t="n">
        <f aca="false">AI182/AH182-1</f>
        <v>0.327868852459016</v>
      </c>
      <c r="AJ183" s="134" t="n">
        <f aca="false">AJ182/AI182-1</f>
        <v>-0.259259259259259</v>
      </c>
      <c r="AK183" s="133"/>
      <c r="AL183" s="134" t="n">
        <f aca="false">AL182/AJ182-1</f>
        <v>0.216666666666667</v>
      </c>
      <c r="AM183" s="134" t="n">
        <f aca="false">AM182/AL182-1</f>
        <v>-0.534246575342466</v>
      </c>
      <c r="AN183" s="134" t="n">
        <f aca="false">AN182/AM182-1</f>
        <v>1.14705882352941</v>
      </c>
      <c r="AO183" s="134" t="n">
        <f aca="false">AO182/AN182-1</f>
        <v>0.684931506849315</v>
      </c>
      <c r="AP183" s="133"/>
      <c r="AQ183" s="134" t="n">
        <f aca="false">AQ182/AO182-1</f>
        <v>-0.024390243902439</v>
      </c>
      <c r="AR183" s="134" t="n">
        <f aca="false">AR182/AQ182-1</f>
        <v>0.391666666666667</v>
      </c>
      <c r="AS183" s="134" t="n">
        <f aca="false">AS182/AR182-1</f>
        <v>0.0658682634730539</v>
      </c>
      <c r="AT183" s="134" t="n">
        <f aca="false">AT182/AS182-1</f>
        <v>0.0730337078651686</v>
      </c>
      <c r="AU183" s="133"/>
      <c r="AV183" s="134" t="n">
        <f aca="false">AV182/AT182-1</f>
        <v>-0.146596858638744</v>
      </c>
      <c r="AW183" s="134" t="n">
        <f aca="false">AW182/AV182-1</f>
        <v>-0.147239263803681</v>
      </c>
      <c r="AX183" s="134" t="n">
        <f aca="false">AX182/AW182-1</f>
        <v>0.079136690647482</v>
      </c>
      <c r="AY183" s="134" t="n">
        <f aca="false">AY182/AX182-1</f>
        <v>-0.326666666666667</v>
      </c>
      <c r="AZ183" s="133"/>
      <c r="BA183" s="134"/>
      <c r="BB183" s="134"/>
      <c r="BC183" s="134"/>
      <c r="BD183" s="134"/>
      <c r="BE183" s="133"/>
      <c r="BF183" s="134"/>
      <c r="BG183" s="134"/>
      <c r="BH183" s="134"/>
      <c r="BI183" s="134"/>
      <c r="BJ183" s="133"/>
      <c r="BK183" s="134"/>
      <c r="BL183" s="134"/>
      <c r="BM183" s="134"/>
      <c r="BN183" s="134"/>
      <c r="BO183" s="135"/>
      <c r="BP183" s="134"/>
      <c r="BQ183" s="134"/>
      <c r="BR183" s="134"/>
      <c r="BS183" s="134"/>
      <c r="BT183" s="133"/>
      <c r="BU183" s="134"/>
      <c r="BV183" s="134"/>
      <c r="BW183" s="134"/>
      <c r="BX183" s="134"/>
      <c r="BY183" s="133"/>
      <c r="BZ183" s="133"/>
      <c r="CA183" s="133"/>
      <c r="CB183" s="133"/>
      <c r="CC183" s="138"/>
    </row>
    <row r="184" s="139" customFormat="true" ht="15" hidden="true" customHeight="true" outlineLevel="2" collapsed="false">
      <c r="A184" s="334" t="s">
        <v>290</v>
      </c>
      <c r="B184" s="132"/>
      <c r="C184" s="133"/>
      <c r="D184" s="335" t="n">
        <f aca="false">D182/C182-1</f>
        <v>1.90816326530612</v>
      </c>
      <c r="E184" s="335" t="n">
        <f aca="false">E182/D182-1</f>
        <v>-0.529824561403509</v>
      </c>
      <c r="F184" s="335" t="n">
        <f aca="false">F182/E182-1</f>
        <v>0.0746268656716418</v>
      </c>
      <c r="G184" s="335" t="n">
        <f aca="false">G182/F182-1</f>
        <v>0.152777777777778</v>
      </c>
      <c r="H184" s="134"/>
      <c r="I184" s="134"/>
      <c r="J184" s="134"/>
      <c r="K184" s="134"/>
      <c r="L184" s="335" t="n">
        <f aca="false">L182/G182-1</f>
        <v>-0.0542168674698795</v>
      </c>
      <c r="M184" s="336" t="n">
        <f aca="false">M182/H182-1</f>
        <v>0.333333333333333</v>
      </c>
      <c r="N184" s="336" t="n">
        <f aca="false">N182/I182-1</f>
        <v>0.586206896551724</v>
      </c>
      <c r="O184" s="336" t="n">
        <f aca="false">O182/J182-1</f>
        <v>-0.25531914893617</v>
      </c>
      <c r="P184" s="336" t="n">
        <f aca="false">P182/K182-1</f>
        <v>-0.137254901960784</v>
      </c>
      <c r="Q184" s="335" t="n">
        <f aca="false">Q182/L182-1</f>
        <v>0.0509554140127388</v>
      </c>
      <c r="R184" s="336" t="n">
        <f aca="false">R182/M182-1</f>
        <v>-0.25</v>
      </c>
      <c r="S184" s="336" t="n">
        <f aca="false">S182/N182-1</f>
        <v>-0.0652173913043478</v>
      </c>
      <c r="T184" s="336" t="n">
        <f aca="false">T182/O182-1</f>
        <v>0.228571428571429</v>
      </c>
      <c r="U184" s="336" t="n">
        <f aca="false">U182/P182-1</f>
        <v>0</v>
      </c>
      <c r="V184" s="335" t="n">
        <f aca="false">V182/Q182-1</f>
        <v>-0.0303030303030303</v>
      </c>
      <c r="W184" s="336" t="n">
        <f aca="false">W182/R182-1</f>
        <v>0.833333333333333</v>
      </c>
      <c r="X184" s="336" t="n">
        <f aca="false">X182/S182-1</f>
        <v>0.279069767441861</v>
      </c>
      <c r="Y184" s="336" t="n">
        <f aca="false">Y182/T182-1</f>
        <v>0.627906976744186</v>
      </c>
      <c r="Z184" s="336" t="n">
        <f aca="false">Z182/U182-1</f>
        <v>0.704545454545455</v>
      </c>
      <c r="AA184" s="335" t="n">
        <f aca="false">AA182/V182-1</f>
        <v>0.59375</v>
      </c>
      <c r="AB184" s="134" t="n">
        <f aca="false">AB182/W182-1</f>
        <v>0.127272727272727</v>
      </c>
      <c r="AC184" s="134" t="n">
        <f aca="false">AC182/X182-1</f>
        <v>0.0727272727272728</v>
      </c>
      <c r="AD184" s="134" t="n">
        <f aca="false">AD182/Y182-1</f>
        <v>-0.0428571428571428</v>
      </c>
      <c r="AE184" s="134" t="n">
        <f aca="false">AE182/Z182-1</f>
        <v>-0.293333333333333</v>
      </c>
      <c r="AF184" s="133" t="n">
        <f aca="false">AF182/AA182-1</f>
        <v>-0.0549019607843138</v>
      </c>
      <c r="AG184" s="134" t="n">
        <f aca="false">AG182/AB182-1</f>
        <v>-0.451612903225807</v>
      </c>
      <c r="AH184" s="134" t="n">
        <f aca="false">AH182/AC182-1</f>
        <v>0.0338983050847457</v>
      </c>
      <c r="AI184" s="134" t="n">
        <f aca="false">AI182/AD182-1</f>
        <v>0.208955223880597</v>
      </c>
      <c r="AJ184" s="134" t="n">
        <f aca="false">AJ182/AE182-1</f>
        <v>0.132075471698113</v>
      </c>
      <c r="AK184" s="133" t="n">
        <f aca="false">AK182/AF182-1</f>
        <v>-0.020746887966805</v>
      </c>
      <c r="AL184" s="134" t="n">
        <f aca="false">AL182/AG182-1</f>
        <v>1.14705882352941</v>
      </c>
      <c r="AM184" s="134" t="n">
        <f aca="false">AM182/AH182-1</f>
        <v>-0.442622950819672</v>
      </c>
      <c r="AN184" s="134" t="n">
        <f aca="false">AN182/AI182-1</f>
        <v>-0.0987654320987654</v>
      </c>
      <c r="AO184" s="134" t="n">
        <f aca="false">AO182/AJ182-1</f>
        <v>1.05</v>
      </c>
      <c r="AP184" s="133" t="n">
        <f aca="false">AP182/AK182-1</f>
        <v>0.283898305084746</v>
      </c>
      <c r="AQ184" s="134" t="n">
        <f aca="false">AQ182/AL182-1</f>
        <v>0.643835616438356</v>
      </c>
      <c r="AR184" s="134" t="n">
        <f aca="false">AR182/AM182-1</f>
        <v>3.91176470588235</v>
      </c>
      <c r="AS184" s="134" t="n">
        <f aca="false">AS182/AN182-1</f>
        <v>1.43835616438356</v>
      </c>
      <c r="AT184" s="134" t="n">
        <f aca="false">AT182/AO182-1</f>
        <v>0.552845528455285</v>
      </c>
      <c r="AU184" s="133" t="n">
        <f aca="false">AU182/AP182-1</f>
        <v>1.16501650165017</v>
      </c>
      <c r="AV184" s="134" t="n">
        <f aca="false">AV182/AQ182-1</f>
        <v>0.358333333333333</v>
      </c>
      <c r="AW184" s="134" t="n">
        <f aca="false">AW182/AR182-1</f>
        <v>-0.167664670658683</v>
      </c>
      <c r="AX184" s="134" t="n">
        <f aca="false">AX182/AS182-1</f>
        <v>-0.157303370786517</v>
      </c>
      <c r="AY184" s="134" t="n">
        <f aca="false">AY182/AT182-1</f>
        <v>-0.471204188481675</v>
      </c>
      <c r="AZ184" s="133" t="n">
        <f aca="false">AZ182/AU182-1</f>
        <v>-0.157012195121951</v>
      </c>
      <c r="BA184" s="134"/>
      <c r="BB184" s="134"/>
      <c r="BC184" s="134"/>
      <c r="BD184" s="134"/>
      <c r="BE184" s="133"/>
      <c r="BF184" s="134"/>
      <c r="BG184" s="134"/>
      <c r="BH184" s="134"/>
      <c r="BI184" s="134"/>
      <c r="BJ184" s="133"/>
      <c r="BK184" s="134"/>
      <c r="BL184" s="134"/>
      <c r="BM184" s="134"/>
      <c r="BN184" s="134"/>
      <c r="BO184" s="135"/>
      <c r="BP184" s="134"/>
      <c r="BQ184" s="134"/>
      <c r="BR184" s="134"/>
      <c r="BS184" s="134"/>
      <c r="BT184" s="133"/>
      <c r="BU184" s="134"/>
      <c r="BV184" s="134"/>
      <c r="BW184" s="134"/>
      <c r="BX184" s="134"/>
      <c r="BY184" s="133"/>
      <c r="BZ184" s="133"/>
      <c r="CA184" s="133"/>
      <c r="CB184" s="133"/>
      <c r="CC184" s="138"/>
    </row>
    <row r="185" s="115" customFormat="true" ht="15" hidden="true" customHeight="true" outlineLevel="2" collapsed="false">
      <c r="A185" s="337" t="s">
        <v>291</v>
      </c>
      <c r="B185" s="109"/>
      <c r="C185" s="338" t="n">
        <f aca="false">C182</f>
        <v>98</v>
      </c>
      <c r="D185" s="338" t="n">
        <f aca="false">D182</f>
        <v>285</v>
      </c>
      <c r="E185" s="338" t="n">
        <f aca="false">E182</f>
        <v>134</v>
      </c>
      <c r="F185" s="338" t="n">
        <f aca="false">F182</f>
        <v>144</v>
      </c>
      <c r="G185" s="338" t="n">
        <f aca="false">G182</f>
        <v>166</v>
      </c>
      <c r="H185" s="112"/>
      <c r="I185" s="112"/>
      <c r="J185" s="112"/>
      <c r="K185" s="112"/>
      <c r="L185" s="338" t="n">
        <f aca="false">L182</f>
        <v>157</v>
      </c>
      <c r="M185" s="339" t="n">
        <f aca="false">SUM(M182,K182,J182,I182)</f>
        <v>167</v>
      </c>
      <c r="N185" s="339" t="n">
        <f aca="false">SUM(N182,M182,K182,J182)</f>
        <v>184</v>
      </c>
      <c r="O185" s="339" t="n">
        <f aca="false">SUM(O182,N182,M182,K182)</f>
        <v>172</v>
      </c>
      <c r="P185" s="339" t="n">
        <f aca="false">SUM(P182,O182,N182,M182)</f>
        <v>165</v>
      </c>
      <c r="Q185" s="338" t="n">
        <f aca="false">Q182</f>
        <v>165</v>
      </c>
      <c r="R185" s="339" t="n">
        <f aca="false">SUM(R182,P182,O182,N182)</f>
        <v>155</v>
      </c>
      <c r="S185" s="339" t="n">
        <f aca="false">SUM(S182,R182,P182,O182)</f>
        <v>152</v>
      </c>
      <c r="T185" s="339" t="n">
        <f aca="false">SUM(T182,S182,R182,P182)</f>
        <v>160</v>
      </c>
      <c r="U185" s="339" t="n">
        <f aca="false">SUM(U182,T182,S182,R182)</f>
        <v>160</v>
      </c>
      <c r="V185" s="338" t="n">
        <f aca="false">V182</f>
        <v>160</v>
      </c>
      <c r="W185" s="339" t="n">
        <f aca="false">SUM(W182,U182,T182,S182)</f>
        <v>185</v>
      </c>
      <c r="X185" s="339" t="n">
        <f aca="false">SUM(X182,W182,U182,T182)</f>
        <v>197</v>
      </c>
      <c r="Y185" s="339" t="n">
        <f aca="false">SUM(Y182,X182,W182,U182)</f>
        <v>224</v>
      </c>
      <c r="Z185" s="339" t="n">
        <f aca="false">SUM(Z182,Y182,X182,W182)</f>
        <v>255</v>
      </c>
      <c r="AA185" s="338" t="n">
        <f aca="false">AA182</f>
        <v>255</v>
      </c>
      <c r="AB185" s="112" t="n">
        <f aca="false">SUM(AB182,Z182,Y182,X182)</f>
        <v>262</v>
      </c>
      <c r="AC185" s="112" t="n">
        <f aca="false">SUM(AC182,AB182,Z182,Y182)</f>
        <v>266</v>
      </c>
      <c r="AD185" s="112" t="n">
        <f aca="false">SUM(AD182,AC182,AB182,Z182)</f>
        <v>263</v>
      </c>
      <c r="AE185" s="112" t="n">
        <f aca="false">SUM(AE182,AD182,AC182,AB182)</f>
        <v>241</v>
      </c>
      <c r="AF185" s="111" t="n">
        <f aca="false">AF182</f>
        <v>241</v>
      </c>
      <c r="AG185" s="112" t="n">
        <f aca="false">SUM(AG182,AE182,AD182,AC182)</f>
        <v>213</v>
      </c>
      <c r="AH185" s="112" t="n">
        <f aca="false">SUM(AH182,AG182,AE182,AD182)</f>
        <v>215</v>
      </c>
      <c r="AI185" s="112" t="n">
        <f aca="false">SUM(AI182,AH182,AG182,AE182)</f>
        <v>229</v>
      </c>
      <c r="AJ185" s="112" t="n">
        <f aca="false">SUM(AJ182,AI182,AH182,AG182)</f>
        <v>236</v>
      </c>
      <c r="AK185" s="111" t="n">
        <f aca="false">AK182</f>
        <v>236</v>
      </c>
      <c r="AL185" s="112" t="n">
        <f aca="false">SUM(AL182,AJ182,AI182,AH182)</f>
        <v>275</v>
      </c>
      <c r="AM185" s="112" t="n">
        <f aca="false">SUM(AM182,AL182,AJ182,AI182)</f>
        <v>248</v>
      </c>
      <c r="AN185" s="112" t="n">
        <f aca="false">SUM(AN182,AM182,AL182,AJ182)</f>
        <v>240</v>
      </c>
      <c r="AO185" s="112" t="n">
        <f aca="false">SUM(AO182,AN182,AM182,AL182)</f>
        <v>303</v>
      </c>
      <c r="AP185" s="111" t="n">
        <f aca="false">AP182</f>
        <v>303</v>
      </c>
      <c r="AQ185" s="112" t="n">
        <f aca="false">SUM(AQ182,AO182,AN182,AM182)</f>
        <v>350</v>
      </c>
      <c r="AR185" s="112" t="n">
        <f aca="false">SUM(AR182,AQ182,AO182,AN182)</f>
        <v>483</v>
      </c>
      <c r="AS185" s="112" t="n">
        <f aca="false">SUM(AS182,AR182,AQ182,AO182)</f>
        <v>588</v>
      </c>
      <c r="AT185" s="112" t="n">
        <f aca="false">SUM(AT182,AS182,AR182,AQ182)</f>
        <v>656</v>
      </c>
      <c r="AU185" s="111" t="n">
        <f aca="false">AU182</f>
        <v>656</v>
      </c>
      <c r="AV185" s="112" t="n">
        <f aca="false">SUM(AV182,AT182,AS182,AR182)</f>
        <v>699</v>
      </c>
      <c r="AW185" s="112" t="n">
        <f aca="false">SUM(AW182,AV182,AT182,AS182)</f>
        <v>671</v>
      </c>
      <c r="AX185" s="112" t="n">
        <f aca="false">SUM(AX182,AW182,AV182,AT182)</f>
        <v>643</v>
      </c>
      <c r="AY185" s="112" t="n">
        <f aca="false">SUM(AY182,AX182,AW182,AV182)</f>
        <v>553</v>
      </c>
      <c r="AZ185" s="111" t="n">
        <f aca="false">AZ182</f>
        <v>553</v>
      </c>
      <c r="BA185" s="112"/>
      <c r="BB185" s="112"/>
      <c r="BC185" s="112"/>
      <c r="BD185" s="112"/>
      <c r="BE185" s="111"/>
      <c r="BF185" s="112"/>
      <c r="BG185" s="112"/>
      <c r="BH185" s="112"/>
      <c r="BI185" s="112"/>
      <c r="BJ185" s="111"/>
      <c r="BK185" s="112"/>
      <c r="BL185" s="112"/>
      <c r="BM185" s="112"/>
      <c r="BN185" s="112"/>
      <c r="BO185" s="113"/>
      <c r="BP185" s="112"/>
      <c r="BQ185" s="112"/>
      <c r="BR185" s="112"/>
      <c r="BS185" s="112"/>
      <c r="BT185" s="111"/>
      <c r="BU185" s="112"/>
      <c r="BV185" s="112"/>
      <c r="BW185" s="112"/>
      <c r="BX185" s="112"/>
      <c r="BY185" s="111"/>
      <c r="BZ185" s="111"/>
      <c r="CA185" s="111"/>
      <c r="CB185" s="111"/>
      <c r="CC185" s="114"/>
    </row>
    <row r="186" s="115" customFormat="true" ht="15" hidden="true" customHeight="true" outlineLevel="2" collapsed="false">
      <c r="A186" s="123"/>
      <c r="B186" s="109"/>
      <c r="C186" s="111"/>
      <c r="D186" s="111"/>
      <c r="E186" s="111"/>
      <c r="F186" s="111"/>
      <c r="G186" s="111"/>
      <c r="H186" s="112"/>
      <c r="I186" s="112"/>
      <c r="J186" s="112"/>
      <c r="K186" s="112"/>
      <c r="L186" s="111"/>
      <c r="M186" s="112"/>
      <c r="N186" s="112"/>
      <c r="O186" s="112"/>
      <c r="P186" s="112"/>
      <c r="Q186" s="111"/>
      <c r="R186" s="112"/>
      <c r="S186" s="112"/>
      <c r="T186" s="112"/>
      <c r="U186" s="112"/>
      <c r="V186" s="111"/>
      <c r="W186" s="112"/>
      <c r="X186" s="112"/>
      <c r="Y186" s="112"/>
      <c r="Z186" s="112"/>
      <c r="AA186" s="111"/>
      <c r="AB186" s="112"/>
      <c r="AC186" s="112"/>
      <c r="AD186" s="112"/>
      <c r="AE186" s="112"/>
      <c r="AF186" s="111"/>
      <c r="AG186" s="112"/>
      <c r="AH186" s="112"/>
      <c r="AI186" s="112"/>
      <c r="AJ186" s="112"/>
      <c r="AK186" s="111"/>
      <c r="AL186" s="112"/>
      <c r="AM186" s="112"/>
      <c r="AN186" s="112"/>
      <c r="AO186" s="112"/>
      <c r="AP186" s="111"/>
      <c r="AQ186" s="112"/>
      <c r="AR186" s="112"/>
      <c r="AS186" s="112"/>
      <c r="AT186" s="112"/>
      <c r="AU186" s="111"/>
      <c r="AV186" s="112"/>
      <c r="AW186" s="112"/>
      <c r="AX186" s="112"/>
      <c r="AY186" s="112"/>
      <c r="AZ186" s="111"/>
      <c r="BA186" s="112"/>
      <c r="BB186" s="112"/>
      <c r="BC186" s="112"/>
      <c r="BD186" s="112"/>
      <c r="BE186" s="111"/>
      <c r="BF186" s="112"/>
      <c r="BG186" s="112"/>
      <c r="BH186" s="112"/>
      <c r="BI186" s="112"/>
      <c r="BJ186" s="111"/>
      <c r="BK186" s="112"/>
      <c r="BL186" s="112"/>
      <c r="BM186" s="112"/>
      <c r="BN186" s="112"/>
      <c r="BO186" s="113"/>
      <c r="BP186" s="112"/>
      <c r="BQ186" s="112"/>
      <c r="BR186" s="112"/>
      <c r="BS186" s="112"/>
      <c r="BT186" s="111"/>
      <c r="BU186" s="112"/>
      <c r="BV186" s="112"/>
      <c r="BW186" s="112"/>
      <c r="BX186" s="112"/>
      <c r="BY186" s="111"/>
      <c r="BZ186" s="111"/>
      <c r="CA186" s="111"/>
      <c r="CB186" s="111"/>
      <c r="CC186" s="114"/>
    </row>
    <row r="187" s="45" customFormat="true" ht="15" hidden="true" customHeight="true" outlineLevel="3" collapsed="false">
      <c r="A187" s="242" t="s">
        <v>292</v>
      </c>
      <c r="B187" s="86"/>
      <c r="C187" s="87"/>
      <c r="D187" s="87"/>
      <c r="E187" s="87"/>
      <c r="F187" s="87"/>
      <c r="G187" s="87"/>
      <c r="H187" s="89" t="n">
        <v>1055</v>
      </c>
      <c r="I187" s="89" t="n">
        <v>990</v>
      </c>
      <c r="J187" s="89" t="n">
        <v>1346</v>
      </c>
      <c r="K187" s="89" t="n">
        <v>1357</v>
      </c>
      <c r="L187" s="296" t="n">
        <f aca="false">SUM(H187,I187,J187,K187)</f>
        <v>4748</v>
      </c>
      <c r="M187" s="89" t="n">
        <v>998</v>
      </c>
      <c r="N187" s="89" t="n">
        <v>1494</v>
      </c>
      <c r="O187" s="89" t="n">
        <v>899</v>
      </c>
      <c r="P187" s="89" t="n">
        <v>1174</v>
      </c>
      <c r="Q187" s="296" t="n">
        <f aca="false">SUM(M187,N187,O187,P187)</f>
        <v>4565</v>
      </c>
      <c r="R187" s="89" t="n">
        <v>802</v>
      </c>
      <c r="S187" s="89" t="n">
        <v>1555</v>
      </c>
      <c r="T187" s="89" t="n">
        <v>1396</v>
      </c>
      <c r="U187" s="89" t="n">
        <v>1549</v>
      </c>
      <c r="V187" s="296" t="n">
        <f aca="false">SUM(R187,S187,T187,U187)</f>
        <v>5302</v>
      </c>
      <c r="W187" s="88"/>
      <c r="X187" s="88"/>
      <c r="Y187" s="88"/>
      <c r="Z187" s="88"/>
      <c r="AA187" s="87"/>
      <c r="AB187" s="88"/>
      <c r="AC187" s="88"/>
      <c r="AD187" s="88"/>
      <c r="AE187" s="88"/>
      <c r="AF187" s="87"/>
      <c r="AG187" s="88"/>
      <c r="AH187" s="88"/>
      <c r="AI187" s="88"/>
      <c r="AJ187" s="88"/>
      <c r="AK187" s="87"/>
      <c r="AL187" s="88"/>
      <c r="AM187" s="88"/>
      <c r="AN187" s="88"/>
      <c r="AO187" s="88"/>
      <c r="AP187" s="87"/>
      <c r="AQ187" s="88"/>
      <c r="AR187" s="88"/>
      <c r="AS187" s="88"/>
      <c r="AT187" s="88"/>
      <c r="AU187" s="87"/>
      <c r="AV187" s="88"/>
      <c r="AW187" s="88"/>
      <c r="AX187" s="88"/>
      <c r="AY187" s="88"/>
      <c r="AZ187" s="87"/>
      <c r="BA187" s="88"/>
      <c r="BB187" s="88"/>
      <c r="BC187" s="88"/>
      <c r="BD187" s="88"/>
      <c r="BE187" s="87"/>
      <c r="BF187" s="88"/>
      <c r="BG187" s="88"/>
      <c r="BH187" s="88"/>
      <c r="BI187" s="88"/>
      <c r="BJ187" s="87"/>
      <c r="BK187" s="88"/>
      <c r="BL187" s="88"/>
      <c r="BM187" s="88"/>
      <c r="BN187" s="88"/>
      <c r="BO187" s="91"/>
      <c r="BP187" s="88"/>
      <c r="BQ187" s="88"/>
      <c r="BR187" s="88"/>
      <c r="BS187" s="88"/>
      <c r="BT187" s="87"/>
      <c r="BU187" s="88"/>
      <c r="BV187" s="88"/>
      <c r="BW187" s="88"/>
      <c r="BX187" s="88"/>
      <c r="BY187" s="87"/>
      <c r="BZ187" s="87"/>
      <c r="CA187" s="87"/>
      <c r="CB187" s="87"/>
      <c r="CC187" s="92"/>
    </row>
    <row r="188" s="45" customFormat="true" ht="15" hidden="true" customHeight="true" outlineLevel="3" collapsed="false">
      <c r="A188" s="305" t="s">
        <v>293</v>
      </c>
      <c r="B188" s="103"/>
      <c r="C188" s="104"/>
      <c r="D188" s="104"/>
      <c r="E188" s="104"/>
      <c r="F188" s="104"/>
      <c r="G188" s="104"/>
      <c r="H188" s="106" t="n">
        <v>15</v>
      </c>
      <c r="I188" s="106" t="n">
        <v>58</v>
      </c>
      <c r="J188" s="106" t="n">
        <v>51</v>
      </c>
      <c r="K188" s="106" t="n">
        <v>30</v>
      </c>
      <c r="L188" s="300" t="n">
        <f aca="false">SUM(H188,I188,J188,K188)</f>
        <v>154</v>
      </c>
      <c r="M188" s="106" t="n">
        <v>30</v>
      </c>
      <c r="N188" s="106" t="n">
        <v>29</v>
      </c>
      <c r="O188" s="106" t="n">
        <v>5</v>
      </c>
      <c r="P188" s="106" t="n">
        <v>10</v>
      </c>
      <c r="Q188" s="300" t="n">
        <f aca="false">SUM(M188,N188,O188,P188)</f>
        <v>74</v>
      </c>
      <c r="R188" s="106" t="n">
        <v>33</v>
      </c>
      <c r="S188" s="106" t="n">
        <v>11</v>
      </c>
      <c r="T188" s="106" t="n">
        <v>19</v>
      </c>
      <c r="U188" s="106" t="n">
        <v>31</v>
      </c>
      <c r="V188" s="300" t="n">
        <f aca="false">SUM(R188,S188,T188,U188)</f>
        <v>94</v>
      </c>
      <c r="W188" s="117"/>
      <c r="X188" s="117"/>
      <c r="Y188" s="117"/>
      <c r="Z188" s="117"/>
      <c r="AA188" s="104"/>
      <c r="AB188" s="117"/>
      <c r="AC188" s="117"/>
      <c r="AD188" s="117"/>
      <c r="AE188" s="117"/>
      <c r="AF188" s="104"/>
      <c r="AG188" s="117"/>
      <c r="AH188" s="117"/>
      <c r="AI188" s="117"/>
      <c r="AJ188" s="117"/>
      <c r="AK188" s="104"/>
      <c r="AL188" s="117"/>
      <c r="AM188" s="117"/>
      <c r="AN188" s="117"/>
      <c r="AO188" s="117"/>
      <c r="AP188" s="104"/>
      <c r="AQ188" s="117"/>
      <c r="AR188" s="117"/>
      <c r="AS188" s="117"/>
      <c r="AT188" s="117"/>
      <c r="AU188" s="104"/>
      <c r="AV188" s="117"/>
      <c r="AW188" s="117"/>
      <c r="AX188" s="117"/>
      <c r="AY188" s="117"/>
      <c r="AZ188" s="104"/>
      <c r="BA188" s="117"/>
      <c r="BB188" s="117"/>
      <c r="BC188" s="117"/>
      <c r="BD188" s="117"/>
      <c r="BE188" s="104"/>
      <c r="BF188" s="117"/>
      <c r="BG188" s="117"/>
      <c r="BH188" s="117"/>
      <c r="BI188" s="117"/>
      <c r="BJ188" s="104"/>
      <c r="BK188" s="117"/>
      <c r="BL188" s="117"/>
      <c r="BM188" s="117"/>
      <c r="BN188" s="117"/>
      <c r="BO188" s="301"/>
      <c r="BP188" s="117"/>
      <c r="BQ188" s="117"/>
      <c r="BR188" s="117"/>
      <c r="BS188" s="117"/>
      <c r="BT188" s="104"/>
      <c r="BU188" s="117"/>
      <c r="BV188" s="117"/>
      <c r="BW188" s="117"/>
      <c r="BX188" s="117"/>
      <c r="BY188" s="104"/>
      <c r="BZ188" s="104"/>
      <c r="CA188" s="104"/>
      <c r="CB188" s="104"/>
      <c r="CC188" s="92"/>
    </row>
    <row r="189" s="115" customFormat="true" ht="15" hidden="true" customHeight="true" outlineLevel="2" collapsed="true">
      <c r="A189" s="337" t="s">
        <v>294</v>
      </c>
      <c r="B189" s="109"/>
      <c r="C189" s="340" t="n">
        <v>2535.4</v>
      </c>
      <c r="D189" s="340" t="n">
        <v>6212.7</v>
      </c>
      <c r="E189" s="340" t="n">
        <v>2909.3</v>
      </c>
      <c r="F189" s="340" t="n">
        <v>3312.3</v>
      </c>
      <c r="G189" s="340" t="n">
        <v>4644</v>
      </c>
      <c r="H189" s="339" t="n">
        <f aca="false">SUM(H187:H188)</f>
        <v>1070</v>
      </c>
      <c r="I189" s="339" t="n">
        <f aca="false">SUM(I187:I188)</f>
        <v>1048</v>
      </c>
      <c r="J189" s="339" t="n">
        <f aca="false">SUM(J187:J188)</f>
        <v>1397</v>
      </c>
      <c r="K189" s="339" t="n">
        <f aca="false">SUM(K187:K188)</f>
        <v>1387</v>
      </c>
      <c r="L189" s="340" t="n">
        <v>4902</v>
      </c>
      <c r="M189" s="339" t="n">
        <f aca="false">SUM(M187:M188)</f>
        <v>1028</v>
      </c>
      <c r="N189" s="339" t="n">
        <f aca="false">SUM(N187:N188)</f>
        <v>1523</v>
      </c>
      <c r="O189" s="339" t="n">
        <f aca="false">SUM(O187:O188)</f>
        <v>904</v>
      </c>
      <c r="P189" s="339" t="n">
        <f aca="false">SUM(P187:P188)</f>
        <v>1184</v>
      </c>
      <c r="Q189" s="340" t="n">
        <v>4639</v>
      </c>
      <c r="R189" s="339" t="n">
        <f aca="false">SUM(R187:R188)</f>
        <v>835</v>
      </c>
      <c r="S189" s="339" t="n">
        <f aca="false">SUM(S187:S188)</f>
        <v>1566</v>
      </c>
      <c r="T189" s="339" t="n">
        <f aca="false">SUM(T187:T188)</f>
        <v>1415</v>
      </c>
      <c r="U189" s="339" t="n">
        <f aca="false">SUM(U187:U188)</f>
        <v>1580</v>
      </c>
      <c r="V189" s="340" t="n">
        <v>5396</v>
      </c>
      <c r="W189" s="341" t="n">
        <v>1894</v>
      </c>
      <c r="X189" s="341" t="n">
        <v>2375</v>
      </c>
      <c r="Y189" s="341" t="n">
        <v>2154</v>
      </c>
      <c r="Z189" s="341" t="n">
        <v>2935</v>
      </c>
      <c r="AA189" s="340" t="n">
        <v>9358</v>
      </c>
      <c r="AB189" s="341" t="n">
        <v>2442</v>
      </c>
      <c r="AC189" s="341" t="n">
        <v>1952</v>
      </c>
      <c r="AD189" s="341" t="n">
        <v>2200</v>
      </c>
      <c r="AE189" s="341" t="n">
        <v>1587</v>
      </c>
      <c r="AF189" s="340" t="n">
        <v>8181</v>
      </c>
      <c r="AG189" s="341" t="n">
        <v>1399</v>
      </c>
      <c r="AH189" s="341" t="n">
        <v>2828</v>
      </c>
      <c r="AI189" s="341" t="n">
        <v>5111</v>
      </c>
      <c r="AJ189" s="341" t="n">
        <v>2402</v>
      </c>
      <c r="AK189" s="340" t="n">
        <v>11741</v>
      </c>
      <c r="AL189" s="341" t="n">
        <v>3085</v>
      </c>
      <c r="AM189" s="341" t="n">
        <v>1101</v>
      </c>
      <c r="AN189" s="341" t="n">
        <v>2868</v>
      </c>
      <c r="AO189" s="341" t="n">
        <v>4238</v>
      </c>
      <c r="AP189" s="340" t="n">
        <v>11292</v>
      </c>
      <c r="AQ189" s="341" t="n">
        <v>4740</v>
      </c>
      <c r="AR189" s="341" t="n">
        <v>8271</v>
      </c>
      <c r="AS189" s="341" t="n">
        <v>6179</v>
      </c>
      <c r="AT189" s="341" t="n">
        <v>7050</v>
      </c>
      <c r="AU189" s="338" t="n">
        <f aca="false">SUM(AQ189,AR189,AS189,AT189)</f>
        <v>26240</v>
      </c>
      <c r="AV189" s="341" t="n">
        <v>6977</v>
      </c>
      <c r="AW189" s="341" t="n">
        <v>8461</v>
      </c>
      <c r="AX189" s="341" t="n">
        <v>8920</v>
      </c>
      <c r="AY189" s="341" t="n">
        <v>6316</v>
      </c>
      <c r="AZ189" s="338" t="n">
        <f aca="false">SUM(AV189,AW189,AX189,AY189)</f>
        <v>30674</v>
      </c>
      <c r="BA189" s="341" t="n">
        <v>3752</v>
      </c>
      <c r="BB189" s="341" t="n">
        <v>4500</v>
      </c>
      <c r="BC189" s="341" t="n">
        <v>2602</v>
      </c>
      <c r="BD189" s="341" t="n">
        <v>9186</v>
      </c>
      <c r="BE189" s="338" t="n">
        <f aca="false">SUM(BA189,BB189,BC189,BD189)</f>
        <v>20040</v>
      </c>
      <c r="BF189" s="341" t="n">
        <v>3611</v>
      </c>
      <c r="BG189" s="341" t="n">
        <v>5567</v>
      </c>
      <c r="BH189" s="341" t="n">
        <v>2633</v>
      </c>
      <c r="BI189" s="341" t="n">
        <v>7088</v>
      </c>
      <c r="BJ189" s="338" t="n">
        <f aca="false">SUM(BF189,BG189,BH189,BI189)</f>
        <v>18899</v>
      </c>
      <c r="BK189" s="341" t="n">
        <v>3936</v>
      </c>
      <c r="BL189" s="341" t="n">
        <v>5541</v>
      </c>
      <c r="BM189" s="341" t="n">
        <v>5399</v>
      </c>
      <c r="BN189" s="341" t="n">
        <v>13158</v>
      </c>
      <c r="BO189" s="342" t="n">
        <v>28035</v>
      </c>
      <c r="BP189" s="112"/>
      <c r="BQ189" s="112"/>
      <c r="BR189" s="112"/>
      <c r="BS189" s="112"/>
      <c r="BT189" s="111"/>
      <c r="BU189" s="112"/>
      <c r="BV189" s="112"/>
      <c r="BW189" s="112"/>
      <c r="BX189" s="112"/>
      <c r="BY189" s="111"/>
      <c r="BZ189" s="111"/>
      <c r="CA189" s="111"/>
      <c r="CB189" s="111"/>
      <c r="CC189" s="114"/>
    </row>
    <row r="190" s="139" customFormat="true" ht="15" hidden="true" customHeight="true" outlineLevel="2" collapsed="false">
      <c r="A190" s="131" t="s">
        <v>295</v>
      </c>
      <c r="B190" s="132"/>
      <c r="C190" s="133"/>
      <c r="D190" s="133" t="n">
        <f aca="false">+D189/C189-1</f>
        <v>1.45038258262996</v>
      </c>
      <c r="E190" s="133" t="n">
        <f aca="false">+E189/D189-1</f>
        <v>-0.531717288779436</v>
      </c>
      <c r="F190" s="133" t="n">
        <f aca="false">+F189/E189-1</f>
        <v>0.13852129378201</v>
      </c>
      <c r="G190" s="133" t="n">
        <f aca="false">+G189/F189-1</f>
        <v>0.402046916040214</v>
      </c>
      <c r="H190" s="134"/>
      <c r="I190" s="134"/>
      <c r="J190" s="134"/>
      <c r="K190" s="134"/>
      <c r="L190" s="133" t="n">
        <f aca="false">+L189/G189-1</f>
        <v>0.0555555555555556</v>
      </c>
      <c r="M190" s="134" t="n">
        <f aca="false">+M189/H189-1</f>
        <v>-0.0392523364485982</v>
      </c>
      <c r="N190" s="134" t="n">
        <f aca="false">+N189/I189-1</f>
        <v>0.45324427480916</v>
      </c>
      <c r="O190" s="134" t="n">
        <f aca="false">+O189/J189-1</f>
        <v>-0.352899069434503</v>
      </c>
      <c r="P190" s="134" t="n">
        <f aca="false">+P189/K189-1</f>
        <v>-0.146359048305696</v>
      </c>
      <c r="Q190" s="133" t="n">
        <f aca="false">+Q189/L189-1</f>
        <v>-0.0536515707874337</v>
      </c>
      <c r="R190" s="134" t="n">
        <f aca="false">+R189/M189-1</f>
        <v>-0.187743190661479</v>
      </c>
      <c r="S190" s="134" t="n">
        <f aca="false">+S189/N189-1</f>
        <v>0.0282337491792515</v>
      </c>
      <c r="T190" s="134" t="n">
        <f aca="false">+T189/O189-1</f>
        <v>0.565265486725664</v>
      </c>
      <c r="U190" s="134" t="n">
        <f aca="false">+U189/P189-1</f>
        <v>0.334459459459459</v>
      </c>
      <c r="V190" s="133" t="n">
        <f aca="false">+V189/Q189-1</f>
        <v>0.163181720198319</v>
      </c>
      <c r="W190" s="134" t="n">
        <f aca="false">+W189/R189-1</f>
        <v>1.26826347305389</v>
      </c>
      <c r="X190" s="134" t="n">
        <f aca="false">+X189/S189-1</f>
        <v>0.516602809706258</v>
      </c>
      <c r="Y190" s="134" t="n">
        <f aca="false">+Y189/T189-1</f>
        <v>0.52226148409894</v>
      </c>
      <c r="Z190" s="134" t="n">
        <f aca="false">+Z189/U189-1</f>
        <v>0.857594936708861</v>
      </c>
      <c r="AA190" s="133" t="n">
        <f aca="false">+AA189/V189-1</f>
        <v>0.734247590808006</v>
      </c>
      <c r="AB190" s="134" t="n">
        <f aca="false">+AB189/W189-1</f>
        <v>0.289334741288279</v>
      </c>
      <c r="AC190" s="134" t="n">
        <f aca="false">+AC189/X189-1</f>
        <v>-0.178105263157895</v>
      </c>
      <c r="AD190" s="134" t="n">
        <f aca="false">+AD189/Y189-1</f>
        <v>0.021355617455896</v>
      </c>
      <c r="AE190" s="134" t="n">
        <f aca="false">+AE189/Z189-1</f>
        <v>-0.459284497444634</v>
      </c>
      <c r="AF190" s="133" t="n">
        <f aca="false">+AF189/AA189-1</f>
        <v>-0.125774738191921</v>
      </c>
      <c r="AG190" s="134" t="n">
        <f aca="false">+AG189/AB189-1</f>
        <v>-0.427108927108927</v>
      </c>
      <c r="AH190" s="134" t="n">
        <f aca="false">+AH189/AC189-1</f>
        <v>0.448770491803279</v>
      </c>
      <c r="AI190" s="134" t="n">
        <f aca="false">+AI189/AD189-1</f>
        <v>1.32318181818182</v>
      </c>
      <c r="AJ190" s="134" t="n">
        <f aca="false">+AJ189/AE189-1</f>
        <v>0.513547574039067</v>
      </c>
      <c r="AK190" s="133" t="n">
        <f aca="false">+AK189/AF189-1</f>
        <v>0.435154626573768</v>
      </c>
      <c r="AL190" s="134" t="n">
        <f aca="false">+AL189/AG189-1</f>
        <v>1.20514653323803</v>
      </c>
      <c r="AM190" s="134" t="n">
        <f aca="false">+AM189/AH189-1</f>
        <v>-0.610678925035361</v>
      </c>
      <c r="AN190" s="134" t="n">
        <f aca="false">+AN189/AI189-1</f>
        <v>-0.438857366464488</v>
      </c>
      <c r="AO190" s="134" t="n">
        <f aca="false">+AO189/AJ189-1</f>
        <v>0.76436303080766</v>
      </c>
      <c r="AP190" s="133" t="n">
        <f aca="false">+AP189/AK189-1</f>
        <v>-0.0382420577463589</v>
      </c>
      <c r="AQ190" s="134" t="n">
        <f aca="false">+AQ189/AL189-1</f>
        <v>0.53646677471637</v>
      </c>
      <c r="AR190" s="134" t="n">
        <f aca="false">+AR189/AM189-1</f>
        <v>6.51226158038147</v>
      </c>
      <c r="AS190" s="134" t="n">
        <f aca="false">+AS189/AN189-1</f>
        <v>1.1544630404463</v>
      </c>
      <c r="AT190" s="134" t="n">
        <f aca="false">+AT189/AO189-1</f>
        <v>0.663520528551203</v>
      </c>
      <c r="AU190" s="133" t="n">
        <f aca="false">+AU189/AP189-1</f>
        <v>1.32376904002834</v>
      </c>
      <c r="AV190" s="134" t="n">
        <f aca="false">+AV189/AQ189-1</f>
        <v>0.471940928270042</v>
      </c>
      <c r="AW190" s="134" t="n">
        <f aca="false">+AW189/AR189-1</f>
        <v>0.0229718292830372</v>
      </c>
      <c r="AX190" s="134" t="n">
        <f aca="false">+AX189/AS189-1</f>
        <v>0.443599287910665</v>
      </c>
      <c r="AY190" s="134" t="n">
        <f aca="false">+AY189/AT189-1</f>
        <v>-0.104113475177305</v>
      </c>
      <c r="AZ190" s="133" t="n">
        <f aca="false">+AZ189/AU189-1</f>
        <v>0.168978658536585</v>
      </c>
      <c r="BA190" s="134" t="n">
        <f aca="false">+BA189/AV189-1</f>
        <v>-0.46223305145478</v>
      </c>
      <c r="BB190" s="134" t="n">
        <f aca="false">+BB189/AW189-1</f>
        <v>-0.468147973052831</v>
      </c>
      <c r="BC190" s="134" t="n">
        <f aca="false">+BC189/AX189-1</f>
        <v>-0.708295964125561</v>
      </c>
      <c r="BD190" s="134" t="n">
        <f aca="false">+BD189/AY189-1</f>
        <v>0.454401519949335</v>
      </c>
      <c r="BE190" s="133" t="n">
        <f aca="false">+BE189/AZ189-1</f>
        <v>-0.346677968311925</v>
      </c>
      <c r="BF190" s="134" t="n">
        <f aca="false">+BF189/BA189-1</f>
        <v>-0.0375799573560768</v>
      </c>
      <c r="BG190" s="134" t="n">
        <f aca="false">+BG189/BB189-1</f>
        <v>0.237111111111111</v>
      </c>
      <c r="BH190" s="134" t="n">
        <f aca="false">+BH189/BC189-1</f>
        <v>0.011913912375096</v>
      </c>
      <c r="BI190" s="134" t="n">
        <f aca="false">+BI189/BD189-1</f>
        <v>-0.228391029827999</v>
      </c>
      <c r="BJ190" s="133" t="n">
        <f aca="false">+BJ189/BE189-1</f>
        <v>-0.056936127744511</v>
      </c>
      <c r="BK190" s="134" t="n">
        <f aca="false">+BK189/BF189-1</f>
        <v>0.0900027693159791</v>
      </c>
      <c r="BL190" s="134" t="n">
        <f aca="false">+BL189/BG189-1</f>
        <v>-0.00467037901922041</v>
      </c>
      <c r="BM190" s="134" t="n">
        <f aca="false">+BM189/BH189-1</f>
        <v>1.05051272312951</v>
      </c>
      <c r="BN190" s="134" t="n">
        <f aca="false">+BN189/BI189-1</f>
        <v>0.8563769751693</v>
      </c>
      <c r="BO190" s="135" t="n">
        <f aca="false">+BO189/BJ189-1</f>
        <v>0.483411820731256</v>
      </c>
      <c r="BP190" s="134"/>
      <c r="BQ190" s="134"/>
      <c r="BR190" s="134"/>
      <c r="BS190" s="134"/>
      <c r="BT190" s="133"/>
      <c r="BU190" s="134"/>
      <c r="BV190" s="134"/>
      <c r="BW190" s="134"/>
      <c r="BX190" s="134"/>
      <c r="BY190" s="133"/>
      <c r="BZ190" s="133"/>
      <c r="CA190" s="133"/>
      <c r="CB190" s="133"/>
      <c r="CC190" s="138"/>
    </row>
    <row r="191" s="237" customFormat="true" ht="15" hidden="true" customHeight="true" outlineLevel="2" collapsed="false">
      <c r="A191" s="343" t="s">
        <v>296</v>
      </c>
      <c r="B191" s="232"/>
      <c r="C191" s="233" t="n">
        <f aca="false">+C41/C189</f>
        <v>0.629511319712866</v>
      </c>
      <c r="D191" s="233" t="n">
        <f aca="false">+D41/D189</f>
        <v>0.725600463566565</v>
      </c>
      <c r="E191" s="233" t="n">
        <f aca="false">+E41/E189</f>
        <v>1.94240367098615</v>
      </c>
      <c r="F191" s="233" t="n">
        <f aca="false">+F41/F189</f>
        <v>1.42848021012589</v>
      </c>
      <c r="G191" s="233" t="n">
        <f aca="false">+G41/G189</f>
        <v>1.12948449612403</v>
      </c>
      <c r="H191" s="234" t="n">
        <f aca="false">+H41/H189</f>
        <v>1.30514018691589</v>
      </c>
      <c r="I191" s="234" t="n">
        <f aca="false">+I41/I189</f>
        <v>1.56832061068702</v>
      </c>
      <c r="J191" s="234" t="n">
        <f aca="false">+J41/J189</f>
        <v>0.946456692913386</v>
      </c>
      <c r="K191" s="234" t="n">
        <f aca="false">+K41/K189</f>
        <v>1.07714491708724</v>
      </c>
      <c r="L191" s="233" t="n">
        <f aca="false">+L41/L189</f>
        <v>1.1946709506324</v>
      </c>
      <c r="M191" s="234" t="n">
        <f aca="false">+M41/M189</f>
        <v>1.60496108949416</v>
      </c>
      <c r="N191" s="234" t="n">
        <f aca="false">+N41/N189</f>
        <v>1.08608010505581</v>
      </c>
      <c r="O191" s="234" t="n">
        <f aca="false">+O41/O189</f>
        <v>1.71371681415929</v>
      </c>
      <c r="P191" s="234" t="n">
        <f aca="false">+P41/P189</f>
        <v>1.21131756756757</v>
      </c>
      <c r="Q191" s="233" t="n">
        <f aca="false">+Q41/Q189</f>
        <v>1.35532981245958</v>
      </c>
      <c r="R191" s="234" t="n">
        <f aca="false">+R41/R189</f>
        <v>1.59664670658683</v>
      </c>
      <c r="S191" s="234" t="n">
        <f aca="false">+S41/S189</f>
        <v>1.11085568326948</v>
      </c>
      <c r="T191" s="234" t="n">
        <f aca="false">+T41/T189</f>
        <v>1.28240282685512</v>
      </c>
      <c r="U191" s="234" t="n">
        <f aca="false">+U41/U189</f>
        <v>1.20721518987342</v>
      </c>
      <c r="V191" s="233" t="n">
        <f aca="false">+V41/V189</f>
        <v>1.2592290585619</v>
      </c>
      <c r="W191" s="234" t="n">
        <f aca="false">+W41/W189</f>
        <v>1.02618796198522</v>
      </c>
      <c r="X191" s="234" t="n">
        <f aca="false">+X41/X189</f>
        <v>0.8848</v>
      </c>
      <c r="Y191" s="234" t="n">
        <f aca="false">+Y41/Y189</f>
        <v>1.13621169916435</v>
      </c>
      <c r="Z191" s="234" t="n">
        <f aca="false">+Z41/Z189</f>
        <v>0.87236797274276</v>
      </c>
      <c r="AA191" s="233" t="n">
        <f aca="false">+AA41/AA189</f>
        <v>0.967386193631118</v>
      </c>
      <c r="AB191" s="234" t="n">
        <f aca="false">+AB41/AB189</f>
        <v>0.935708435708436</v>
      </c>
      <c r="AC191" s="234" t="n">
        <f aca="false">+AC41/AC189</f>
        <v>1.40389344262295</v>
      </c>
      <c r="AD191" s="234" t="n">
        <f aca="false">+AD41/AD189</f>
        <v>1.26186363636364</v>
      </c>
      <c r="AE191" s="234" t="n">
        <f aca="false">+AE41/AE189</f>
        <v>1.98015122873346</v>
      </c>
      <c r="AF191" s="233" t="n">
        <f aca="false">+AF41/AF189</f>
        <v>1.33773377337734</v>
      </c>
      <c r="AG191" s="234" t="n">
        <f aca="false">+AG41/AG189</f>
        <v>1.59335239456755</v>
      </c>
      <c r="AH191" s="234" t="n">
        <f aca="false">+AH41/AH189</f>
        <v>0.908026874115983</v>
      </c>
      <c r="AI191" s="234" t="n">
        <f aca="false">+AI41/AI189</f>
        <v>0.584327920172178</v>
      </c>
      <c r="AJ191" s="234" t="n">
        <f aca="false">+AJ41/AJ189</f>
        <v>1.68047460449625</v>
      </c>
      <c r="AK191" s="233" t="n">
        <f aca="false">+AK41/AK189</f>
        <v>1.00672855804446</v>
      </c>
      <c r="AL191" s="234" t="n">
        <f aca="false">+AL41/AL189</f>
        <v>0.791118314424635</v>
      </c>
      <c r="AM191" s="234" t="n">
        <f aca="false">+AM41/AM189</f>
        <v>3.02061762034514</v>
      </c>
      <c r="AN191" s="234" t="n">
        <f aca="false">+AN41/AN189</f>
        <v>1.38005578800558</v>
      </c>
      <c r="AO191" s="234" t="n">
        <f aca="false">+AO41/AO189</f>
        <v>1.00382255781029</v>
      </c>
      <c r="AP191" s="233" t="n">
        <f aca="false">+AP41/AP189</f>
        <v>1.23791179596174</v>
      </c>
      <c r="AQ191" s="234" t="n">
        <f aca="false">+AQ41/AQ189</f>
        <v>0.920654008438819</v>
      </c>
      <c r="AR191" s="234" t="n">
        <f aca="false">+AR41/AR189</f>
        <v>0.486059726756136</v>
      </c>
      <c r="AS191" s="234" t="n">
        <f aca="false">+AS41/AS189</f>
        <v>0.848244052435669</v>
      </c>
      <c r="AT191" s="234" t="n">
        <f aca="false">+AT41/AT189</f>
        <v>0.707177304964539</v>
      </c>
      <c r="AU191" s="233" t="n">
        <f aca="false">+AU41/AU189</f>
        <v>0.709260670731707</v>
      </c>
      <c r="AV191" s="234" t="n">
        <f aca="false">+AV41/AV189</f>
        <v>0.506578758778845</v>
      </c>
      <c r="AW191" s="234" t="n">
        <f aca="false">+AW41/AW189</f>
        <v>0.641827207185912</v>
      </c>
      <c r="AX191" s="234" t="n">
        <f aca="false">+AX41/AX189</f>
        <v>0.647791479820628</v>
      </c>
      <c r="AY191" s="234" t="n">
        <f aca="false">+AY41/AY189</f>
        <v>1.01808106396453</v>
      </c>
      <c r="AZ191" s="233" t="n">
        <f aca="false">+AZ41/AZ189</f>
        <v>0.690271891504206</v>
      </c>
      <c r="BA191" s="234" t="n">
        <f aca="false">+BA41/BA189</f>
        <v>1.79802771855011</v>
      </c>
      <c r="BB191" s="234" t="n">
        <f aca="false">+BB41/BB189</f>
        <v>1.53384444444444</v>
      </c>
      <c r="BC191" s="234" t="n">
        <f aca="false">+BC41/BC189</f>
        <v>2.56456571867794</v>
      </c>
      <c r="BD191" s="234" t="n">
        <f aca="false">+BD41/BD189</f>
        <v>0.787829305464838</v>
      </c>
      <c r="BE191" s="233" t="n">
        <f aca="false">+BE41/BE189</f>
        <v>1.3751746506986</v>
      </c>
      <c r="BF191" s="234" t="n">
        <f aca="false">+BF41/BF189</f>
        <v>1.46496815286624</v>
      </c>
      <c r="BG191" s="234" t="n">
        <f aca="false">+BG41/BG189</f>
        <v>1.12139392850728</v>
      </c>
      <c r="BH191" s="234" t="n">
        <f aca="false">+BH41/BH189</f>
        <v>2.83604253703</v>
      </c>
      <c r="BI191" s="234" t="n">
        <f aca="false">+BI41/BI189</f>
        <v>1.30682844243792</v>
      </c>
      <c r="BJ191" s="233" t="n">
        <f aca="false">+BJ41/BJ189</f>
        <v>1.49547065982327</v>
      </c>
      <c r="BK191" s="234" t="n">
        <f aca="false">+BK41/BK189</f>
        <v>1.96684451219512</v>
      </c>
      <c r="BL191" s="234" t="n">
        <f aca="false">+BL41/BL189</f>
        <v>1.38814293448836</v>
      </c>
      <c r="BM191" s="234" t="n">
        <f aca="false">+BM41/BM189</f>
        <v>1.39210964993517</v>
      </c>
      <c r="BN191" s="234" t="n">
        <f aca="false">+BN41/BN189</f>
        <v>0.738569691442469</v>
      </c>
      <c r="BO191" s="235" t="n">
        <f aca="false">+BO41/BO189</f>
        <v>1.16523274478331</v>
      </c>
      <c r="BP191" s="234"/>
      <c r="BQ191" s="234"/>
      <c r="BR191" s="234"/>
      <c r="BS191" s="234"/>
      <c r="BT191" s="233"/>
      <c r="BU191" s="234"/>
      <c r="BV191" s="234"/>
      <c r="BW191" s="234"/>
      <c r="BX191" s="234"/>
      <c r="BY191" s="233"/>
      <c r="BZ191" s="233"/>
      <c r="CA191" s="233"/>
      <c r="CB191" s="233"/>
      <c r="CC191" s="236"/>
    </row>
    <row r="192" s="45" customFormat="true" ht="15" hidden="true" customHeight="true" outlineLevel="2" collapsed="false">
      <c r="A192" s="212"/>
      <c r="B192" s="86"/>
      <c r="C192" s="87"/>
      <c r="D192" s="87"/>
      <c r="E192" s="87"/>
      <c r="F192" s="87"/>
      <c r="G192" s="87"/>
      <c r="H192" s="88"/>
      <c r="I192" s="88"/>
      <c r="J192" s="88"/>
      <c r="K192" s="88"/>
      <c r="L192" s="87"/>
      <c r="M192" s="88"/>
      <c r="N192" s="88"/>
      <c r="O192" s="88"/>
      <c r="P192" s="88"/>
      <c r="Q192" s="87"/>
      <c r="R192" s="88"/>
      <c r="S192" s="88"/>
      <c r="T192" s="88"/>
      <c r="U192" s="88"/>
      <c r="V192" s="87"/>
      <c r="W192" s="88"/>
      <c r="X192" s="88"/>
      <c r="Y192" s="88"/>
      <c r="Z192" s="88"/>
      <c r="AA192" s="87"/>
      <c r="AB192" s="88"/>
      <c r="AC192" s="88"/>
      <c r="AD192" s="88"/>
      <c r="AE192" s="88"/>
      <c r="AF192" s="87"/>
      <c r="AG192" s="88"/>
      <c r="AH192" s="88"/>
      <c r="AI192" s="88"/>
      <c r="AJ192" s="88"/>
      <c r="AK192" s="87"/>
      <c r="AL192" s="88"/>
      <c r="AM192" s="88"/>
      <c r="AN192" s="88"/>
      <c r="AO192" s="88"/>
      <c r="AP192" s="87"/>
      <c r="AQ192" s="88"/>
      <c r="AR192" s="88"/>
      <c r="AS192" s="88"/>
      <c r="AT192" s="88"/>
      <c r="AU192" s="87"/>
      <c r="AV192" s="88"/>
      <c r="AW192" s="88"/>
      <c r="AX192" s="88"/>
      <c r="AY192" s="88"/>
      <c r="AZ192" s="87"/>
      <c r="BA192" s="88"/>
      <c r="BB192" s="88"/>
      <c r="BC192" s="88"/>
      <c r="BD192" s="88"/>
      <c r="BE192" s="87"/>
      <c r="BF192" s="88"/>
      <c r="BG192" s="88"/>
      <c r="BH192" s="88"/>
      <c r="BI192" s="88"/>
      <c r="BJ192" s="87"/>
      <c r="BK192" s="88"/>
      <c r="BL192" s="88"/>
      <c r="BM192" s="88"/>
      <c r="BN192" s="88"/>
      <c r="BO192" s="91"/>
      <c r="BP192" s="88"/>
      <c r="BQ192" s="88"/>
      <c r="BR192" s="88"/>
      <c r="BS192" s="88"/>
      <c r="BT192" s="87"/>
      <c r="BU192" s="88"/>
      <c r="BV192" s="88"/>
      <c r="BW192" s="88"/>
      <c r="BX192" s="88"/>
      <c r="BY192" s="87"/>
      <c r="BZ192" s="87"/>
      <c r="CA192" s="87"/>
      <c r="CB192" s="87"/>
      <c r="CC192" s="92"/>
    </row>
    <row r="193" s="115" customFormat="true" ht="15" hidden="true" customHeight="true" outlineLevel="2" collapsed="false">
      <c r="A193" s="123" t="s">
        <v>297</v>
      </c>
      <c r="B193" s="109"/>
      <c r="C193" s="111"/>
      <c r="D193" s="111"/>
      <c r="E193" s="111"/>
      <c r="F193" s="111"/>
      <c r="G193" s="111"/>
      <c r="H193" s="112"/>
      <c r="I193" s="112"/>
      <c r="J193" s="112"/>
      <c r="K193" s="112"/>
      <c r="L193" s="111"/>
      <c r="M193" s="112"/>
      <c r="N193" s="112"/>
      <c r="O193" s="112"/>
      <c r="P193" s="112"/>
      <c r="Q193" s="111"/>
      <c r="R193" s="112"/>
      <c r="S193" s="112"/>
      <c r="T193" s="112"/>
      <c r="U193" s="112"/>
      <c r="V193" s="111"/>
      <c r="W193" s="112"/>
      <c r="X193" s="112"/>
      <c r="Y193" s="112"/>
      <c r="Z193" s="112"/>
      <c r="AA193" s="111"/>
      <c r="AB193" s="112"/>
      <c r="AC193" s="112"/>
      <c r="AD193" s="112"/>
      <c r="AE193" s="112"/>
      <c r="AF193" s="111"/>
      <c r="AG193" s="112"/>
      <c r="AH193" s="112"/>
      <c r="AI193" s="112"/>
      <c r="AJ193" s="112"/>
      <c r="AK193" s="340" t="n">
        <v>6200</v>
      </c>
      <c r="AL193" s="341" t="n">
        <v>1500</v>
      </c>
      <c r="AM193" s="341" t="n">
        <v>461</v>
      </c>
      <c r="AN193" s="341" t="n">
        <v>595</v>
      </c>
      <c r="AO193" s="341" t="n">
        <v>1100</v>
      </c>
      <c r="AP193" s="111" t="n">
        <f aca="false">SUM(AL193,AM193,AN193,AO193)</f>
        <v>3656</v>
      </c>
      <c r="AQ193" s="341" t="n">
        <v>2300</v>
      </c>
      <c r="AR193" s="341" t="n">
        <v>4900</v>
      </c>
      <c r="AS193" s="341" t="n">
        <v>2900</v>
      </c>
      <c r="AT193" s="341" t="n">
        <v>2600</v>
      </c>
      <c r="AU193" s="111" t="n">
        <f aca="false">SUM(AQ193,AR193,AS193,AT193)</f>
        <v>12700</v>
      </c>
      <c r="AV193" s="341" t="n">
        <v>2500</v>
      </c>
      <c r="AW193" s="341" t="n">
        <v>5400</v>
      </c>
      <c r="AX193" s="341" t="n">
        <v>3800</v>
      </c>
      <c r="AY193" s="341" t="n">
        <v>3400</v>
      </c>
      <c r="AZ193" s="111" t="n">
        <f aca="false">SUM(AV193,AW193,AX193,AY193)</f>
        <v>15100</v>
      </c>
      <c r="BA193" s="341" t="n">
        <v>1600</v>
      </c>
      <c r="BB193" s="341" t="n">
        <v>1600</v>
      </c>
      <c r="BC193" s="341" t="n">
        <v>500</v>
      </c>
      <c r="BD193" s="341" t="n">
        <v>5600</v>
      </c>
      <c r="BE193" s="111" t="n">
        <f aca="false">SUM(BA193,BB193,BC193,BD193)</f>
        <v>9300</v>
      </c>
      <c r="BF193" s="341" t="n">
        <v>656</v>
      </c>
      <c r="BG193" s="341" t="n">
        <v>2500</v>
      </c>
      <c r="BH193" s="341" t="n">
        <v>1400</v>
      </c>
      <c r="BI193" s="341" t="n">
        <v>3000</v>
      </c>
      <c r="BJ193" s="111" t="n">
        <f aca="false">SUM(BF193,BG193,BH193,BI193)</f>
        <v>7556</v>
      </c>
      <c r="BK193" s="341" t="n">
        <v>1200</v>
      </c>
      <c r="BL193" s="341" t="n">
        <v>2300</v>
      </c>
      <c r="BM193" s="341" t="n">
        <v>3600</v>
      </c>
      <c r="BN193" s="341" t="n">
        <v>7400</v>
      </c>
      <c r="BO193" s="113" t="n">
        <f aca="false">SUM(BK193,BL193,BM193,BN193)</f>
        <v>14500</v>
      </c>
      <c r="BP193" s="112"/>
      <c r="BQ193" s="112"/>
      <c r="BR193" s="112"/>
      <c r="BS193" s="112"/>
      <c r="BT193" s="111"/>
      <c r="BU193" s="112"/>
      <c r="BV193" s="112"/>
      <c r="BW193" s="112"/>
      <c r="BX193" s="112"/>
      <c r="BY193" s="111"/>
      <c r="BZ193" s="111"/>
      <c r="CA193" s="111"/>
      <c r="CB193" s="111"/>
      <c r="CC193" s="114"/>
    </row>
    <row r="194" s="237" customFormat="true" ht="15" hidden="true" customHeight="true" outlineLevel="2" collapsed="false">
      <c r="A194" s="343" t="s">
        <v>298</v>
      </c>
      <c r="B194" s="232"/>
      <c r="C194" s="233"/>
      <c r="D194" s="233"/>
      <c r="E194" s="233"/>
      <c r="F194" s="233"/>
      <c r="G194" s="233"/>
      <c r="H194" s="234"/>
      <c r="I194" s="234"/>
      <c r="J194" s="234"/>
      <c r="K194" s="234"/>
      <c r="L194" s="233"/>
      <c r="M194" s="234"/>
      <c r="N194" s="234"/>
      <c r="O194" s="234"/>
      <c r="P194" s="234"/>
      <c r="Q194" s="233"/>
      <c r="R194" s="234"/>
      <c r="S194" s="234"/>
      <c r="T194" s="234"/>
      <c r="U194" s="234"/>
      <c r="V194" s="233"/>
      <c r="W194" s="234"/>
      <c r="X194" s="234"/>
      <c r="Y194" s="234"/>
      <c r="Z194" s="234"/>
      <c r="AA194" s="233"/>
      <c r="AB194" s="234"/>
      <c r="AC194" s="234"/>
      <c r="AD194" s="234"/>
      <c r="AE194" s="234"/>
      <c r="AF194" s="233"/>
      <c r="AG194" s="234"/>
      <c r="AH194" s="234"/>
      <c r="AI194" s="234"/>
      <c r="AJ194" s="234"/>
      <c r="AK194" s="233" t="n">
        <f aca="false">AK193/AK189</f>
        <v>0.528064049058854</v>
      </c>
      <c r="AL194" s="234" t="n">
        <f aca="false">AL193/AL189</f>
        <v>0.486223662884927</v>
      </c>
      <c r="AM194" s="234" t="n">
        <f aca="false">AM193/AM189</f>
        <v>0.418710263396912</v>
      </c>
      <c r="AN194" s="234" t="n">
        <f aca="false">AN193/AN189</f>
        <v>0.207461645746165</v>
      </c>
      <c r="AO194" s="234" t="n">
        <f aca="false">AO193/AO189</f>
        <v>0.25955639452572</v>
      </c>
      <c r="AP194" s="233" t="n">
        <f aca="false">AP193/AP189</f>
        <v>0.323769040028339</v>
      </c>
      <c r="AQ194" s="234" t="n">
        <f aca="false">AQ193/AQ189</f>
        <v>0.485232067510549</v>
      </c>
      <c r="AR194" s="234" t="n">
        <f aca="false">AR193/AR189</f>
        <v>0.592431386773063</v>
      </c>
      <c r="AS194" s="234" t="n">
        <f aca="false">AS193/AS189</f>
        <v>0.469331607056158</v>
      </c>
      <c r="AT194" s="234" t="n">
        <f aca="false">AT193/AT189</f>
        <v>0.368794326241135</v>
      </c>
      <c r="AU194" s="233" t="n">
        <f aca="false">AU193/AU189</f>
        <v>0.483993902439024</v>
      </c>
      <c r="AV194" s="234" t="n">
        <f aca="false">AV193/AV189</f>
        <v>0.358320194926186</v>
      </c>
      <c r="AW194" s="234" t="n">
        <f aca="false">AW193/AW189</f>
        <v>0.638222432336603</v>
      </c>
      <c r="AX194" s="234" t="n">
        <f aca="false">AX193/AX189</f>
        <v>0.426008968609866</v>
      </c>
      <c r="AY194" s="234" t="n">
        <f aca="false">AY193/AY189</f>
        <v>0.538315389487017</v>
      </c>
      <c r="AZ194" s="233" t="n">
        <f aca="false">AZ193/AZ189</f>
        <v>0.492273586750994</v>
      </c>
      <c r="BA194" s="234" t="n">
        <f aca="false">BA193/BA189</f>
        <v>0.426439232409382</v>
      </c>
      <c r="BB194" s="234" t="n">
        <f aca="false">BB193/BB189</f>
        <v>0.355555555555556</v>
      </c>
      <c r="BC194" s="234" t="n">
        <f aca="false">BC193/BC189</f>
        <v>0.192159877017679</v>
      </c>
      <c r="BD194" s="234" t="n">
        <f aca="false">BD193/BD189</f>
        <v>0.609623339865012</v>
      </c>
      <c r="BE194" s="233" t="n">
        <f aca="false">BE193/BE189</f>
        <v>0.464071856287425</v>
      </c>
      <c r="BF194" s="234" t="n">
        <f aca="false">BF193/BF189</f>
        <v>0.18166712821933</v>
      </c>
      <c r="BG194" s="234" t="n">
        <f aca="false">BG193/BG189</f>
        <v>0.44907490569427</v>
      </c>
      <c r="BH194" s="234" t="n">
        <f aca="false">BH193/BH189</f>
        <v>0.531712875047474</v>
      </c>
      <c r="BI194" s="234" t="n">
        <f aca="false">BI193/BI189</f>
        <v>0.423250564334086</v>
      </c>
      <c r="BJ194" s="233" t="n">
        <f aca="false">BJ193/BJ189</f>
        <v>0.399809513730885</v>
      </c>
      <c r="BK194" s="234" t="n">
        <f aca="false">BK193/BK189</f>
        <v>0.304878048780488</v>
      </c>
      <c r="BL194" s="234" t="n">
        <f aca="false">BL193/BL189</f>
        <v>0.415087529326836</v>
      </c>
      <c r="BM194" s="234" t="n">
        <f aca="false">BM193/BM189</f>
        <v>0.666790146323393</v>
      </c>
      <c r="BN194" s="234" t="n">
        <f aca="false">BN193/BN189</f>
        <v>0.562395500835993</v>
      </c>
      <c r="BO194" s="235" t="n">
        <f aca="false">BO193/BO189</f>
        <v>0.51721062957018</v>
      </c>
      <c r="BP194" s="234"/>
      <c r="BQ194" s="234"/>
      <c r="BR194" s="234"/>
      <c r="BS194" s="234"/>
      <c r="BT194" s="233"/>
      <c r="BU194" s="234"/>
      <c r="BV194" s="234"/>
      <c r="BW194" s="234"/>
      <c r="BX194" s="234"/>
      <c r="BY194" s="233"/>
      <c r="BZ194" s="233"/>
      <c r="CA194" s="233"/>
      <c r="CB194" s="233"/>
      <c r="CC194" s="236"/>
    </row>
    <row r="195" s="45" customFormat="true" ht="15" hidden="true" customHeight="true" outlineLevel="2" collapsed="false">
      <c r="A195" s="212"/>
      <c r="B195" s="86"/>
      <c r="C195" s="87"/>
      <c r="D195" s="87"/>
      <c r="E195" s="87"/>
      <c r="F195" s="87"/>
      <c r="G195" s="87"/>
      <c r="H195" s="88"/>
      <c r="I195" s="88"/>
      <c r="J195" s="88"/>
      <c r="K195" s="88"/>
      <c r="L195" s="87"/>
      <c r="M195" s="88"/>
      <c r="N195" s="88"/>
      <c r="O195" s="88"/>
      <c r="P195" s="88"/>
      <c r="Q195" s="87"/>
      <c r="R195" s="88"/>
      <c r="S195" s="88"/>
      <c r="T195" s="88"/>
      <c r="U195" s="88"/>
      <c r="V195" s="87"/>
      <c r="W195" s="88"/>
      <c r="X195" s="88"/>
      <c r="Y195" s="88"/>
      <c r="Z195" s="88"/>
      <c r="AA195" s="87"/>
      <c r="AB195" s="88"/>
      <c r="AC195" s="88"/>
      <c r="AD195" s="88"/>
      <c r="AE195" s="88"/>
      <c r="AF195" s="87"/>
      <c r="AG195" s="88"/>
      <c r="AH195" s="88"/>
      <c r="AI195" s="88"/>
      <c r="AJ195" s="88"/>
      <c r="AK195" s="87"/>
      <c r="AL195" s="88"/>
      <c r="AM195" s="88"/>
      <c r="AN195" s="88"/>
      <c r="AO195" s="88"/>
      <c r="AP195" s="87"/>
      <c r="AQ195" s="88"/>
      <c r="AR195" s="88"/>
      <c r="AS195" s="88"/>
      <c r="AT195" s="88"/>
      <c r="AU195" s="87"/>
      <c r="AV195" s="88"/>
      <c r="AW195" s="88"/>
      <c r="AX195" s="88"/>
      <c r="AY195" s="88"/>
      <c r="AZ195" s="87"/>
      <c r="BA195" s="88"/>
      <c r="BB195" s="88"/>
      <c r="BC195" s="88"/>
      <c r="BD195" s="88"/>
      <c r="BE195" s="87"/>
      <c r="BF195" s="88"/>
      <c r="BG195" s="88"/>
      <c r="BH195" s="88"/>
      <c r="BI195" s="88"/>
      <c r="BJ195" s="87"/>
      <c r="BK195" s="88"/>
      <c r="BL195" s="88"/>
      <c r="BM195" s="88"/>
      <c r="BN195" s="88"/>
      <c r="BO195" s="91"/>
      <c r="BP195" s="88"/>
      <c r="BQ195" s="88"/>
      <c r="BR195" s="88"/>
      <c r="BS195" s="88"/>
      <c r="BT195" s="87"/>
      <c r="BU195" s="88"/>
      <c r="BV195" s="88"/>
      <c r="BW195" s="88"/>
      <c r="BX195" s="88"/>
      <c r="BY195" s="87"/>
      <c r="BZ195" s="87"/>
      <c r="CA195" s="87"/>
      <c r="CB195" s="87"/>
      <c r="CC195" s="92"/>
    </row>
    <row r="196" s="45" customFormat="true" ht="15" hidden="true" customHeight="true" outlineLevel="3" collapsed="false">
      <c r="A196" s="298" t="s">
        <v>299</v>
      </c>
      <c r="B196" s="86"/>
      <c r="C196" s="87"/>
      <c r="D196" s="87"/>
      <c r="E196" s="87"/>
      <c r="F196" s="87"/>
      <c r="G196" s="87"/>
      <c r="H196" s="297" t="n">
        <f aca="false">H202*H$200</f>
        <v>428</v>
      </c>
      <c r="I196" s="297" t="n">
        <f aca="false">I202*I$200</f>
        <v>450.64</v>
      </c>
      <c r="J196" s="297" t="n">
        <f aca="false">J202*J$200</f>
        <v>209.55</v>
      </c>
      <c r="K196" s="297" t="n">
        <f aca="false">K202*K$200</f>
        <v>901.55</v>
      </c>
      <c r="L196" s="296" t="n">
        <f aca="false">SUM(H196,I196,J196,K196)</f>
        <v>1989.74</v>
      </c>
      <c r="M196" s="297" t="n">
        <f aca="false">M202*M$200</f>
        <v>318.68</v>
      </c>
      <c r="N196" s="297" t="n">
        <f aca="false">N202*N$200</f>
        <v>350.29</v>
      </c>
      <c r="O196" s="297" t="n">
        <f aca="false">O202*O$200</f>
        <v>343.52</v>
      </c>
      <c r="P196" s="297" t="n">
        <f aca="false">P202*P$200</f>
        <v>615.68</v>
      </c>
      <c r="Q196" s="296" t="n">
        <f aca="false">SUM(M196,N196,O196,P196)</f>
        <v>1628.17</v>
      </c>
      <c r="R196" s="297" t="n">
        <f aca="false">R202*R$200</f>
        <v>559.45</v>
      </c>
      <c r="S196" s="297" t="n">
        <f aca="false">S202*S$200</f>
        <v>892.62</v>
      </c>
      <c r="T196" s="297" t="n">
        <f aca="false">T202*T$200</f>
        <v>735.8</v>
      </c>
      <c r="U196" s="297" t="n">
        <f aca="false">U202*U$200</f>
        <v>805.8</v>
      </c>
      <c r="V196" s="296" t="n">
        <f aca="false">SUM(R196,S196,T196,U196)</f>
        <v>2993.67</v>
      </c>
      <c r="W196" s="297" t="n">
        <f aca="false">W202*W$200</f>
        <v>814.42</v>
      </c>
      <c r="X196" s="297" t="n">
        <f aca="false">X202*X$200</f>
        <v>950</v>
      </c>
      <c r="Y196" s="297" t="n">
        <f aca="false">Y202*Y$200</f>
        <v>193.86</v>
      </c>
      <c r="Z196" s="297" t="n">
        <f aca="false">Z202*Z$200</f>
        <v>880.5</v>
      </c>
      <c r="AA196" s="296" t="n">
        <f aca="false">SUM(W196,X196,Y196,Z196)</f>
        <v>2838.78</v>
      </c>
      <c r="AB196" s="88"/>
      <c r="AC196" s="88"/>
      <c r="AD196" s="88"/>
      <c r="AE196" s="88"/>
      <c r="AF196" s="87"/>
      <c r="AG196" s="88"/>
      <c r="AH196" s="88"/>
      <c r="AI196" s="88"/>
      <c r="AJ196" s="88"/>
      <c r="AK196" s="87"/>
      <c r="AL196" s="88"/>
      <c r="AM196" s="88"/>
      <c r="AN196" s="88"/>
      <c r="AO196" s="88"/>
      <c r="AP196" s="87"/>
      <c r="AQ196" s="88"/>
      <c r="AR196" s="88"/>
      <c r="AS196" s="88"/>
      <c r="AT196" s="88"/>
      <c r="AU196" s="87"/>
      <c r="AV196" s="88"/>
      <c r="AW196" s="88"/>
      <c r="AX196" s="88"/>
      <c r="AY196" s="88"/>
      <c r="AZ196" s="87"/>
      <c r="BA196" s="88"/>
      <c r="BB196" s="88"/>
      <c r="BC196" s="88"/>
      <c r="BD196" s="88"/>
      <c r="BE196" s="87"/>
      <c r="BF196" s="88"/>
      <c r="BG196" s="88"/>
      <c r="BH196" s="88"/>
      <c r="BI196" s="88"/>
      <c r="BJ196" s="87"/>
      <c r="BK196" s="88"/>
      <c r="BL196" s="88"/>
      <c r="BM196" s="88"/>
      <c r="BN196" s="88"/>
      <c r="BO196" s="91"/>
      <c r="BP196" s="88"/>
      <c r="BQ196" s="88"/>
      <c r="BR196" s="88"/>
      <c r="BS196" s="88"/>
      <c r="BT196" s="87"/>
      <c r="BU196" s="88"/>
      <c r="BV196" s="88"/>
      <c r="BW196" s="88"/>
      <c r="BX196" s="88"/>
      <c r="BY196" s="87"/>
      <c r="BZ196" s="87"/>
      <c r="CA196" s="87"/>
      <c r="CB196" s="87"/>
      <c r="CC196" s="92"/>
    </row>
    <row r="197" s="45" customFormat="true" ht="15" hidden="true" customHeight="true" outlineLevel="3" collapsed="false">
      <c r="A197" s="299" t="s">
        <v>300</v>
      </c>
      <c r="B197" s="103"/>
      <c r="C197" s="104"/>
      <c r="D197" s="104"/>
      <c r="E197" s="104"/>
      <c r="F197" s="104"/>
      <c r="G197" s="104"/>
      <c r="H197" s="306" t="n">
        <f aca="false">H203*H$200</f>
        <v>267.5</v>
      </c>
      <c r="I197" s="306" t="n">
        <f aca="false">I203*I$200</f>
        <v>20.96</v>
      </c>
      <c r="J197" s="306" t="n">
        <f aca="false">J203*J$200</f>
        <v>125.73</v>
      </c>
      <c r="K197" s="306" t="n">
        <f aca="false">K203*K$200</f>
        <v>110.96</v>
      </c>
      <c r="L197" s="300" t="n">
        <f aca="false">SUM(H197,I197,J197,K197)</f>
        <v>525.15</v>
      </c>
      <c r="M197" s="306" t="n">
        <f aca="false">M203*M$200</f>
        <v>164.48</v>
      </c>
      <c r="N197" s="306" t="n">
        <f aca="false">N203*N$200</f>
        <v>593.97</v>
      </c>
      <c r="O197" s="306" t="n">
        <f aca="false">O203*O$200</f>
        <v>90.4</v>
      </c>
      <c r="P197" s="306" t="n">
        <f aca="false">P203*P$200</f>
        <v>11.84</v>
      </c>
      <c r="Q197" s="300" t="n">
        <f aca="false">SUM(M197,N197,O197,P197)</f>
        <v>860.69</v>
      </c>
      <c r="R197" s="306" t="n">
        <f aca="false">R203*R$200</f>
        <v>158.65</v>
      </c>
      <c r="S197" s="306" t="n">
        <f aca="false">S203*S$200</f>
        <v>281.88</v>
      </c>
      <c r="T197" s="306" t="n">
        <f aca="false">T203*T$200</f>
        <v>169.8</v>
      </c>
      <c r="U197" s="306" t="n">
        <f aca="false">U203*U$200</f>
        <v>237</v>
      </c>
      <c r="V197" s="300" t="n">
        <f aca="false">SUM(R197,S197,T197,U197)</f>
        <v>847.33</v>
      </c>
      <c r="W197" s="306" t="n">
        <f aca="false">W203*W$200</f>
        <v>340.92</v>
      </c>
      <c r="X197" s="306" t="n">
        <f aca="false">X203*X$200</f>
        <v>475</v>
      </c>
      <c r="Y197" s="306" t="n">
        <f aca="false">Y203*Y$200</f>
        <v>301.56</v>
      </c>
      <c r="Z197" s="306" t="n">
        <f aca="false">Z203*Z$200</f>
        <v>440.25</v>
      </c>
      <c r="AA197" s="300" t="n">
        <f aca="false">SUM(W197,X197,Y197,Z197)</f>
        <v>1557.73</v>
      </c>
      <c r="AB197" s="117"/>
      <c r="AC197" s="117"/>
      <c r="AD197" s="117"/>
      <c r="AE197" s="117"/>
      <c r="AF197" s="104"/>
      <c r="AG197" s="117"/>
      <c r="AH197" s="117"/>
      <c r="AI197" s="117"/>
      <c r="AJ197" s="117"/>
      <c r="AK197" s="104"/>
      <c r="AL197" s="117"/>
      <c r="AM197" s="117"/>
      <c r="AN197" s="117"/>
      <c r="AO197" s="117"/>
      <c r="AP197" s="104"/>
      <c r="AQ197" s="117"/>
      <c r="AR197" s="117"/>
      <c r="AS197" s="117"/>
      <c r="AT197" s="117"/>
      <c r="AU197" s="104"/>
      <c r="AV197" s="117"/>
      <c r="AW197" s="117"/>
      <c r="AX197" s="117"/>
      <c r="AY197" s="117"/>
      <c r="AZ197" s="104"/>
      <c r="BA197" s="117"/>
      <c r="BB197" s="117"/>
      <c r="BC197" s="117"/>
      <c r="BD197" s="117"/>
      <c r="BE197" s="104"/>
      <c r="BF197" s="117"/>
      <c r="BG197" s="117"/>
      <c r="BH197" s="117"/>
      <c r="BI197" s="117"/>
      <c r="BJ197" s="104"/>
      <c r="BK197" s="117"/>
      <c r="BL197" s="117"/>
      <c r="BM197" s="117"/>
      <c r="BN197" s="117"/>
      <c r="BO197" s="301"/>
      <c r="BP197" s="117"/>
      <c r="BQ197" s="117"/>
      <c r="BR197" s="117"/>
      <c r="BS197" s="117"/>
      <c r="BT197" s="104"/>
      <c r="BU197" s="117"/>
      <c r="BV197" s="117"/>
      <c r="BW197" s="117"/>
      <c r="BX197" s="117"/>
      <c r="BY197" s="104"/>
      <c r="BZ197" s="104"/>
      <c r="CA197" s="104"/>
      <c r="CB197" s="104"/>
      <c r="CC197" s="92"/>
    </row>
    <row r="198" s="45" customFormat="true" ht="15" hidden="true" customHeight="true" outlineLevel="2" collapsed="true">
      <c r="A198" s="242" t="s">
        <v>301</v>
      </c>
      <c r="B198" s="86"/>
      <c r="C198" s="87"/>
      <c r="D198" s="87"/>
      <c r="E198" s="87"/>
      <c r="F198" s="87"/>
      <c r="G198" s="87"/>
      <c r="H198" s="297" t="n">
        <f aca="false">SUM(H196:H197)</f>
        <v>695.5</v>
      </c>
      <c r="I198" s="297" t="n">
        <f aca="false">SUM(I196:I197)</f>
        <v>471.6</v>
      </c>
      <c r="J198" s="297" t="n">
        <f aca="false">SUM(J196:J197)</f>
        <v>335.28</v>
      </c>
      <c r="K198" s="297" t="n">
        <f aca="false">SUM(K196:K197)</f>
        <v>1012.51</v>
      </c>
      <c r="L198" s="296" t="n">
        <f aca="false">SUM(L196:L197)</f>
        <v>2514.89</v>
      </c>
      <c r="M198" s="297" t="n">
        <f aca="false">SUM(M196:M197)</f>
        <v>483.16</v>
      </c>
      <c r="N198" s="297" t="n">
        <f aca="false">SUM(N196:N197)</f>
        <v>944.26</v>
      </c>
      <c r="O198" s="297" t="n">
        <f aca="false">SUM(O196:O197)</f>
        <v>433.92</v>
      </c>
      <c r="P198" s="297" t="n">
        <f aca="false">SUM(P196:P197)</f>
        <v>627.52</v>
      </c>
      <c r="Q198" s="296" t="n">
        <f aca="false">SUM(Q196:Q197)</f>
        <v>2488.86</v>
      </c>
      <c r="R198" s="297" t="n">
        <f aca="false">SUM(R196:R197)</f>
        <v>718.1</v>
      </c>
      <c r="S198" s="297" t="n">
        <f aca="false">SUM(S196:S197)</f>
        <v>1174.5</v>
      </c>
      <c r="T198" s="297" t="n">
        <f aca="false">SUM(T196:T197)</f>
        <v>905.6</v>
      </c>
      <c r="U198" s="297" t="n">
        <f aca="false">SUM(U196:U197)</f>
        <v>1042.8</v>
      </c>
      <c r="V198" s="296" t="n">
        <f aca="false">SUM(V196:V197)</f>
        <v>3841</v>
      </c>
      <c r="W198" s="297" t="n">
        <f aca="false">SUM(W196:W197)</f>
        <v>1155.34</v>
      </c>
      <c r="X198" s="297" t="n">
        <f aca="false">SUM(X196:X197)</f>
        <v>1425</v>
      </c>
      <c r="Y198" s="297" t="n">
        <f aca="false">SUM(Y196:Y197)</f>
        <v>495.42</v>
      </c>
      <c r="Z198" s="297" t="n">
        <f aca="false">SUM(Z196:Z197)</f>
        <v>1320.75</v>
      </c>
      <c r="AA198" s="296" t="n">
        <f aca="false">SUM(AA196:AA197)</f>
        <v>4396.51</v>
      </c>
      <c r="AB198" s="297" t="n">
        <f aca="false">AB204*AB$200</f>
        <v>1391.94</v>
      </c>
      <c r="AC198" s="297" t="n">
        <f aca="false">AC204*AC$200</f>
        <v>878.4</v>
      </c>
      <c r="AD198" s="297" t="n">
        <f aca="false">AD204*AD$200</f>
        <v>792</v>
      </c>
      <c r="AE198" s="297" t="n">
        <f aca="false">AE204*AE$200</f>
        <v>1269.6</v>
      </c>
      <c r="AF198" s="296" t="n">
        <f aca="false">SUM(AB198,AC198,AD198,AE198)</f>
        <v>4331.94</v>
      </c>
      <c r="AG198" s="297" t="n">
        <f aca="false">AG204*AG$200</f>
        <v>1049.25</v>
      </c>
      <c r="AH198" s="297" t="n">
        <f aca="false">AH204*AH$200</f>
        <v>1894.76</v>
      </c>
      <c r="AI198" s="297" t="n">
        <f aca="false">AI204*AI$200</f>
        <v>3731.03</v>
      </c>
      <c r="AJ198" s="297" t="n">
        <f aca="false">AJ204*AJ$200</f>
        <v>1897.58</v>
      </c>
      <c r="AK198" s="296" t="n">
        <f aca="false">SUM(AG198,AH198,AI198,AJ198)</f>
        <v>8572.62</v>
      </c>
      <c r="AL198" s="297" t="n">
        <f aca="false">AL204*AL$200</f>
        <v>2036.1</v>
      </c>
      <c r="AM198" s="297" t="n">
        <f aca="false">AM204*AM$200</f>
        <v>550.5</v>
      </c>
      <c r="AN198" s="297" t="n">
        <f aca="false">AN204*AN$200</f>
        <v>2466.48</v>
      </c>
      <c r="AO198" s="297" t="n">
        <f aca="false">AO204*AO$200</f>
        <v>3305.64</v>
      </c>
      <c r="AP198" s="296" t="n">
        <f aca="false">SUM(AL198,AM198,AN198,AO198)</f>
        <v>8358.72</v>
      </c>
      <c r="AQ198" s="297" t="n">
        <f aca="false">AQ204*AQ$200</f>
        <v>3602.4</v>
      </c>
      <c r="AR198" s="297" t="n">
        <f aca="false">AR204*AR$200</f>
        <v>5872.41</v>
      </c>
      <c r="AS198" s="297" t="n">
        <f aca="false">AS204*AS$200</f>
        <v>5190.36</v>
      </c>
      <c r="AT198" s="297" t="n">
        <f aca="false">AT204*AT$200</f>
        <v>5428.5</v>
      </c>
      <c r="AU198" s="296" t="n">
        <f aca="false">SUM(AQ198,AR198,AS198,AT198)</f>
        <v>20093.67</v>
      </c>
      <c r="AV198" s="297" t="n">
        <f aca="false">AV204*AV$200</f>
        <v>4604.82</v>
      </c>
      <c r="AW198" s="297" t="n">
        <f aca="false">AW204*AW$200</f>
        <v>5076.6</v>
      </c>
      <c r="AX198" s="297" t="n">
        <f aca="false">AX204*AX$200</f>
        <v>6868.4</v>
      </c>
      <c r="AY198" s="297" t="n">
        <f aca="false">AY204*AY$200</f>
        <v>4168.56</v>
      </c>
      <c r="AZ198" s="296" t="n">
        <f aca="false">SUM(AV198,AW198,AX198,AY198)</f>
        <v>20718.38</v>
      </c>
      <c r="BA198" s="297" t="n">
        <f aca="false">BA204*BA$200</f>
        <v>2964.08</v>
      </c>
      <c r="BB198" s="297" t="n">
        <f aca="false">BB204*BB$200</f>
        <v>3105</v>
      </c>
      <c r="BC198" s="297" t="n">
        <f aca="false">BC204*BC$200</f>
        <v>2081.6</v>
      </c>
      <c r="BD198" s="297" t="n">
        <f aca="false">BD204*BD$200</f>
        <v>4868.58</v>
      </c>
      <c r="BE198" s="296" t="n">
        <f aca="false">SUM(BA198,BB198,BC198,BD198)</f>
        <v>13019.26</v>
      </c>
      <c r="BF198" s="297" t="n">
        <f aca="false">BF204*BF$200</f>
        <v>1480.51</v>
      </c>
      <c r="BG198" s="297" t="n">
        <f aca="false">BG204*BG$200</f>
        <v>4063.91</v>
      </c>
      <c r="BH198" s="297" t="n">
        <f aca="false">BH204*BH$200</f>
        <v>1211.18</v>
      </c>
      <c r="BI198" s="297" t="n">
        <f aca="false">BI204*BI$200</f>
        <v>4323.68</v>
      </c>
      <c r="BJ198" s="296" t="n">
        <f aca="false">SUM(BF198,BG198,BH198,BI198)</f>
        <v>11079.28</v>
      </c>
      <c r="BK198" s="297" t="n">
        <f aca="false">BK204*BK$200</f>
        <v>2361.6</v>
      </c>
      <c r="BL198" s="297" t="n">
        <f aca="false">BL204*BL$200</f>
        <v>4654.44</v>
      </c>
      <c r="BM198" s="297" t="n">
        <f aca="false">BM204*BM$200</f>
        <v>2861.47</v>
      </c>
      <c r="BN198" s="297" t="n">
        <f aca="false">BN204*BN$200</f>
        <v>5789.52</v>
      </c>
      <c r="BO198" s="312" t="n">
        <f aca="false">SUM(BK198,BL198,BM198,BN198)</f>
        <v>15667.03</v>
      </c>
      <c r="BP198" s="88"/>
      <c r="BQ198" s="88"/>
      <c r="BR198" s="88"/>
      <c r="BS198" s="88"/>
      <c r="BT198" s="87"/>
      <c r="BU198" s="88"/>
      <c r="BV198" s="88"/>
      <c r="BW198" s="88"/>
      <c r="BX198" s="88"/>
      <c r="BY198" s="87"/>
      <c r="BZ198" s="87"/>
      <c r="CA198" s="87"/>
      <c r="CB198" s="87"/>
      <c r="CC198" s="92"/>
    </row>
    <row r="199" s="45" customFormat="true" ht="15" hidden="true" customHeight="true" outlineLevel="2" collapsed="false">
      <c r="A199" s="305" t="s">
        <v>302</v>
      </c>
      <c r="B199" s="103"/>
      <c r="C199" s="104"/>
      <c r="D199" s="104"/>
      <c r="E199" s="104"/>
      <c r="F199" s="104"/>
      <c r="G199" s="104"/>
      <c r="H199" s="306" t="n">
        <f aca="false">H205*H$200</f>
        <v>374.5</v>
      </c>
      <c r="I199" s="306" t="n">
        <f aca="false">I205*I$200</f>
        <v>576.4</v>
      </c>
      <c r="J199" s="306" t="n">
        <f aca="false">J205*J$200</f>
        <v>1061.72</v>
      </c>
      <c r="K199" s="306" t="n">
        <f aca="false">K205*K$200</f>
        <v>374.49</v>
      </c>
      <c r="L199" s="300" t="n">
        <f aca="false">SUM(H199,I199,J199,K199)</f>
        <v>2387.11</v>
      </c>
      <c r="M199" s="306" t="n">
        <f aca="false">M205*M$200</f>
        <v>544.84</v>
      </c>
      <c r="N199" s="306" t="n">
        <f aca="false">N205*N$200</f>
        <v>578.74</v>
      </c>
      <c r="O199" s="306" t="n">
        <f aca="false">O205*O$200</f>
        <v>470.08</v>
      </c>
      <c r="P199" s="306" t="n">
        <f aca="false">P205*P$200</f>
        <v>556.48</v>
      </c>
      <c r="Q199" s="300" t="n">
        <f aca="false">SUM(M199,N199,O199,P199)</f>
        <v>2150.14</v>
      </c>
      <c r="R199" s="306" t="n">
        <f aca="false">R205*R$200</f>
        <v>116.9</v>
      </c>
      <c r="S199" s="306" t="n">
        <f aca="false">S205*S$200</f>
        <v>391.5</v>
      </c>
      <c r="T199" s="306" t="n">
        <f aca="false">T205*T$200</f>
        <v>509.4</v>
      </c>
      <c r="U199" s="306" t="n">
        <f aca="false">U205*U$200</f>
        <v>537.2</v>
      </c>
      <c r="V199" s="300" t="n">
        <f aca="false">SUM(R199,S199,T199,U199)</f>
        <v>1555</v>
      </c>
      <c r="W199" s="306" t="n">
        <f aca="false">W205*W$200</f>
        <v>738.66</v>
      </c>
      <c r="X199" s="306" t="n">
        <f aca="false">X205*X$200</f>
        <v>950</v>
      </c>
      <c r="Y199" s="306" t="n">
        <f aca="false">Y205*Y$200</f>
        <v>1658.58</v>
      </c>
      <c r="Z199" s="306" t="n">
        <f aca="false">Z205*Z$200</f>
        <v>1614.25</v>
      </c>
      <c r="AA199" s="300" t="n">
        <f aca="false">SUM(W199,X199,Y199,Z199)</f>
        <v>4961.49</v>
      </c>
      <c r="AB199" s="306" t="n">
        <f aca="false">AB205*AB$200</f>
        <v>1050.06</v>
      </c>
      <c r="AC199" s="306" t="n">
        <f aca="false">AC205*AC$200</f>
        <v>1073.6</v>
      </c>
      <c r="AD199" s="306" t="n">
        <f aca="false">AD205*AD$200</f>
        <v>1408</v>
      </c>
      <c r="AE199" s="306" t="n">
        <f aca="false">AE205*AE$200</f>
        <v>317.4</v>
      </c>
      <c r="AF199" s="300" t="n">
        <f aca="false">SUM(AB199,AC199,AD199,AE199)</f>
        <v>3849.06</v>
      </c>
      <c r="AG199" s="306" t="n">
        <f aca="false">AG205*AG$200</f>
        <v>349.75</v>
      </c>
      <c r="AH199" s="306" t="n">
        <f aca="false">AH205*AH$200</f>
        <v>933.24</v>
      </c>
      <c r="AI199" s="306" t="n">
        <f aca="false">AI205*AI$200</f>
        <v>1379.97</v>
      </c>
      <c r="AJ199" s="306" t="n">
        <f aca="false">AJ205*AJ$200</f>
        <v>504.42</v>
      </c>
      <c r="AK199" s="300" t="n">
        <f aca="false">SUM(AG199,AH199,AI199,AJ199)</f>
        <v>3167.38</v>
      </c>
      <c r="AL199" s="306" t="n">
        <f aca="false">AL205*AL$200</f>
        <v>1048.9</v>
      </c>
      <c r="AM199" s="306" t="n">
        <f aca="false">AM205*AM$200</f>
        <v>550.5</v>
      </c>
      <c r="AN199" s="306" t="n">
        <f aca="false">AN205*AN$200</f>
        <v>401.52</v>
      </c>
      <c r="AO199" s="306" t="n">
        <f aca="false">AO205*AO$200</f>
        <v>932.36</v>
      </c>
      <c r="AP199" s="300" t="n">
        <f aca="false">SUM(AL199,AM199,AN199,AO199)</f>
        <v>2933.28</v>
      </c>
      <c r="AQ199" s="306" t="n">
        <f aca="false">AQ205*AQ$200</f>
        <v>1137.6</v>
      </c>
      <c r="AR199" s="306" t="n">
        <f aca="false">AR205*AR$200</f>
        <v>2398.59</v>
      </c>
      <c r="AS199" s="306" t="n">
        <f aca="false">AS205*AS$200</f>
        <v>988.64</v>
      </c>
      <c r="AT199" s="306" t="n">
        <f aca="false">AT205*AT$200</f>
        <v>1621.5</v>
      </c>
      <c r="AU199" s="300" t="n">
        <f aca="false">SUM(AQ199,AR199,AS199,AT199)</f>
        <v>6146.33</v>
      </c>
      <c r="AV199" s="306" t="n">
        <f aca="false">AV205*AV$200</f>
        <v>2372.18</v>
      </c>
      <c r="AW199" s="306" t="n">
        <f aca="false">AW205*AW$200</f>
        <v>3384.4</v>
      </c>
      <c r="AX199" s="306" t="n">
        <f aca="false">AX205*AX$200</f>
        <v>2051.6</v>
      </c>
      <c r="AY199" s="306" t="n">
        <f aca="false">AY205*AY$200</f>
        <v>2147.44</v>
      </c>
      <c r="AZ199" s="300" t="n">
        <f aca="false">SUM(AV199,AW199,AX199,AY199)</f>
        <v>9955.62</v>
      </c>
      <c r="BA199" s="306" t="n">
        <f aca="false">BA205*BA$200</f>
        <v>787.92</v>
      </c>
      <c r="BB199" s="306" t="n">
        <f aca="false">BB205*BB$200</f>
        <v>1395</v>
      </c>
      <c r="BC199" s="306" t="n">
        <f aca="false">BC205*BC$200</f>
        <v>520.4</v>
      </c>
      <c r="BD199" s="306" t="n">
        <f aca="false">BD205*BD$200</f>
        <v>4317.42</v>
      </c>
      <c r="BE199" s="300" t="n">
        <f aca="false">SUM(BA199,BB199,BC199,BD199)</f>
        <v>7020.74</v>
      </c>
      <c r="BF199" s="306" t="n">
        <f aca="false">BF205*BF$200</f>
        <v>2130.49</v>
      </c>
      <c r="BG199" s="306" t="n">
        <f aca="false">BG205*BG$200</f>
        <v>1503.09</v>
      </c>
      <c r="BH199" s="306" t="n">
        <f aca="false">BH205*BH$200</f>
        <v>1421.82</v>
      </c>
      <c r="BI199" s="306" t="n">
        <f aca="false">BI205*BI$200</f>
        <v>2764.32</v>
      </c>
      <c r="BJ199" s="300" t="n">
        <f aca="false">SUM(BF199,BG199,BH199,BI199)</f>
        <v>7819.72</v>
      </c>
      <c r="BK199" s="306" t="n">
        <f aca="false">BK205*BK$200</f>
        <v>1574.4</v>
      </c>
      <c r="BL199" s="306" t="n">
        <f aca="false">BL205*BL$200</f>
        <v>886.56</v>
      </c>
      <c r="BM199" s="306" t="n">
        <f aca="false">BM205*BM$200</f>
        <v>2537.53</v>
      </c>
      <c r="BN199" s="306" t="n">
        <f aca="false">BN205*BN$200</f>
        <v>7368.48</v>
      </c>
      <c r="BO199" s="314" t="n">
        <f aca="false">SUM(BK199,BL199,BM199,BN199)</f>
        <v>12366.97</v>
      </c>
      <c r="BP199" s="117"/>
      <c r="BQ199" s="117"/>
      <c r="BR199" s="117"/>
      <c r="BS199" s="117"/>
      <c r="BT199" s="104"/>
      <c r="BU199" s="117"/>
      <c r="BV199" s="117"/>
      <c r="BW199" s="117"/>
      <c r="BX199" s="117"/>
      <c r="BY199" s="104"/>
      <c r="BZ199" s="104"/>
      <c r="CA199" s="104"/>
      <c r="CB199" s="104"/>
      <c r="CC199" s="92"/>
    </row>
    <row r="200" s="115" customFormat="true" ht="15" hidden="true" customHeight="true" outlineLevel="2" collapsed="false">
      <c r="A200" s="307" t="s">
        <v>303</v>
      </c>
      <c r="B200" s="119"/>
      <c r="C200" s="120" t="n">
        <f aca="false">C189</f>
        <v>2535.4</v>
      </c>
      <c r="D200" s="120" t="n">
        <f aca="false">D189</f>
        <v>6212.7</v>
      </c>
      <c r="E200" s="120" t="n">
        <f aca="false">E189</f>
        <v>2909.3</v>
      </c>
      <c r="F200" s="120" t="n">
        <f aca="false">F189</f>
        <v>3312.3</v>
      </c>
      <c r="G200" s="120" t="n">
        <f aca="false">G189</f>
        <v>4644</v>
      </c>
      <c r="H200" s="309" t="n">
        <f aca="false">H189</f>
        <v>1070</v>
      </c>
      <c r="I200" s="309" t="n">
        <f aca="false">I189</f>
        <v>1048</v>
      </c>
      <c r="J200" s="309" t="n">
        <f aca="false">J189</f>
        <v>1397</v>
      </c>
      <c r="K200" s="309" t="n">
        <f aca="false">K189</f>
        <v>1387</v>
      </c>
      <c r="L200" s="308" t="n">
        <f aca="false">SUM(L198:L199)</f>
        <v>4902</v>
      </c>
      <c r="M200" s="309" t="n">
        <f aca="false">M189</f>
        <v>1028</v>
      </c>
      <c r="N200" s="309" t="n">
        <f aca="false">N189</f>
        <v>1523</v>
      </c>
      <c r="O200" s="309" t="n">
        <f aca="false">O189</f>
        <v>904</v>
      </c>
      <c r="P200" s="309" t="n">
        <f aca="false">P189</f>
        <v>1184</v>
      </c>
      <c r="Q200" s="308" t="n">
        <f aca="false">SUM(Q198:Q199)</f>
        <v>4639</v>
      </c>
      <c r="R200" s="309" t="n">
        <f aca="false">R189</f>
        <v>835</v>
      </c>
      <c r="S200" s="309" t="n">
        <f aca="false">S189</f>
        <v>1566</v>
      </c>
      <c r="T200" s="309" t="n">
        <f aca="false">T189</f>
        <v>1415</v>
      </c>
      <c r="U200" s="309" t="n">
        <f aca="false">U189</f>
        <v>1580</v>
      </c>
      <c r="V200" s="308" t="n">
        <f aca="false">SUM(V198:V199)</f>
        <v>5396</v>
      </c>
      <c r="W200" s="309" t="n">
        <f aca="false">W189</f>
        <v>1894</v>
      </c>
      <c r="X200" s="309" t="n">
        <f aca="false">X189</f>
        <v>2375</v>
      </c>
      <c r="Y200" s="309" t="n">
        <f aca="false">Y189</f>
        <v>2154</v>
      </c>
      <c r="Z200" s="309" t="n">
        <f aca="false">Z189</f>
        <v>2935</v>
      </c>
      <c r="AA200" s="308" t="n">
        <f aca="false">SUM(AA198:AA199)</f>
        <v>9358</v>
      </c>
      <c r="AB200" s="309" t="n">
        <f aca="false">AB189</f>
        <v>2442</v>
      </c>
      <c r="AC200" s="309" t="n">
        <f aca="false">AC189</f>
        <v>1952</v>
      </c>
      <c r="AD200" s="309" t="n">
        <f aca="false">AD189</f>
        <v>2200</v>
      </c>
      <c r="AE200" s="309" t="n">
        <f aca="false">AE189</f>
        <v>1587</v>
      </c>
      <c r="AF200" s="308" t="n">
        <f aca="false">SUM(AF198:AF199)</f>
        <v>8181</v>
      </c>
      <c r="AG200" s="309" t="n">
        <f aca="false">AG189</f>
        <v>1399</v>
      </c>
      <c r="AH200" s="309" t="n">
        <f aca="false">AH189</f>
        <v>2828</v>
      </c>
      <c r="AI200" s="309" t="n">
        <f aca="false">AI189</f>
        <v>5111</v>
      </c>
      <c r="AJ200" s="309" t="n">
        <f aca="false">AJ189</f>
        <v>2402</v>
      </c>
      <c r="AK200" s="308" t="n">
        <f aca="false">SUM(AK198:AK199)</f>
        <v>11740</v>
      </c>
      <c r="AL200" s="309" t="n">
        <f aca="false">AL189</f>
        <v>3085</v>
      </c>
      <c r="AM200" s="309" t="n">
        <f aca="false">AM189</f>
        <v>1101</v>
      </c>
      <c r="AN200" s="309" t="n">
        <f aca="false">AN189</f>
        <v>2868</v>
      </c>
      <c r="AO200" s="309" t="n">
        <f aca="false">AO189</f>
        <v>4238</v>
      </c>
      <c r="AP200" s="308" t="n">
        <f aca="false">SUM(AP198:AP199)</f>
        <v>11292</v>
      </c>
      <c r="AQ200" s="309" t="n">
        <f aca="false">AQ189</f>
        <v>4740</v>
      </c>
      <c r="AR200" s="309" t="n">
        <f aca="false">AR189</f>
        <v>8271</v>
      </c>
      <c r="AS200" s="309" t="n">
        <f aca="false">AS189</f>
        <v>6179</v>
      </c>
      <c r="AT200" s="309" t="n">
        <f aca="false">AT189</f>
        <v>7050</v>
      </c>
      <c r="AU200" s="308" t="n">
        <f aca="false">SUM(AU198:AU199)</f>
        <v>26240</v>
      </c>
      <c r="AV200" s="309" t="n">
        <f aca="false">AV189</f>
        <v>6977</v>
      </c>
      <c r="AW200" s="309" t="n">
        <f aca="false">AW189</f>
        <v>8461</v>
      </c>
      <c r="AX200" s="309" t="n">
        <f aca="false">AX189</f>
        <v>8920</v>
      </c>
      <c r="AY200" s="309" t="n">
        <f aca="false">AY189</f>
        <v>6316</v>
      </c>
      <c r="AZ200" s="308" t="n">
        <f aca="false">SUM(AZ198:AZ199)</f>
        <v>30674</v>
      </c>
      <c r="BA200" s="309" t="n">
        <f aca="false">BA189</f>
        <v>3752</v>
      </c>
      <c r="BB200" s="309" t="n">
        <f aca="false">BB189</f>
        <v>4500</v>
      </c>
      <c r="BC200" s="309" t="n">
        <f aca="false">BC189</f>
        <v>2602</v>
      </c>
      <c r="BD200" s="309" t="n">
        <f aca="false">BD189</f>
        <v>9186</v>
      </c>
      <c r="BE200" s="308" t="n">
        <f aca="false">SUM(BE198:BE199)</f>
        <v>20040</v>
      </c>
      <c r="BF200" s="309" t="n">
        <f aca="false">BF189</f>
        <v>3611</v>
      </c>
      <c r="BG200" s="309" t="n">
        <f aca="false">BG189</f>
        <v>5567</v>
      </c>
      <c r="BH200" s="309" t="n">
        <f aca="false">BH189</f>
        <v>2633</v>
      </c>
      <c r="BI200" s="309" t="n">
        <f aca="false">BI189</f>
        <v>7088</v>
      </c>
      <c r="BJ200" s="308" t="n">
        <f aca="false">SUM(BJ198:BJ199)</f>
        <v>18899</v>
      </c>
      <c r="BK200" s="309" t="n">
        <f aca="false">BK189</f>
        <v>3936</v>
      </c>
      <c r="BL200" s="309" t="n">
        <f aca="false">BL189</f>
        <v>5541</v>
      </c>
      <c r="BM200" s="309" t="n">
        <f aca="false">BM189</f>
        <v>5399</v>
      </c>
      <c r="BN200" s="309" t="n">
        <f aca="false">BN189</f>
        <v>13158</v>
      </c>
      <c r="BO200" s="311" t="n">
        <f aca="false">SUM(BO198:BO199)</f>
        <v>28034</v>
      </c>
      <c r="BP200" s="121"/>
      <c r="BQ200" s="121"/>
      <c r="BR200" s="121"/>
      <c r="BS200" s="121"/>
      <c r="BT200" s="120"/>
      <c r="BU200" s="121"/>
      <c r="BV200" s="121"/>
      <c r="BW200" s="121"/>
      <c r="BX200" s="121"/>
      <c r="BY200" s="120"/>
      <c r="BZ200" s="120"/>
      <c r="CA200" s="120"/>
      <c r="CB200" s="120"/>
      <c r="CC200" s="114"/>
    </row>
    <row r="201" s="115" customFormat="true" ht="15" hidden="true" customHeight="true" outlineLevel="2" collapsed="false">
      <c r="A201" s="123"/>
      <c r="B201" s="109"/>
      <c r="C201" s="111"/>
      <c r="D201" s="111"/>
      <c r="E201" s="111"/>
      <c r="F201" s="111"/>
      <c r="G201" s="111"/>
      <c r="H201" s="112"/>
      <c r="I201" s="112"/>
      <c r="J201" s="112"/>
      <c r="K201" s="112"/>
      <c r="L201" s="111"/>
      <c r="M201" s="112"/>
      <c r="N201" s="112"/>
      <c r="O201" s="112"/>
      <c r="P201" s="112"/>
      <c r="Q201" s="111"/>
      <c r="R201" s="112"/>
      <c r="S201" s="112"/>
      <c r="T201" s="112"/>
      <c r="U201" s="112"/>
      <c r="V201" s="111"/>
      <c r="W201" s="112"/>
      <c r="X201" s="112"/>
      <c r="Y201" s="112"/>
      <c r="Z201" s="112"/>
      <c r="AA201" s="111"/>
      <c r="AB201" s="112"/>
      <c r="AC201" s="112"/>
      <c r="AD201" s="112"/>
      <c r="AE201" s="112"/>
      <c r="AF201" s="111"/>
      <c r="AG201" s="112"/>
      <c r="AH201" s="112"/>
      <c r="AI201" s="112"/>
      <c r="AJ201" s="112"/>
      <c r="AK201" s="111"/>
      <c r="AL201" s="112"/>
      <c r="AM201" s="112"/>
      <c r="AN201" s="112"/>
      <c r="AO201" s="112"/>
      <c r="AP201" s="111"/>
      <c r="AQ201" s="112"/>
      <c r="AR201" s="112"/>
      <c r="AS201" s="112"/>
      <c r="AT201" s="112"/>
      <c r="AU201" s="111"/>
      <c r="AV201" s="112"/>
      <c r="AW201" s="112"/>
      <c r="AX201" s="112"/>
      <c r="AY201" s="112"/>
      <c r="AZ201" s="111"/>
      <c r="BA201" s="112"/>
      <c r="BB201" s="112"/>
      <c r="BC201" s="112"/>
      <c r="BD201" s="112"/>
      <c r="BE201" s="111"/>
      <c r="BF201" s="112"/>
      <c r="BG201" s="112"/>
      <c r="BH201" s="112"/>
      <c r="BI201" s="112"/>
      <c r="BJ201" s="111"/>
      <c r="BK201" s="112"/>
      <c r="BL201" s="112"/>
      <c r="BM201" s="112"/>
      <c r="BN201" s="112"/>
      <c r="BO201" s="113"/>
      <c r="BP201" s="112"/>
      <c r="BQ201" s="112"/>
      <c r="BR201" s="112"/>
      <c r="BS201" s="112"/>
      <c r="BT201" s="111"/>
      <c r="BU201" s="112"/>
      <c r="BV201" s="112"/>
      <c r="BW201" s="112"/>
      <c r="BX201" s="112"/>
      <c r="BY201" s="111"/>
      <c r="BZ201" s="111"/>
      <c r="CA201" s="111"/>
      <c r="CB201" s="111"/>
      <c r="CC201" s="114"/>
    </row>
    <row r="202" s="237" customFormat="true" ht="15" hidden="true" customHeight="true" outlineLevel="3" collapsed="false">
      <c r="A202" s="344" t="s">
        <v>304</v>
      </c>
      <c r="B202" s="232"/>
      <c r="C202" s="233"/>
      <c r="D202" s="233"/>
      <c r="E202" s="233"/>
      <c r="F202" s="233"/>
      <c r="G202" s="233"/>
      <c r="H202" s="345" t="n">
        <v>0.4</v>
      </c>
      <c r="I202" s="345" t="n">
        <v>0.43</v>
      </c>
      <c r="J202" s="345" t="n">
        <v>0.15</v>
      </c>
      <c r="K202" s="345" t="n">
        <v>0.65</v>
      </c>
      <c r="L202" s="317" t="n">
        <f aca="false">L196/L$200</f>
        <v>0.405903712770298</v>
      </c>
      <c r="M202" s="345" t="n">
        <v>0.31</v>
      </c>
      <c r="N202" s="345" t="n">
        <v>0.23</v>
      </c>
      <c r="O202" s="345" t="n">
        <v>0.38</v>
      </c>
      <c r="P202" s="345" t="n">
        <v>0.52</v>
      </c>
      <c r="Q202" s="317" t="n">
        <f aca="false">Q196/Q$200</f>
        <v>0.35097434791981</v>
      </c>
      <c r="R202" s="345" t="n">
        <v>0.67</v>
      </c>
      <c r="S202" s="345" t="n">
        <v>0.57</v>
      </c>
      <c r="T202" s="345" t="n">
        <v>0.52</v>
      </c>
      <c r="U202" s="345" t="n">
        <v>0.51</v>
      </c>
      <c r="V202" s="317" t="n">
        <f aca="false">V196/V$200</f>
        <v>0.554794292068199</v>
      </c>
      <c r="W202" s="345" t="n">
        <v>0.43</v>
      </c>
      <c r="X202" s="345" t="n">
        <v>0.4</v>
      </c>
      <c r="Y202" s="345" t="n">
        <v>0.09</v>
      </c>
      <c r="Z202" s="345" t="n">
        <v>0.3</v>
      </c>
      <c r="AA202" s="317" t="n">
        <f aca="false">AA196/AA$200</f>
        <v>0.303353280615516</v>
      </c>
      <c r="AB202" s="234"/>
      <c r="AC202" s="234"/>
      <c r="AD202" s="234"/>
      <c r="AE202" s="234"/>
      <c r="AF202" s="233"/>
      <c r="AG202" s="234"/>
      <c r="AH202" s="234"/>
      <c r="AI202" s="234"/>
      <c r="AJ202" s="234"/>
      <c r="AK202" s="233"/>
      <c r="AL202" s="234"/>
      <c r="AM202" s="234"/>
      <c r="AN202" s="234"/>
      <c r="AO202" s="234"/>
      <c r="AP202" s="233"/>
      <c r="AQ202" s="234"/>
      <c r="AR202" s="234"/>
      <c r="AS202" s="234"/>
      <c r="AT202" s="234"/>
      <c r="AU202" s="233"/>
      <c r="AV202" s="234"/>
      <c r="AW202" s="234"/>
      <c r="AX202" s="234"/>
      <c r="AY202" s="234"/>
      <c r="AZ202" s="233"/>
      <c r="BA202" s="234"/>
      <c r="BB202" s="234"/>
      <c r="BC202" s="234"/>
      <c r="BD202" s="234"/>
      <c r="BE202" s="233"/>
      <c r="BF202" s="234"/>
      <c r="BG202" s="234"/>
      <c r="BH202" s="234"/>
      <c r="BI202" s="234"/>
      <c r="BJ202" s="233"/>
      <c r="BK202" s="234"/>
      <c r="BL202" s="234"/>
      <c r="BM202" s="234"/>
      <c r="BN202" s="234"/>
      <c r="BO202" s="235"/>
      <c r="BP202" s="234"/>
      <c r="BQ202" s="234"/>
      <c r="BR202" s="234"/>
      <c r="BS202" s="234"/>
      <c r="BT202" s="233"/>
      <c r="BU202" s="234"/>
      <c r="BV202" s="234"/>
      <c r="BW202" s="234"/>
      <c r="BX202" s="234"/>
      <c r="BY202" s="233"/>
      <c r="BZ202" s="233"/>
      <c r="CA202" s="233"/>
      <c r="CB202" s="233"/>
      <c r="CC202" s="236"/>
    </row>
    <row r="203" s="237" customFormat="true" ht="15" hidden="true" customHeight="true" outlineLevel="3" collapsed="false">
      <c r="A203" s="346" t="s">
        <v>305</v>
      </c>
      <c r="B203" s="319"/>
      <c r="C203" s="320"/>
      <c r="D203" s="320"/>
      <c r="E203" s="320"/>
      <c r="F203" s="320"/>
      <c r="G203" s="320"/>
      <c r="H203" s="347" t="n">
        <v>0.25</v>
      </c>
      <c r="I203" s="347" t="n">
        <v>0.02</v>
      </c>
      <c r="J203" s="347" t="n">
        <v>0.09</v>
      </c>
      <c r="K203" s="347" t="n">
        <v>0.08</v>
      </c>
      <c r="L203" s="322" t="n">
        <f aca="false">L197/L$200</f>
        <v>0.107129742962056</v>
      </c>
      <c r="M203" s="347" t="n">
        <v>0.16</v>
      </c>
      <c r="N203" s="347" t="n">
        <v>0.39</v>
      </c>
      <c r="O203" s="347" t="n">
        <v>0.1</v>
      </c>
      <c r="P203" s="347" t="n">
        <v>0.01</v>
      </c>
      <c r="Q203" s="322" t="n">
        <f aca="false">Q197/Q$200</f>
        <v>0.185533520155206</v>
      </c>
      <c r="R203" s="347" t="n">
        <v>0.19</v>
      </c>
      <c r="S203" s="347" t="n">
        <v>0.18</v>
      </c>
      <c r="T203" s="347" t="n">
        <v>0.12</v>
      </c>
      <c r="U203" s="347" t="n">
        <v>0.15</v>
      </c>
      <c r="V203" s="322" t="n">
        <f aca="false">V197/V$200</f>
        <v>0.157029280948851</v>
      </c>
      <c r="W203" s="347" t="n">
        <v>0.18</v>
      </c>
      <c r="X203" s="347" t="n">
        <v>0.2</v>
      </c>
      <c r="Y203" s="347" t="n">
        <v>0.14</v>
      </c>
      <c r="Z203" s="347" t="n">
        <v>0.15</v>
      </c>
      <c r="AA203" s="322" t="n">
        <f aca="false">AA197/AA$200</f>
        <v>0.16645971361402</v>
      </c>
      <c r="AB203" s="323"/>
      <c r="AC203" s="323"/>
      <c r="AD203" s="323"/>
      <c r="AE203" s="323"/>
      <c r="AF203" s="320"/>
      <c r="AG203" s="323"/>
      <c r="AH203" s="323"/>
      <c r="AI203" s="323"/>
      <c r="AJ203" s="323"/>
      <c r="AK203" s="320"/>
      <c r="AL203" s="323"/>
      <c r="AM203" s="323"/>
      <c r="AN203" s="323"/>
      <c r="AO203" s="323"/>
      <c r="AP203" s="320"/>
      <c r="AQ203" s="323"/>
      <c r="AR203" s="323"/>
      <c r="AS203" s="323"/>
      <c r="AT203" s="323"/>
      <c r="AU203" s="320"/>
      <c r="AV203" s="323"/>
      <c r="AW203" s="323"/>
      <c r="AX203" s="323"/>
      <c r="AY203" s="323"/>
      <c r="AZ203" s="320"/>
      <c r="BA203" s="323"/>
      <c r="BB203" s="323"/>
      <c r="BC203" s="323"/>
      <c r="BD203" s="323"/>
      <c r="BE203" s="320"/>
      <c r="BF203" s="323"/>
      <c r="BG203" s="323"/>
      <c r="BH203" s="323"/>
      <c r="BI203" s="323"/>
      <c r="BJ203" s="320"/>
      <c r="BK203" s="323"/>
      <c r="BL203" s="323"/>
      <c r="BM203" s="323"/>
      <c r="BN203" s="323"/>
      <c r="BO203" s="324"/>
      <c r="BP203" s="323"/>
      <c r="BQ203" s="323"/>
      <c r="BR203" s="323"/>
      <c r="BS203" s="323"/>
      <c r="BT203" s="320"/>
      <c r="BU203" s="323"/>
      <c r="BV203" s="323"/>
      <c r="BW203" s="323"/>
      <c r="BX203" s="323"/>
      <c r="BY203" s="320"/>
      <c r="BZ203" s="320"/>
      <c r="CA203" s="320"/>
      <c r="CB203" s="320"/>
      <c r="CC203" s="236"/>
    </row>
    <row r="204" s="237" customFormat="true" ht="15" hidden="true" customHeight="true" outlineLevel="2" collapsed="true">
      <c r="A204" s="315" t="s">
        <v>306</v>
      </c>
      <c r="B204" s="232"/>
      <c r="C204" s="233"/>
      <c r="D204" s="233"/>
      <c r="E204" s="233"/>
      <c r="F204" s="233"/>
      <c r="G204" s="233"/>
      <c r="H204" s="316" t="n">
        <f aca="false">SUM(H202:H203)</f>
        <v>0.65</v>
      </c>
      <c r="I204" s="316" t="n">
        <f aca="false">SUM(I202:I203)</f>
        <v>0.45</v>
      </c>
      <c r="J204" s="316" t="n">
        <f aca="false">SUM(J202:J203)</f>
        <v>0.24</v>
      </c>
      <c r="K204" s="316" t="n">
        <f aca="false">SUM(K202:K203)</f>
        <v>0.73</v>
      </c>
      <c r="L204" s="317" t="n">
        <f aca="false">L198/L$200</f>
        <v>0.513033455732354</v>
      </c>
      <c r="M204" s="316" t="n">
        <f aca="false">SUM(M202:M203)</f>
        <v>0.47</v>
      </c>
      <c r="N204" s="316" t="n">
        <f aca="false">SUM(N202:N203)</f>
        <v>0.62</v>
      </c>
      <c r="O204" s="316" t="n">
        <f aca="false">SUM(O202:O203)</f>
        <v>0.48</v>
      </c>
      <c r="P204" s="316" t="n">
        <f aca="false">SUM(P202:P203)</f>
        <v>0.53</v>
      </c>
      <c r="Q204" s="317" t="n">
        <f aca="false">Q198/Q$200</f>
        <v>0.536507868075016</v>
      </c>
      <c r="R204" s="316" t="n">
        <f aca="false">SUM(R202:R203)</f>
        <v>0.86</v>
      </c>
      <c r="S204" s="316" t="n">
        <f aca="false">SUM(S202:S203)</f>
        <v>0.75</v>
      </c>
      <c r="T204" s="316" t="n">
        <f aca="false">SUM(T202:T203)</f>
        <v>0.64</v>
      </c>
      <c r="U204" s="316" t="n">
        <f aca="false">SUM(U202:U203)</f>
        <v>0.66</v>
      </c>
      <c r="V204" s="317" t="n">
        <f aca="false">V198/V$200</f>
        <v>0.71182357301705</v>
      </c>
      <c r="W204" s="316" t="n">
        <f aca="false">SUM(W202:W203)</f>
        <v>0.61</v>
      </c>
      <c r="X204" s="316" t="n">
        <f aca="false">SUM(X202:X203)</f>
        <v>0.6</v>
      </c>
      <c r="Y204" s="316" t="n">
        <f aca="false">SUM(Y202:Y203)</f>
        <v>0.23</v>
      </c>
      <c r="Z204" s="316" t="n">
        <f aca="false">SUM(Z202:Z203)</f>
        <v>0.45</v>
      </c>
      <c r="AA204" s="317" t="n">
        <f aca="false">AA198/AA$200</f>
        <v>0.469812994229536</v>
      </c>
      <c r="AB204" s="345" t="n">
        <v>0.57</v>
      </c>
      <c r="AC204" s="345" t="n">
        <v>0.45</v>
      </c>
      <c r="AD204" s="345" t="n">
        <v>0.36</v>
      </c>
      <c r="AE204" s="345" t="n">
        <v>0.8</v>
      </c>
      <c r="AF204" s="317" t="n">
        <f aca="false">AF198/AF$200</f>
        <v>0.529512284561789</v>
      </c>
      <c r="AG204" s="345" t="n">
        <v>0.75</v>
      </c>
      <c r="AH204" s="345" t="n">
        <v>0.67</v>
      </c>
      <c r="AI204" s="345" t="n">
        <v>0.73</v>
      </c>
      <c r="AJ204" s="345" t="n">
        <v>0.79</v>
      </c>
      <c r="AK204" s="317" t="n">
        <f aca="false">AK198/AK$200</f>
        <v>0.730206132879046</v>
      </c>
      <c r="AL204" s="345" t="n">
        <v>0.66</v>
      </c>
      <c r="AM204" s="345" t="n">
        <v>0.5</v>
      </c>
      <c r="AN204" s="345" t="n">
        <v>0.86</v>
      </c>
      <c r="AO204" s="345" t="n">
        <v>0.78</v>
      </c>
      <c r="AP204" s="317" t="n">
        <f aca="false">AP198/AP$200</f>
        <v>0.740233793836344</v>
      </c>
      <c r="AQ204" s="345" t="n">
        <v>0.76</v>
      </c>
      <c r="AR204" s="345" t="n">
        <v>0.71</v>
      </c>
      <c r="AS204" s="345" t="n">
        <v>0.84</v>
      </c>
      <c r="AT204" s="345" t="n">
        <v>0.77</v>
      </c>
      <c r="AU204" s="317" t="n">
        <f aca="false">AU198/AU$200</f>
        <v>0.765764862804878</v>
      </c>
      <c r="AV204" s="345" t="n">
        <v>0.66</v>
      </c>
      <c r="AW204" s="345" t="n">
        <v>0.6</v>
      </c>
      <c r="AX204" s="345" t="n">
        <v>0.77</v>
      </c>
      <c r="AY204" s="345" t="n">
        <v>0.66</v>
      </c>
      <c r="AZ204" s="317" t="n">
        <f aca="false">AZ198/AZ$200</f>
        <v>0.67543783008411</v>
      </c>
      <c r="BA204" s="345" t="n">
        <v>0.79</v>
      </c>
      <c r="BB204" s="345" t="n">
        <v>0.69</v>
      </c>
      <c r="BC204" s="345" t="n">
        <v>0.8</v>
      </c>
      <c r="BD204" s="345" t="n">
        <v>0.53</v>
      </c>
      <c r="BE204" s="317" t="n">
        <f aca="false">BE198/BE$200</f>
        <v>0.649663672654691</v>
      </c>
      <c r="BF204" s="345" t="n">
        <v>0.41</v>
      </c>
      <c r="BG204" s="345" t="n">
        <v>0.73</v>
      </c>
      <c r="BH204" s="345" t="n">
        <v>0.46</v>
      </c>
      <c r="BI204" s="345" t="n">
        <v>0.61</v>
      </c>
      <c r="BJ204" s="317" t="n">
        <f aca="false">BJ198/BJ$200</f>
        <v>0.586236308799407</v>
      </c>
      <c r="BK204" s="345" t="n">
        <v>0.6</v>
      </c>
      <c r="BL204" s="345" t="n">
        <v>0.84</v>
      </c>
      <c r="BM204" s="345" t="n">
        <v>0.53</v>
      </c>
      <c r="BN204" s="345" t="n">
        <v>0.44</v>
      </c>
      <c r="BO204" s="332" t="n">
        <f aca="false">BO198/BO$200</f>
        <v>0.558858172219448</v>
      </c>
      <c r="BP204" s="234"/>
      <c r="BQ204" s="234"/>
      <c r="BR204" s="234"/>
      <c r="BS204" s="234"/>
      <c r="BT204" s="233"/>
      <c r="BU204" s="234"/>
      <c r="BV204" s="234"/>
      <c r="BW204" s="234"/>
      <c r="BX204" s="234"/>
      <c r="BY204" s="233"/>
      <c r="BZ204" s="233"/>
      <c r="CA204" s="233"/>
      <c r="CB204" s="233"/>
      <c r="CC204" s="236"/>
    </row>
    <row r="205" s="237" customFormat="true" ht="15" hidden="true" customHeight="true" outlineLevel="2" collapsed="false">
      <c r="A205" s="318" t="s">
        <v>307</v>
      </c>
      <c r="B205" s="319"/>
      <c r="C205" s="320"/>
      <c r="D205" s="320"/>
      <c r="E205" s="320"/>
      <c r="F205" s="320"/>
      <c r="G205" s="320"/>
      <c r="H205" s="347" t="n">
        <v>0.35</v>
      </c>
      <c r="I205" s="347" t="n">
        <v>0.55</v>
      </c>
      <c r="J205" s="347" t="n">
        <v>0.76</v>
      </c>
      <c r="K205" s="347" t="n">
        <v>0.27</v>
      </c>
      <c r="L205" s="322" t="n">
        <f aca="false">L199/L$200</f>
        <v>0.486966544267646</v>
      </c>
      <c r="M205" s="347" t="n">
        <v>0.53</v>
      </c>
      <c r="N205" s="347" t="n">
        <v>0.38</v>
      </c>
      <c r="O205" s="347" t="n">
        <v>0.52</v>
      </c>
      <c r="P205" s="347" t="n">
        <v>0.47</v>
      </c>
      <c r="Q205" s="322" t="n">
        <f aca="false">Q199/Q$200</f>
        <v>0.463492131924984</v>
      </c>
      <c r="R205" s="347" t="n">
        <v>0.14</v>
      </c>
      <c r="S205" s="347" t="n">
        <v>0.25</v>
      </c>
      <c r="T205" s="347" t="n">
        <v>0.36</v>
      </c>
      <c r="U205" s="347" t="n">
        <v>0.34</v>
      </c>
      <c r="V205" s="322" t="n">
        <f aca="false">V199/V$200</f>
        <v>0.28817642698295</v>
      </c>
      <c r="W205" s="347" t="n">
        <v>0.39</v>
      </c>
      <c r="X205" s="347" t="n">
        <v>0.4</v>
      </c>
      <c r="Y205" s="347" t="n">
        <v>0.77</v>
      </c>
      <c r="Z205" s="347" t="n">
        <v>0.55</v>
      </c>
      <c r="AA205" s="322" t="n">
        <f aca="false">AA199/AA$200</f>
        <v>0.530187005770464</v>
      </c>
      <c r="AB205" s="347" t="n">
        <v>0.43</v>
      </c>
      <c r="AC205" s="347" t="n">
        <v>0.55</v>
      </c>
      <c r="AD205" s="347" t="n">
        <v>0.64</v>
      </c>
      <c r="AE205" s="347" t="n">
        <v>0.2</v>
      </c>
      <c r="AF205" s="322" t="n">
        <f aca="false">AF199/AF$200</f>
        <v>0.470487715438211</v>
      </c>
      <c r="AG205" s="347" t="n">
        <v>0.25</v>
      </c>
      <c r="AH205" s="347" t="n">
        <v>0.33</v>
      </c>
      <c r="AI205" s="347" t="n">
        <v>0.27</v>
      </c>
      <c r="AJ205" s="347" t="n">
        <v>0.21</v>
      </c>
      <c r="AK205" s="322" t="n">
        <f aca="false">AK199/AK$200</f>
        <v>0.269793867120954</v>
      </c>
      <c r="AL205" s="347" t="n">
        <v>0.34</v>
      </c>
      <c r="AM205" s="347" t="n">
        <v>0.5</v>
      </c>
      <c r="AN205" s="347" t="n">
        <v>0.14</v>
      </c>
      <c r="AO205" s="347" t="n">
        <v>0.22</v>
      </c>
      <c r="AP205" s="322" t="n">
        <f aca="false">AP199/AP$200</f>
        <v>0.259766206163656</v>
      </c>
      <c r="AQ205" s="347" t="n">
        <v>0.24</v>
      </c>
      <c r="AR205" s="347" t="n">
        <v>0.29</v>
      </c>
      <c r="AS205" s="347" t="n">
        <v>0.16</v>
      </c>
      <c r="AT205" s="347" t="n">
        <v>0.23</v>
      </c>
      <c r="AU205" s="322" t="n">
        <f aca="false">AU199/AU$200</f>
        <v>0.234235137195122</v>
      </c>
      <c r="AV205" s="347" t="n">
        <v>0.34</v>
      </c>
      <c r="AW205" s="347" t="n">
        <v>0.4</v>
      </c>
      <c r="AX205" s="347" t="n">
        <v>0.23</v>
      </c>
      <c r="AY205" s="347" t="n">
        <v>0.34</v>
      </c>
      <c r="AZ205" s="322" t="n">
        <f aca="false">AZ199/AZ$200</f>
        <v>0.32456216991589</v>
      </c>
      <c r="BA205" s="347" t="n">
        <v>0.21</v>
      </c>
      <c r="BB205" s="347" t="n">
        <v>0.31</v>
      </c>
      <c r="BC205" s="347" t="n">
        <v>0.2</v>
      </c>
      <c r="BD205" s="347" t="n">
        <v>0.47</v>
      </c>
      <c r="BE205" s="322" t="n">
        <f aca="false">BE199/BE$200</f>
        <v>0.350336327345309</v>
      </c>
      <c r="BF205" s="347" t="n">
        <v>0.59</v>
      </c>
      <c r="BG205" s="347" t="n">
        <v>0.27</v>
      </c>
      <c r="BH205" s="347" t="n">
        <v>0.54</v>
      </c>
      <c r="BI205" s="347" t="n">
        <v>0.39</v>
      </c>
      <c r="BJ205" s="322" t="n">
        <f aca="false">BJ199/BJ$200</f>
        <v>0.413763691200593</v>
      </c>
      <c r="BK205" s="347" t="n">
        <v>0.4</v>
      </c>
      <c r="BL205" s="347" t="n">
        <v>0.16</v>
      </c>
      <c r="BM205" s="347" t="n">
        <v>0.47</v>
      </c>
      <c r="BN205" s="347" t="n">
        <v>0.56</v>
      </c>
      <c r="BO205" s="348" t="n">
        <f aca="false">BO199/BO$200</f>
        <v>0.441141827780552</v>
      </c>
      <c r="BP205" s="323"/>
      <c r="BQ205" s="323"/>
      <c r="BR205" s="323"/>
      <c r="BS205" s="323"/>
      <c r="BT205" s="320"/>
      <c r="BU205" s="323"/>
      <c r="BV205" s="323"/>
      <c r="BW205" s="323"/>
      <c r="BX205" s="323"/>
      <c r="BY205" s="320"/>
      <c r="BZ205" s="320"/>
      <c r="CA205" s="320"/>
      <c r="CB205" s="320"/>
      <c r="CC205" s="236"/>
    </row>
    <row r="206" s="84" customFormat="true" ht="15" hidden="true" customHeight="true" outlineLevel="2" collapsed="false">
      <c r="A206" s="349" t="s">
        <v>308</v>
      </c>
      <c r="B206" s="350"/>
      <c r="C206" s="351" t="n">
        <f aca="false">C200/C200</f>
        <v>1</v>
      </c>
      <c r="D206" s="351" t="n">
        <f aca="false">D200/D200</f>
        <v>1</v>
      </c>
      <c r="E206" s="351" t="n">
        <f aca="false">E200/E200</f>
        <v>1</v>
      </c>
      <c r="F206" s="351" t="n">
        <f aca="false">F200/F200</f>
        <v>1</v>
      </c>
      <c r="G206" s="351" t="n">
        <f aca="false">G200/G200</f>
        <v>1</v>
      </c>
      <c r="H206" s="352" t="n">
        <f aca="false">SUM(H204:H205)</f>
        <v>1</v>
      </c>
      <c r="I206" s="352" t="n">
        <f aca="false">SUM(I204:I205)</f>
        <v>1</v>
      </c>
      <c r="J206" s="352" t="n">
        <f aca="false">SUM(J204:J205)</f>
        <v>1</v>
      </c>
      <c r="K206" s="352" t="n">
        <f aca="false">SUM(K204:K205)</f>
        <v>1</v>
      </c>
      <c r="L206" s="353" t="n">
        <f aca="false">SUM(L204:L205)</f>
        <v>1</v>
      </c>
      <c r="M206" s="352" t="n">
        <f aca="false">SUM(M204:M205)</f>
        <v>1</v>
      </c>
      <c r="N206" s="352" t="n">
        <f aca="false">SUM(N204:N205)</f>
        <v>1</v>
      </c>
      <c r="O206" s="352" t="n">
        <f aca="false">SUM(O204:O205)</f>
        <v>1</v>
      </c>
      <c r="P206" s="352" t="n">
        <f aca="false">SUM(P204:P205)</f>
        <v>1</v>
      </c>
      <c r="Q206" s="353" t="n">
        <f aca="false">SUM(Q204:Q205)</f>
        <v>1</v>
      </c>
      <c r="R206" s="352" t="n">
        <f aca="false">SUM(R204:R205)</f>
        <v>1</v>
      </c>
      <c r="S206" s="352" t="n">
        <f aca="false">SUM(S204:S205)</f>
        <v>1</v>
      </c>
      <c r="T206" s="352" t="n">
        <f aca="false">SUM(T204:T205)</f>
        <v>1</v>
      </c>
      <c r="U206" s="352" t="n">
        <f aca="false">SUM(U204:U205)</f>
        <v>1</v>
      </c>
      <c r="V206" s="353" t="n">
        <f aca="false">SUM(V204:V205)</f>
        <v>1</v>
      </c>
      <c r="W206" s="352" t="n">
        <f aca="false">SUM(W204:W205)</f>
        <v>1</v>
      </c>
      <c r="X206" s="352" t="n">
        <f aca="false">SUM(X204:X205)</f>
        <v>1</v>
      </c>
      <c r="Y206" s="352" t="n">
        <f aca="false">SUM(Y204:Y205)</f>
        <v>1</v>
      </c>
      <c r="Z206" s="352" t="n">
        <f aca="false">SUM(Z204:Z205)</f>
        <v>1</v>
      </c>
      <c r="AA206" s="353" t="n">
        <f aca="false">SUM(AA204:AA205)</f>
        <v>1</v>
      </c>
      <c r="AB206" s="352" t="n">
        <f aca="false">SUM(AB204:AB205)</f>
        <v>1</v>
      </c>
      <c r="AC206" s="352" t="n">
        <f aca="false">SUM(AC204:AC205)</f>
        <v>1</v>
      </c>
      <c r="AD206" s="352" t="n">
        <f aca="false">SUM(AD204:AD205)</f>
        <v>1</v>
      </c>
      <c r="AE206" s="352" t="n">
        <f aca="false">SUM(AE204:AE205)</f>
        <v>1</v>
      </c>
      <c r="AF206" s="353" t="n">
        <f aca="false">SUM(AF204:AF205)</f>
        <v>1</v>
      </c>
      <c r="AG206" s="352" t="n">
        <f aca="false">SUM(AG204:AG205)</f>
        <v>1</v>
      </c>
      <c r="AH206" s="352" t="n">
        <f aca="false">SUM(AH204:AH205)</f>
        <v>1</v>
      </c>
      <c r="AI206" s="352" t="n">
        <f aca="false">SUM(AI204:AI205)</f>
        <v>1</v>
      </c>
      <c r="AJ206" s="352" t="n">
        <f aca="false">SUM(AJ204:AJ205)</f>
        <v>1</v>
      </c>
      <c r="AK206" s="353" t="n">
        <f aca="false">SUM(AK204:AK205)</f>
        <v>1</v>
      </c>
      <c r="AL206" s="352" t="n">
        <f aca="false">SUM(AL204:AL205)</f>
        <v>1</v>
      </c>
      <c r="AM206" s="352" t="n">
        <f aca="false">SUM(AM204:AM205)</f>
        <v>1</v>
      </c>
      <c r="AN206" s="352" t="n">
        <f aca="false">SUM(AN204:AN205)</f>
        <v>1</v>
      </c>
      <c r="AO206" s="352" t="n">
        <f aca="false">SUM(AO204:AO205)</f>
        <v>1</v>
      </c>
      <c r="AP206" s="353" t="n">
        <f aca="false">SUM(AP204:AP205)</f>
        <v>1</v>
      </c>
      <c r="AQ206" s="352" t="n">
        <f aca="false">SUM(AQ204:AQ205)</f>
        <v>1</v>
      </c>
      <c r="AR206" s="352" t="n">
        <f aca="false">SUM(AR204:AR205)</f>
        <v>1</v>
      </c>
      <c r="AS206" s="352" t="n">
        <f aca="false">SUM(AS204:AS205)</f>
        <v>1</v>
      </c>
      <c r="AT206" s="352" t="n">
        <f aca="false">SUM(AT204:AT205)</f>
        <v>1</v>
      </c>
      <c r="AU206" s="353" t="n">
        <f aca="false">SUM(AU204:AU205)</f>
        <v>1</v>
      </c>
      <c r="AV206" s="352" t="n">
        <f aca="false">SUM(AV204:AV205)</f>
        <v>1</v>
      </c>
      <c r="AW206" s="352" t="n">
        <f aca="false">SUM(AW204:AW205)</f>
        <v>1</v>
      </c>
      <c r="AX206" s="352" t="n">
        <f aca="false">SUM(AX204:AX205)</f>
        <v>1</v>
      </c>
      <c r="AY206" s="352" t="n">
        <f aca="false">SUM(AY204:AY205)</f>
        <v>1</v>
      </c>
      <c r="AZ206" s="353" t="n">
        <f aca="false">SUM(AZ204:AZ205)</f>
        <v>1</v>
      </c>
      <c r="BA206" s="352" t="n">
        <f aca="false">SUM(BA204:BA205)</f>
        <v>1</v>
      </c>
      <c r="BB206" s="352" t="n">
        <f aca="false">SUM(BB204:BB205)</f>
        <v>1</v>
      </c>
      <c r="BC206" s="352" t="n">
        <f aca="false">SUM(BC204:BC205)</f>
        <v>1</v>
      </c>
      <c r="BD206" s="352" t="n">
        <f aca="false">SUM(BD204:BD205)</f>
        <v>1</v>
      </c>
      <c r="BE206" s="353" t="n">
        <f aca="false">SUM(BE204:BE205)</f>
        <v>1</v>
      </c>
      <c r="BF206" s="352" t="n">
        <f aca="false">SUM(BF204:BF205)</f>
        <v>1</v>
      </c>
      <c r="BG206" s="352" t="n">
        <f aca="false">SUM(BG204:BG205)</f>
        <v>1</v>
      </c>
      <c r="BH206" s="352" t="n">
        <f aca="false">SUM(BH204:BH205)</f>
        <v>1</v>
      </c>
      <c r="BI206" s="352" t="n">
        <f aca="false">SUM(BI204:BI205)</f>
        <v>1</v>
      </c>
      <c r="BJ206" s="353" t="n">
        <f aca="false">SUM(BJ204:BJ205)</f>
        <v>1</v>
      </c>
      <c r="BK206" s="352" t="n">
        <f aca="false">SUM(BK204:BK205)</f>
        <v>1</v>
      </c>
      <c r="BL206" s="352" t="n">
        <f aca="false">SUM(BL204:BL205)</f>
        <v>1</v>
      </c>
      <c r="BM206" s="352" t="n">
        <f aca="false">SUM(BM204:BM205)</f>
        <v>1</v>
      </c>
      <c r="BN206" s="352" t="n">
        <f aca="false">SUM(BN204:BN205)</f>
        <v>1</v>
      </c>
      <c r="BO206" s="354" t="n">
        <f aca="false">SUM(BO204:BO205)</f>
        <v>1</v>
      </c>
      <c r="BP206" s="355"/>
      <c r="BQ206" s="355"/>
      <c r="BR206" s="355"/>
      <c r="BS206" s="355"/>
      <c r="BT206" s="351"/>
      <c r="BU206" s="355"/>
      <c r="BV206" s="355"/>
      <c r="BW206" s="355"/>
      <c r="BX206" s="355"/>
      <c r="BY206" s="351"/>
      <c r="BZ206" s="351"/>
      <c r="CA206" s="351"/>
      <c r="CB206" s="351"/>
      <c r="CC206" s="83"/>
    </row>
    <row r="207" s="237" customFormat="true" ht="15" hidden="true" customHeight="true" outlineLevel="2" collapsed="false">
      <c r="A207" s="343"/>
      <c r="B207" s="232"/>
      <c r="C207" s="233"/>
      <c r="D207" s="233"/>
      <c r="E207" s="233"/>
      <c r="F207" s="233"/>
      <c r="G207" s="233"/>
      <c r="H207" s="234"/>
      <c r="I207" s="234"/>
      <c r="J207" s="234"/>
      <c r="K207" s="234"/>
      <c r="L207" s="233"/>
      <c r="M207" s="234"/>
      <c r="N207" s="234"/>
      <c r="O207" s="234"/>
      <c r="P207" s="234"/>
      <c r="Q207" s="233"/>
      <c r="R207" s="234"/>
      <c r="S207" s="234"/>
      <c r="T207" s="234"/>
      <c r="U207" s="234"/>
      <c r="V207" s="233"/>
      <c r="W207" s="234"/>
      <c r="X207" s="234"/>
      <c r="Y207" s="234"/>
      <c r="Z207" s="234"/>
      <c r="AA207" s="233"/>
      <c r="AB207" s="234"/>
      <c r="AC207" s="234"/>
      <c r="AD207" s="234"/>
      <c r="AE207" s="234"/>
      <c r="AF207" s="233"/>
      <c r="AG207" s="234"/>
      <c r="AH207" s="234"/>
      <c r="AI207" s="234"/>
      <c r="AJ207" s="234"/>
      <c r="AK207" s="233"/>
      <c r="AL207" s="234"/>
      <c r="AM207" s="234"/>
      <c r="AN207" s="234"/>
      <c r="AO207" s="234"/>
      <c r="AP207" s="233"/>
      <c r="AQ207" s="234"/>
      <c r="AR207" s="234"/>
      <c r="AS207" s="234"/>
      <c r="AT207" s="234"/>
      <c r="AU207" s="233"/>
      <c r="AV207" s="234"/>
      <c r="AW207" s="234"/>
      <c r="AX207" s="234"/>
      <c r="AY207" s="234"/>
      <c r="AZ207" s="233"/>
      <c r="BA207" s="234"/>
      <c r="BB207" s="234"/>
      <c r="BC207" s="234"/>
      <c r="BD207" s="234"/>
      <c r="BE207" s="233"/>
      <c r="BF207" s="234"/>
      <c r="BG207" s="234"/>
      <c r="BH207" s="234"/>
      <c r="BI207" s="234"/>
      <c r="BJ207" s="233"/>
      <c r="BK207" s="234"/>
      <c r="BL207" s="234"/>
      <c r="BM207" s="234"/>
      <c r="BN207" s="234"/>
      <c r="BO207" s="235"/>
      <c r="BP207" s="234"/>
      <c r="BQ207" s="234"/>
      <c r="BR207" s="234"/>
      <c r="BS207" s="234"/>
      <c r="BT207" s="233"/>
      <c r="BU207" s="234"/>
      <c r="BV207" s="234"/>
      <c r="BW207" s="234"/>
      <c r="BX207" s="234"/>
      <c r="BY207" s="233"/>
      <c r="BZ207" s="233"/>
      <c r="CA207" s="233"/>
      <c r="CB207" s="233"/>
      <c r="CC207" s="236"/>
    </row>
    <row r="208" s="45" customFormat="true" ht="15" hidden="true" customHeight="true" outlineLevel="2" collapsed="false">
      <c r="A208" s="356" t="s">
        <v>309</v>
      </c>
      <c r="B208" s="86"/>
      <c r="C208" s="90" t="n">
        <v>2114</v>
      </c>
      <c r="D208" s="90" t="n">
        <v>3856</v>
      </c>
      <c r="E208" s="90" t="n">
        <v>1733</v>
      </c>
      <c r="F208" s="90" t="n">
        <v>1214</v>
      </c>
      <c r="G208" s="90" t="n">
        <v>1953</v>
      </c>
      <c r="H208" s="89" t="n">
        <v>1939</v>
      </c>
      <c r="I208" s="89" t="n">
        <v>1763</v>
      </c>
      <c r="J208" s="89" t="n">
        <v>2406</v>
      </c>
      <c r="K208" s="89" t="n">
        <v>2772</v>
      </c>
      <c r="L208" s="90" t="n">
        <v>2772</v>
      </c>
      <c r="M208" s="89" t="n">
        <v>2602</v>
      </c>
      <c r="N208" s="89" t="n">
        <v>3015</v>
      </c>
      <c r="O208" s="89" t="n">
        <v>2880</v>
      </c>
      <c r="P208" s="89" t="n">
        <v>3184</v>
      </c>
      <c r="Q208" s="90" t="n">
        <v>3184</v>
      </c>
      <c r="R208" s="89" t="n">
        <v>3018</v>
      </c>
      <c r="S208" s="89" t="n">
        <v>3371</v>
      </c>
      <c r="T208" s="89" t="n">
        <v>3462</v>
      </c>
      <c r="U208" s="89" t="n">
        <v>3961</v>
      </c>
      <c r="V208" s="90" t="n">
        <v>3961</v>
      </c>
      <c r="W208" s="89" t="n">
        <v>4509</v>
      </c>
      <c r="X208" s="89" t="n">
        <v>5351</v>
      </c>
      <c r="Y208" s="89" t="n">
        <v>5693</v>
      </c>
      <c r="Z208" s="89" t="n">
        <v>6685</v>
      </c>
      <c r="AA208" s="90" t="n">
        <v>6685</v>
      </c>
      <c r="AB208" s="88"/>
      <c r="AC208" s="88"/>
      <c r="AD208" s="88"/>
      <c r="AE208" s="88"/>
      <c r="AF208" s="87"/>
      <c r="AG208" s="88"/>
      <c r="AH208" s="88"/>
      <c r="AI208" s="88"/>
      <c r="AJ208" s="88"/>
      <c r="AK208" s="87"/>
      <c r="AL208" s="88"/>
      <c r="AM208" s="88"/>
      <c r="AN208" s="88"/>
      <c r="AO208" s="88"/>
      <c r="AP208" s="87"/>
      <c r="AQ208" s="88"/>
      <c r="AR208" s="89" t="n">
        <v>17500</v>
      </c>
      <c r="AS208" s="89" t="n">
        <v>19600</v>
      </c>
      <c r="AT208" s="88"/>
      <c r="AU208" s="87"/>
      <c r="AV208" s="89" t="n">
        <v>29000</v>
      </c>
      <c r="AW208" s="89" t="n">
        <v>33000</v>
      </c>
      <c r="AX208" s="89" t="n">
        <v>38000</v>
      </c>
      <c r="AY208" s="88" t="n">
        <f aca="false">AZ208</f>
        <v>40400</v>
      </c>
      <c r="AZ208" s="90" t="n">
        <v>40400</v>
      </c>
      <c r="BA208" s="89" t="n">
        <v>38900</v>
      </c>
      <c r="BB208" s="89" t="n">
        <v>38000</v>
      </c>
      <c r="BC208" s="88" t="n">
        <f aca="false">BB208+BC200-BC39</f>
        <v>35293.8</v>
      </c>
      <c r="BD208" s="88" t="n">
        <f aca="false">BC208+BD200-BD39</f>
        <v>38797.3</v>
      </c>
      <c r="BE208" s="90" t="n">
        <v>39000</v>
      </c>
      <c r="BF208" s="88" t="n">
        <f aca="false">BE208+BF200-BF39</f>
        <v>38645.1</v>
      </c>
      <c r="BG208" s="88" t="n">
        <f aca="false">BF208+BG200-BG39</f>
        <v>39451.2</v>
      </c>
      <c r="BH208" s="88" t="n">
        <f aca="false">BG208+BH200-BH39</f>
        <v>36158.2</v>
      </c>
      <c r="BI208" s="88" t="n">
        <f aca="false">BH208+BI200-BI39</f>
        <v>36130.3</v>
      </c>
      <c r="BJ208" s="90" t="n">
        <v>36000</v>
      </c>
      <c r="BK208" s="88" t="n">
        <f aca="false">BJ208+BK200-BK39</f>
        <v>34195.6</v>
      </c>
      <c r="BL208" s="88" t="n">
        <f aca="false">BK208+BL200-BL39</f>
        <v>34140.5</v>
      </c>
      <c r="BM208" s="88" t="n">
        <f aca="false">BL208+BM200-BM39</f>
        <v>33985.7</v>
      </c>
      <c r="BN208" s="88" t="n">
        <f aca="false">BM208+BN200-BN39</f>
        <v>39559.7</v>
      </c>
      <c r="BO208" s="91" t="n">
        <f aca="false">BN208</f>
        <v>39559.7</v>
      </c>
      <c r="BP208" s="88"/>
      <c r="BQ208" s="88"/>
      <c r="BR208" s="88"/>
      <c r="BS208" s="88"/>
      <c r="BT208" s="87"/>
      <c r="BU208" s="88"/>
      <c r="BV208" s="88"/>
      <c r="BW208" s="88"/>
      <c r="BX208" s="88"/>
      <c r="BY208" s="87"/>
      <c r="BZ208" s="87"/>
      <c r="CA208" s="87"/>
      <c r="CB208" s="87"/>
      <c r="CC208" s="92"/>
    </row>
    <row r="209" s="45" customFormat="true" ht="15" hidden="true" customHeight="true" outlineLevel="2" collapsed="false">
      <c r="A209" s="356" t="s">
        <v>310</v>
      </c>
      <c r="B209" s="86"/>
      <c r="C209" s="87"/>
      <c r="D209" s="87"/>
      <c r="E209" s="87"/>
      <c r="F209" s="87"/>
      <c r="G209" s="87"/>
      <c r="H209" s="88"/>
      <c r="I209" s="88"/>
      <c r="J209" s="88"/>
      <c r="K209" s="88"/>
      <c r="L209" s="87"/>
      <c r="M209" s="88"/>
      <c r="N209" s="88"/>
      <c r="O209" s="88"/>
      <c r="P209" s="88"/>
      <c r="Q209" s="87"/>
      <c r="R209" s="88"/>
      <c r="S209" s="88"/>
      <c r="T209" s="88"/>
      <c r="U209" s="88"/>
      <c r="V209" s="87"/>
      <c r="W209" s="88"/>
      <c r="X209" s="88"/>
      <c r="Y209" s="88"/>
      <c r="Z209" s="88"/>
      <c r="AA209" s="87"/>
      <c r="AB209" s="88"/>
      <c r="AC209" s="88"/>
      <c r="AD209" s="88"/>
      <c r="AE209" s="88"/>
      <c r="AF209" s="87"/>
      <c r="AG209" s="88"/>
      <c r="AH209" s="88"/>
      <c r="AI209" s="88"/>
      <c r="AJ209" s="88"/>
      <c r="AK209" s="90" t="n">
        <v>13200</v>
      </c>
      <c r="AL209" s="88"/>
      <c r="AM209" s="88"/>
      <c r="AN209" s="88"/>
      <c r="AO209" s="88"/>
      <c r="AP209" s="90" t="n">
        <v>15100</v>
      </c>
      <c r="AQ209" s="88"/>
      <c r="AR209" s="88"/>
      <c r="AS209" s="88"/>
      <c r="AT209" s="88"/>
      <c r="AU209" s="90" t="n">
        <v>28900</v>
      </c>
      <c r="AV209" s="88"/>
      <c r="AW209" s="88"/>
      <c r="AX209" s="88"/>
      <c r="AY209" s="88"/>
      <c r="AZ209" s="90" t="n">
        <v>45400</v>
      </c>
      <c r="BA209" s="88"/>
      <c r="BB209" s="88"/>
      <c r="BC209" s="88"/>
      <c r="BD209" s="88"/>
      <c r="BE209" s="90" t="n">
        <v>45000</v>
      </c>
      <c r="BF209" s="88"/>
      <c r="BG209" s="88"/>
      <c r="BH209" s="88"/>
      <c r="BI209" s="88"/>
      <c r="BJ209" s="90" t="n">
        <v>43300</v>
      </c>
      <c r="BK209" s="88"/>
      <c r="BL209" s="88"/>
      <c r="BM209" s="88"/>
      <c r="BN209" s="88"/>
      <c r="BO209" s="91"/>
      <c r="BP209" s="88"/>
      <c r="BQ209" s="88"/>
      <c r="BR209" s="88"/>
      <c r="BS209" s="88"/>
      <c r="BT209" s="87"/>
      <c r="BU209" s="88"/>
      <c r="BV209" s="88"/>
      <c r="BW209" s="88"/>
      <c r="BX209" s="88"/>
      <c r="BY209" s="87"/>
      <c r="BZ209" s="87"/>
      <c r="CA209" s="87"/>
      <c r="CB209" s="87"/>
      <c r="CC209" s="92"/>
    </row>
    <row r="210" s="45" customFormat="true" ht="15" hidden="true" customHeight="true" outlineLevel="1" collapsed="true">
      <c r="A210" s="212"/>
      <c r="B210" s="86"/>
      <c r="C210" s="87"/>
      <c r="D210" s="87"/>
      <c r="E210" s="87"/>
      <c r="F210" s="87"/>
      <c r="G210" s="87"/>
      <c r="H210" s="88"/>
      <c r="I210" s="88"/>
      <c r="J210" s="88"/>
      <c r="K210" s="88"/>
      <c r="L210" s="87"/>
      <c r="M210" s="88"/>
      <c r="N210" s="88"/>
      <c r="O210" s="88"/>
      <c r="P210" s="88"/>
      <c r="Q210" s="87"/>
      <c r="R210" s="88"/>
      <c r="S210" s="88"/>
      <c r="T210" s="88"/>
      <c r="U210" s="88"/>
      <c r="V210" s="87"/>
      <c r="W210" s="88"/>
      <c r="X210" s="88"/>
      <c r="Y210" s="88"/>
      <c r="Z210" s="88"/>
      <c r="AA210" s="87"/>
      <c r="AB210" s="88"/>
      <c r="AC210" s="88"/>
      <c r="AD210" s="88"/>
      <c r="AE210" s="88"/>
      <c r="AF210" s="87"/>
      <c r="AG210" s="88"/>
      <c r="AH210" s="88"/>
      <c r="AI210" s="88"/>
      <c r="AJ210" s="88"/>
      <c r="AK210" s="87"/>
      <c r="AL210" s="88"/>
      <c r="AM210" s="88"/>
      <c r="AN210" s="88"/>
      <c r="AO210" s="88"/>
      <c r="AP210" s="87"/>
      <c r="AQ210" s="88"/>
      <c r="AR210" s="88"/>
      <c r="AS210" s="88"/>
      <c r="AT210" s="88"/>
      <c r="AU210" s="87"/>
      <c r="AV210" s="88"/>
      <c r="AW210" s="88"/>
      <c r="AX210" s="88"/>
      <c r="AY210" s="88"/>
      <c r="AZ210" s="87"/>
      <c r="BA210" s="88"/>
      <c r="BB210" s="88"/>
      <c r="BC210" s="88"/>
      <c r="BD210" s="88"/>
      <c r="BE210" s="87"/>
      <c r="BF210" s="88"/>
      <c r="BG210" s="88"/>
      <c r="BH210" s="88"/>
      <c r="BI210" s="88"/>
      <c r="BJ210" s="87"/>
      <c r="BK210" s="88"/>
      <c r="BL210" s="88"/>
      <c r="BM210" s="88"/>
      <c r="BN210" s="88"/>
      <c r="BO210" s="91"/>
      <c r="BP210" s="88"/>
      <c r="BQ210" s="88"/>
      <c r="BR210" s="88"/>
      <c r="BS210" s="88"/>
      <c r="BT210" s="87"/>
      <c r="BU210" s="88"/>
      <c r="BV210" s="88"/>
      <c r="BW210" s="88"/>
      <c r="BX210" s="88"/>
      <c r="BY210" s="87"/>
      <c r="BZ210" s="87"/>
      <c r="CA210" s="87"/>
      <c r="CB210" s="87"/>
      <c r="CC210" s="92"/>
    </row>
    <row r="211" s="157" customFormat="true" ht="15" hidden="true" customHeight="true" outlineLevel="1" collapsed="false">
      <c r="A211" s="219" t="s">
        <v>311</v>
      </c>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c r="AA211" s="219"/>
      <c r="AB211" s="219"/>
      <c r="AC211" s="219"/>
      <c r="AD211" s="219"/>
      <c r="AE211" s="219"/>
      <c r="AF211" s="219"/>
      <c r="AG211" s="219"/>
      <c r="AH211" s="219"/>
      <c r="AI211" s="219"/>
      <c r="AJ211" s="219"/>
      <c r="AK211" s="219"/>
      <c r="AL211" s="219"/>
      <c r="AM211" s="219"/>
      <c r="AN211" s="219"/>
      <c r="AO211" s="219"/>
      <c r="AP211" s="219"/>
      <c r="AQ211" s="219"/>
      <c r="AR211" s="219"/>
      <c r="AS211" s="219"/>
      <c r="AT211" s="219"/>
      <c r="AU211" s="219"/>
      <c r="AV211" s="219"/>
      <c r="AW211" s="219"/>
      <c r="AX211" s="219"/>
      <c r="AY211" s="219"/>
      <c r="AZ211" s="219"/>
      <c r="BA211" s="219"/>
      <c r="BB211" s="219"/>
      <c r="BC211" s="219"/>
      <c r="BD211" s="219"/>
      <c r="BE211" s="219"/>
      <c r="BF211" s="219"/>
      <c r="BG211" s="219"/>
      <c r="BH211" s="219"/>
      <c r="BI211" s="219"/>
      <c r="BJ211" s="219"/>
      <c r="BK211" s="219"/>
      <c r="BL211" s="219"/>
      <c r="BM211" s="219"/>
      <c r="BN211" s="219"/>
      <c r="BO211" s="220"/>
      <c r="BP211" s="219"/>
      <c r="BQ211" s="219"/>
      <c r="BR211" s="219"/>
      <c r="BS211" s="219"/>
      <c r="BT211" s="219"/>
      <c r="BU211" s="219"/>
      <c r="BV211" s="219"/>
      <c r="BW211" s="219"/>
      <c r="BX211" s="219"/>
      <c r="BY211" s="219"/>
      <c r="BZ211" s="219"/>
      <c r="CA211" s="219"/>
      <c r="CB211" s="219"/>
      <c r="CC211" s="156"/>
    </row>
    <row r="212" s="51" customFormat="true" ht="15" hidden="true" customHeight="true" outlineLevel="2" collapsed="false">
      <c r="A212" s="270" t="s">
        <v>312</v>
      </c>
      <c r="B212" s="146"/>
      <c r="C212" s="255" t="n">
        <v>41.075</v>
      </c>
      <c r="D212" s="255" t="n">
        <v>396.748</v>
      </c>
      <c r="E212" s="148" t="n">
        <v>405.595</v>
      </c>
      <c r="F212" s="255" t="n">
        <v>292.309</v>
      </c>
      <c r="G212" s="255" t="n">
        <v>201.664</v>
      </c>
      <c r="H212" s="149"/>
      <c r="I212" s="149"/>
      <c r="J212" s="149"/>
      <c r="K212" s="149"/>
      <c r="L212" s="255" t="n">
        <v>477.11</v>
      </c>
      <c r="M212" s="149"/>
      <c r="N212" s="149"/>
      <c r="O212" s="149"/>
      <c r="P212" s="149"/>
      <c r="Q212" s="255" t="n">
        <v>668.381</v>
      </c>
      <c r="R212" s="149"/>
      <c r="S212" s="149"/>
      <c r="T212" s="149"/>
      <c r="U212" s="149"/>
      <c r="V212" s="255" t="n">
        <v>404.3</v>
      </c>
      <c r="W212" s="149"/>
      <c r="X212" s="149"/>
      <c r="Y212" s="149"/>
      <c r="Z212" s="149"/>
      <c r="AA212" s="255" t="n">
        <v>390.5</v>
      </c>
      <c r="AB212" s="149"/>
      <c r="AC212" s="149"/>
      <c r="AD212" s="149"/>
      <c r="AE212" s="149"/>
      <c r="AF212" s="255" t="n">
        <v>567.6</v>
      </c>
      <c r="AG212" s="149"/>
      <c r="AH212" s="149"/>
      <c r="AI212" s="149"/>
      <c r="AJ212" s="149"/>
      <c r="AK212" s="148" t="n">
        <v>463.2</v>
      </c>
      <c r="AL212" s="149"/>
      <c r="AM212" s="149"/>
      <c r="AN212" s="149"/>
      <c r="AO212" s="149"/>
      <c r="AP212" s="148" t="n">
        <v>542.8</v>
      </c>
      <c r="AQ212" s="149"/>
      <c r="AR212" s="149"/>
      <c r="AS212" s="149"/>
      <c r="AT212" s="149"/>
      <c r="AU212" s="148" t="n">
        <v>459.3</v>
      </c>
      <c r="AV212" s="149"/>
      <c r="AW212" s="149"/>
      <c r="AX212" s="149"/>
      <c r="AY212" s="149"/>
      <c r="AZ212" s="148" t="n">
        <v>1008.6</v>
      </c>
      <c r="BA212" s="149"/>
      <c r="BB212" s="149"/>
      <c r="BC212" s="149"/>
      <c r="BD212" s="149"/>
      <c r="BE212" s="148" t="n">
        <v>613.6</v>
      </c>
      <c r="BF212" s="149"/>
      <c r="BG212" s="149"/>
      <c r="BH212" s="149"/>
      <c r="BI212" s="149"/>
      <c r="BJ212" s="148" t="n">
        <v>1156</v>
      </c>
      <c r="BK212" s="149"/>
      <c r="BL212" s="149"/>
      <c r="BM212" s="149"/>
      <c r="BN212" s="149"/>
      <c r="BO212" s="150"/>
      <c r="BP212" s="149"/>
      <c r="BQ212" s="149"/>
      <c r="BR212" s="149"/>
      <c r="BS212" s="149"/>
      <c r="BT212" s="147"/>
      <c r="BU212" s="149"/>
      <c r="BV212" s="149"/>
      <c r="BW212" s="149"/>
      <c r="BX212" s="149"/>
      <c r="BY212" s="147"/>
      <c r="BZ212" s="147"/>
      <c r="CA212" s="147"/>
      <c r="CB212" s="147"/>
      <c r="CC212" s="50"/>
    </row>
    <row r="213" s="51" customFormat="true" ht="15" hidden="true" customHeight="true" outlineLevel="2" collapsed="false">
      <c r="A213" s="270" t="s">
        <v>313</v>
      </c>
      <c r="B213" s="146"/>
      <c r="C213" s="255" t="n">
        <v>377.677</v>
      </c>
      <c r="D213" s="255" t="n">
        <v>1396.028</v>
      </c>
      <c r="E213" s="148" t="n">
        <v>1318.777</v>
      </c>
      <c r="F213" s="255" t="n">
        <v>1276.304</v>
      </c>
      <c r="G213" s="255" t="n">
        <v>1286.509</v>
      </c>
      <c r="H213" s="149"/>
      <c r="I213" s="149"/>
      <c r="J213" s="149"/>
      <c r="K213" s="149"/>
      <c r="L213" s="255" t="n">
        <v>1624.059</v>
      </c>
      <c r="M213" s="149"/>
      <c r="N213" s="149"/>
      <c r="O213" s="149"/>
      <c r="P213" s="149"/>
      <c r="Q213" s="255" t="n">
        <v>1971.65</v>
      </c>
      <c r="R213" s="149"/>
      <c r="S213" s="149"/>
      <c r="T213" s="149"/>
      <c r="U213" s="149"/>
      <c r="V213" s="255" t="n">
        <v>1579.9</v>
      </c>
      <c r="W213" s="149"/>
      <c r="X213" s="149"/>
      <c r="Y213" s="149"/>
      <c r="Z213" s="149"/>
      <c r="AA213" s="255" t="n">
        <v>3068.3</v>
      </c>
      <c r="AB213" s="149"/>
      <c r="AC213" s="149"/>
      <c r="AD213" s="149"/>
      <c r="AE213" s="149"/>
      <c r="AF213" s="255" t="n">
        <v>3725.1</v>
      </c>
      <c r="AG213" s="149"/>
      <c r="AH213" s="149"/>
      <c r="AI213" s="149"/>
      <c r="AJ213" s="149"/>
      <c r="AK213" s="148" t="n">
        <v>2202.1</v>
      </c>
      <c r="AL213" s="149"/>
      <c r="AM213" s="149"/>
      <c r="AN213" s="149"/>
      <c r="AO213" s="149"/>
      <c r="AP213" s="148" t="n">
        <v>4151.6</v>
      </c>
      <c r="AQ213" s="149"/>
      <c r="AR213" s="149"/>
      <c r="AS213" s="149"/>
      <c r="AT213" s="149"/>
      <c r="AU213" s="148" t="n">
        <v>6223</v>
      </c>
      <c r="AV213" s="149"/>
      <c r="AW213" s="149"/>
      <c r="AX213" s="149"/>
      <c r="AY213" s="149"/>
      <c r="AZ213" s="148" t="n">
        <v>6045.6</v>
      </c>
      <c r="BA213" s="149"/>
      <c r="BB213" s="149"/>
      <c r="BC213" s="149"/>
      <c r="BD213" s="149"/>
      <c r="BE213" s="148" t="n">
        <v>6949.2</v>
      </c>
      <c r="BF213" s="149"/>
      <c r="BG213" s="149"/>
      <c r="BH213" s="149"/>
      <c r="BI213" s="149"/>
      <c r="BJ213" s="148" t="n">
        <v>6408.8</v>
      </c>
      <c r="BK213" s="149"/>
      <c r="BL213" s="149"/>
      <c r="BM213" s="149"/>
      <c r="BN213" s="149"/>
      <c r="BO213" s="150"/>
      <c r="BP213" s="149"/>
      <c r="BQ213" s="149"/>
      <c r="BR213" s="149"/>
      <c r="BS213" s="149"/>
      <c r="BT213" s="147"/>
      <c r="BU213" s="149"/>
      <c r="BV213" s="149"/>
      <c r="BW213" s="149"/>
      <c r="BX213" s="149"/>
      <c r="BY213" s="147"/>
      <c r="BZ213" s="147"/>
      <c r="CA213" s="147"/>
      <c r="CB213" s="147"/>
      <c r="CC213" s="50"/>
    </row>
    <row r="214" s="51" customFormat="true" ht="15" hidden="true" customHeight="true" outlineLevel="2" collapsed="false">
      <c r="A214" s="270" t="s">
        <v>314</v>
      </c>
      <c r="B214" s="146"/>
      <c r="C214" s="255" t="n">
        <v>155.825</v>
      </c>
      <c r="D214" s="255" t="n">
        <v>215.357</v>
      </c>
      <c r="E214" s="148" t="n">
        <v>436.308</v>
      </c>
      <c r="F214" s="255" t="n">
        <v>98.554</v>
      </c>
      <c r="G214" s="255" t="n">
        <v>139.313</v>
      </c>
      <c r="H214" s="149"/>
      <c r="I214" s="149"/>
      <c r="J214" s="149"/>
      <c r="K214" s="149"/>
      <c r="L214" s="255" t="n">
        <v>132.593</v>
      </c>
      <c r="M214" s="149"/>
      <c r="N214" s="149"/>
      <c r="O214" s="149"/>
      <c r="P214" s="149"/>
      <c r="Q214" s="255" t="n">
        <v>121.39</v>
      </c>
      <c r="R214" s="149"/>
      <c r="S214" s="149"/>
      <c r="T214" s="149"/>
      <c r="U214" s="149"/>
      <c r="V214" s="255" t="n">
        <v>245.8</v>
      </c>
      <c r="W214" s="149"/>
      <c r="X214" s="149"/>
      <c r="Y214" s="149"/>
      <c r="Z214" s="149"/>
      <c r="AA214" s="255" t="n">
        <v>159.2</v>
      </c>
      <c r="AB214" s="149"/>
      <c r="AC214" s="149"/>
      <c r="AD214" s="149"/>
      <c r="AE214" s="149"/>
      <c r="AF214" s="255" t="n">
        <v>222.5</v>
      </c>
      <c r="AG214" s="149"/>
      <c r="AH214" s="149"/>
      <c r="AI214" s="149"/>
      <c r="AJ214" s="149"/>
      <c r="AK214" s="148" t="n">
        <v>120</v>
      </c>
      <c r="AL214" s="149"/>
      <c r="AM214" s="149"/>
      <c r="AN214" s="149"/>
      <c r="AO214" s="149"/>
      <c r="AP214" s="148" t="n">
        <v>84.9</v>
      </c>
      <c r="AQ214" s="149"/>
      <c r="AR214" s="149"/>
      <c r="AS214" s="149"/>
      <c r="AT214" s="149"/>
      <c r="AU214" s="148" t="n">
        <v>126.2</v>
      </c>
      <c r="AV214" s="149"/>
      <c r="AW214" s="149"/>
      <c r="AX214" s="149"/>
      <c r="AY214" s="149"/>
      <c r="AZ214" s="148" t="n">
        <v>475.5</v>
      </c>
      <c r="BA214" s="149"/>
      <c r="BB214" s="149"/>
      <c r="BC214" s="149"/>
      <c r="BD214" s="149"/>
      <c r="BE214" s="148" t="n">
        <v>282.1</v>
      </c>
      <c r="BF214" s="149"/>
      <c r="BG214" s="149"/>
      <c r="BH214" s="149"/>
      <c r="BI214" s="149"/>
      <c r="BJ214" s="148" t="n">
        <v>285</v>
      </c>
      <c r="BK214" s="149"/>
      <c r="BL214" s="149"/>
      <c r="BM214" s="149"/>
      <c r="BN214" s="149"/>
      <c r="BO214" s="150"/>
      <c r="BP214" s="149"/>
      <c r="BQ214" s="149"/>
      <c r="BR214" s="149"/>
      <c r="BS214" s="149"/>
      <c r="BT214" s="147"/>
      <c r="BU214" s="149"/>
      <c r="BV214" s="149"/>
      <c r="BW214" s="149"/>
      <c r="BX214" s="149"/>
      <c r="BY214" s="147"/>
      <c r="BZ214" s="147"/>
      <c r="CA214" s="147"/>
      <c r="CB214" s="147"/>
      <c r="CC214" s="50"/>
    </row>
    <row r="215" s="51" customFormat="true" ht="15" hidden="true" customHeight="true" outlineLevel="2" collapsed="false">
      <c r="A215" s="270" t="s">
        <v>315</v>
      </c>
      <c r="B215" s="146"/>
      <c r="C215" s="255" t="n">
        <v>440.222</v>
      </c>
      <c r="D215" s="255" t="n">
        <v>1380.4</v>
      </c>
      <c r="E215" s="148" t="n">
        <v>1146.601</v>
      </c>
      <c r="F215" s="255" t="n">
        <v>1479.768</v>
      </c>
      <c r="G215" s="255" t="n">
        <v>2221.426</v>
      </c>
      <c r="H215" s="149"/>
      <c r="I215" s="149"/>
      <c r="J215" s="149"/>
      <c r="K215" s="149"/>
      <c r="L215" s="255" t="n">
        <v>1124.883</v>
      </c>
      <c r="M215" s="149"/>
      <c r="N215" s="149"/>
      <c r="O215" s="149"/>
      <c r="P215" s="149"/>
      <c r="Q215" s="255" t="n">
        <v>1551.512</v>
      </c>
      <c r="R215" s="149"/>
      <c r="S215" s="149"/>
      <c r="T215" s="149"/>
      <c r="U215" s="149"/>
      <c r="V215" s="255" t="n">
        <v>2084.7</v>
      </c>
      <c r="W215" s="149"/>
      <c r="X215" s="149"/>
      <c r="Y215" s="149"/>
      <c r="Z215" s="149"/>
      <c r="AA215" s="255" t="n">
        <v>2145.3</v>
      </c>
      <c r="AB215" s="149"/>
      <c r="AC215" s="149"/>
      <c r="AD215" s="149"/>
      <c r="AE215" s="149"/>
      <c r="AF215" s="255" t="n">
        <v>1989.5</v>
      </c>
      <c r="AG215" s="149"/>
      <c r="AH215" s="149"/>
      <c r="AI215" s="149"/>
      <c r="AJ215" s="149"/>
      <c r="AK215" s="148" t="n">
        <v>5357</v>
      </c>
      <c r="AL215" s="149"/>
      <c r="AM215" s="149"/>
      <c r="AN215" s="149"/>
      <c r="AO215" s="149"/>
      <c r="AP215" s="148" t="n">
        <v>4731.3</v>
      </c>
      <c r="AQ215" s="149"/>
      <c r="AR215" s="149"/>
      <c r="AS215" s="149"/>
      <c r="AT215" s="149"/>
      <c r="AU215" s="148" t="n">
        <v>7327.9</v>
      </c>
      <c r="AV215" s="149"/>
      <c r="AW215" s="149"/>
      <c r="AX215" s="149"/>
      <c r="AY215" s="149"/>
      <c r="AZ215" s="148" t="n">
        <v>8095.5</v>
      </c>
      <c r="BA215" s="149"/>
      <c r="BB215" s="149"/>
      <c r="BC215" s="149"/>
      <c r="BD215" s="149"/>
      <c r="BE215" s="148" t="n">
        <v>8074.6</v>
      </c>
      <c r="BF215" s="149"/>
      <c r="BG215" s="149"/>
      <c r="BH215" s="149"/>
      <c r="BI215" s="149"/>
      <c r="BJ215" s="148" t="n">
        <v>4354</v>
      </c>
      <c r="BK215" s="149"/>
      <c r="BL215" s="149"/>
      <c r="BM215" s="149"/>
      <c r="BN215" s="149"/>
      <c r="BO215" s="150"/>
      <c r="BP215" s="149"/>
      <c r="BQ215" s="149"/>
      <c r="BR215" s="149"/>
      <c r="BS215" s="149"/>
      <c r="BT215" s="147"/>
      <c r="BU215" s="149"/>
      <c r="BV215" s="149"/>
      <c r="BW215" s="149"/>
      <c r="BX215" s="149"/>
      <c r="BY215" s="147"/>
      <c r="BZ215" s="147"/>
      <c r="CA215" s="147"/>
      <c r="CB215" s="147"/>
      <c r="CC215" s="50"/>
    </row>
    <row r="216" s="51" customFormat="true" ht="15" hidden="true" customHeight="true" outlineLevel="2" collapsed="false">
      <c r="A216" s="270" t="s">
        <v>316</v>
      </c>
      <c r="B216" s="146"/>
      <c r="C216" s="159"/>
      <c r="D216" s="159"/>
      <c r="E216" s="159"/>
      <c r="F216" s="159"/>
      <c r="G216" s="159"/>
      <c r="H216" s="149"/>
      <c r="I216" s="149"/>
      <c r="J216" s="149"/>
      <c r="K216" s="149"/>
      <c r="L216" s="159"/>
      <c r="M216" s="149"/>
      <c r="N216" s="149"/>
      <c r="O216" s="149"/>
      <c r="P216" s="149"/>
      <c r="Q216" s="255" t="n">
        <v>541.899</v>
      </c>
      <c r="R216" s="149"/>
      <c r="S216" s="149"/>
      <c r="T216" s="149"/>
      <c r="U216" s="149"/>
      <c r="V216" s="255" t="n">
        <v>779.5</v>
      </c>
      <c r="W216" s="149"/>
      <c r="X216" s="149"/>
      <c r="Y216" s="149"/>
      <c r="Z216" s="149"/>
      <c r="AA216" s="255" t="n">
        <v>920.6</v>
      </c>
      <c r="AB216" s="149"/>
      <c r="AC216" s="149"/>
      <c r="AD216" s="149"/>
      <c r="AE216" s="149"/>
      <c r="AF216" s="255" t="n">
        <v>1842.8</v>
      </c>
      <c r="AG216" s="149"/>
      <c r="AH216" s="149"/>
      <c r="AI216" s="149"/>
      <c r="AJ216" s="149"/>
      <c r="AK216" s="148" t="n">
        <v>1377.7</v>
      </c>
      <c r="AL216" s="149"/>
      <c r="AM216" s="149"/>
      <c r="AN216" s="149"/>
      <c r="AO216" s="149"/>
      <c r="AP216" s="148" t="n">
        <v>2324.4</v>
      </c>
      <c r="AQ216" s="149"/>
      <c r="AR216" s="149"/>
      <c r="AS216" s="149"/>
      <c r="AT216" s="149"/>
      <c r="AU216" s="148" t="n">
        <v>2740.8</v>
      </c>
      <c r="AV216" s="149"/>
      <c r="AW216" s="149"/>
      <c r="AX216" s="149"/>
      <c r="AY216" s="149"/>
      <c r="AZ216" s="148" t="n">
        <v>2916</v>
      </c>
      <c r="BA216" s="149"/>
      <c r="BB216" s="149"/>
      <c r="BC216" s="149"/>
      <c r="BD216" s="149"/>
      <c r="BE216" s="148" t="n">
        <v>7251.8</v>
      </c>
      <c r="BF216" s="149"/>
      <c r="BG216" s="149"/>
      <c r="BH216" s="149"/>
      <c r="BI216" s="149"/>
      <c r="BJ216" s="148" t="n">
        <v>10195.1</v>
      </c>
      <c r="BK216" s="149"/>
      <c r="BL216" s="149"/>
      <c r="BM216" s="149"/>
      <c r="BN216" s="149"/>
      <c r="BO216" s="150"/>
      <c r="BP216" s="149"/>
      <c r="BQ216" s="149"/>
      <c r="BR216" s="149"/>
      <c r="BS216" s="149"/>
      <c r="BT216" s="147"/>
      <c r="BU216" s="149"/>
      <c r="BV216" s="149"/>
      <c r="BW216" s="149"/>
      <c r="BX216" s="149"/>
      <c r="BY216" s="147"/>
      <c r="BZ216" s="147"/>
      <c r="CA216" s="147"/>
      <c r="CB216" s="147"/>
      <c r="CC216" s="50"/>
    </row>
    <row r="217" s="51" customFormat="true" ht="15" hidden="true" customHeight="true" outlineLevel="2" collapsed="false">
      <c r="A217" s="270" t="s">
        <v>317</v>
      </c>
      <c r="B217" s="146"/>
      <c r="C217" s="255" t="n">
        <v>144.004</v>
      </c>
      <c r="D217" s="255" t="n">
        <v>239.914</v>
      </c>
      <c r="E217" s="255" t="n">
        <v>450.796</v>
      </c>
      <c r="F217" s="255" t="n">
        <v>197.262</v>
      </c>
      <c r="G217" s="255" t="n">
        <v>478.234</v>
      </c>
      <c r="H217" s="149"/>
      <c r="I217" s="149"/>
      <c r="J217" s="149"/>
      <c r="K217" s="149"/>
      <c r="L217" s="255" t="n">
        <v>405.576</v>
      </c>
      <c r="M217" s="149"/>
      <c r="N217" s="149"/>
      <c r="O217" s="149"/>
      <c r="P217" s="149"/>
      <c r="Q217" s="255" t="n">
        <v>2.077</v>
      </c>
      <c r="R217" s="149"/>
      <c r="S217" s="149"/>
      <c r="T217" s="149"/>
      <c r="U217" s="149"/>
      <c r="V217" s="255" t="n">
        <v>19.8</v>
      </c>
      <c r="W217" s="149"/>
      <c r="X217" s="149"/>
      <c r="Y217" s="149"/>
      <c r="Z217" s="149"/>
      <c r="AA217" s="255" t="n">
        <v>3.3</v>
      </c>
      <c r="AB217" s="149"/>
      <c r="AC217" s="149"/>
      <c r="AD217" s="149"/>
      <c r="AE217" s="149"/>
      <c r="AF217" s="255" t="n">
        <v>1.9</v>
      </c>
      <c r="AG217" s="149"/>
      <c r="AH217" s="149"/>
      <c r="AI217" s="149"/>
      <c r="AJ217" s="149"/>
      <c r="AK217" s="148" t="n">
        <v>2.6</v>
      </c>
      <c r="AL217" s="149"/>
      <c r="AM217" s="149"/>
      <c r="AN217" s="149"/>
      <c r="AO217" s="149"/>
      <c r="AP217" s="148" t="n">
        <v>1.6</v>
      </c>
      <c r="AQ217" s="149"/>
      <c r="AR217" s="149"/>
      <c r="AS217" s="149"/>
      <c r="AT217" s="149"/>
      <c r="AU217" s="148" t="n">
        <v>1.8</v>
      </c>
      <c r="AV217" s="149"/>
      <c r="AW217" s="149"/>
      <c r="AX217" s="149"/>
      <c r="AY217" s="149"/>
      <c r="AZ217" s="148" t="n">
        <v>7.2</v>
      </c>
      <c r="BA217" s="149"/>
      <c r="BB217" s="149"/>
      <c r="BC217" s="149"/>
      <c r="BD217" s="149"/>
      <c r="BE217" s="148" t="n">
        <v>3.9</v>
      </c>
      <c r="BF217" s="149"/>
      <c r="BG217" s="149"/>
      <c r="BH217" s="149"/>
      <c r="BI217" s="149"/>
      <c r="BJ217" s="148" t="n">
        <v>3.5</v>
      </c>
      <c r="BK217" s="149"/>
      <c r="BL217" s="149"/>
      <c r="BM217" s="149"/>
      <c r="BN217" s="149"/>
      <c r="BO217" s="150"/>
      <c r="BP217" s="149"/>
      <c r="BQ217" s="149"/>
      <c r="BR217" s="149"/>
      <c r="BS217" s="149"/>
      <c r="BT217" s="147"/>
      <c r="BU217" s="149"/>
      <c r="BV217" s="149"/>
      <c r="BW217" s="149"/>
      <c r="BX217" s="149"/>
      <c r="BY217" s="147"/>
      <c r="BZ217" s="147"/>
      <c r="CA217" s="147"/>
      <c r="CB217" s="147"/>
      <c r="CC217" s="50"/>
    </row>
    <row r="218" s="51" customFormat="true" ht="15" hidden="true" customHeight="true" outlineLevel="2" collapsed="false">
      <c r="A218" s="270" t="s">
        <v>318</v>
      </c>
      <c r="B218" s="146"/>
      <c r="C218" s="159"/>
      <c r="D218" s="159"/>
      <c r="E218" s="159"/>
      <c r="F218" s="159"/>
      <c r="G218" s="255" t="n">
        <v>11.525</v>
      </c>
      <c r="H218" s="149"/>
      <c r="I218" s="149"/>
      <c r="J218" s="149"/>
      <c r="K218" s="149"/>
      <c r="L218" s="255" t="n">
        <v>1.334</v>
      </c>
      <c r="M218" s="149"/>
      <c r="N218" s="149"/>
      <c r="O218" s="149"/>
      <c r="P218" s="149"/>
      <c r="Q218" s="255" t="n">
        <v>3.521</v>
      </c>
      <c r="R218" s="149"/>
      <c r="S218" s="149"/>
      <c r="T218" s="149"/>
      <c r="U218" s="149"/>
      <c r="V218" s="255" t="n">
        <v>1.5</v>
      </c>
      <c r="W218" s="149"/>
      <c r="X218" s="149"/>
      <c r="Y218" s="149"/>
      <c r="Z218" s="149"/>
      <c r="AA218" s="255" t="n">
        <v>3.9</v>
      </c>
      <c r="AB218" s="149"/>
      <c r="AC218" s="149"/>
      <c r="AD218" s="149"/>
      <c r="AE218" s="149"/>
      <c r="AF218" s="255" t="n">
        <v>1.2</v>
      </c>
      <c r="AG218" s="149"/>
      <c r="AH218" s="149"/>
      <c r="AI218" s="149"/>
      <c r="AJ218" s="149"/>
      <c r="AK218" s="148" t="n">
        <v>2.6</v>
      </c>
      <c r="AL218" s="149"/>
      <c r="AM218" s="149"/>
      <c r="AN218" s="149"/>
      <c r="AO218" s="149"/>
      <c r="AP218" s="148" t="n">
        <v>1.6</v>
      </c>
      <c r="AQ218" s="149"/>
      <c r="AR218" s="149"/>
      <c r="AS218" s="149"/>
      <c r="AT218" s="149"/>
      <c r="AU218" s="148" t="n">
        <v>14.2</v>
      </c>
      <c r="AV218" s="149"/>
      <c r="AW218" s="149"/>
      <c r="AX218" s="149"/>
      <c r="AY218" s="149"/>
      <c r="AZ218" s="148" t="n">
        <v>9.2</v>
      </c>
      <c r="BA218" s="149"/>
      <c r="BB218" s="149"/>
      <c r="BC218" s="149"/>
      <c r="BD218" s="149"/>
      <c r="BE218" s="148" t="n">
        <v>25.1</v>
      </c>
      <c r="BF218" s="149"/>
      <c r="BG218" s="149"/>
      <c r="BH218" s="149"/>
      <c r="BI218" s="149"/>
      <c r="BJ218" s="148" t="n">
        <v>16.6</v>
      </c>
      <c r="BK218" s="149"/>
      <c r="BL218" s="149"/>
      <c r="BM218" s="149"/>
      <c r="BN218" s="149"/>
      <c r="BO218" s="150"/>
      <c r="BP218" s="149"/>
      <c r="BQ218" s="149"/>
      <c r="BR218" s="149"/>
      <c r="BS218" s="149"/>
      <c r="BT218" s="147"/>
      <c r="BU218" s="149"/>
      <c r="BV218" s="149"/>
      <c r="BW218" s="149"/>
      <c r="BX218" s="149"/>
      <c r="BY218" s="147"/>
      <c r="BZ218" s="147"/>
      <c r="CA218" s="147"/>
      <c r="CB218" s="147"/>
      <c r="CC218" s="50"/>
    </row>
    <row r="219" s="51" customFormat="true" ht="15" hidden="true" customHeight="true" outlineLevel="2" collapsed="false">
      <c r="A219" s="270" t="s">
        <v>319</v>
      </c>
      <c r="B219" s="146"/>
      <c r="C219" s="255" t="n">
        <v>68.652</v>
      </c>
      <c r="D219" s="255" t="n">
        <v>203.548</v>
      </c>
      <c r="E219" s="255" t="n">
        <v>505.129</v>
      </c>
      <c r="F219" s="255" t="n">
        <v>256.192</v>
      </c>
      <c r="G219" s="255" t="n">
        <v>187.03</v>
      </c>
      <c r="H219" s="149"/>
      <c r="I219" s="149"/>
      <c r="J219" s="149"/>
      <c r="K219" s="149"/>
      <c r="L219" s="255" t="n">
        <v>196.332</v>
      </c>
      <c r="M219" s="149"/>
      <c r="N219" s="149"/>
      <c r="O219" s="149"/>
      <c r="P219" s="149"/>
      <c r="Q219" s="255" t="n">
        <v>211.038</v>
      </c>
      <c r="R219" s="149"/>
      <c r="S219" s="149"/>
      <c r="T219" s="149"/>
      <c r="U219" s="149"/>
      <c r="V219" s="255" t="n">
        <v>551.3</v>
      </c>
      <c r="W219" s="149"/>
      <c r="X219" s="149"/>
      <c r="Y219" s="149"/>
      <c r="Z219" s="149"/>
      <c r="AA219" s="255" t="n">
        <v>850.8</v>
      </c>
      <c r="AB219" s="149"/>
      <c r="AC219" s="149"/>
      <c r="AD219" s="149"/>
      <c r="AE219" s="149"/>
      <c r="AF219" s="255" t="n">
        <v>631.7</v>
      </c>
      <c r="AG219" s="149"/>
      <c r="AH219" s="149"/>
      <c r="AI219" s="149"/>
      <c r="AJ219" s="149"/>
      <c r="AK219" s="148" t="n">
        <v>314.6</v>
      </c>
      <c r="AL219" s="149"/>
      <c r="AM219" s="149"/>
      <c r="AN219" s="149"/>
      <c r="AO219" s="149"/>
      <c r="AP219" s="148" t="n">
        <v>483.3</v>
      </c>
      <c r="AQ219" s="149"/>
      <c r="AR219" s="149"/>
      <c r="AS219" s="149"/>
      <c r="AT219" s="149"/>
      <c r="AU219" s="148" t="n">
        <v>134.6</v>
      </c>
      <c r="AV219" s="149"/>
      <c r="AW219" s="149"/>
      <c r="AX219" s="149"/>
      <c r="AY219" s="149"/>
      <c r="AZ219" s="148" t="n">
        <v>624.5</v>
      </c>
      <c r="BA219" s="149"/>
      <c r="BB219" s="149"/>
      <c r="BC219" s="149"/>
      <c r="BD219" s="149"/>
      <c r="BE219" s="148" t="n">
        <v>1206.8</v>
      </c>
      <c r="BF219" s="149"/>
      <c r="BG219" s="149"/>
      <c r="BH219" s="149"/>
      <c r="BI219" s="149"/>
      <c r="BJ219" s="148" t="n">
        <v>1322.1</v>
      </c>
      <c r="BK219" s="149"/>
      <c r="BL219" s="149"/>
      <c r="BM219" s="149"/>
      <c r="BN219" s="149"/>
      <c r="BO219" s="150"/>
      <c r="BP219" s="149"/>
      <c r="BQ219" s="149"/>
      <c r="BR219" s="149"/>
      <c r="BS219" s="149"/>
      <c r="BT219" s="147"/>
      <c r="BU219" s="149"/>
      <c r="BV219" s="149"/>
      <c r="BW219" s="149"/>
      <c r="BX219" s="149"/>
      <c r="BY219" s="147"/>
      <c r="BZ219" s="147"/>
      <c r="CA219" s="147"/>
      <c r="CB219" s="147"/>
      <c r="CC219" s="50"/>
    </row>
    <row r="220" s="51" customFormat="true" ht="15" hidden="true" customHeight="true" outlineLevel="2" collapsed="false">
      <c r="A220" s="270" t="s">
        <v>320</v>
      </c>
      <c r="B220" s="146"/>
      <c r="C220" s="258" t="n">
        <v>368.608</v>
      </c>
      <c r="D220" s="258" t="n">
        <v>675.943</v>
      </c>
      <c r="E220" s="258" t="n">
        <v>1387.829</v>
      </c>
      <c r="F220" s="258" t="n">
        <v>1131.166</v>
      </c>
      <c r="G220" s="258" t="n">
        <v>719.625</v>
      </c>
      <c r="H220" s="149"/>
      <c r="I220" s="149"/>
      <c r="J220" s="149"/>
      <c r="K220" s="149"/>
      <c r="L220" s="258" t="n">
        <v>1894.39</v>
      </c>
      <c r="M220" s="149"/>
      <c r="N220" s="149"/>
      <c r="O220" s="149"/>
      <c r="P220" s="149"/>
      <c r="Q220" s="258" t="n">
        <v>1215.907</v>
      </c>
      <c r="R220" s="149"/>
      <c r="S220" s="149"/>
      <c r="T220" s="149"/>
      <c r="U220" s="149"/>
      <c r="V220" s="258" t="n">
        <v>1128</v>
      </c>
      <c r="W220" s="149"/>
      <c r="X220" s="149"/>
      <c r="Y220" s="149"/>
      <c r="Z220" s="149"/>
      <c r="AA220" s="258" t="n">
        <v>1510.9</v>
      </c>
      <c r="AB220" s="149"/>
      <c r="AC220" s="149"/>
      <c r="AD220" s="149"/>
      <c r="AE220" s="149"/>
      <c r="AF220" s="258" t="n">
        <v>1961.7</v>
      </c>
      <c r="AG220" s="149"/>
      <c r="AH220" s="149"/>
      <c r="AI220" s="149"/>
      <c r="AJ220" s="149"/>
      <c r="AK220" s="148" t="n">
        <v>1980.2</v>
      </c>
      <c r="AL220" s="149"/>
      <c r="AM220" s="149"/>
      <c r="AN220" s="149"/>
      <c r="AO220" s="149"/>
      <c r="AP220" s="148" t="n">
        <v>1657</v>
      </c>
      <c r="AQ220" s="149"/>
      <c r="AR220" s="149"/>
      <c r="AS220" s="149"/>
      <c r="AT220" s="149"/>
      <c r="AU220" s="148" t="n">
        <v>1583.2</v>
      </c>
      <c r="AV220" s="149"/>
      <c r="AW220" s="149"/>
      <c r="AX220" s="149"/>
      <c r="AY220" s="149"/>
      <c r="AZ220" s="148" t="n">
        <v>1991.3</v>
      </c>
      <c r="BA220" s="149"/>
      <c r="BB220" s="149"/>
      <c r="BC220" s="149"/>
      <c r="BD220" s="149"/>
      <c r="BE220" s="148" t="n">
        <v>3151.4</v>
      </c>
      <c r="BF220" s="149"/>
      <c r="BG220" s="149"/>
      <c r="BH220" s="149"/>
      <c r="BI220" s="149"/>
      <c r="BJ220" s="148" t="n">
        <v>4521.8</v>
      </c>
      <c r="BK220" s="149"/>
      <c r="BL220" s="149"/>
      <c r="BM220" s="149"/>
      <c r="BN220" s="149"/>
      <c r="BO220" s="150"/>
      <c r="BP220" s="149"/>
      <c r="BQ220" s="149"/>
      <c r="BR220" s="149"/>
      <c r="BS220" s="149"/>
      <c r="BT220" s="147"/>
      <c r="BU220" s="149"/>
      <c r="BV220" s="149"/>
      <c r="BW220" s="149"/>
      <c r="BX220" s="149"/>
      <c r="BY220" s="147"/>
      <c r="BZ220" s="147"/>
      <c r="CA220" s="147"/>
      <c r="CB220" s="147"/>
      <c r="CC220" s="50"/>
    </row>
    <row r="221" s="157" customFormat="true" ht="15" hidden="true" customHeight="true" outlineLevel="2" collapsed="false">
      <c r="A221" s="244" t="s">
        <v>321</v>
      </c>
      <c r="B221" s="152"/>
      <c r="C221" s="272" t="n">
        <f aca="false">SUM(C212:C220)</f>
        <v>1596.063</v>
      </c>
      <c r="D221" s="272" t="n">
        <f aca="false">SUM(D212:D220)</f>
        <v>4507.938</v>
      </c>
      <c r="E221" s="272" t="n">
        <f aca="false">SUM(E212:E220)</f>
        <v>5651.035</v>
      </c>
      <c r="F221" s="272" t="n">
        <f aca="false">SUM(F212:F220)</f>
        <v>4731.555</v>
      </c>
      <c r="G221" s="272" t="n">
        <f aca="false">SUM(G212:G220)</f>
        <v>5245.326</v>
      </c>
      <c r="H221" s="154"/>
      <c r="I221" s="154"/>
      <c r="J221" s="154"/>
      <c r="K221" s="154"/>
      <c r="L221" s="272" t="n">
        <f aca="false">SUM(L212:L220)</f>
        <v>5856.277</v>
      </c>
      <c r="M221" s="154"/>
      <c r="N221" s="154"/>
      <c r="O221" s="154"/>
      <c r="P221" s="154"/>
      <c r="Q221" s="272" t="n">
        <f aca="false">SUM(Q212:Q220)</f>
        <v>6287.375</v>
      </c>
      <c r="R221" s="154"/>
      <c r="S221" s="154"/>
      <c r="T221" s="154"/>
      <c r="U221" s="154"/>
      <c r="V221" s="272" t="n">
        <f aca="false">SUM(V212:V220)</f>
        <v>6794.8</v>
      </c>
      <c r="W221" s="154"/>
      <c r="X221" s="154"/>
      <c r="Y221" s="154"/>
      <c r="Z221" s="154"/>
      <c r="AA221" s="357" t="n">
        <f aca="false">SUM(AA212:AA220)</f>
        <v>9052.8</v>
      </c>
      <c r="AB221" s="154"/>
      <c r="AC221" s="154"/>
      <c r="AD221" s="154"/>
      <c r="AE221" s="154"/>
      <c r="AF221" s="357" t="n">
        <f aca="false">SUM(AF212:AF220)</f>
        <v>10944</v>
      </c>
      <c r="AG221" s="154"/>
      <c r="AH221" s="154"/>
      <c r="AI221" s="154"/>
      <c r="AJ221" s="154"/>
      <c r="AK221" s="272" t="n">
        <f aca="false">SUM(AK212:AK220)</f>
        <v>11820</v>
      </c>
      <c r="AL221" s="154"/>
      <c r="AM221" s="154"/>
      <c r="AN221" s="154"/>
      <c r="AO221" s="154"/>
      <c r="AP221" s="272" t="n">
        <f aca="false">SUM(AP212:AP220)</f>
        <v>13978.5</v>
      </c>
      <c r="AQ221" s="154"/>
      <c r="AR221" s="154"/>
      <c r="AS221" s="154"/>
      <c r="AT221" s="154"/>
      <c r="AU221" s="153" t="n">
        <f aca="false">SUM(AU212:AU220)</f>
        <v>18611</v>
      </c>
      <c r="AV221" s="154"/>
      <c r="AW221" s="154"/>
      <c r="AX221" s="154"/>
      <c r="AY221" s="154"/>
      <c r="AZ221" s="153" t="n">
        <f aca="false">SUM(AZ212:AZ220)</f>
        <v>21173.4</v>
      </c>
      <c r="BA221" s="154"/>
      <c r="BB221" s="154"/>
      <c r="BC221" s="154"/>
      <c r="BD221" s="154"/>
      <c r="BE221" s="153" t="n">
        <f aca="false">SUM(BE212:BE220)</f>
        <v>27558.5</v>
      </c>
      <c r="BF221" s="154"/>
      <c r="BG221" s="154"/>
      <c r="BH221" s="154"/>
      <c r="BI221" s="154"/>
      <c r="BJ221" s="153" t="n">
        <f aca="false">SUM(BJ212:BJ220)</f>
        <v>28262.9</v>
      </c>
      <c r="BK221" s="154"/>
      <c r="BL221" s="154"/>
      <c r="BM221" s="154"/>
      <c r="BN221" s="154"/>
      <c r="BO221" s="155"/>
      <c r="BP221" s="154"/>
      <c r="BQ221" s="154"/>
      <c r="BR221" s="154"/>
      <c r="BS221" s="154"/>
      <c r="BT221" s="153"/>
      <c r="BU221" s="154"/>
      <c r="BV221" s="154"/>
      <c r="BW221" s="154"/>
      <c r="BX221" s="154"/>
      <c r="BY221" s="153"/>
      <c r="BZ221" s="153"/>
      <c r="CA221" s="153"/>
      <c r="CB221" s="153"/>
      <c r="CC221" s="156"/>
    </row>
    <row r="222" s="157" customFormat="true" ht="15" hidden="true" customHeight="true" outlineLevel="2" collapsed="false">
      <c r="A222" s="252"/>
      <c r="B222" s="222"/>
      <c r="C222" s="223"/>
      <c r="D222" s="223"/>
      <c r="E222" s="223"/>
      <c r="F222" s="223"/>
      <c r="G222" s="223"/>
      <c r="H222" s="224"/>
      <c r="I222" s="224"/>
      <c r="J222" s="224"/>
      <c r="K222" s="224"/>
      <c r="L222" s="223"/>
      <c r="M222" s="224"/>
      <c r="N222" s="224"/>
      <c r="O222" s="224"/>
      <c r="P222" s="224"/>
      <c r="Q222" s="223"/>
      <c r="R222" s="224"/>
      <c r="S222" s="224"/>
      <c r="T222" s="224"/>
      <c r="U222" s="224"/>
      <c r="V222" s="223"/>
      <c r="W222" s="224"/>
      <c r="X222" s="224"/>
      <c r="Y222" s="224"/>
      <c r="Z222" s="224"/>
      <c r="AA222" s="267"/>
      <c r="AB222" s="224"/>
      <c r="AC222" s="224"/>
      <c r="AD222" s="224"/>
      <c r="AE222" s="224"/>
      <c r="AF222" s="267"/>
      <c r="AG222" s="224"/>
      <c r="AH222" s="224"/>
      <c r="AI222" s="224"/>
      <c r="AJ222" s="224"/>
      <c r="AK222" s="223"/>
      <c r="AL222" s="224"/>
      <c r="AM222" s="224"/>
      <c r="AN222" s="224"/>
      <c r="AO222" s="224"/>
      <c r="AP222" s="223"/>
      <c r="AQ222" s="224"/>
      <c r="AR222" s="224"/>
      <c r="AS222" s="224"/>
      <c r="AT222" s="224"/>
      <c r="AU222" s="223"/>
      <c r="AV222" s="224"/>
      <c r="AW222" s="224"/>
      <c r="AX222" s="224"/>
      <c r="AY222" s="224"/>
      <c r="AZ222" s="223"/>
      <c r="BA222" s="224"/>
      <c r="BB222" s="224"/>
      <c r="BC222" s="224"/>
      <c r="BD222" s="224"/>
      <c r="BE222" s="223"/>
      <c r="BF222" s="224"/>
      <c r="BG222" s="224"/>
      <c r="BH222" s="224"/>
      <c r="BI222" s="224"/>
      <c r="BJ222" s="223"/>
      <c r="BK222" s="224"/>
      <c r="BL222" s="224"/>
      <c r="BM222" s="224"/>
      <c r="BN222" s="224"/>
      <c r="BO222" s="225"/>
      <c r="BP222" s="224"/>
      <c r="BQ222" s="224"/>
      <c r="BR222" s="224"/>
      <c r="BS222" s="224"/>
      <c r="BT222" s="223"/>
      <c r="BU222" s="224"/>
      <c r="BV222" s="224"/>
      <c r="BW222" s="224"/>
      <c r="BX222" s="224"/>
      <c r="BY222" s="223"/>
      <c r="BZ222" s="223"/>
      <c r="CA222" s="223"/>
      <c r="CB222" s="223"/>
      <c r="CC222" s="156"/>
    </row>
    <row r="223" s="157" customFormat="true" ht="15" hidden="true" customHeight="true" outlineLevel="3" collapsed="false">
      <c r="A223" s="252" t="s">
        <v>322</v>
      </c>
      <c r="B223" s="222"/>
      <c r="C223" s="223" t="n">
        <f aca="false">C218+C219</f>
        <v>68.652</v>
      </c>
      <c r="D223" s="223" t="n">
        <f aca="false">D218+D219</f>
        <v>203.548</v>
      </c>
      <c r="E223" s="223" t="n">
        <f aca="false">E218+E219</f>
        <v>505.129</v>
      </c>
      <c r="F223" s="223" t="n">
        <f aca="false">F218+F219</f>
        <v>256.192</v>
      </c>
      <c r="G223" s="223" t="n">
        <f aca="false">G218+G219</f>
        <v>198.555</v>
      </c>
      <c r="H223" s="224"/>
      <c r="I223" s="224"/>
      <c r="J223" s="224"/>
      <c r="K223" s="224"/>
      <c r="L223" s="223" t="n">
        <f aca="false">L218+L219</f>
        <v>197.666</v>
      </c>
      <c r="M223" s="224"/>
      <c r="N223" s="224"/>
      <c r="O223" s="224"/>
      <c r="P223" s="224"/>
      <c r="Q223" s="223" t="n">
        <f aca="false">Q218+Q219</f>
        <v>214.559</v>
      </c>
      <c r="R223" s="224"/>
      <c r="S223" s="224"/>
      <c r="T223" s="224"/>
      <c r="U223" s="224"/>
      <c r="V223" s="223" t="n">
        <f aca="false">V218+V219</f>
        <v>552.8</v>
      </c>
      <c r="W223" s="224"/>
      <c r="X223" s="224"/>
      <c r="Y223" s="224"/>
      <c r="Z223" s="224"/>
      <c r="AA223" s="267" t="n">
        <f aca="false">AA218+AA219</f>
        <v>854.7</v>
      </c>
      <c r="AB223" s="224"/>
      <c r="AC223" s="224"/>
      <c r="AD223" s="224"/>
      <c r="AE223" s="224"/>
      <c r="AF223" s="267" t="n">
        <f aca="false">AF218+AF219</f>
        <v>632.9</v>
      </c>
      <c r="AG223" s="224"/>
      <c r="AH223" s="224"/>
      <c r="AI223" s="224"/>
      <c r="AJ223" s="224"/>
      <c r="AK223" s="223" t="n">
        <f aca="false">AK218+AK219</f>
        <v>317.2</v>
      </c>
      <c r="AL223" s="224"/>
      <c r="AM223" s="224"/>
      <c r="AN223" s="224"/>
      <c r="AO223" s="224"/>
      <c r="AP223" s="223" t="n">
        <f aca="false">AP218+AP219</f>
        <v>484.9</v>
      </c>
      <c r="AQ223" s="224"/>
      <c r="AR223" s="224"/>
      <c r="AS223" s="224"/>
      <c r="AT223" s="224"/>
      <c r="AU223" s="223" t="n">
        <f aca="false">AU218+AU219</f>
        <v>148.8</v>
      </c>
      <c r="AV223" s="224"/>
      <c r="AW223" s="224"/>
      <c r="AX223" s="224"/>
      <c r="AY223" s="224"/>
      <c r="AZ223" s="223" t="n">
        <f aca="false">AZ218+AZ219</f>
        <v>633.7</v>
      </c>
      <c r="BA223" s="224"/>
      <c r="BB223" s="224"/>
      <c r="BC223" s="224"/>
      <c r="BD223" s="224"/>
      <c r="BE223" s="223" t="n">
        <f aca="false">BE218+BE219</f>
        <v>1231.9</v>
      </c>
      <c r="BF223" s="224"/>
      <c r="BG223" s="224"/>
      <c r="BH223" s="224"/>
      <c r="BI223" s="224"/>
      <c r="BJ223" s="223" t="n">
        <f aca="false">BJ218+BJ219</f>
        <v>1338.7</v>
      </c>
      <c r="BK223" s="224"/>
      <c r="BL223" s="224"/>
      <c r="BM223" s="224"/>
      <c r="BN223" s="224"/>
      <c r="BO223" s="225"/>
      <c r="BP223" s="224"/>
      <c r="BQ223" s="224"/>
      <c r="BR223" s="224"/>
      <c r="BS223" s="224"/>
      <c r="BT223" s="223"/>
      <c r="BU223" s="224"/>
      <c r="BV223" s="224"/>
      <c r="BW223" s="224"/>
      <c r="BX223" s="224"/>
      <c r="BY223" s="223"/>
      <c r="BZ223" s="223"/>
      <c r="CA223" s="223"/>
      <c r="CB223" s="223"/>
      <c r="CC223" s="156"/>
    </row>
    <row r="224" s="157" customFormat="true" ht="15" hidden="true" customHeight="true" outlineLevel="3" collapsed="false">
      <c r="A224" s="252"/>
      <c r="B224" s="222"/>
      <c r="C224" s="223"/>
      <c r="D224" s="223"/>
      <c r="E224" s="223"/>
      <c r="F224" s="223"/>
      <c r="G224" s="223"/>
      <c r="H224" s="224"/>
      <c r="I224" s="224"/>
      <c r="J224" s="224"/>
      <c r="K224" s="224"/>
      <c r="L224" s="223"/>
      <c r="M224" s="224"/>
      <c r="N224" s="224"/>
      <c r="O224" s="224"/>
      <c r="P224" s="224"/>
      <c r="Q224" s="223"/>
      <c r="R224" s="224"/>
      <c r="S224" s="224"/>
      <c r="T224" s="224"/>
      <c r="U224" s="224"/>
      <c r="V224" s="223"/>
      <c r="W224" s="224"/>
      <c r="X224" s="224"/>
      <c r="Y224" s="224"/>
      <c r="Z224" s="224"/>
      <c r="AA224" s="267"/>
      <c r="AB224" s="224"/>
      <c r="AC224" s="224"/>
      <c r="AD224" s="224"/>
      <c r="AE224" s="224"/>
      <c r="AF224" s="267"/>
      <c r="AG224" s="224"/>
      <c r="AH224" s="224"/>
      <c r="AI224" s="224"/>
      <c r="AJ224" s="224"/>
      <c r="AK224" s="223"/>
      <c r="AL224" s="224"/>
      <c r="AM224" s="224"/>
      <c r="AN224" s="224"/>
      <c r="AO224" s="224"/>
      <c r="AP224" s="223"/>
      <c r="AQ224" s="224"/>
      <c r="AR224" s="224"/>
      <c r="AS224" s="224"/>
      <c r="AT224" s="224"/>
      <c r="AU224" s="223"/>
      <c r="AV224" s="224"/>
      <c r="AW224" s="224"/>
      <c r="AX224" s="224"/>
      <c r="AY224" s="224"/>
      <c r="AZ224" s="223"/>
      <c r="BA224" s="224"/>
      <c r="BB224" s="224"/>
      <c r="BC224" s="224"/>
      <c r="BD224" s="224"/>
      <c r="BE224" s="223"/>
      <c r="BF224" s="224"/>
      <c r="BG224" s="224"/>
      <c r="BH224" s="224"/>
      <c r="BI224" s="224"/>
      <c r="BJ224" s="223"/>
      <c r="BK224" s="224"/>
      <c r="BL224" s="224"/>
      <c r="BM224" s="224"/>
      <c r="BN224" s="224"/>
      <c r="BO224" s="225"/>
      <c r="BP224" s="224"/>
      <c r="BQ224" s="224"/>
      <c r="BR224" s="224"/>
      <c r="BS224" s="224"/>
      <c r="BT224" s="223"/>
      <c r="BU224" s="224"/>
      <c r="BV224" s="224"/>
      <c r="BW224" s="224"/>
      <c r="BX224" s="224"/>
      <c r="BY224" s="223"/>
      <c r="BZ224" s="223"/>
      <c r="CA224" s="223"/>
      <c r="CB224" s="223"/>
      <c r="CC224" s="156"/>
    </row>
    <row r="225" s="237" customFormat="true" ht="15" hidden="true" customHeight="true" outlineLevel="2" collapsed="true">
      <c r="A225" s="315" t="s">
        <v>323</v>
      </c>
      <c r="B225" s="232"/>
      <c r="C225" s="358" t="n">
        <f aca="false">C212/C221</f>
        <v>0.025735199675702</v>
      </c>
      <c r="D225" s="358" t="n">
        <f aca="false">D212/D221</f>
        <v>0.0880109708696082</v>
      </c>
      <c r="E225" s="317" t="n">
        <f aca="false">E212/E221</f>
        <v>0.0717735777605341</v>
      </c>
      <c r="F225" s="358" t="n">
        <f aca="false">F212/F221</f>
        <v>0.0617786330286766</v>
      </c>
      <c r="G225" s="358" t="n">
        <f aca="false">G212/G221</f>
        <v>0.0384464187735901</v>
      </c>
      <c r="H225" s="234"/>
      <c r="I225" s="234"/>
      <c r="J225" s="234"/>
      <c r="K225" s="234"/>
      <c r="L225" s="358" t="n">
        <f aca="false">L212/L221</f>
        <v>0.0814698485061414</v>
      </c>
      <c r="M225" s="234"/>
      <c r="N225" s="234"/>
      <c r="O225" s="234"/>
      <c r="P225" s="234"/>
      <c r="Q225" s="358" t="n">
        <f aca="false">Q212/Q221</f>
        <v>0.106305254577626</v>
      </c>
      <c r="R225" s="234"/>
      <c r="S225" s="234"/>
      <c r="T225" s="234"/>
      <c r="U225" s="234"/>
      <c r="V225" s="358" t="n">
        <f aca="false">V212/V221</f>
        <v>0.0595013834108436</v>
      </c>
      <c r="W225" s="234"/>
      <c r="X225" s="234"/>
      <c r="Y225" s="234"/>
      <c r="Z225" s="234"/>
      <c r="AA225" s="358" t="n">
        <f aca="false">AA212/AA221</f>
        <v>0.0431358253799929</v>
      </c>
      <c r="AB225" s="234"/>
      <c r="AC225" s="234"/>
      <c r="AD225" s="234"/>
      <c r="AE225" s="234"/>
      <c r="AF225" s="358" t="n">
        <f aca="false">AF212/AF221</f>
        <v>0.0518640350877193</v>
      </c>
      <c r="AG225" s="234"/>
      <c r="AH225" s="234"/>
      <c r="AI225" s="234"/>
      <c r="AJ225" s="234"/>
      <c r="AK225" s="317" t="n">
        <f aca="false">AK212/AK221</f>
        <v>0.0391878172588833</v>
      </c>
      <c r="AL225" s="234"/>
      <c r="AM225" s="234"/>
      <c r="AN225" s="234"/>
      <c r="AO225" s="234"/>
      <c r="AP225" s="317" t="n">
        <f aca="false">AP212/AP221</f>
        <v>0.0388310619880531</v>
      </c>
      <c r="AQ225" s="234"/>
      <c r="AR225" s="234"/>
      <c r="AS225" s="234"/>
      <c r="AT225" s="234"/>
      <c r="AU225" s="233" t="n">
        <f aca="false">AU212/AU221</f>
        <v>0.0246789533071839</v>
      </c>
      <c r="AV225" s="234"/>
      <c r="AW225" s="234"/>
      <c r="AX225" s="234"/>
      <c r="AY225" s="234"/>
      <c r="AZ225" s="233" t="n">
        <f aca="false">AZ212/AZ221</f>
        <v>0.0476352404431976</v>
      </c>
      <c r="BA225" s="234"/>
      <c r="BB225" s="234"/>
      <c r="BC225" s="234"/>
      <c r="BD225" s="234"/>
      <c r="BE225" s="233" t="n">
        <f aca="false">BE212/BE221</f>
        <v>0.0222653627737359</v>
      </c>
      <c r="BF225" s="234"/>
      <c r="BG225" s="234"/>
      <c r="BH225" s="234"/>
      <c r="BI225" s="234"/>
      <c r="BJ225" s="233" t="n">
        <f aca="false">BJ212/BJ221</f>
        <v>0.0409016767564546</v>
      </c>
      <c r="BK225" s="234"/>
      <c r="BL225" s="234"/>
      <c r="BM225" s="234"/>
      <c r="BN225" s="234"/>
      <c r="BO225" s="235"/>
      <c r="BP225" s="234"/>
      <c r="BQ225" s="234"/>
      <c r="BR225" s="234"/>
      <c r="BS225" s="234"/>
      <c r="BT225" s="233"/>
      <c r="BU225" s="234"/>
      <c r="BV225" s="234"/>
      <c r="BW225" s="234"/>
      <c r="BX225" s="234"/>
      <c r="BY225" s="233"/>
      <c r="BZ225" s="233"/>
      <c r="CA225" s="233"/>
      <c r="CB225" s="233"/>
      <c r="CC225" s="236"/>
    </row>
    <row r="226" s="237" customFormat="true" ht="15" hidden="true" customHeight="true" outlineLevel="2" collapsed="false">
      <c r="A226" s="315" t="s">
        <v>324</v>
      </c>
      <c r="B226" s="232"/>
      <c r="C226" s="358" t="n">
        <f aca="false">C213/C221</f>
        <v>0.236630383637739</v>
      </c>
      <c r="D226" s="358" t="n">
        <f aca="false">D213/D221</f>
        <v>0.309682165105199</v>
      </c>
      <c r="E226" s="317" t="n">
        <f aca="false">E213/E221</f>
        <v>0.233369108490746</v>
      </c>
      <c r="F226" s="358" t="n">
        <f aca="false">F213/F221</f>
        <v>0.26974303373838</v>
      </c>
      <c r="G226" s="358" t="n">
        <f aca="false">G213/G221</f>
        <v>0.24526769165539</v>
      </c>
      <c r="H226" s="234"/>
      <c r="I226" s="234"/>
      <c r="J226" s="234"/>
      <c r="K226" s="234"/>
      <c r="L226" s="358" t="n">
        <f aca="false">L213/L221</f>
        <v>0.277319361771993</v>
      </c>
      <c r="M226" s="234"/>
      <c r="N226" s="234"/>
      <c r="O226" s="234"/>
      <c r="P226" s="234"/>
      <c r="Q226" s="358" t="n">
        <f aca="false">Q213/Q221</f>
        <v>0.313588739338754</v>
      </c>
      <c r="R226" s="234"/>
      <c r="S226" s="234"/>
      <c r="T226" s="234"/>
      <c r="U226" s="234"/>
      <c r="V226" s="358" t="n">
        <f aca="false">V213/V221</f>
        <v>0.232516041678931</v>
      </c>
      <c r="W226" s="234"/>
      <c r="X226" s="234"/>
      <c r="Y226" s="234"/>
      <c r="Z226" s="234"/>
      <c r="AA226" s="358" t="n">
        <f aca="false">AA213/AA221</f>
        <v>0.338933810533758</v>
      </c>
      <c r="AB226" s="234"/>
      <c r="AC226" s="234"/>
      <c r="AD226" s="234"/>
      <c r="AE226" s="234"/>
      <c r="AF226" s="358" t="n">
        <f aca="false">AF213/AF221</f>
        <v>0.340378289473684</v>
      </c>
      <c r="AG226" s="234"/>
      <c r="AH226" s="234"/>
      <c r="AI226" s="234"/>
      <c r="AJ226" s="234"/>
      <c r="AK226" s="317" t="n">
        <f aca="false">AK213/AK221</f>
        <v>0.186302876480541</v>
      </c>
      <c r="AL226" s="234"/>
      <c r="AM226" s="234"/>
      <c r="AN226" s="234"/>
      <c r="AO226" s="234"/>
      <c r="AP226" s="317" t="n">
        <f aca="false">AP213/AP221</f>
        <v>0.296998962692707</v>
      </c>
      <c r="AQ226" s="234"/>
      <c r="AR226" s="234"/>
      <c r="AS226" s="234"/>
      <c r="AT226" s="234"/>
      <c r="AU226" s="233" t="n">
        <f aca="false">AU213/AU221</f>
        <v>0.334372145505346</v>
      </c>
      <c r="AV226" s="234"/>
      <c r="AW226" s="234"/>
      <c r="AX226" s="234"/>
      <c r="AY226" s="234"/>
      <c r="AZ226" s="233" t="n">
        <f aca="false">AZ213/AZ221</f>
        <v>0.285528068236561</v>
      </c>
      <c r="BA226" s="234"/>
      <c r="BB226" s="234"/>
      <c r="BC226" s="234"/>
      <c r="BD226" s="234"/>
      <c r="BE226" s="233" t="n">
        <f aca="false">BE213/BE221</f>
        <v>0.252161764972694</v>
      </c>
      <c r="BF226" s="234"/>
      <c r="BG226" s="234"/>
      <c r="BH226" s="234"/>
      <c r="BI226" s="234"/>
      <c r="BJ226" s="233" t="n">
        <f aca="false">BJ213/BJ221</f>
        <v>0.226756631485092</v>
      </c>
      <c r="BK226" s="234"/>
      <c r="BL226" s="234"/>
      <c r="BM226" s="234"/>
      <c r="BN226" s="234"/>
      <c r="BO226" s="235"/>
      <c r="BP226" s="234"/>
      <c r="BQ226" s="234"/>
      <c r="BR226" s="234"/>
      <c r="BS226" s="234"/>
      <c r="BT226" s="233"/>
      <c r="BU226" s="234"/>
      <c r="BV226" s="234"/>
      <c r="BW226" s="234"/>
      <c r="BX226" s="234"/>
      <c r="BY226" s="233"/>
      <c r="BZ226" s="233"/>
      <c r="CA226" s="233"/>
      <c r="CB226" s="233"/>
      <c r="CC226" s="236"/>
    </row>
    <row r="227" s="237" customFormat="true" ht="15" hidden="true" customHeight="true" outlineLevel="2" collapsed="false">
      <c r="A227" s="315" t="s">
        <v>325</v>
      </c>
      <c r="B227" s="232"/>
      <c r="C227" s="358" t="n">
        <f aca="false">C214/C221</f>
        <v>0.0976308579297935</v>
      </c>
      <c r="D227" s="358" t="n">
        <f aca="false">D214/D221</f>
        <v>0.0477728398216657</v>
      </c>
      <c r="E227" s="317" t="n">
        <f aca="false">E214/E221</f>
        <v>0.0772085113611931</v>
      </c>
      <c r="F227" s="358" t="n">
        <f aca="false">F214/F221</f>
        <v>0.0208290931839533</v>
      </c>
      <c r="G227" s="358" t="n">
        <f aca="false">G214/G221</f>
        <v>0.0265594550271995</v>
      </c>
      <c r="H227" s="234"/>
      <c r="I227" s="234"/>
      <c r="J227" s="234"/>
      <c r="K227" s="234"/>
      <c r="L227" s="358" t="n">
        <f aca="false">L214/L221</f>
        <v>0.0226411762968179</v>
      </c>
      <c r="M227" s="234"/>
      <c r="N227" s="234"/>
      <c r="O227" s="234"/>
      <c r="P227" s="234"/>
      <c r="Q227" s="358" t="n">
        <f aca="false">Q214/Q221</f>
        <v>0.0193069444720571</v>
      </c>
      <c r="R227" s="234"/>
      <c r="S227" s="234"/>
      <c r="T227" s="234"/>
      <c r="U227" s="234"/>
      <c r="V227" s="358" t="n">
        <f aca="false">V214/V221</f>
        <v>0.0361747218461176</v>
      </c>
      <c r="W227" s="234"/>
      <c r="X227" s="234"/>
      <c r="Y227" s="234"/>
      <c r="Z227" s="234"/>
      <c r="AA227" s="358" t="n">
        <f aca="false">AA214/AA221</f>
        <v>0.0175857193354542</v>
      </c>
      <c r="AB227" s="234"/>
      <c r="AC227" s="234"/>
      <c r="AD227" s="234"/>
      <c r="AE227" s="234"/>
      <c r="AF227" s="358" t="n">
        <f aca="false">AF214/AF221</f>
        <v>0.0203307748538012</v>
      </c>
      <c r="AG227" s="234"/>
      <c r="AH227" s="234"/>
      <c r="AI227" s="234"/>
      <c r="AJ227" s="234"/>
      <c r="AK227" s="317" t="n">
        <f aca="false">AK214/AK221</f>
        <v>0.0101522842639594</v>
      </c>
      <c r="AL227" s="234"/>
      <c r="AM227" s="234"/>
      <c r="AN227" s="234"/>
      <c r="AO227" s="234"/>
      <c r="AP227" s="317" t="n">
        <f aca="false">AP214/AP221</f>
        <v>0.00607361304861037</v>
      </c>
      <c r="AQ227" s="234"/>
      <c r="AR227" s="234"/>
      <c r="AS227" s="234"/>
      <c r="AT227" s="234"/>
      <c r="AU227" s="233" t="n">
        <f aca="false">AU214/AU221</f>
        <v>0.00678093600558809</v>
      </c>
      <c r="AV227" s="234"/>
      <c r="AW227" s="234"/>
      <c r="AX227" s="234"/>
      <c r="AY227" s="234"/>
      <c r="AZ227" s="233" t="n">
        <f aca="false">AZ214/AZ221</f>
        <v>0.0224574229930007</v>
      </c>
      <c r="BA227" s="234"/>
      <c r="BB227" s="234"/>
      <c r="BC227" s="234"/>
      <c r="BD227" s="234"/>
      <c r="BE227" s="233" t="n">
        <f aca="false">BE214/BE221</f>
        <v>0.0102364061904676</v>
      </c>
      <c r="BF227" s="234"/>
      <c r="BG227" s="234"/>
      <c r="BH227" s="234"/>
      <c r="BI227" s="234"/>
      <c r="BJ227" s="233" t="n">
        <f aca="false">BJ214/BJ221</f>
        <v>0.0100838908958387</v>
      </c>
      <c r="BK227" s="234"/>
      <c r="BL227" s="234"/>
      <c r="BM227" s="234"/>
      <c r="BN227" s="234"/>
      <c r="BO227" s="235"/>
      <c r="BP227" s="234"/>
      <c r="BQ227" s="234"/>
      <c r="BR227" s="234"/>
      <c r="BS227" s="234"/>
      <c r="BT227" s="233"/>
      <c r="BU227" s="234"/>
      <c r="BV227" s="234"/>
      <c r="BW227" s="234"/>
      <c r="BX227" s="234"/>
      <c r="BY227" s="233"/>
      <c r="BZ227" s="233"/>
      <c r="CA227" s="233"/>
      <c r="CB227" s="233"/>
      <c r="CC227" s="236"/>
    </row>
    <row r="228" s="237" customFormat="true" ht="15" hidden="true" customHeight="true" outlineLevel="2" collapsed="false">
      <c r="A228" s="315" t="s">
        <v>326</v>
      </c>
      <c r="B228" s="232"/>
      <c r="C228" s="358" t="n">
        <f aca="false">C215/C221</f>
        <v>0.275817433271744</v>
      </c>
      <c r="D228" s="358" t="n">
        <f aca="false">D215/D221</f>
        <v>0.306215391604765</v>
      </c>
      <c r="E228" s="317" t="n">
        <f aca="false">E215/E221</f>
        <v>0.202901061486967</v>
      </c>
      <c r="F228" s="358" t="n">
        <f aca="false">F215/F221</f>
        <v>0.312744541699293</v>
      </c>
      <c r="G228" s="358" t="n">
        <f aca="false">G215/G221</f>
        <v>0.423505803071153</v>
      </c>
      <c r="H228" s="234"/>
      <c r="I228" s="234"/>
      <c r="J228" s="234"/>
      <c r="K228" s="234"/>
      <c r="L228" s="358" t="n">
        <f aca="false">L215/L221</f>
        <v>0.192081590402913</v>
      </c>
      <c r="M228" s="234"/>
      <c r="N228" s="234"/>
      <c r="O228" s="234"/>
      <c r="P228" s="234"/>
      <c r="Q228" s="358" t="n">
        <f aca="false">Q215/Q221</f>
        <v>0.246766257778485</v>
      </c>
      <c r="R228" s="234"/>
      <c r="S228" s="234"/>
      <c r="T228" s="234"/>
      <c r="U228" s="234"/>
      <c r="V228" s="358" t="n">
        <f aca="false">V215/V221</f>
        <v>0.306808147406841</v>
      </c>
      <c r="W228" s="234"/>
      <c r="X228" s="234"/>
      <c r="Y228" s="234"/>
      <c r="Z228" s="234"/>
      <c r="AA228" s="358" t="n">
        <f aca="false">AA215/AA221</f>
        <v>0.236976405090138</v>
      </c>
      <c r="AB228" s="234"/>
      <c r="AC228" s="234"/>
      <c r="AD228" s="234"/>
      <c r="AE228" s="234"/>
      <c r="AF228" s="358" t="n">
        <f aca="false">AF215/AF221</f>
        <v>0.181789108187135</v>
      </c>
      <c r="AG228" s="234"/>
      <c r="AH228" s="234"/>
      <c r="AI228" s="234"/>
      <c r="AJ228" s="234"/>
      <c r="AK228" s="317" t="n">
        <f aca="false">AK215/AK221</f>
        <v>0.45321489001692</v>
      </c>
      <c r="AL228" s="234"/>
      <c r="AM228" s="234"/>
      <c r="AN228" s="234"/>
      <c r="AO228" s="234"/>
      <c r="AP228" s="317" t="n">
        <f aca="false">AP215/AP221</f>
        <v>0.338469792896234</v>
      </c>
      <c r="AQ228" s="234"/>
      <c r="AR228" s="234"/>
      <c r="AS228" s="234"/>
      <c r="AT228" s="234"/>
      <c r="AU228" s="233" t="n">
        <f aca="false">AU215/AU221</f>
        <v>0.393740261135887</v>
      </c>
      <c r="AV228" s="234"/>
      <c r="AW228" s="234"/>
      <c r="AX228" s="234"/>
      <c r="AY228" s="234"/>
      <c r="AZ228" s="233" t="n">
        <f aca="false">AZ215/AZ221</f>
        <v>0.38234293972626</v>
      </c>
      <c r="BA228" s="234"/>
      <c r="BB228" s="234"/>
      <c r="BC228" s="234"/>
      <c r="BD228" s="234"/>
      <c r="BE228" s="233" t="n">
        <f aca="false">BE215/BE221</f>
        <v>0.29299853039897</v>
      </c>
      <c r="BF228" s="234"/>
      <c r="BG228" s="234"/>
      <c r="BH228" s="234"/>
      <c r="BI228" s="234"/>
      <c r="BJ228" s="233" t="n">
        <f aca="false">BJ215/BJ221</f>
        <v>0.154053547229761</v>
      </c>
      <c r="BK228" s="234"/>
      <c r="BL228" s="234"/>
      <c r="BM228" s="234"/>
      <c r="BN228" s="234"/>
      <c r="BO228" s="235"/>
      <c r="BP228" s="234"/>
      <c r="BQ228" s="234"/>
      <c r="BR228" s="234"/>
      <c r="BS228" s="234"/>
      <c r="BT228" s="233"/>
      <c r="BU228" s="234"/>
      <c r="BV228" s="234"/>
      <c r="BW228" s="234"/>
      <c r="BX228" s="234"/>
      <c r="BY228" s="233"/>
      <c r="BZ228" s="233"/>
      <c r="CA228" s="233"/>
      <c r="CB228" s="233"/>
      <c r="CC228" s="236"/>
    </row>
    <row r="229" s="237" customFormat="true" ht="15" hidden="true" customHeight="true" outlineLevel="2" collapsed="false">
      <c r="A229" s="315" t="s">
        <v>327</v>
      </c>
      <c r="B229" s="232"/>
      <c r="C229" s="359" t="n">
        <f aca="false">C216/C221</f>
        <v>0</v>
      </c>
      <c r="D229" s="359" t="n">
        <f aca="false">D216/D221</f>
        <v>0</v>
      </c>
      <c r="E229" s="359" t="n">
        <f aca="false">E216/E221</f>
        <v>0</v>
      </c>
      <c r="F229" s="359" t="n">
        <f aca="false">F216/F221</f>
        <v>0</v>
      </c>
      <c r="G229" s="359" t="n">
        <f aca="false">G216/G221</f>
        <v>0</v>
      </c>
      <c r="H229" s="234"/>
      <c r="I229" s="234"/>
      <c r="J229" s="234"/>
      <c r="K229" s="234"/>
      <c r="L229" s="359" t="n">
        <f aca="false">L216/L221</f>
        <v>0</v>
      </c>
      <c r="M229" s="234"/>
      <c r="N229" s="234"/>
      <c r="O229" s="234"/>
      <c r="P229" s="234"/>
      <c r="Q229" s="358" t="n">
        <f aca="false">Q216/Q221</f>
        <v>0.0861884331696455</v>
      </c>
      <c r="R229" s="234"/>
      <c r="S229" s="234"/>
      <c r="T229" s="234"/>
      <c r="U229" s="234"/>
      <c r="V229" s="358" t="n">
        <f aca="false">V216/V221</f>
        <v>0.114720080061223</v>
      </c>
      <c r="W229" s="234"/>
      <c r="X229" s="234"/>
      <c r="Y229" s="234"/>
      <c r="Z229" s="234"/>
      <c r="AA229" s="358" t="n">
        <f aca="false">AA216/AA221</f>
        <v>0.101692294096854</v>
      </c>
      <c r="AB229" s="234"/>
      <c r="AC229" s="234"/>
      <c r="AD229" s="234"/>
      <c r="AE229" s="234"/>
      <c r="AF229" s="358" t="n">
        <f aca="false">AF216/AF221</f>
        <v>0.168384502923977</v>
      </c>
      <c r="AG229" s="234"/>
      <c r="AH229" s="234"/>
      <c r="AI229" s="234"/>
      <c r="AJ229" s="234"/>
      <c r="AK229" s="317" t="n">
        <f aca="false">AK216/AK221</f>
        <v>0.11655668358714</v>
      </c>
      <c r="AL229" s="234"/>
      <c r="AM229" s="234"/>
      <c r="AN229" s="234"/>
      <c r="AO229" s="234"/>
      <c r="AP229" s="317" t="n">
        <f aca="false">AP216/AP221</f>
        <v>0.16628393604464</v>
      </c>
      <c r="AQ229" s="234"/>
      <c r="AR229" s="234"/>
      <c r="AS229" s="234"/>
      <c r="AT229" s="234"/>
      <c r="AU229" s="233" t="n">
        <f aca="false">AU216/AU221</f>
        <v>0.147267744882059</v>
      </c>
      <c r="AV229" s="234"/>
      <c r="AW229" s="234"/>
      <c r="AX229" s="234"/>
      <c r="AY229" s="234"/>
      <c r="AZ229" s="233" t="n">
        <f aca="false">AZ216/AZ221</f>
        <v>0.137719969395562</v>
      </c>
      <c r="BA229" s="234"/>
      <c r="BB229" s="234"/>
      <c r="BC229" s="234"/>
      <c r="BD229" s="234"/>
      <c r="BE229" s="233" t="n">
        <f aca="false">BE216/BE221</f>
        <v>0.263142043289729</v>
      </c>
      <c r="BF229" s="234"/>
      <c r="BG229" s="234"/>
      <c r="BH229" s="234"/>
      <c r="BI229" s="234"/>
      <c r="BJ229" s="233" t="n">
        <f aca="false">BJ216/BJ221</f>
        <v>0.360723775691808</v>
      </c>
      <c r="BK229" s="234"/>
      <c r="BL229" s="234"/>
      <c r="BM229" s="234"/>
      <c r="BN229" s="234"/>
      <c r="BO229" s="235"/>
      <c r="BP229" s="234"/>
      <c r="BQ229" s="234"/>
      <c r="BR229" s="234"/>
      <c r="BS229" s="234"/>
      <c r="BT229" s="233"/>
      <c r="BU229" s="234"/>
      <c r="BV229" s="234"/>
      <c r="BW229" s="234"/>
      <c r="BX229" s="234"/>
      <c r="BY229" s="233"/>
      <c r="BZ229" s="233"/>
      <c r="CA229" s="233"/>
      <c r="CB229" s="233"/>
      <c r="CC229" s="236"/>
    </row>
    <row r="230" s="237" customFormat="true" ht="15" hidden="true" customHeight="true" outlineLevel="2" collapsed="false">
      <c r="A230" s="315" t="s">
        <v>328</v>
      </c>
      <c r="B230" s="232"/>
      <c r="C230" s="358" t="n">
        <f aca="false">C217/C221</f>
        <v>0.0902245086816748</v>
      </c>
      <c r="D230" s="358" t="n">
        <f aca="false">D217/D221</f>
        <v>0.0532203415397461</v>
      </c>
      <c r="E230" s="358" t="n">
        <f aca="false">E217/E221</f>
        <v>0.0797722895009498</v>
      </c>
      <c r="F230" s="358" t="n">
        <f aca="false">F217/F221</f>
        <v>0.0416907338073847</v>
      </c>
      <c r="G230" s="358" t="n">
        <f aca="false">G217/G221</f>
        <v>0.0911733608168491</v>
      </c>
      <c r="H230" s="234"/>
      <c r="I230" s="234"/>
      <c r="J230" s="234"/>
      <c r="K230" s="234"/>
      <c r="L230" s="358" t="n">
        <f aca="false">L217/L221</f>
        <v>0.0692549208311014</v>
      </c>
      <c r="M230" s="234"/>
      <c r="N230" s="234"/>
      <c r="O230" s="234"/>
      <c r="P230" s="234"/>
      <c r="Q230" s="358" t="n">
        <f aca="false">Q217/Q221</f>
        <v>0.000330344539652876</v>
      </c>
      <c r="R230" s="234"/>
      <c r="S230" s="234"/>
      <c r="T230" s="234"/>
      <c r="U230" s="234"/>
      <c r="V230" s="358" t="n">
        <f aca="false">V217/V221</f>
        <v>0.00291399305351151</v>
      </c>
      <c r="W230" s="234"/>
      <c r="X230" s="234"/>
      <c r="Y230" s="234"/>
      <c r="Z230" s="234"/>
      <c r="AA230" s="358" t="n">
        <f aca="false">AA217/AA221</f>
        <v>0.000364528101802757</v>
      </c>
      <c r="AB230" s="234"/>
      <c r="AC230" s="234"/>
      <c r="AD230" s="234"/>
      <c r="AE230" s="234"/>
      <c r="AF230" s="358" t="n">
        <f aca="false">AF217/AF221</f>
        <v>0.000173611111111111</v>
      </c>
      <c r="AG230" s="234"/>
      <c r="AH230" s="234"/>
      <c r="AI230" s="234"/>
      <c r="AJ230" s="234"/>
      <c r="AK230" s="317" t="n">
        <f aca="false">AK217/AK221</f>
        <v>0.000219966159052454</v>
      </c>
      <c r="AL230" s="234"/>
      <c r="AM230" s="234"/>
      <c r="AN230" s="234"/>
      <c r="AO230" s="234"/>
      <c r="AP230" s="317" t="n">
        <f aca="false">AP217/AP221</f>
        <v>0.000114461494437887</v>
      </c>
      <c r="AQ230" s="234"/>
      <c r="AR230" s="234"/>
      <c r="AS230" s="234"/>
      <c r="AT230" s="234"/>
      <c r="AU230" s="233" t="n">
        <f aca="false">AU217/AU221</f>
        <v>9.67169953253452E-005</v>
      </c>
      <c r="AV230" s="234"/>
      <c r="AW230" s="234"/>
      <c r="AX230" s="234"/>
      <c r="AY230" s="234"/>
      <c r="AZ230" s="233" t="n">
        <f aca="false">AZ217/AZ221</f>
        <v>0.000340049307149537</v>
      </c>
      <c r="BA230" s="234"/>
      <c r="BB230" s="234"/>
      <c r="BC230" s="234"/>
      <c r="BD230" s="234"/>
      <c r="BE230" s="233" t="n">
        <f aca="false">BE217/BE221</f>
        <v>0.000141517136273745</v>
      </c>
      <c r="BF230" s="234"/>
      <c r="BG230" s="234"/>
      <c r="BH230" s="234"/>
      <c r="BI230" s="234"/>
      <c r="BJ230" s="233" t="n">
        <f aca="false">BJ217/BJ221</f>
        <v>0.000123837256615563</v>
      </c>
      <c r="BK230" s="234"/>
      <c r="BL230" s="234"/>
      <c r="BM230" s="234"/>
      <c r="BN230" s="234"/>
      <c r="BO230" s="235"/>
      <c r="BP230" s="234"/>
      <c r="BQ230" s="234"/>
      <c r="BR230" s="234"/>
      <c r="BS230" s="234"/>
      <c r="BT230" s="233"/>
      <c r="BU230" s="234"/>
      <c r="BV230" s="234"/>
      <c r="BW230" s="234"/>
      <c r="BX230" s="234"/>
      <c r="BY230" s="233"/>
      <c r="BZ230" s="233"/>
      <c r="CA230" s="233"/>
      <c r="CB230" s="233"/>
      <c r="CC230" s="236"/>
    </row>
    <row r="231" s="237" customFormat="true" ht="15" hidden="true" customHeight="true" outlineLevel="2" collapsed="false">
      <c r="A231" s="315" t="s">
        <v>329</v>
      </c>
      <c r="B231" s="232"/>
      <c r="C231" s="359" t="n">
        <f aca="false">C218/C221</f>
        <v>0</v>
      </c>
      <c r="D231" s="359" t="n">
        <f aca="false">D218/D221</f>
        <v>0</v>
      </c>
      <c r="E231" s="359" t="n">
        <f aca="false">E218/E221</f>
        <v>0</v>
      </c>
      <c r="F231" s="359" t="n">
        <f aca="false">F218/F221</f>
        <v>0</v>
      </c>
      <c r="G231" s="358" t="n">
        <f aca="false">G218/G221</f>
        <v>0.0021971942258689</v>
      </c>
      <c r="H231" s="234"/>
      <c r="I231" s="234"/>
      <c r="J231" s="234"/>
      <c r="K231" s="234"/>
      <c r="L231" s="358" t="n">
        <f aca="false">L218/L221</f>
        <v>0.000227789771556229</v>
      </c>
      <c r="M231" s="234"/>
      <c r="N231" s="234"/>
      <c r="O231" s="234"/>
      <c r="P231" s="234"/>
      <c r="Q231" s="358" t="n">
        <f aca="false">Q218/Q221</f>
        <v>0.000560011133422136</v>
      </c>
      <c r="R231" s="234"/>
      <c r="S231" s="234"/>
      <c r="T231" s="234"/>
      <c r="U231" s="234"/>
      <c r="V231" s="358" t="n">
        <f aca="false">V218/V221</f>
        <v>0.000220757049508448</v>
      </c>
      <c r="W231" s="234"/>
      <c r="X231" s="234"/>
      <c r="Y231" s="234"/>
      <c r="Z231" s="234"/>
      <c r="AA231" s="358" t="n">
        <f aca="false">AA218/AA221</f>
        <v>0.000430805938494168</v>
      </c>
      <c r="AB231" s="234"/>
      <c r="AC231" s="234"/>
      <c r="AD231" s="234"/>
      <c r="AE231" s="234"/>
      <c r="AF231" s="358" t="n">
        <f aca="false">AF218/AF221</f>
        <v>0.000109649122807018</v>
      </c>
      <c r="AG231" s="234"/>
      <c r="AH231" s="234"/>
      <c r="AI231" s="234"/>
      <c r="AJ231" s="234"/>
      <c r="AK231" s="317" t="n">
        <f aca="false">AK218/AK221</f>
        <v>0.000219966159052454</v>
      </c>
      <c r="AL231" s="234"/>
      <c r="AM231" s="234"/>
      <c r="AN231" s="234"/>
      <c r="AO231" s="234"/>
      <c r="AP231" s="317" t="n">
        <f aca="false">AP218/AP221</f>
        <v>0.000114461494437887</v>
      </c>
      <c r="AQ231" s="234"/>
      <c r="AR231" s="234"/>
      <c r="AS231" s="234"/>
      <c r="AT231" s="234"/>
      <c r="AU231" s="233" t="n">
        <f aca="false">AU218/AU221</f>
        <v>0.000762989629788835</v>
      </c>
      <c r="AV231" s="234"/>
      <c r="AW231" s="234"/>
      <c r="AX231" s="234"/>
      <c r="AY231" s="234"/>
      <c r="AZ231" s="233" t="n">
        <f aca="false">AZ218/AZ221</f>
        <v>0.000434507448024408</v>
      </c>
      <c r="BA231" s="234"/>
      <c r="BB231" s="234"/>
      <c r="BC231" s="234"/>
      <c r="BD231" s="234"/>
      <c r="BE231" s="233" t="n">
        <f aca="false">BE218/BE221</f>
        <v>0.000910789774479743</v>
      </c>
      <c r="BF231" s="234"/>
      <c r="BG231" s="234"/>
      <c r="BH231" s="234"/>
      <c r="BI231" s="234"/>
      <c r="BJ231" s="233" t="n">
        <f aca="false">BJ218/BJ221</f>
        <v>0.000587342417090957</v>
      </c>
      <c r="BK231" s="234"/>
      <c r="BL231" s="234"/>
      <c r="BM231" s="234"/>
      <c r="BN231" s="234"/>
      <c r="BO231" s="235"/>
      <c r="BP231" s="234"/>
      <c r="BQ231" s="234"/>
      <c r="BR231" s="234"/>
      <c r="BS231" s="234"/>
      <c r="BT231" s="233"/>
      <c r="BU231" s="234"/>
      <c r="BV231" s="234"/>
      <c r="BW231" s="234"/>
      <c r="BX231" s="234"/>
      <c r="BY231" s="233"/>
      <c r="BZ231" s="233"/>
      <c r="CA231" s="233"/>
      <c r="CB231" s="233"/>
      <c r="CC231" s="236"/>
    </row>
    <row r="232" s="237" customFormat="true" ht="15" hidden="true" customHeight="true" outlineLevel="2" collapsed="false">
      <c r="A232" s="315" t="s">
        <v>330</v>
      </c>
      <c r="B232" s="232"/>
      <c r="C232" s="358" t="n">
        <f aca="false">C219/C221</f>
        <v>0.0430133396989968</v>
      </c>
      <c r="D232" s="358" t="n">
        <f aca="false">D219/D221</f>
        <v>0.0451532385760408</v>
      </c>
      <c r="E232" s="358" t="n">
        <f aca="false">E219/E221</f>
        <v>0.0893869884012398</v>
      </c>
      <c r="F232" s="358" t="n">
        <f aca="false">F219/F221</f>
        <v>0.0541454130830139</v>
      </c>
      <c r="G232" s="358" t="n">
        <f aca="false">G219/G221</f>
        <v>0.035656506383016</v>
      </c>
      <c r="H232" s="234"/>
      <c r="I232" s="234"/>
      <c r="J232" s="234"/>
      <c r="K232" s="234"/>
      <c r="L232" s="358" t="n">
        <f aca="false">L219/L221</f>
        <v>0.0335250535451107</v>
      </c>
      <c r="M232" s="234"/>
      <c r="N232" s="234"/>
      <c r="O232" s="234"/>
      <c r="P232" s="234"/>
      <c r="Q232" s="358" t="n">
        <f aca="false">Q219/Q221</f>
        <v>0.0335653591522694</v>
      </c>
      <c r="R232" s="234"/>
      <c r="S232" s="234"/>
      <c r="T232" s="234"/>
      <c r="U232" s="234"/>
      <c r="V232" s="358" t="n">
        <f aca="false">V219/V221</f>
        <v>0.0811355742626714</v>
      </c>
      <c r="W232" s="234"/>
      <c r="X232" s="234"/>
      <c r="Y232" s="234"/>
      <c r="Z232" s="234"/>
      <c r="AA232" s="358" t="n">
        <f aca="false">AA219/AA221</f>
        <v>0.0939819724284199</v>
      </c>
      <c r="AB232" s="234"/>
      <c r="AC232" s="234"/>
      <c r="AD232" s="234"/>
      <c r="AE232" s="234"/>
      <c r="AF232" s="358" t="n">
        <f aca="false">AF219/AF221</f>
        <v>0.0577211257309942</v>
      </c>
      <c r="AG232" s="234"/>
      <c r="AH232" s="234"/>
      <c r="AI232" s="234"/>
      <c r="AJ232" s="234"/>
      <c r="AK232" s="317" t="n">
        <f aca="false">AK219/AK221</f>
        <v>0.0266159052453469</v>
      </c>
      <c r="AL232" s="234"/>
      <c r="AM232" s="234"/>
      <c r="AN232" s="234"/>
      <c r="AO232" s="234"/>
      <c r="AP232" s="317" t="n">
        <f aca="false">AP219/AP221</f>
        <v>0.0345745251636442</v>
      </c>
      <c r="AQ232" s="234"/>
      <c r="AR232" s="234"/>
      <c r="AS232" s="234"/>
      <c r="AT232" s="234"/>
      <c r="AU232" s="233" t="n">
        <f aca="false">AU219/AU221</f>
        <v>0.00723228198377304</v>
      </c>
      <c r="AV232" s="234"/>
      <c r="AW232" s="234"/>
      <c r="AX232" s="234"/>
      <c r="AY232" s="234"/>
      <c r="AZ232" s="233" t="n">
        <f aca="false">AZ219/AZ221</f>
        <v>0.0294945544881786</v>
      </c>
      <c r="BA232" s="234"/>
      <c r="BB232" s="234"/>
      <c r="BC232" s="234"/>
      <c r="BD232" s="234"/>
      <c r="BE232" s="233" t="n">
        <f aca="false">BE219/BE221</f>
        <v>0.0437904820654245</v>
      </c>
      <c r="BF232" s="234"/>
      <c r="BG232" s="234"/>
      <c r="BH232" s="234"/>
      <c r="BI232" s="234"/>
      <c r="BJ232" s="233" t="n">
        <f aca="false">BJ219/BJ221</f>
        <v>0.046778639134696</v>
      </c>
      <c r="BK232" s="234"/>
      <c r="BL232" s="234"/>
      <c r="BM232" s="234"/>
      <c r="BN232" s="234"/>
      <c r="BO232" s="235"/>
      <c r="BP232" s="234"/>
      <c r="BQ232" s="234"/>
      <c r="BR232" s="234"/>
      <c r="BS232" s="234"/>
      <c r="BT232" s="233"/>
      <c r="BU232" s="234"/>
      <c r="BV232" s="234"/>
      <c r="BW232" s="234"/>
      <c r="BX232" s="234"/>
      <c r="BY232" s="233"/>
      <c r="BZ232" s="233"/>
      <c r="CA232" s="233"/>
      <c r="CB232" s="233"/>
      <c r="CC232" s="236"/>
    </row>
    <row r="233" s="237" customFormat="true" ht="15" hidden="true" customHeight="true" outlineLevel="2" collapsed="false">
      <c r="A233" s="315" t="s">
        <v>331</v>
      </c>
      <c r="B233" s="232"/>
      <c r="C233" s="360" t="n">
        <f aca="false">C220/C221</f>
        <v>0.23094827710435</v>
      </c>
      <c r="D233" s="360" t="n">
        <f aca="false">D220/D221</f>
        <v>0.149945052482976</v>
      </c>
      <c r="E233" s="360" t="n">
        <f aca="false">E220/E221</f>
        <v>0.245588462998371</v>
      </c>
      <c r="F233" s="360" t="n">
        <f aca="false">F220/F221</f>
        <v>0.239068551459298</v>
      </c>
      <c r="G233" s="360" t="n">
        <f aca="false">G220/G221</f>
        <v>0.137193570046933</v>
      </c>
      <c r="H233" s="234"/>
      <c r="I233" s="234"/>
      <c r="J233" s="234"/>
      <c r="K233" s="234"/>
      <c r="L233" s="360" t="n">
        <f aca="false">L220/L221</f>
        <v>0.323480258874367</v>
      </c>
      <c r="M233" s="234"/>
      <c r="N233" s="234"/>
      <c r="O233" s="234"/>
      <c r="P233" s="234"/>
      <c r="Q233" s="360" t="n">
        <f aca="false">Q220/Q221</f>
        <v>0.193388655838088</v>
      </c>
      <c r="R233" s="234"/>
      <c r="S233" s="234"/>
      <c r="T233" s="234"/>
      <c r="U233" s="234"/>
      <c r="V233" s="360" t="n">
        <f aca="false">V220/V221</f>
        <v>0.166009301230353</v>
      </c>
      <c r="W233" s="234"/>
      <c r="X233" s="234"/>
      <c r="Y233" s="234"/>
      <c r="Z233" s="234"/>
      <c r="AA233" s="360" t="n">
        <f aca="false">AA220/AA221</f>
        <v>0.166898639095087</v>
      </c>
      <c r="AB233" s="234"/>
      <c r="AC233" s="234"/>
      <c r="AD233" s="234"/>
      <c r="AE233" s="234"/>
      <c r="AF233" s="360" t="n">
        <f aca="false">AF220/AF221</f>
        <v>0.179248903508772</v>
      </c>
      <c r="AG233" s="234"/>
      <c r="AH233" s="234"/>
      <c r="AI233" s="234"/>
      <c r="AJ233" s="234"/>
      <c r="AK233" s="317" t="n">
        <f aca="false">AK220/AK221</f>
        <v>0.167529610829103</v>
      </c>
      <c r="AL233" s="234"/>
      <c r="AM233" s="234"/>
      <c r="AN233" s="234"/>
      <c r="AO233" s="234"/>
      <c r="AP233" s="317" t="n">
        <f aca="false">AP220/AP221</f>
        <v>0.118539185177236</v>
      </c>
      <c r="AQ233" s="234"/>
      <c r="AR233" s="234"/>
      <c r="AS233" s="234"/>
      <c r="AT233" s="234"/>
      <c r="AU233" s="233" t="n">
        <f aca="false">AU220/AU221</f>
        <v>0.0850679705550481</v>
      </c>
      <c r="AV233" s="234"/>
      <c r="AW233" s="234"/>
      <c r="AX233" s="234"/>
      <c r="AY233" s="234"/>
      <c r="AZ233" s="233" t="n">
        <f aca="false">AZ220/AZ221</f>
        <v>0.0940472479620656</v>
      </c>
      <c r="BA233" s="234"/>
      <c r="BB233" s="234"/>
      <c r="BC233" s="234"/>
      <c r="BD233" s="234"/>
      <c r="BE233" s="233" t="n">
        <f aca="false">BE220/BE221</f>
        <v>0.114353103398226</v>
      </c>
      <c r="BF233" s="234"/>
      <c r="BG233" s="234"/>
      <c r="BH233" s="234"/>
      <c r="BI233" s="234"/>
      <c r="BJ233" s="233" t="n">
        <f aca="false">BJ220/BJ221</f>
        <v>0.159990659132644</v>
      </c>
      <c r="BK233" s="234"/>
      <c r="BL233" s="234"/>
      <c r="BM233" s="234"/>
      <c r="BN233" s="234"/>
      <c r="BO233" s="235"/>
      <c r="BP233" s="234"/>
      <c r="BQ233" s="234"/>
      <c r="BR233" s="234"/>
      <c r="BS233" s="234"/>
      <c r="BT233" s="233"/>
      <c r="BU233" s="234"/>
      <c r="BV233" s="234"/>
      <c r="BW233" s="234"/>
      <c r="BX233" s="234"/>
      <c r="BY233" s="233"/>
      <c r="BZ233" s="233"/>
      <c r="CA233" s="233"/>
      <c r="CB233" s="233"/>
      <c r="CC233" s="236"/>
    </row>
    <row r="234" s="84" customFormat="true" ht="15" hidden="true" customHeight="true" outlineLevel="2" collapsed="false">
      <c r="A234" s="349" t="s">
        <v>332</v>
      </c>
      <c r="B234" s="350"/>
      <c r="C234" s="353" t="n">
        <f aca="false">SUM(C225:C233)</f>
        <v>1</v>
      </c>
      <c r="D234" s="353" t="n">
        <f aca="false">SUM(D225:D233)</f>
        <v>1</v>
      </c>
      <c r="E234" s="353" t="n">
        <f aca="false">SUM(E225:E233)</f>
        <v>1</v>
      </c>
      <c r="F234" s="353" t="n">
        <f aca="false">SUM(F225:F233)</f>
        <v>1</v>
      </c>
      <c r="G234" s="353" t="n">
        <f aca="false">SUM(G225:G233)</f>
        <v>1</v>
      </c>
      <c r="H234" s="355"/>
      <c r="I234" s="355"/>
      <c r="J234" s="355"/>
      <c r="K234" s="355"/>
      <c r="L234" s="353" t="n">
        <f aca="false">SUM(L225:L233)</f>
        <v>1</v>
      </c>
      <c r="M234" s="355"/>
      <c r="N234" s="355"/>
      <c r="O234" s="355"/>
      <c r="P234" s="355"/>
      <c r="Q234" s="353" t="n">
        <f aca="false">SUM(Q225:Q233)</f>
        <v>1</v>
      </c>
      <c r="R234" s="355"/>
      <c r="S234" s="355"/>
      <c r="T234" s="355"/>
      <c r="U234" s="355"/>
      <c r="V234" s="353" t="n">
        <f aca="false">SUM(V225:V233)</f>
        <v>1</v>
      </c>
      <c r="W234" s="355"/>
      <c r="X234" s="355"/>
      <c r="Y234" s="355"/>
      <c r="Z234" s="355"/>
      <c r="AA234" s="361" t="n">
        <f aca="false">SUM(AA225:AA233)</f>
        <v>1</v>
      </c>
      <c r="AB234" s="355"/>
      <c r="AC234" s="355"/>
      <c r="AD234" s="355"/>
      <c r="AE234" s="355"/>
      <c r="AF234" s="361" t="n">
        <f aca="false">SUM(AF225:AF233)</f>
        <v>1</v>
      </c>
      <c r="AG234" s="355"/>
      <c r="AH234" s="355"/>
      <c r="AI234" s="355"/>
      <c r="AJ234" s="355"/>
      <c r="AK234" s="353" t="n">
        <f aca="false">SUM(AK225:AK233)</f>
        <v>1</v>
      </c>
      <c r="AL234" s="355"/>
      <c r="AM234" s="355"/>
      <c r="AN234" s="355"/>
      <c r="AO234" s="355"/>
      <c r="AP234" s="353" t="n">
        <f aca="false">SUM(AP225:AP233)</f>
        <v>1</v>
      </c>
      <c r="AQ234" s="355"/>
      <c r="AR234" s="355"/>
      <c r="AS234" s="355"/>
      <c r="AT234" s="355"/>
      <c r="AU234" s="351" t="n">
        <f aca="false">SUM(AU225:AU233)</f>
        <v>1</v>
      </c>
      <c r="AV234" s="355"/>
      <c r="AW234" s="355"/>
      <c r="AX234" s="355"/>
      <c r="AY234" s="355"/>
      <c r="AZ234" s="351" t="n">
        <f aca="false">SUM(AZ225:AZ233)</f>
        <v>1</v>
      </c>
      <c r="BA234" s="355"/>
      <c r="BB234" s="355"/>
      <c r="BC234" s="355"/>
      <c r="BD234" s="355"/>
      <c r="BE234" s="351" t="n">
        <f aca="false">SUM(BE225:BE233)</f>
        <v>1</v>
      </c>
      <c r="BF234" s="355"/>
      <c r="BG234" s="355"/>
      <c r="BH234" s="355"/>
      <c r="BI234" s="355"/>
      <c r="BJ234" s="351" t="n">
        <f aca="false">SUM(BJ225:BJ233)</f>
        <v>1</v>
      </c>
      <c r="BK234" s="355"/>
      <c r="BL234" s="355"/>
      <c r="BM234" s="355"/>
      <c r="BN234" s="355"/>
      <c r="BO234" s="362"/>
      <c r="BP234" s="355"/>
      <c r="BQ234" s="355"/>
      <c r="BR234" s="355"/>
      <c r="BS234" s="355"/>
      <c r="BT234" s="351"/>
      <c r="BU234" s="355"/>
      <c r="BV234" s="355"/>
      <c r="BW234" s="355"/>
      <c r="BX234" s="355"/>
      <c r="BY234" s="351"/>
      <c r="BZ234" s="351"/>
      <c r="CA234" s="351"/>
      <c r="CB234" s="351"/>
      <c r="CC234" s="83"/>
    </row>
    <row r="235" s="157" customFormat="true" ht="15" hidden="true" customHeight="true" outlineLevel="2" collapsed="false">
      <c r="A235" s="252"/>
      <c r="B235" s="222"/>
      <c r="C235" s="223"/>
      <c r="D235" s="223"/>
      <c r="E235" s="223"/>
      <c r="F235" s="223"/>
      <c r="G235" s="223"/>
      <c r="H235" s="224"/>
      <c r="I235" s="224"/>
      <c r="J235" s="224"/>
      <c r="K235" s="224"/>
      <c r="L235" s="223"/>
      <c r="M235" s="224"/>
      <c r="N235" s="224"/>
      <c r="O235" s="224"/>
      <c r="P235" s="224"/>
      <c r="Q235" s="223"/>
      <c r="R235" s="224"/>
      <c r="S235" s="224"/>
      <c r="T235" s="224"/>
      <c r="U235" s="224"/>
      <c r="V235" s="223"/>
      <c r="W235" s="224"/>
      <c r="X235" s="224"/>
      <c r="Y235" s="224"/>
      <c r="Z235" s="224"/>
      <c r="AA235" s="267"/>
      <c r="AB235" s="224"/>
      <c r="AC235" s="224"/>
      <c r="AD235" s="224"/>
      <c r="AE235" s="224"/>
      <c r="AF235" s="267"/>
      <c r="AG235" s="224"/>
      <c r="AH235" s="224"/>
      <c r="AI235" s="224"/>
      <c r="AJ235" s="224"/>
      <c r="AK235" s="223"/>
      <c r="AL235" s="224"/>
      <c r="AM235" s="224"/>
      <c r="AN235" s="224"/>
      <c r="AO235" s="224"/>
      <c r="AP235" s="223"/>
      <c r="AQ235" s="224"/>
      <c r="AR235" s="224"/>
      <c r="AS235" s="224"/>
      <c r="AT235" s="224"/>
      <c r="AU235" s="223"/>
      <c r="AV235" s="224"/>
      <c r="AW235" s="224"/>
      <c r="AX235" s="224"/>
      <c r="AY235" s="224"/>
      <c r="AZ235" s="223"/>
      <c r="BA235" s="224"/>
      <c r="BB235" s="224"/>
      <c r="BC235" s="224"/>
      <c r="BD235" s="224"/>
      <c r="BE235" s="223"/>
      <c r="BF235" s="224"/>
      <c r="BG235" s="224"/>
      <c r="BH235" s="224"/>
      <c r="BI235" s="224"/>
      <c r="BJ235" s="223"/>
      <c r="BK235" s="224"/>
      <c r="BL235" s="224"/>
      <c r="BM235" s="224"/>
      <c r="BN235" s="224"/>
      <c r="BO235" s="225"/>
      <c r="BP235" s="224"/>
      <c r="BQ235" s="224"/>
      <c r="BR235" s="224"/>
      <c r="BS235" s="224"/>
      <c r="BT235" s="223"/>
      <c r="BU235" s="224"/>
      <c r="BV235" s="224"/>
      <c r="BW235" s="224"/>
      <c r="BX235" s="224"/>
      <c r="BY235" s="223"/>
      <c r="BZ235" s="223"/>
      <c r="CA235" s="223"/>
      <c r="CB235" s="223"/>
      <c r="CC235" s="156"/>
    </row>
    <row r="236" s="51" customFormat="true" ht="15" hidden="true" customHeight="true" outlineLevel="2" collapsed="false">
      <c r="A236" s="270" t="s">
        <v>333</v>
      </c>
      <c r="B236" s="146"/>
      <c r="C236" s="159"/>
      <c r="D236" s="159"/>
      <c r="E236" s="147"/>
      <c r="F236" s="159"/>
      <c r="G236" s="255" t="n">
        <v>3.34</v>
      </c>
      <c r="H236" s="149"/>
      <c r="I236" s="149"/>
      <c r="J236" s="149"/>
      <c r="K236" s="149"/>
      <c r="L236" s="255" t="n">
        <v>3.695</v>
      </c>
      <c r="M236" s="149"/>
      <c r="N236" s="149"/>
      <c r="O236" s="149"/>
      <c r="P236" s="149"/>
      <c r="Q236" s="255" t="n">
        <v>3.209</v>
      </c>
      <c r="R236" s="149"/>
      <c r="S236" s="149"/>
      <c r="T236" s="149"/>
      <c r="U236" s="149"/>
      <c r="V236" s="255" t="n">
        <v>4.277</v>
      </c>
      <c r="W236" s="149"/>
      <c r="X236" s="149"/>
      <c r="Y236" s="149"/>
      <c r="Z236" s="149"/>
      <c r="AA236" s="255" t="n">
        <v>3.4</v>
      </c>
      <c r="AB236" s="149"/>
      <c r="AC236" s="149"/>
      <c r="AD236" s="149"/>
      <c r="AE236" s="149"/>
      <c r="AF236" s="255" t="n">
        <v>8.2</v>
      </c>
      <c r="AG236" s="149"/>
      <c r="AH236" s="149"/>
      <c r="AI236" s="149"/>
      <c r="AJ236" s="149"/>
      <c r="AK236" s="148" t="n">
        <v>6.5</v>
      </c>
      <c r="AL236" s="149"/>
      <c r="AM236" s="149"/>
      <c r="AN236" s="149"/>
      <c r="AO236" s="149"/>
      <c r="AP236" s="148" t="n">
        <v>8.3</v>
      </c>
      <c r="AQ236" s="149"/>
      <c r="AR236" s="149"/>
      <c r="AS236" s="149"/>
      <c r="AT236" s="149"/>
      <c r="AU236" s="148" t="n">
        <v>5.5</v>
      </c>
      <c r="AV236" s="149"/>
      <c r="AW236" s="149"/>
      <c r="AX236" s="149"/>
      <c r="AY236" s="149"/>
      <c r="AZ236" s="148" t="n">
        <v>7.9</v>
      </c>
      <c r="BA236" s="149"/>
      <c r="BB236" s="149"/>
      <c r="BC236" s="149"/>
      <c r="BD236" s="149"/>
      <c r="BE236" s="148" t="n">
        <v>10.4</v>
      </c>
      <c r="BF236" s="149"/>
      <c r="BG236" s="149"/>
      <c r="BH236" s="149"/>
      <c r="BI236" s="149"/>
      <c r="BJ236" s="148" t="n">
        <v>16</v>
      </c>
      <c r="BK236" s="149"/>
      <c r="BL236" s="149"/>
      <c r="BM236" s="149"/>
      <c r="BN236" s="149"/>
      <c r="BO236" s="150"/>
      <c r="BP236" s="149"/>
      <c r="BQ236" s="149"/>
      <c r="BR236" s="149"/>
      <c r="BS236" s="149"/>
      <c r="BT236" s="147"/>
      <c r="BU236" s="149"/>
      <c r="BV236" s="149"/>
      <c r="BW236" s="149"/>
      <c r="BX236" s="149"/>
      <c r="BY236" s="147"/>
      <c r="BZ236" s="147"/>
      <c r="CA236" s="147"/>
      <c r="CB236" s="147"/>
      <c r="CC236" s="50"/>
    </row>
    <row r="237" s="51" customFormat="true" ht="15" hidden="true" customHeight="true" outlineLevel="2" collapsed="false">
      <c r="A237" s="270" t="s">
        <v>334</v>
      </c>
      <c r="B237" s="146"/>
      <c r="C237" s="159"/>
      <c r="D237" s="159"/>
      <c r="E237" s="147"/>
      <c r="F237" s="159"/>
      <c r="G237" s="255" t="n">
        <v>16.155</v>
      </c>
      <c r="H237" s="149"/>
      <c r="I237" s="149"/>
      <c r="J237" s="149"/>
      <c r="K237" s="149"/>
      <c r="L237" s="255" t="n">
        <v>16.684</v>
      </c>
      <c r="M237" s="149"/>
      <c r="N237" s="149"/>
      <c r="O237" s="149"/>
      <c r="P237" s="149"/>
      <c r="Q237" s="255" t="n">
        <v>11.626</v>
      </c>
      <c r="R237" s="149"/>
      <c r="S237" s="149"/>
      <c r="T237" s="149"/>
      <c r="U237" s="149"/>
      <c r="V237" s="255" t="n">
        <v>17.354</v>
      </c>
      <c r="W237" s="149"/>
      <c r="X237" s="149"/>
      <c r="Y237" s="149"/>
      <c r="Z237" s="149"/>
      <c r="AA237" s="255" t="n">
        <v>23.2</v>
      </c>
      <c r="AB237" s="149"/>
      <c r="AC237" s="149"/>
      <c r="AD237" s="149"/>
      <c r="AE237" s="149"/>
      <c r="AF237" s="255" t="n">
        <v>24.6</v>
      </c>
      <c r="AG237" s="149"/>
      <c r="AH237" s="149"/>
      <c r="AI237" s="149"/>
      <c r="AJ237" s="149"/>
      <c r="AK237" s="148" t="n">
        <v>24.1</v>
      </c>
      <c r="AL237" s="149"/>
      <c r="AM237" s="149"/>
      <c r="AN237" s="149"/>
      <c r="AO237" s="149"/>
      <c r="AP237" s="148" t="n">
        <v>34.1</v>
      </c>
      <c r="AQ237" s="149"/>
      <c r="AR237" s="149"/>
      <c r="AS237" s="149"/>
      <c r="AT237" s="149"/>
      <c r="AU237" s="148" t="n">
        <v>61.2</v>
      </c>
      <c r="AV237" s="149"/>
      <c r="AW237" s="149"/>
      <c r="AX237" s="149"/>
      <c r="AY237" s="149"/>
      <c r="AZ237" s="148" t="n">
        <v>85.4</v>
      </c>
      <c r="BA237" s="149"/>
      <c r="BB237" s="149"/>
      <c r="BC237" s="149"/>
      <c r="BD237" s="149"/>
      <c r="BE237" s="148" t="n">
        <v>148.1</v>
      </c>
      <c r="BF237" s="149"/>
      <c r="BG237" s="149"/>
      <c r="BH237" s="149"/>
      <c r="BI237" s="149"/>
      <c r="BJ237" s="148" t="n">
        <v>241.6</v>
      </c>
      <c r="BK237" s="149"/>
      <c r="BL237" s="149"/>
      <c r="BM237" s="149"/>
      <c r="BN237" s="149"/>
      <c r="BO237" s="150"/>
      <c r="BP237" s="149"/>
      <c r="BQ237" s="149"/>
      <c r="BR237" s="149"/>
      <c r="BS237" s="149"/>
      <c r="BT237" s="147"/>
      <c r="BU237" s="149"/>
      <c r="BV237" s="149"/>
      <c r="BW237" s="149"/>
      <c r="BX237" s="149"/>
      <c r="BY237" s="147"/>
      <c r="BZ237" s="147"/>
      <c r="CA237" s="147"/>
      <c r="CB237" s="147"/>
      <c r="CC237" s="50"/>
    </row>
    <row r="238" s="51" customFormat="true" ht="15" hidden="true" customHeight="true" outlineLevel="2" collapsed="false">
      <c r="A238" s="270" t="s">
        <v>335</v>
      </c>
      <c r="B238" s="146"/>
      <c r="C238" s="159"/>
      <c r="D238" s="159"/>
      <c r="E238" s="147"/>
      <c r="F238" s="159"/>
      <c r="G238" s="255" t="n">
        <v>1.109</v>
      </c>
      <c r="H238" s="149"/>
      <c r="I238" s="149"/>
      <c r="J238" s="149"/>
      <c r="K238" s="149"/>
      <c r="L238" s="255" t="n">
        <v>0.879</v>
      </c>
      <c r="M238" s="149"/>
      <c r="N238" s="149"/>
      <c r="O238" s="149"/>
      <c r="P238" s="149"/>
      <c r="Q238" s="255" t="n">
        <v>0.422</v>
      </c>
      <c r="R238" s="149"/>
      <c r="S238" s="149"/>
      <c r="T238" s="149"/>
      <c r="U238" s="149"/>
      <c r="V238" s="255" t="n">
        <v>0.844</v>
      </c>
      <c r="W238" s="149"/>
      <c r="X238" s="149"/>
      <c r="Y238" s="149"/>
      <c r="Z238" s="149"/>
      <c r="AA238" s="255" t="n">
        <v>0.8</v>
      </c>
      <c r="AB238" s="149"/>
      <c r="AC238" s="149"/>
      <c r="AD238" s="149"/>
      <c r="AE238" s="149"/>
      <c r="AF238" s="255" t="n">
        <v>1.1</v>
      </c>
      <c r="AG238" s="149"/>
      <c r="AH238" s="149"/>
      <c r="AI238" s="149"/>
      <c r="AJ238" s="149"/>
      <c r="AK238" s="148" t="n">
        <v>1.6</v>
      </c>
      <c r="AL238" s="149"/>
      <c r="AM238" s="149"/>
      <c r="AN238" s="149"/>
      <c r="AO238" s="149"/>
      <c r="AP238" s="148" t="n">
        <v>2.1</v>
      </c>
      <c r="AQ238" s="149"/>
      <c r="AR238" s="149"/>
      <c r="AS238" s="149"/>
      <c r="AT238" s="149"/>
      <c r="AU238" s="148" t="n">
        <v>7.3</v>
      </c>
      <c r="AV238" s="149"/>
      <c r="AW238" s="149"/>
      <c r="AX238" s="149"/>
      <c r="AY238" s="149"/>
      <c r="AZ238" s="148" t="n">
        <v>5.5</v>
      </c>
      <c r="BA238" s="149"/>
      <c r="BB238" s="149"/>
      <c r="BC238" s="149"/>
      <c r="BD238" s="149"/>
      <c r="BE238" s="148" t="n">
        <v>5</v>
      </c>
      <c r="BF238" s="149"/>
      <c r="BG238" s="149"/>
      <c r="BH238" s="149"/>
      <c r="BI238" s="149"/>
      <c r="BJ238" s="148" t="n">
        <v>4.3</v>
      </c>
      <c r="BK238" s="149"/>
      <c r="BL238" s="149"/>
      <c r="BM238" s="149"/>
      <c r="BN238" s="149"/>
      <c r="BO238" s="150"/>
      <c r="BP238" s="149"/>
      <c r="BQ238" s="149"/>
      <c r="BR238" s="149"/>
      <c r="BS238" s="149"/>
      <c r="BT238" s="147"/>
      <c r="BU238" s="149"/>
      <c r="BV238" s="149"/>
      <c r="BW238" s="149"/>
      <c r="BX238" s="149"/>
      <c r="BY238" s="147"/>
      <c r="BZ238" s="147"/>
      <c r="CA238" s="147"/>
      <c r="CB238" s="147"/>
      <c r="CC238" s="50"/>
    </row>
    <row r="239" s="51" customFormat="true" ht="15" hidden="true" customHeight="true" outlineLevel="2" collapsed="false">
      <c r="A239" s="270" t="s">
        <v>336</v>
      </c>
      <c r="B239" s="146"/>
      <c r="C239" s="159"/>
      <c r="D239" s="159"/>
      <c r="E239" s="147"/>
      <c r="F239" s="159"/>
      <c r="G239" s="255" t="n">
        <v>48.427</v>
      </c>
      <c r="H239" s="149"/>
      <c r="I239" s="149"/>
      <c r="J239" s="149"/>
      <c r="K239" s="149"/>
      <c r="L239" s="255" t="n">
        <v>60.241</v>
      </c>
      <c r="M239" s="149"/>
      <c r="N239" s="149"/>
      <c r="O239" s="149"/>
      <c r="P239" s="149"/>
      <c r="Q239" s="255" t="n">
        <v>60.029</v>
      </c>
      <c r="R239" s="149"/>
      <c r="S239" s="149"/>
      <c r="T239" s="149"/>
      <c r="U239" s="149"/>
      <c r="V239" s="255" t="n">
        <v>125.456</v>
      </c>
      <c r="W239" s="149"/>
      <c r="X239" s="149"/>
      <c r="Y239" s="149"/>
      <c r="Z239" s="149"/>
      <c r="AA239" s="255" t="n">
        <v>88.1</v>
      </c>
      <c r="AB239" s="149"/>
      <c r="AC239" s="149"/>
      <c r="AD239" s="149"/>
      <c r="AE239" s="149"/>
      <c r="AF239" s="255" t="n">
        <v>96.5</v>
      </c>
      <c r="AG239" s="149"/>
      <c r="AH239" s="149"/>
      <c r="AI239" s="149"/>
      <c r="AJ239" s="149"/>
      <c r="AK239" s="148" t="n">
        <v>131.6</v>
      </c>
      <c r="AL239" s="149"/>
      <c r="AM239" s="149"/>
      <c r="AN239" s="149"/>
      <c r="AO239" s="149"/>
      <c r="AP239" s="148" t="n">
        <v>164.3</v>
      </c>
      <c r="AQ239" s="149"/>
      <c r="AR239" s="149"/>
      <c r="AS239" s="149"/>
      <c r="AT239" s="149"/>
      <c r="AU239" s="148" t="n">
        <v>163.6</v>
      </c>
      <c r="AV239" s="149"/>
      <c r="AW239" s="149"/>
      <c r="AX239" s="149"/>
      <c r="AY239" s="149"/>
      <c r="AZ239" s="148" t="n">
        <v>216.3</v>
      </c>
      <c r="BA239" s="149"/>
      <c r="BB239" s="149"/>
      <c r="BC239" s="149"/>
      <c r="BD239" s="149"/>
      <c r="BE239" s="148" t="n">
        <v>354.5</v>
      </c>
      <c r="BF239" s="149"/>
      <c r="BG239" s="149"/>
      <c r="BH239" s="149"/>
      <c r="BI239" s="149"/>
      <c r="BJ239" s="148" t="n">
        <v>473.8</v>
      </c>
      <c r="BK239" s="149"/>
      <c r="BL239" s="149"/>
      <c r="BM239" s="149"/>
      <c r="BN239" s="149"/>
      <c r="BO239" s="150"/>
      <c r="BP239" s="149"/>
      <c r="BQ239" s="149"/>
      <c r="BR239" s="149"/>
      <c r="BS239" s="149"/>
      <c r="BT239" s="147"/>
      <c r="BU239" s="149"/>
      <c r="BV239" s="149"/>
      <c r="BW239" s="149"/>
      <c r="BX239" s="149"/>
      <c r="BY239" s="147"/>
      <c r="BZ239" s="147"/>
      <c r="CA239" s="147"/>
      <c r="CB239" s="147"/>
      <c r="CC239" s="50"/>
    </row>
    <row r="240" s="51" customFormat="true" ht="15" hidden="true" customHeight="true" outlineLevel="2" collapsed="false">
      <c r="A240" s="270" t="s">
        <v>337</v>
      </c>
      <c r="B240" s="146"/>
      <c r="C240" s="159"/>
      <c r="D240" s="159"/>
      <c r="E240" s="159"/>
      <c r="F240" s="159"/>
      <c r="G240" s="159"/>
      <c r="H240" s="149"/>
      <c r="I240" s="149"/>
      <c r="J240" s="149"/>
      <c r="K240" s="149"/>
      <c r="L240" s="159"/>
      <c r="M240" s="149"/>
      <c r="N240" s="149"/>
      <c r="O240" s="149"/>
      <c r="P240" s="149"/>
      <c r="Q240" s="159"/>
      <c r="R240" s="149"/>
      <c r="S240" s="149"/>
      <c r="T240" s="149"/>
      <c r="U240" s="149"/>
      <c r="V240" s="255" t="n">
        <v>3.156</v>
      </c>
      <c r="W240" s="149"/>
      <c r="X240" s="149"/>
      <c r="Y240" s="149"/>
      <c r="Z240" s="149"/>
      <c r="AA240" s="255" t="n">
        <v>4.1</v>
      </c>
      <c r="AB240" s="149"/>
      <c r="AC240" s="149"/>
      <c r="AD240" s="149"/>
      <c r="AE240" s="149"/>
      <c r="AF240" s="255" t="n">
        <v>16.2</v>
      </c>
      <c r="AG240" s="149"/>
      <c r="AH240" s="149"/>
      <c r="AI240" s="149"/>
      <c r="AJ240" s="149"/>
      <c r="AK240" s="148" t="n">
        <v>21.3</v>
      </c>
      <c r="AL240" s="149"/>
      <c r="AM240" s="149"/>
      <c r="AN240" s="149"/>
      <c r="AO240" s="149"/>
      <c r="AP240" s="148" t="n">
        <v>17.8</v>
      </c>
      <c r="AQ240" s="149"/>
      <c r="AR240" s="149"/>
      <c r="AS240" s="149"/>
      <c r="AT240" s="149"/>
      <c r="AU240" s="148" t="n">
        <v>17</v>
      </c>
      <c r="AV240" s="149"/>
      <c r="AW240" s="149"/>
      <c r="AX240" s="149"/>
      <c r="AY240" s="149"/>
      <c r="AZ240" s="148" t="n">
        <v>40.8</v>
      </c>
      <c r="BA240" s="149"/>
      <c r="BB240" s="149"/>
      <c r="BC240" s="149"/>
      <c r="BD240" s="149"/>
      <c r="BE240" s="148" t="n">
        <v>48.6</v>
      </c>
      <c r="BF240" s="149"/>
      <c r="BG240" s="149"/>
      <c r="BH240" s="149"/>
      <c r="BI240" s="149"/>
      <c r="BJ240" s="148" t="n">
        <v>72.7</v>
      </c>
      <c r="BK240" s="149"/>
      <c r="BL240" s="149"/>
      <c r="BM240" s="149"/>
      <c r="BN240" s="149"/>
      <c r="BO240" s="150"/>
      <c r="BP240" s="149"/>
      <c r="BQ240" s="149"/>
      <c r="BR240" s="149"/>
      <c r="BS240" s="149"/>
      <c r="BT240" s="147"/>
      <c r="BU240" s="149"/>
      <c r="BV240" s="149"/>
      <c r="BW240" s="149"/>
      <c r="BX240" s="149"/>
      <c r="BY240" s="147"/>
      <c r="BZ240" s="147"/>
      <c r="CA240" s="147"/>
      <c r="CB240" s="147"/>
      <c r="CC240" s="50"/>
    </row>
    <row r="241" s="51" customFormat="true" ht="15" hidden="true" customHeight="true" outlineLevel="2" collapsed="false">
      <c r="A241" s="270" t="s">
        <v>338</v>
      </c>
      <c r="B241" s="146"/>
      <c r="C241" s="159"/>
      <c r="D241" s="159"/>
      <c r="E241" s="159"/>
      <c r="F241" s="159"/>
      <c r="G241" s="255" t="n">
        <v>3.742</v>
      </c>
      <c r="H241" s="149"/>
      <c r="I241" s="149"/>
      <c r="J241" s="149"/>
      <c r="K241" s="149"/>
      <c r="L241" s="255" t="n">
        <v>3.807</v>
      </c>
      <c r="M241" s="149"/>
      <c r="N241" s="149"/>
      <c r="O241" s="149"/>
      <c r="P241" s="149"/>
      <c r="Q241" s="255" t="n">
        <v>3.485</v>
      </c>
      <c r="R241" s="149"/>
      <c r="S241" s="149"/>
      <c r="T241" s="149"/>
      <c r="U241" s="149"/>
      <c r="V241" s="255" t="n">
        <v>2.757</v>
      </c>
      <c r="W241" s="149"/>
      <c r="X241" s="149"/>
      <c r="Y241" s="149"/>
      <c r="Z241" s="149"/>
      <c r="AA241" s="255" t="n">
        <v>3</v>
      </c>
      <c r="AB241" s="149"/>
      <c r="AC241" s="149"/>
      <c r="AD241" s="149"/>
      <c r="AE241" s="149"/>
      <c r="AF241" s="255" t="n">
        <v>0.4</v>
      </c>
      <c r="AG241" s="149"/>
      <c r="AH241" s="149"/>
      <c r="AI241" s="149"/>
      <c r="AJ241" s="149"/>
      <c r="AK241" s="148" t="n">
        <v>0.5</v>
      </c>
      <c r="AL241" s="149"/>
      <c r="AM241" s="149"/>
      <c r="AN241" s="149"/>
      <c r="AO241" s="149"/>
      <c r="AP241" s="148" t="n">
        <v>0.4</v>
      </c>
      <c r="AQ241" s="149"/>
      <c r="AR241" s="149"/>
      <c r="AS241" s="149"/>
      <c r="AT241" s="149"/>
      <c r="AU241" s="148" t="n">
        <v>0.2</v>
      </c>
      <c r="AV241" s="149"/>
      <c r="AW241" s="149"/>
      <c r="AX241" s="149"/>
      <c r="AY241" s="149"/>
      <c r="AZ241" s="148" t="n">
        <v>0.2</v>
      </c>
      <c r="BA241" s="149"/>
      <c r="BB241" s="149"/>
      <c r="BC241" s="149"/>
      <c r="BD241" s="149"/>
      <c r="BE241" s="148" t="n">
        <v>0.2</v>
      </c>
      <c r="BF241" s="149"/>
      <c r="BG241" s="149"/>
      <c r="BH241" s="149"/>
      <c r="BI241" s="149"/>
      <c r="BJ241" s="148" t="n">
        <v>0.1</v>
      </c>
      <c r="BK241" s="149"/>
      <c r="BL241" s="149"/>
      <c r="BM241" s="149"/>
      <c r="BN241" s="149"/>
      <c r="BO241" s="150"/>
      <c r="BP241" s="149"/>
      <c r="BQ241" s="149"/>
      <c r="BR241" s="149"/>
      <c r="BS241" s="149"/>
      <c r="BT241" s="147"/>
      <c r="BU241" s="149"/>
      <c r="BV241" s="149"/>
      <c r="BW241" s="149"/>
      <c r="BX241" s="149"/>
      <c r="BY241" s="147"/>
      <c r="BZ241" s="147"/>
      <c r="CA241" s="147"/>
      <c r="CB241" s="147"/>
      <c r="CC241" s="50"/>
    </row>
    <row r="242" s="51" customFormat="true" ht="15" hidden="true" customHeight="true" outlineLevel="2" collapsed="false">
      <c r="A242" s="270" t="s">
        <v>339</v>
      </c>
      <c r="B242" s="146"/>
      <c r="C242" s="159"/>
      <c r="D242" s="159"/>
      <c r="E242" s="159"/>
      <c r="F242" s="159"/>
      <c r="G242" s="255" t="n">
        <v>969.192</v>
      </c>
      <c r="H242" s="149"/>
      <c r="I242" s="149"/>
      <c r="J242" s="149"/>
      <c r="K242" s="149"/>
      <c r="L242" s="255" t="n">
        <v>1124.632</v>
      </c>
      <c r="M242" s="149"/>
      <c r="N242" s="149"/>
      <c r="O242" s="149"/>
      <c r="P242" s="149"/>
      <c r="Q242" s="255" t="n">
        <v>1229.8</v>
      </c>
      <c r="R242" s="149"/>
      <c r="S242" s="149"/>
      <c r="T242" s="149"/>
      <c r="U242" s="149"/>
      <c r="V242" s="255" t="n">
        <v>1201.437</v>
      </c>
      <c r="W242" s="149"/>
      <c r="X242" s="149"/>
      <c r="Y242" s="149"/>
      <c r="Z242" s="149"/>
      <c r="AA242" s="255" t="n">
        <v>1186</v>
      </c>
      <c r="AB242" s="149"/>
      <c r="AC242" s="149"/>
      <c r="AD242" s="149"/>
      <c r="AE242" s="149"/>
      <c r="AF242" s="255" t="n">
        <v>1113.8</v>
      </c>
      <c r="AG242" s="149"/>
      <c r="AH242" s="149"/>
      <c r="AI242" s="149"/>
      <c r="AJ242" s="149"/>
      <c r="AK242" s="148" t="n">
        <v>1396</v>
      </c>
      <c r="AL242" s="149"/>
      <c r="AM242" s="149"/>
      <c r="AN242" s="149"/>
      <c r="AO242" s="149"/>
      <c r="AP242" s="148" t="n">
        <v>1625.2</v>
      </c>
      <c r="AQ242" s="149"/>
      <c r="AR242" s="149"/>
      <c r="AS242" s="149"/>
      <c r="AT242" s="149"/>
      <c r="AU242" s="148" t="n">
        <v>2048.1</v>
      </c>
      <c r="AV242" s="149"/>
      <c r="AW242" s="149"/>
      <c r="AX242" s="149"/>
      <c r="AY242" s="149"/>
      <c r="AZ242" s="148" t="n">
        <v>2748.5</v>
      </c>
      <c r="BA242" s="149"/>
      <c r="BB242" s="149"/>
      <c r="BC242" s="149"/>
      <c r="BD242" s="149"/>
      <c r="BE242" s="148" t="n">
        <v>3783.6</v>
      </c>
      <c r="BF242" s="149"/>
      <c r="BG242" s="149"/>
      <c r="BH242" s="149"/>
      <c r="BI242" s="149"/>
      <c r="BJ242" s="148" t="n">
        <v>4621.4</v>
      </c>
      <c r="BK242" s="149"/>
      <c r="BL242" s="149"/>
      <c r="BM242" s="149"/>
      <c r="BN242" s="149"/>
      <c r="BO242" s="150"/>
      <c r="BP242" s="149"/>
      <c r="BQ242" s="149"/>
      <c r="BR242" s="149"/>
      <c r="BS242" s="149"/>
      <c r="BT242" s="147"/>
      <c r="BU242" s="149"/>
      <c r="BV242" s="149"/>
      <c r="BW242" s="149"/>
      <c r="BX242" s="149"/>
      <c r="BY242" s="147"/>
      <c r="BZ242" s="147"/>
      <c r="CA242" s="147"/>
      <c r="CB242" s="147"/>
      <c r="CC242" s="50"/>
    </row>
    <row r="243" s="51" customFormat="true" ht="15" hidden="true" customHeight="true" outlineLevel="2" collapsed="false">
      <c r="A243" s="270" t="s">
        <v>340</v>
      </c>
      <c r="B243" s="146"/>
      <c r="C243" s="159"/>
      <c r="D243" s="159"/>
      <c r="E243" s="159"/>
      <c r="F243" s="159"/>
      <c r="G243" s="255" t="n">
        <v>2.6</v>
      </c>
      <c r="H243" s="149"/>
      <c r="I243" s="149"/>
      <c r="J243" s="149"/>
      <c r="K243" s="149"/>
      <c r="L243" s="255" t="n">
        <v>1.322</v>
      </c>
      <c r="M243" s="149"/>
      <c r="N243" s="149"/>
      <c r="O243" s="149"/>
      <c r="P243" s="149"/>
      <c r="Q243" s="255" t="n">
        <v>1.313</v>
      </c>
      <c r="R243" s="149"/>
      <c r="S243" s="149"/>
      <c r="T243" s="149"/>
      <c r="U243" s="149"/>
      <c r="V243" s="255" t="n">
        <v>4.093</v>
      </c>
      <c r="W243" s="149"/>
      <c r="X243" s="149"/>
      <c r="Y243" s="149"/>
      <c r="Z243" s="149"/>
      <c r="AA243" s="255" t="n">
        <v>5</v>
      </c>
      <c r="AB243" s="149"/>
      <c r="AC243" s="149"/>
      <c r="AD243" s="149"/>
      <c r="AE243" s="149"/>
      <c r="AF243" s="255" t="n">
        <v>5.1</v>
      </c>
      <c r="AG243" s="149"/>
      <c r="AH243" s="149"/>
      <c r="AI243" s="149"/>
      <c r="AJ243" s="149"/>
      <c r="AK243" s="148" t="n">
        <v>4.3</v>
      </c>
      <c r="AL243" s="149"/>
      <c r="AM243" s="149"/>
      <c r="AN243" s="149"/>
      <c r="AO243" s="149"/>
      <c r="AP243" s="148" t="n">
        <v>129.2</v>
      </c>
      <c r="AQ243" s="149"/>
      <c r="AR243" s="149"/>
      <c r="AS243" s="149"/>
      <c r="AT243" s="149"/>
      <c r="AU243" s="148" t="n">
        <v>124</v>
      </c>
      <c r="AV243" s="149"/>
      <c r="AW243" s="149"/>
      <c r="AX243" s="149"/>
      <c r="AY243" s="149"/>
      <c r="AZ243" s="148" t="n">
        <v>228.5</v>
      </c>
      <c r="BA243" s="149"/>
      <c r="BB243" s="149"/>
      <c r="BC243" s="149"/>
      <c r="BD243" s="149"/>
      <c r="BE243" s="148" t="n">
        <v>314.5</v>
      </c>
      <c r="BF243" s="149"/>
      <c r="BG243" s="149"/>
      <c r="BH243" s="149"/>
      <c r="BI243" s="149"/>
      <c r="BJ243" s="148" t="n">
        <v>443.1</v>
      </c>
      <c r="BK243" s="149"/>
      <c r="BL243" s="149"/>
      <c r="BM243" s="149"/>
      <c r="BN243" s="149"/>
      <c r="BO243" s="150"/>
      <c r="BP243" s="149"/>
      <c r="BQ243" s="149"/>
      <c r="BR243" s="149"/>
      <c r="BS243" s="149"/>
      <c r="BT243" s="147"/>
      <c r="BU243" s="149"/>
      <c r="BV243" s="149"/>
      <c r="BW243" s="149"/>
      <c r="BX243" s="149"/>
      <c r="BY243" s="147"/>
      <c r="BZ243" s="147"/>
      <c r="CA243" s="147"/>
      <c r="CB243" s="147"/>
      <c r="CC243" s="50"/>
    </row>
    <row r="244" s="51" customFormat="true" ht="15" hidden="true" customHeight="true" outlineLevel="2" collapsed="false">
      <c r="A244" s="270" t="s">
        <v>341</v>
      </c>
      <c r="B244" s="146"/>
      <c r="C244" s="261"/>
      <c r="D244" s="261"/>
      <c r="E244" s="261"/>
      <c r="F244" s="261"/>
      <c r="G244" s="258" t="n">
        <v>173.275</v>
      </c>
      <c r="H244" s="149"/>
      <c r="I244" s="149"/>
      <c r="J244" s="149"/>
      <c r="K244" s="149"/>
      <c r="L244" s="258" t="n">
        <v>236.263</v>
      </c>
      <c r="M244" s="149"/>
      <c r="N244" s="149"/>
      <c r="O244" s="149"/>
      <c r="P244" s="149"/>
      <c r="Q244" s="258" t="n">
        <v>310.794</v>
      </c>
      <c r="R244" s="149"/>
      <c r="S244" s="149"/>
      <c r="T244" s="149"/>
      <c r="U244" s="149"/>
      <c r="V244" s="258" t="n">
        <v>327.863</v>
      </c>
      <c r="W244" s="149"/>
      <c r="X244" s="149"/>
      <c r="Y244" s="149"/>
      <c r="Z244" s="149"/>
      <c r="AA244" s="258" t="n">
        <v>287.2</v>
      </c>
      <c r="AB244" s="149"/>
      <c r="AC244" s="149"/>
      <c r="AD244" s="149"/>
      <c r="AE244" s="149"/>
      <c r="AF244" s="258" t="n">
        <v>323.6</v>
      </c>
      <c r="AG244" s="149"/>
      <c r="AH244" s="149"/>
      <c r="AI244" s="149"/>
      <c r="AJ244" s="149"/>
      <c r="AK244" s="148" t="n">
        <v>413.4</v>
      </c>
      <c r="AL244" s="149"/>
      <c r="AM244" s="149"/>
      <c r="AN244" s="149"/>
      <c r="AO244" s="149"/>
      <c r="AP244" s="148" t="n">
        <v>488.9</v>
      </c>
      <c r="AQ244" s="149"/>
      <c r="AR244" s="149"/>
      <c r="AS244" s="149"/>
      <c r="AT244" s="149"/>
      <c r="AU244" s="148" t="n">
        <v>555.8</v>
      </c>
      <c r="AV244" s="149"/>
      <c r="AW244" s="149"/>
      <c r="AX244" s="149"/>
      <c r="AY244" s="149"/>
      <c r="AZ244" s="148" t="n">
        <v>803.8</v>
      </c>
      <c r="BA244" s="149"/>
      <c r="BB244" s="149"/>
      <c r="BC244" s="149"/>
      <c r="BD244" s="149"/>
      <c r="BE244" s="148" t="n">
        <v>1134.9</v>
      </c>
      <c r="BF244" s="149"/>
      <c r="BG244" s="149"/>
      <c r="BH244" s="149"/>
      <c r="BI244" s="149"/>
      <c r="BJ244" s="148" t="n">
        <v>1361</v>
      </c>
      <c r="BK244" s="149"/>
      <c r="BL244" s="149"/>
      <c r="BM244" s="149"/>
      <c r="BN244" s="149"/>
      <c r="BO244" s="150"/>
      <c r="BP244" s="149"/>
      <c r="BQ244" s="149"/>
      <c r="BR244" s="149"/>
      <c r="BS244" s="149"/>
      <c r="BT244" s="147"/>
      <c r="BU244" s="149"/>
      <c r="BV244" s="149"/>
      <c r="BW244" s="149"/>
      <c r="BX244" s="149"/>
      <c r="BY244" s="147"/>
      <c r="BZ244" s="147"/>
      <c r="CA244" s="147"/>
      <c r="CB244" s="147"/>
      <c r="CC244" s="50"/>
    </row>
    <row r="245" s="157" customFormat="true" ht="15" hidden="true" customHeight="true" outlineLevel="2" collapsed="false">
      <c r="A245" s="244" t="s">
        <v>342</v>
      </c>
      <c r="B245" s="152"/>
      <c r="C245" s="153"/>
      <c r="D245" s="153"/>
      <c r="E245" s="153"/>
      <c r="F245" s="153"/>
      <c r="G245" s="272" t="n">
        <f aca="false">SUM(G236:G244)</f>
        <v>1217.84</v>
      </c>
      <c r="H245" s="154"/>
      <c r="I245" s="154"/>
      <c r="J245" s="154"/>
      <c r="K245" s="154"/>
      <c r="L245" s="272" t="n">
        <f aca="false">SUM(L236:L244)</f>
        <v>1447.523</v>
      </c>
      <c r="M245" s="154"/>
      <c r="N245" s="154"/>
      <c r="O245" s="154"/>
      <c r="P245" s="154"/>
      <c r="Q245" s="272" t="n">
        <f aca="false">SUM(Q236:Q244)</f>
        <v>1620.678</v>
      </c>
      <c r="R245" s="154"/>
      <c r="S245" s="154"/>
      <c r="T245" s="154"/>
      <c r="U245" s="154"/>
      <c r="V245" s="272" t="n">
        <f aca="false">SUM(V236:V244)</f>
        <v>1687.237</v>
      </c>
      <c r="W245" s="154"/>
      <c r="X245" s="154"/>
      <c r="Y245" s="154"/>
      <c r="Z245" s="154"/>
      <c r="AA245" s="357" t="n">
        <f aca="false">SUM(AA236:AA244)</f>
        <v>1600.8</v>
      </c>
      <c r="AB245" s="154"/>
      <c r="AC245" s="154"/>
      <c r="AD245" s="154"/>
      <c r="AE245" s="154"/>
      <c r="AF245" s="357" t="n">
        <f aca="false">SUM(AF236:AF244)</f>
        <v>1589.5</v>
      </c>
      <c r="AG245" s="154"/>
      <c r="AH245" s="154"/>
      <c r="AI245" s="154"/>
      <c r="AJ245" s="154"/>
      <c r="AK245" s="272" t="n">
        <f aca="false">SUM(AK236:AK244)</f>
        <v>1999.3</v>
      </c>
      <c r="AL245" s="154"/>
      <c r="AM245" s="154"/>
      <c r="AN245" s="154"/>
      <c r="AO245" s="154"/>
      <c r="AP245" s="272" t="n">
        <f aca="false">SUM(AP236:AP244)</f>
        <v>2470.3</v>
      </c>
      <c r="AQ245" s="154"/>
      <c r="AR245" s="154"/>
      <c r="AS245" s="154"/>
      <c r="AT245" s="154"/>
      <c r="AU245" s="153" t="n">
        <f aca="false">SUM(AU236:AU244)</f>
        <v>2982.7</v>
      </c>
      <c r="AV245" s="154"/>
      <c r="AW245" s="154"/>
      <c r="AX245" s="154"/>
      <c r="AY245" s="154"/>
      <c r="AZ245" s="153" t="n">
        <f aca="false">SUM(AZ236:AZ244)</f>
        <v>4136.9</v>
      </c>
      <c r="BA245" s="154"/>
      <c r="BB245" s="154"/>
      <c r="BC245" s="154"/>
      <c r="BD245" s="154"/>
      <c r="BE245" s="153" t="n">
        <f aca="false">SUM(BE236:BE244)</f>
        <v>5799.8</v>
      </c>
      <c r="BF245" s="154"/>
      <c r="BG245" s="154"/>
      <c r="BH245" s="154"/>
      <c r="BI245" s="154"/>
      <c r="BJ245" s="153" t="n">
        <f aca="false">SUM(BJ236:BJ244)</f>
        <v>7234</v>
      </c>
      <c r="BK245" s="154"/>
      <c r="BL245" s="154"/>
      <c r="BM245" s="154"/>
      <c r="BN245" s="154"/>
      <c r="BO245" s="155"/>
      <c r="BP245" s="154"/>
      <c r="BQ245" s="154"/>
      <c r="BR245" s="154"/>
      <c r="BS245" s="154"/>
      <c r="BT245" s="153"/>
      <c r="BU245" s="154"/>
      <c r="BV245" s="154"/>
      <c r="BW245" s="154"/>
      <c r="BX245" s="154"/>
      <c r="BY245" s="153"/>
      <c r="BZ245" s="153"/>
      <c r="CA245" s="153"/>
      <c r="CB245" s="153"/>
      <c r="CC245" s="156"/>
    </row>
    <row r="246" s="157" customFormat="true" ht="15" hidden="true" customHeight="true" outlineLevel="1" collapsed="true">
      <c r="A246" s="252"/>
      <c r="B246" s="222"/>
      <c r="C246" s="223"/>
      <c r="D246" s="223"/>
      <c r="E246" s="223"/>
      <c r="F246" s="223"/>
      <c r="G246" s="223"/>
      <c r="H246" s="224"/>
      <c r="I246" s="224"/>
      <c r="J246" s="224"/>
      <c r="K246" s="224"/>
      <c r="L246" s="223"/>
      <c r="M246" s="224"/>
      <c r="N246" s="224"/>
      <c r="O246" s="224"/>
      <c r="P246" s="224"/>
      <c r="Q246" s="223"/>
      <c r="R246" s="224"/>
      <c r="S246" s="224"/>
      <c r="T246" s="224"/>
      <c r="U246" s="224"/>
      <c r="V246" s="223"/>
      <c r="W246" s="224"/>
      <c r="X246" s="224"/>
      <c r="Y246" s="224"/>
      <c r="Z246" s="224"/>
      <c r="AA246" s="223"/>
      <c r="AB246" s="224"/>
      <c r="AC246" s="224"/>
      <c r="AD246" s="224"/>
      <c r="AE246" s="224"/>
      <c r="AF246" s="223"/>
      <c r="AG246" s="224"/>
      <c r="AH246" s="224"/>
      <c r="AI246" s="224"/>
      <c r="AJ246" s="224"/>
      <c r="AK246" s="223"/>
      <c r="AL246" s="224"/>
      <c r="AM246" s="224"/>
      <c r="AN246" s="224"/>
      <c r="AO246" s="224"/>
      <c r="AP246" s="223"/>
      <c r="AQ246" s="224"/>
      <c r="AR246" s="224"/>
      <c r="AS246" s="224"/>
      <c r="AT246" s="224"/>
      <c r="AU246" s="223"/>
      <c r="AV246" s="224"/>
      <c r="AW246" s="224"/>
      <c r="AX246" s="224"/>
      <c r="AY246" s="224"/>
      <c r="AZ246" s="223"/>
      <c r="BA246" s="224"/>
      <c r="BB246" s="224"/>
      <c r="BC246" s="224"/>
      <c r="BD246" s="224"/>
      <c r="BE246" s="223"/>
      <c r="BF246" s="224"/>
      <c r="BG246" s="224"/>
      <c r="BH246" s="224"/>
      <c r="BI246" s="224"/>
      <c r="BJ246" s="223"/>
      <c r="BK246" s="224"/>
      <c r="BL246" s="224"/>
      <c r="BM246" s="224"/>
      <c r="BN246" s="224"/>
      <c r="BO246" s="225"/>
      <c r="BP246" s="224"/>
      <c r="BQ246" s="224"/>
      <c r="BR246" s="224"/>
      <c r="BS246" s="224"/>
      <c r="BT246" s="223"/>
      <c r="BU246" s="224"/>
      <c r="BV246" s="224"/>
      <c r="BW246" s="224"/>
      <c r="BX246" s="224"/>
      <c r="BY246" s="223"/>
      <c r="BZ246" s="223"/>
      <c r="CA246" s="223"/>
      <c r="CB246" s="223"/>
      <c r="CC246" s="156"/>
    </row>
    <row r="247" s="157" customFormat="true" ht="15" hidden="true" customHeight="true" outlineLevel="1" collapsed="false">
      <c r="A247" s="219" t="s">
        <v>343</v>
      </c>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c r="AA247" s="219"/>
      <c r="AB247" s="219"/>
      <c r="AC247" s="219"/>
      <c r="AD247" s="219"/>
      <c r="AE247" s="219"/>
      <c r="AF247" s="219"/>
      <c r="AG247" s="219"/>
      <c r="AH247" s="219"/>
      <c r="AI247" s="219"/>
      <c r="AJ247" s="219"/>
      <c r="AK247" s="219"/>
      <c r="AL247" s="219"/>
      <c r="AM247" s="219"/>
      <c r="AN247" s="219"/>
      <c r="AO247" s="219"/>
      <c r="AP247" s="219"/>
      <c r="AQ247" s="219"/>
      <c r="AR247" s="219"/>
      <c r="AS247" s="219"/>
      <c r="AT247" s="219"/>
      <c r="AU247" s="219"/>
      <c r="AV247" s="219"/>
      <c r="AW247" s="219"/>
      <c r="AX247" s="219"/>
      <c r="AY247" s="219"/>
      <c r="AZ247" s="219"/>
      <c r="BA247" s="219"/>
      <c r="BB247" s="219"/>
      <c r="BC247" s="219"/>
      <c r="BD247" s="219"/>
      <c r="BE247" s="219"/>
      <c r="BF247" s="219"/>
      <c r="BG247" s="219"/>
      <c r="BH247" s="219"/>
      <c r="BI247" s="219"/>
      <c r="BJ247" s="219"/>
      <c r="BK247" s="219"/>
      <c r="BL247" s="219"/>
      <c r="BM247" s="219"/>
      <c r="BN247" s="219"/>
      <c r="BO247" s="220"/>
      <c r="BP247" s="219"/>
      <c r="BQ247" s="219"/>
      <c r="BR247" s="219"/>
      <c r="BS247" s="219"/>
      <c r="BT247" s="219"/>
      <c r="BU247" s="219"/>
      <c r="BV247" s="219"/>
      <c r="BW247" s="219"/>
      <c r="BX247" s="219"/>
      <c r="BY247" s="219"/>
      <c r="BZ247" s="219"/>
      <c r="CA247" s="219"/>
      <c r="CB247" s="219"/>
      <c r="CC247" s="156"/>
    </row>
    <row r="248" s="51" customFormat="true" ht="15" hidden="true" customHeight="true" outlineLevel="2" collapsed="false">
      <c r="A248" s="270" t="s">
        <v>344</v>
      </c>
      <c r="B248" s="146"/>
      <c r="C248" s="148" t="n">
        <v>436.888</v>
      </c>
      <c r="D248" s="148" t="n">
        <v>551.683</v>
      </c>
      <c r="E248" s="148" t="n">
        <v>648.869</v>
      </c>
      <c r="F248" s="148" t="n">
        <v>711.039</v>
      </c>
      <c r="G248" s="148" t="n">
        <v>835.563</v>
      </c>
      <c r="H248" s="149"/>
      <c r="I248" s="149"/>
      <c r="J248" s="149"/>
      <c r="K248" s="149"/>
      <c r="L248" s="148" t="n">
        <v>985.883</v>
      </c>
      <c r="M248" s="149"/>
      <c r="N248" s="149"/>
      <c r="O248" s="149"/>
      <c r="P248" s="149"/>
      <c r="Q248" s="148" t="n">
        <v>1165.433</v>
      </c>
      <c r="R248" s="149"/>
      <c r="S248" s="149"/>
      <c r="T248" s="149"/>
      <c r="U248" s="149"/>
      <c r="V248" s="148" t="n">
        <v>1279.6</v>
      </c>
      <c r="W248" s="149"/>
      <c r="X248" s="149"/>
      <c r="Y248" s="149"/>
      <c r="Z248" s="149"/>
      <c r="AA248" s="255" t="n">
        <v>1492.8</v>
      </c>
      <c r="AB248" s="149"/>
      <c r="AC248" s="149"/>
      <c r="AD248" s="149"/>
      <c r="AE248" s="149"/>
      <c r="AF248" s="255" t="n">
        <v>1777.9</v>
      </c>
      <c r="AG248" s="149"/>
      <c r="AH248" s="149"/>
      <c r="AI248" s="149"/>
      <c r="AJ248" s="149"/>
      <c r="AK248" s="148" t="n">
        <v>2124.4</v>
      </c>
      <c r="AL248" s="149"/>
      <c r="AM248" s="149"/>
      <c r="AN248" s="149"/>
      <c r="AO248" s="149"/>
      <c r="AP248" s="148" t="n">
        <v>2519.6</v>
      </c>
      <c r="AQ248" s="149"/>
      <c r="AR248" s="149"/>
      <c r="AS248" s="149"/>
      <c r="AT248" s="149"/>
      <c r="AU248" s="148" t="n">
        <v>2842.7</v>
      </c>
      <c r="AV248" s="149"/>
      <c r="AW248" s="149"/>
      <c r="AX248" s="149"/>
      <c r="AY248" s="149"/>
      <c r="AZ248" s="148" t="n">
        <v>3502.5</v>
      </c>
      <c r="BA248" s="149"/>
      <c r="BB248" s="149"/>
      <c r="BC248" s="149"/>
      <c r="BD248" s="149"/>
      <c r="BE248" s="148" t="n">
        <v>4447</v>
      </c>
      <c r="BF248" s="149"/>
      <c r="BG248" s="149"/>
      <c r="BH248" s="149"/>
      <c r="BI248" s="149"/>
      <c r="BJ248" s="148" t="n">
        <v>5001.2</v>
      </c>
      <c r="BK248" s="149"/>
      <c r="BL248" s="149"/>
      <c r="BM248" s="149"/>
      <c r="BN248" s="149"/>
      <c r="BO248" s="150"/>
      <c r="BP248" s="149"/>
      <c r="BQ248" s="149"/>
      <c r="BR248" s="149"/>
      <c r="BS248" s="149"/>
      <c r="BT248" s="147"/>
      <c r="BU248" s="149"/>
      <c r="BV248" s="149"/>
      <c r="BW248" s="149"/>
      <c r="BX248" s="149"/>
      <c r="BY248" s="147"/>
      <c r="BZ248" s="147"/>
      <c r="CA248" s="147"/>
      <c r="CB248" s="147"/>
      <c r="CC248" s="50"/>
    </row>
    <row r="249" s="51" customFormat="true" ht="15" hidden="true" customHeight="true" outlineLevel="2" collapsed="false">
      <c r="A249" s="270" t="s">
        <v>345</v>
      </c>
      <c r="B249" s="146"/>
      <c r="C249" s="148" t="n">
        <v>38.533</v>
      </c>
      <c r="D249" s="148" t="n">
        <v>42.468</v>
      </c>
      <c r="E249" s="148" t="n">
        <v>52.55</v>
      </c>
      <c r="F249" s="148" t="n">
        <v>58.18</v>
      </c>
      <c r="G249" s="148" t="n">
        <v>69.839</v>
      </c>
      <c r="H249" s="149"/>
      <c r="I249" s="149"/>
      <c r="J249" s="149"/>
      <c r="K249" s="149"/>
      <c r="L249" s="148" t="n">
        <v>81.721</v>
      </c>
      <c r="M249" s="149"/>
      <c r="N249" s="149"/>
      <c r="O249" s="149"/>
      <c r="P249" s="149"/>
      <c r="Q249" s="148" t="n">
        <v>92.91</v>
      </c>
      <c r="R249" s="149"/>
      <c r="S249" s="149"/>
      <c r="T249" s="149"/>
      <c r="U249" s="149"/>
      <c r="V249" s="148" t="n">
        <v>103.8</v>
      </c>
      <c r="W249" s="149"/>
      <c r="X249" s="149"/>
      <c r="Y249" s="149"/>
      <c r="Z249" s="149"/>
      <c r="AA249" s="255" t="n">
        <v>119.6</v>
      </c>
      <c r="AB249" s="149"/>
      <c r="AC249" s="149"/>
      <c r="AD249" s="149"/>
      <c r="AE249" s="149"/>
      <c r="AF249" s="255" t="n">
        <v>146.3</v>
      </c>
      <c r="AG249" s="149"/>
      <c r="AH249" s="149"/>
      <c r="AI249" s="149"/>
      <c r="AJ249" s="149"/>
      <c r="AK249" s="148" t="n">
        <v>181.9</v>
      </c>
      <c r="AL249" s="149"/>
      <c r="AM249" s="149"/>
      <c r="AN249" s="149"/>
      <c r="AO249" s="149"/>
      <c r="AP249" s="148" t="n">
        <v>208.1</v>
      </c>
      <c r="AQ249" s="149"/>
      <c r="AR249" s="149"/>
      <c r="AS249" s="149"/>
      <c r="AT249" s="149"/>
      <c r="AU249" s="148" t="n">
        <v>249.8</v>
      </c>
      <c r="AV249" s="149"/>
      <c r="AW249" s="149"/>
      <c r="AX249" s="149"/>
      <c r="AY249" s="149"/>
      <c r="AZ249" s="148" t="n">
        <v>300.7</v>
      </c>
      <c r="BA249" s="149"/>
      <c r="BB249" s="149"/>
      <c r="BC249" s="149"/>
      <c r="BD249" s="149"/>
      <c r="BE249" s="148" t="n">
        <v>410.5</v>
      </c>
      <c r="BF249" s="149"/>
      <c r="BG249" s="149"/>
      <c r="BH249" s="149"/>
      <c r="BI249" s="149"/>
      <c r="BJ249" s="148" t="n">
        <v>468.4</v>
      </c>
      <c r="BK249" s="149"/>
      <c r="BL249" s="149"/>
      <c r="BM249" s="149"/>
      <c r="BN249" s="149"/>
      <c r="BO249" s="150"/>
      <c r="BP249" s="149"/>
      <c r="BQ249" s="149"/>
      <c r="BR249" s="149"/>
      <c r="BS249" s="149"/>
      <c r="BT249" s="147"/>
      <c r="BU249" s="149"/>
      <c r="BV249" s="149"/>
      <c r="BW249" s="149"/>
      <c r="BX249" s="149"/>
      <c r="BY249" s="147"/>
      <c r="BZ249" s="147"/>
      <c r="CA249" s="147"/>
      <c r="CB249" s="147"/>
      <c r="CC249" s="50"/>
    </row>
    <row r="250" s="51" customFormat="true" ht="15" hidden="true" customHeight="true" outlineLevel="2" collapsed="false">
      <c r="A250" s="270" t="s">
        <v>346</v>
      </c>
      <c r="B250" s="146"/>
      <c r="C250" s="148" t="n">
        <v>39.825</v>
      </c>
      <c r="D250" s="148" t="n">
        <v>40.593</v>
      </c>
      <c r="E250" s="148" t="n">
        <v>45.947</v>
      </c>
      <c r="F250" s="148" t="n">
        <v>50.298</v>
      </c>
      <c r="G250" s="148" t="n">
        <v>60.275</v>
      </c>
      <c r="H250" s="149"/>
      <c r="I250" s="149"/>
      <c r="J250" s="149"/>
      <c r="K250" s="149"/>
      <c r="L250" s="148" t="n">
        <v>71.316</v>
      </c>
      <c r="M250" s="149"/>
      <c r="N250" s="149"/>
      <c r="O250" s="149"/>
      <c r="P250" s="149"/>
      <c r="Q250" s="148" t="n">
        <v>79.717</v>
      </c>
      <c r="R250" s="149"/>
      <c r="S250" s="149"/>
      <c r="T250" s="149"/>
      <c r="U250" s="149"/>
      <c r="V250" s="148" t="n">
        <v>85.7</v>
      </c>
      <c r="W250" s="149"/>
      <c r="X250" s="149"/>
      <c r="Y250" s="149"/>
      <c r="Z250" s="149"/>
      <c r="AA250" s="255" t="n">
        <v>100.8</v>
      </c>
      <c r="AB250" s="149"/>
      <c r="AC250" s="149"/>
      <c r="AD250" s="149"/>
      <c r="AE250" s="149"/>
      <c r="AF250" s="255" t="n">
        <v>122</v>
      </c>
      <c r="AG250" s="149"/>
      <c r="AH250" s="149"/>
      <c r="AI250" s="149"/>
      <c r="AJ250" s="149"/>
      <c r="AK250" s="148" t="n">
        <v>152.5</v>
      </c>
      <c r="AL250" s="149"/>
      <c r="AM250" s="149"/>
      <c r="AN250" s="149"/>
      <c r="AO250" s="149"/>
      <c r="AP250" s="148" t="n">
        <v>182.6</v>
      </c>
      <c r="AQ250" s="149"/>
      <c r="AR250" s="149"/>
      <c r="AS250" s="149"/>
      <c r="AT250" s="149"/>
      <c r="AU250" s="148" t="n">
        <v>229.2</v>
      </c>
      <c r="AV250" s="149"/>
      <c r="AW250" s="149"/>
      <c r="AX250" s="149"/>
      <c r="AY250" s="149"/>
      <c r="AZ250" s="148" t="n">
        <v>255.9</v>
      </c>
      <c r="BA250" s="149"/>
      <c r="BB250" s="149"/>
      <c r="BC250" s="149"/>
      <c r="BD250" s="149"/>
      <c r="BE250" s="148" t="n">
        <v>348.9</v>
      </c>
      <c r="BF250" s="149"/>
      <c r="BG250" s="149"/>
      <c r="BH250" s="149"/>
      <c r="BI250" s="149"/>
      <c r="BJ250" s="148" t="n">
        <v>395.2</v>
      </c>
      <c r="BK250" s="149"/>
      <c r="BL250" s="149"/>
      <c r="BM250" s="149"/>
      <c r="BN250" s="149"/>
      <c r="BO250" s="150"/>
      <c r="BP250" s="149"/>
      <c r="BQ250" s="149"/>
      <c r="BR250" s="149"/>
      <c r="BS250" s="149"/>
      <c r="BT250" s="147"/>
      <c r="BU250" s="149"/>
      <c r="BV250" s="149"/>
      <c r="BW250" s="149"/>
      <c r="BX250" s="149"/>
      <c r="BY250" s="147"/>
      <c r="BZ250" s="147"/>
      <c r="CA250" s="147"/>
      <c r="CB250" s="147"/>
      <c r="CC250" s="50"/>
    </row>
    <row r="251" s="51" customFormat="true" ht="15" hidden="true" customHeight="true" outlineLevel="2" collapsed="false">
      <c r="A251" s="270" t="s">
        <v>347</v>
      </c>
      <c r="B251" s="146"/>
      <c r="C251" s="148" t="n">
        <v>13.394</v>
      </c>
      <c r="D251" s="148" t="n">
        <v>12.109</v>
      </c>
      <c r="E251" s="148" t="n">
        <v>12.43</v>
      </c>
      <c r="F251" s="148" t="n">
        <v>18.714</v>
      </c>
      <c r="G251" s="148" t="n">
        <v>52.371</v>
      </c>
      <c r="H251" s="149"/>
      <c r="I251" s="149"/>
      <c r="J251" s="149"/>
      <c r="K251" s="149"/>
      <c r="L251" s="148" t="n">
        <v>63.38</v>
      </c>
      <c r="M251" s="149"/>
      <c r="N251" s="149"/>
      <c r="O251" s="149"/>
      <c r="P251" s="149"/>
      <c r="Q251" s="148" t="n">
        <v>59.07</v>
      </c>
      <c r="R251" s="149"/>
      <c r="S251" s="149"/>
      <c r="T251" s="149"/>
      <c r="U251" s="149"/>
      <c r="V251" s="148" t="n">
        <v>47.7</v>
      </c>
      <c r="W251" s="149"/>
      <c r="X251" s="149"/>
      <c r="Y251" s="149"/>
      <c r="Z251" s="149"/>
      <c r="AA251" s="255" t="n">
        <v>53.1</v>
      </c>
      <c r="AB251" s="149"/>
      <c r="AC251" s="149"/>
      <c r="AD251" s="149"/>
      <c r="AE251" s="149"/>
      <c r="AF251" s="255" t="n">
        <v>46.3</v>
      </c>
      <c r="AG251" s="149"/>
      <c r="AH251" s="149"/>
      <c r="AI251" s="149"/>
      <c r="AJ251" s="149"/>
      <c r="AK251" s="148" t="n">
        <v>74.6</v>
      </c>
      <c r="AL251" s="149"/>
      <c r="AM251" s="149"/>
      <c r="AN251" s="149"/>
      <c r="AO251" s="149"/>
      <c r="AP251" s="148" t="n">
        <v>53.9</v>
      </c>
      <c r="AQ251" s="149"/>
      <c r="AR251" s="149"/>
      <c r="AS251" s="149"/>
      <c r="AT251" s="149"/>
      <c r="AU251" s="148" t="n">
        <v>117.5</v>
      </c>
      <c r="AV251" s="149"/>
      <c r="AW251" s="149"/>
      <c r="AX251" s="149"/>
      <c r="AY251" s="149"/>
      <c r="AZ251" s="148" t="n">
        <v>68.9</v>
      </c>
      <c r="BA251" s="149"/>
      <c r="BB251" s="149"/>
      <c r="BC251" s="149"/>
      <c r="BD251" s="149"/>
      <c r="BE251" s="148" t="n">
        <v>134.8</v>
      </c>
      <c r="BF251" s="149"/>
      <c r="BG251" s="149"/>
      <c r="BH251" s="149"/>
      <c r="BI251" s="149"/>
      <c r="BJ251" s="148" t="n">
        <v>172.6</v>
      </c>
      <c r="BK251" s="149"/>
      <c r="BL251" s="149"/>
      <c r="BM251" s="149"/>
      <c r="BN251" s="149"/>
      <c r="BO251" s="150"/>
      <c r="BP251" s="149"/>
      <c r="BQ251" s="149"/>
      <c r="BR251" s="149"/>
      <c r="BS251" s="149"/>
      <c r="BT251" s="147"/>
      <c r="BU251" s="149"/>
      <c r="BV251" s="149"/>
      <c r="BW251" s="149"/>
      <c r="BX251" s="149"/>
      <c r="BY251" s="147"/>
      <c r="BZ251" s="147"/>
      <c r="CA251" s="147"/>
      <c r="CB251" s="147"/>
      <c r="CC251" s="50"/>
    </row>
    <row r="252" s="157" customFormat="true" ht="15" hidden="true" customHeight="true" outlineLevel="2" collapsed="false">
      <c r="A252" s="244" t="s">
        <v>348</v>
      </c>
      <c r="B252" s="152"/>
      <c r="C252" s="272" t="n">
        <f aca="false">SUM(C248:C251)</f>
        <v>528.64</v>
      </c>
      <c r="D252" s="272" t="n">
        <f aca="false">SUM(D248:D251)</f>
        <v>646.853</v>
      </c>
      <c r="E252" s="272" t="n">
        <f aca="false">SUM(E248:E251)</f>
        <v>759.796</v>
      </c>
      <c r="F252" s="272" t="n">
        <f aca="false">SUM(F248:F251)</f>
        <v>838.231</v>
      </c>
      <c r="G252" s="272" t="n">
        <f aca="false">SUM(G248:G251)</f>
        <v>1018.048</v>
      </c>
      <c r="H252" s="154"/>
      <c r="I252" s="154"/>
      <c r="J252" s="154"/>
      <c r="K252" s="154"/>
      <c r="L252" s="272" t="n">
        <f aca="false">SUM(L248:L251)</f>
        <v>1202.3</v>
      </c>
      <c r="M252" s="154"/>
      <c r="N252" s="154"/>
      <c r="O252" s="154"/>
      <c r="P252" s="154"/>
      <c r="Q252" s="272" t="n">
        <f aca="false">SUM(Q248:Q251)</f>
        <v>1397.13</v>
      </c>
      <c r="R252" s="154"/>
      <c r="S252" s="154"/>
      <c r="T252" s="154"/>
      <c r="U252" s="154"/>
      <c r="V252" s="272" t="n">
        <f aca="false">SUM(V248:V251)</f>
        <v>1516.8</v>
      </c>
      <c r="W252" s="154"/>
      <c r="X252" s="154"/>
      <c r="Y252" s="154"/>
      <c r="Z252" s="154"/>
      <c r="AA252" s="357" t="n">
        <f aca="false">SUM(AA248:AA251)</f>
        <v>1766.3</v>
      </c>
      <c r="AB252" s="154"/>
      <c r="AC252" s="154"/>
      <c r="AD252" s="154"/>
      <c r="AE252" s="154"/>
      <c r="AF252" s="357" t="n">
        <f aca="false">SUM(AF248:AF251)</f>
        <v>2092.5</v>
      </c>
      <c r="AG252" s="154"/>
      <c r="AH252" s="154"/>
      <c r="AI252" s="154"/>
      <c r="AJ252" s="154"/>
      <c r="AK252" s="272" t="n">
        <f aca="false">SUM(AK248:AK251)</f>
        <v>2533.4</v>
      </c>
      <c r="AL252" s="154"/>
      <c r="AM252" s="154"/>
      <c r="AN252" s="154"/>
      <c r="AO252" s="154"/>
      <c r="AP252" s="272" t="n">
        <f aca="false">SUM(AP248:AP251)</f>
        <v>2964.2</v>
      </c>
      <c r="AQ252" s="154"/>
      <c r="AR252" s="154"/>
      <c r="AS252" s="154"/>
      <c r="AT252" s="154"/>
      <c r="AU252" s="153" t="n">
        <f aca="false">SUM(AU248:AU251)</f>
        <v>3439.2</v>
      </c>
      <c r="AV252" s="154"/>
      <c r="AW252" s="154"/>
      <c r="AX252" s="154"/>
      <c r="AY252" s="154"/>
      <c r="AZ252" s="153" t="n">
        <f aca="false">SUM(AZ248:AZ251)</f>
        <v>4128</v>
      </c>
      <c r="BA252" s="154"/>
      <c r="BB252" s="154"/>
      <c r="BC252" s="154"/>
      <c r="BD252" s="154"/>
      <c r="BE252" s="153" t="n">
        <f aca="false">SUM(BE248:BE251)</f>
        <v>5341.2</v>
      </c>
      <c r="BF252" s="154"/>
      <c r="BG252" s="154"/>
      <c r="BH252" s="154"/>
      <c r="BI252" s="154"/>
      <c r="BJ252" s="153" t="n">
        <f aca="false">SUM(BJ248:BJ251)</f>
        <v>6037.4</v>
      </c>
      <c r="BK252" s="154"/>
      <c r="BL252" s="154"/>
      <c r="BM252" s="154"/>
      <c r="BN252" s="154"/>
      <c r="BO252" s="155"/>
      <c r="BP252" s="154"/>
      <c r="BQ252" s="154"/>
      <c r="BR252" s="154"/>
      <c r="BS252" s="154"/>
      <c r="BT252" s="153"/>
      <c r="BU252" s="154"/>
      <c r="BV252" s="154"/>
      <c r="BW252" s="154"/>
      <c r="BX252" s="154"/>
      <c r="BY252" s="153"/>
      <c r="BZ252" s="153"/>
      <c r="CA252" s="153"/>
      <c r="CB252" s="153"/>
      <c r="CC252" s="156"/>
    </row>
    <row r="253" s="157" customFormat="true" ht="15" hidden="true" customHeight="true" outlineLevel="2" collapsed="false">
      <c r="A253" s="252"/>
      <c r="B253" s="222"/>
      <c r="C253" s="223"/>
      <c r="D253" s="223"/>
      <c r="E253" s="223"/>
      <c r="F253" s="223"/>
      <c r="G253" s="223"/>
      <c r="H253" s="224"/>
      <c r="I253" s="224"/>
      <c r="J253" s="224"/>
      <c r="K253" s="224"/>
      <c r="L253" s="223"/>
      <c r="M253" s="224"/>
      <c r="N253" s="224"/>
      <c r="O253" s="224"/>
      <c r="P253" s="224"/>
      <c r="Q253" s="223"/>
      <c r="R253" s="224"/>
      <c r="S253" s="224"/>
      <c r="T253" s="224"/>
      <c r="U253" s="224"/>
      <c r="V253" s="223"/>
      <c r="W253" s="224"/>
      <c r="X253" s="224"/>
      <c r="Y253" s="224"/>
      <c r="Z253" s="224"/>
      <c r="AA253" s="267"/>
      <c r="AB253" s="224"/>
      <c r="AC253" s="224"/>
      <c r="AD253" s="224"/>
      <c r="AE253" s="224"/>
      <c r="AF253" s="267"/>
      <c r="AG253" s="224"/>
      <c r="AH253" s="224"/>
      <c r="AI253" s="224"/>
      <c r="AJ253" s="224"/>
      <c r="AK253" s="223"/>
      <c r="AL253" s="224"/>
      <c r="AM253" s="224"/>
      <c r="AN253" s="224"/>
      <c r="AO253" s="224"/>
      <c r="AP253" s="223"/>
      <c r="AQ253" s="224"/>
      <c r="AR253" s="224"/>
      <c r="AS253" s="224"/>
      <c r="AT253" s="224"/>
      <c r="AU253" s="223"/>
      <c r="AV253" s="224"/>
      <c r="AW253" s="224"/>
      <c r="AX253" s="224"/>
      <c r="AY253" s="224"/>
      <c r="AZ253" s="223"/>
      <c r="BA253" s="224"/>
      <c r="BB253" s="224"/>
      <c r="BC253" s="224"/>
      <c r="BD253" s="224"/>
      <c r="BE253" s="223"/>
      <c r="BF253" s="224"/>
      <c r="BG253" s="224"/>
      <c r="BH253" s="224"/>
      <c r="BI253" s="224"/>
      <c r="BJ253" s="223"/>
      <c r="BK253" s="224"/>
      <c r="BL253" s="224"/>
      <c r="BM253" s="224"/>
      <c r="BN253" s="224"/>
      <c r="BO253" s="225"/>
      <c r="BP253" s="224"/>
      <c r="BQ253" s="224"/>
      <c r="BR253" s="224"/>
      <c r="BS253" s="224"/>
      <c r="BT253" s="223"/>
      <c r="BU253" s="224"/>
      <c r="BV253" s="224"/>
      <c r="BW253" s="224"/>
      <c r="BX253" s="224"/>
      <c r="BY253" s="223"/>
      <c r="BZ253" s="223"/>
      <c r="CA253" s="223"/>
      <c r="CB253" s="223"/>
      <c r="CC253" s="156"/>
    </row>
    <row r="254" s="369" customFormat="true" ht="15" hidden="true" customHeight="true" outlineLevel="2" collapsed="false">
      <c r="A254" s="242" t="s">
        <v>349</v>
      </c>
      <c r="B254" s="363"/>
      <c r="C254" s="364" t="n">
        <v>6548</v>
      </c>
      <c r="D254" s="364" t="n">
        <v>7184</v>
      </c>
      <c r="E254" s="364" t="n">
        <v>7955</v>
      </c>
      <c r="F254" s="364" t="n">
        <v>8497</v>
      </c>
      <c r="G254" s="364" t="n">
        <v>10360</v>
      </c>
      <c r="H254" s="365" t="n">
        <v>10582</v>
      </c>
      <c r="I254" s="365" t="n">
        <v>10786</v>
      </c>
      <c r="J254" s="365" t="n">
        <v>11076</v>
      </c>
      <c r="K254" s="365" t="n">
        <v>11318</v>
      </c>
      <c r="L254" s="366" t="n">
        <f aca="false">+K254</f>
        <v>11318</v>
      </c>
      <c r="M254" s="365" t="n">
        <v>11533</v>
      </c>
      <c r="N254" s="365" t="n">
        <v>11676</v>
      </c>
      <c r="O254" s="365" t="n">
        <v>11920</v>
      </c>
      <c r="P254" s="365" t="n">
        <v>12168</v>
      </c>
      <c r="Q254" s="366" t="n">
        <f aca="false">+P254</f>
        <v>12168</v>
      </c>
      <c r="R254" s="365" t="n">
        <v>12407</v>
      </c>
      <c r="S254" s="365" t="n">
        <v>12598</v>
      </c>
      <c r="T254" s="365" t="n">
        <v>12933</v>
      </c>
      <c r="U254" s="365" t="n">
        <v>13991</v>
      </c>
      <c r="V254" s="366" t="n">
        <f aca="false">+U254</f>
        <v>13991</v>
      </c>
      <c r="W254" s="365" t="n">
        <v>14483</v>
      </c>
      <c r="X254" s="365" t="n">
        <v>15005</v>
      </c>
      <c r="Y254" s="365" t="n">
        <v>15615</v>
      </c>
      <c r="Z254" s="365" t="n">
        <v>16219</v>
      </c>
      <c r="AA254" s="366" t="n">
        <f aca="false">+Z254</f>
        <v>16219</v>
      </c>
      <c r="AB254" s="365" t="n">
        <v>16994</v>
      </c>
      <c r="AC254" s="365" t="n">
        <v>17994</v>
      </c>
      <c r="AD254" s="365" t="n">
        <v>19041</v>
      </c>
      <c r="AE254" s="365" t="n">
        <v>20044</v>
      </c>
      <c r="AF254" s="366" t="n">
        <f aca="false">+AE254</f>
        <v>20044</v>
      </c>
      <c r="AG254" s="365" t="n">
        <v>21461</v>
      </c>
      <c r="AH254" s="365" t="n">
        <v>22125</v>
      </c>
      <c r="AI254" s="365" t="n">
        <v>22805</v>
      </c>
      <c r="AJ254" s="365" t="n">
        <v>23219</v>
      </c>
      <c r="AK254" s="366" t="n">
        <f aca="false">+AJ254</f>
        <v>23219</v>
      </c>
      <c r="AL254" s="365" t="n">
        <v>23860</v>
      </c>
      <c r="AM254" s="365" t="n">
        <v>24330</v>
      </c>
      <c r="AN254" s="365" t="n">
        <v>24749</v>
      </c>
      <c r="AO254" s="365" t="n">
        <v>26614</v>
      </c>
      <c r="AP254" s="366" t="n">
        <f aca="false">+AO254</f>
        <v>26614</v>
      </c>
      <c r="AQ254" s="365" t="n">
        <v>27248</v>
      </c>
      <c r="AR254" s="365" t="n">
        <v>27777</v>
      </c>
      <c r="AS254" s="365" t="n">
        <v>29025</v>
      </c>
      <c r="AT254" s="365" t="n">
        <v>29681</v>
      </c>
      <c r="AU254" s="364" t="n">
        <v>29861</v>
      </c>
      <c r="AV254" s="365" t="n">
        <v>30861</v>
      </c>
      <c r="AW254" s="365" t="n">
        <v>32627</v>
      </c>
      <c r="AX254" s="365" t="n">
        <v>34720</v>
      </c>
      <c r="AY254" s="365" t="n">
        <v>36112</v>
      </c>
      <c r="AZ254" s="366" t="n">
        <f aca="false">+AY254</f>
        <v>36112</v>
      </c>
      <c r="BA254" s="365" t="n">
        <v>37704</v>
      </c>
      <c r="BB254" s="365" t="n">
        <v>38866</v>
      </c>
      <c r="BC254" s="365" t="n">
        <v>39850</v>
      </c>
      <c r="BD254" s="365" t="n">
        <v>40310</v>
      </c>
      <c r="BE254" s="366" t="n">
        <f aca="false">+BD254</f>
        <v>40310</v>
      </c>
      <c r="BF254" s="365" t="n">
        <v>40940</v>
      </c>
      <c r="BG254" s="365" t="n">
        <v>41505</v>
      </c>
      <c r="BH254" s="365" t="n">
        <v>42372</v>
      </c>
      <c r="BI254" s="365" t="n">
        <v>42786</v>
      </c>
      <c r="BJ254" s="366" t="n">
        <f aca="false">+BI254</f>
        <v>42786</v>
      </c>
      <c r="BK254" s="365" t="n">
        <v>43129</v>
      </c>
      <c r="BL254" s="365" t="n">
        <v>43193</v>
      </c>
      <c r="BM254" s="365" t="n">
        <v>43461</v>
      </c>
      <c r="BN254" s="365" t="n">
        <v>43520</v>
      </c>
      <c r="BO254" s="367" t="n">
        <f aca="false">+BN254</f>
        <v>43520</v>
      </c>
      <c r="BP254" s="212"/>
      <c r="BQ254" s="212"/>
      <c r="BR254" s="212"/>
      <c r="BS254" s="212"/>
      <c r="BT254" s="368"/>
      <c r="BU254" s="212"/>
      <c r="BV254" s="212"/>
      <c r="BW254" s="212"/>
      <c r="BX254" s="212"/>
      <c r="BY254" s="368"/>
      <c r="BZ254" s="368"/>
      <c r="CA254" s="368"/>
      <c r="CB254" s="368"/>
      <c r="CC254" s="315"/>
    </row>
    <row r="255" s="369" customFormat="true" ht="15" hidden="true" customHeight="true" outlineLevel="2" collapsed="false">
      <c r="A255" s="242" t="s">
        <v>350</v>
      </c>
      <c r="B255" s="363"/>
      <c r="C255" s="364" t="n">
        <v>1137</v>
      </c>
      <c r="D255" s="364" t="n">
        <v>2061</v>
      </c>
      <c r="E255" s="364" t="n">
        <v>1935</v>
      </c>
      <c r="F255" s="364" t="n">
        <v>2139</v>
      </c>
      <c r="G255" s="364" t="n">
        <v>2865</v>
      </c>
      <c r="H255" s="365" t="n">
        <v>2867</v>
      </c>
      <c r="I255" s="365" t="n">
        <v>2820</v>
      </c>
      <c r="J255" s="365" t="n">
        <v>2771</v>
      </c>
      <c r="K255" s="365" t="n">
        <v>2754</v>
      </c>
      <c r="L255" s="366" t="n">
        <f aca="false">+K255</f>
        <v>2754</v>
      </c>
      <c r="M255" s="365" t="n">
        <v>2644</v>
      </c>
      <c r="N255" s="365" t="n">
        <v>2527</v>
      </c>
      <c r="O255" s="365" t="n">
        <v>2498</v>
      </c>
      <c r="P255" s="365" t="n">
        <v>2513</v>
      </c>
      <c r="Q255" s="366" t="n">
        <f aca="false">+P255</f>
        <v>2513</v>
      </c>
      <c r="R255" s="365" t="n">
        <v>2492</v>
      </c>
      <c r="S255" s="365" t="n">
        <v>2569</v>
      </c>
      <c r="T255" s="365" t="n">
        <v>2599</v>
      </c>
      <c r="U255" s="365" t="n">
        <v>2656</v>
      </c>
      <c r="V255" s="366" t="n">
        <f aca="false">+U255</f>
        <v>2656</v>
      </c>
      <c r="W255" s="365" t="n">
        <v>2657</v>
      </c>
      <c r="X255" s="365" t="n">
        <v>2722</v>
      </c>
      <c r="Y255" s="365" t="n">
        <v>2826</v>
      </c>
      <c r="Z255" s="365" t="n">
        <v>2997</v>
      </c>
      <c r="AA255" s="366" t="n">
        <f aca="false">+Z255</f>
        <v>2997</v>
      </c>
      <c r="AB255" s="365" t="n">
        <v>3271</v>
      </c>
      <c r="AC255" s="365" t="n">
        <v>3407</v>
      </c>
      <c r="AD255" s="365" t="n">
        <v>3378</v>
      </c>
      <c r="AE255" s="365" t="n">
        <v>3203</v>
      </c>
      <c r="AF255" s="366" t="n">
        <f aca="false">+AE255</f>
        <v>3203</v>
      </c>
      <c r="AG255" s="365" t="n">
        <v>2395</v>
      </c>
      <c r="AH255" s="365" t="n">
        <v>2157</v>
      </c>
      <c r="AI255" s="365" t="n">
        <v>1913</v>
      </c>
      <c r="AJ255" s="365" t="n">
        <v>1681</v>
      </c>
      <c r="AK255" s="366" t="n">
        <f aca="false">+AJ255</f>
        <v>1681</v>
      </c>
      <c r="AL255" s="365" t="n">
        <v>1467</v>
      </c>
      <c r="AM255" s="365" t="n">
        <v>1482</v>
      </c>
      <c r="AN255" s="365" t="n">
        <v>1451</v>
      </c>
      <c r="AO255" s="365" t="n">
        <v>1459</v>
      </c>
      <c r="AP255" s="366" t="n">
        <f aca="false">+AO255</f>
        <v>1459</v>
      </c>
      <c r="AQ255" s="365" t="n">
        <v>1561</v>
      </c>
      <c r="AR255" s="365" t="n">
        <v>1609</v>
      </c>
      <c r="AS255" s="365" t="n">
        <v>1659</v>
      </c>
      <c r="AT255" s="365" t="n">
        <v>2155</v>
      </c>
      <c r="AU255" s="366" t="n">
        <f aca="false">+AT255</f>
        <v>2155</v>
      </c>
      <c r="AV255" s="365" t="n">
        <v>2329</v>
      </c>
      <c r="AW255" s="365" t="n">
        <v>2689</v>
      </c>
      <c r="AX255" s="365" t="n">
        <v>2875</v>
      </c>
      <c r="AY255" s="365" t="n">
        <v>2974</v>
      </c>
      <c r="AZ255" s="366" t="n">
        <f aca="false">+AY255</f>
        <v>2974</v>
      </c>
      <c r="BA255" s="365" t="n">
        <v>2816</v>
      </c>
      <c r="BB255" s="365" t="n">
        <v>2676</v>
      </c>
      <c r="BC255" s="365" t="n">
        <v>2416</v>
      </c>
      <c r="BD255" s="365" t="n">
        <v>2107</v>
      </c>
      <c r="BE255" s="366" t="n">
        <f aca="false">+BD255</f>
        <v>2107</v>
      </c>
      <c r="BF255" s="365" t="n">
        <v>1773</v>
      </c>
      <c r="BG255" s="365" t="n">
        <v>1584</v>
      </c>
      <c r="BH255" s="365" t="n">
        <v>1417</v>
      </c>
      <c r="BI255" s="365" t="n">
        <v>1241</v>
      </c>
      <c r="BJ255" s="366" t="n">
        <f aca="false">+BI255</f>
        <v>1241</v>
      </c>
      <c r="BK255" s="365" t="n">
        <v>998</v>
      </c>
      <c r="BL255" s="365" t="n">
        <v>870</v>
      </c>
      <c r="BM255" s="365" t="n">
        <v>789</v>
      </c>
      <c r="BN255" s="365" t="n">
        <v>689</v>
      </c>
      <c r="BO255" s="367" t="n">
        <f aca="false">+BN255</f>
        <v>689</v>
      </c>
      <c r="BP255" s="212"/>
      <c r="BQ255" s="212"/>
      <c r="BR255" s="212"/>
      <c r="BS255" s="212"/>
      <c r="BT255" s="368"/>
      <c r="BU255" s="212"/>
      <c r="BV255" s="212"/>
      <c r="BW255" s="212"/>
      <c r="BX255" s="212"/>
      <c r="BY255" s="368"/>
      <c r="BZ255" s="368"/>
      <c r="CA255" s="368"/>
      <c r="CB255" s="368"/>
      <c r="CC255" s="315"/>
    </row>
    <row r="256" s="84" customFormat="true" ht="15" hidden="true" customHeight="true" outlineLevel="2" collapsed="false">
      <c r="A256" s="307" t="s">
        <v>351</v>
      </c>
      <c r="B256" s="350"/>
      <c r="C256" s="308" t="n">
        <f aca="false">SUM(C254:C255)</f>
        <v>7685</v>
      </c>
      <c r="D256" s="308" t="n">
        <f aca="false">SUM(D254:D255)</f>
        <v>9245</v>
      </c>
      <c r="E256" s="308" t="n">
        <f aca="false">SUM(E254:E255)</f>
        <v>9890</v>
      </c>
      <c r="F256" s="308" t="n">
        <f aca="false">SUM(F254:F255)</f>
        <v>10636</v>
      </c>
      <c r="G256" s="308" t="n">
        <f aca="false">SUM(G254:G255)</f>
        <v>13225</v>
      </c>
      <c r="H256" s="309" t="n">
        <f aca="false">SUM(H254:H255)</f>
        <v>13449</v>
      </c>
      <c r="I256" s="309" t="n">
        <f aca="false">SUM(I254:I255)</f>
        <v>13606</v>
      </c>
      <c r="J256" s="309" t="n">
        <f aca="false">SUM(J254:J255)</f>
        <v>13847</v>
      </c>
      <c r="K256" s="309" t="n">
        <f aca="false">SUM(K254:K255)</f>
        <v>14072</v>
      </c>
      <c r="L256" s="308" t="n">
        <f aca="false">SUM(L254:L255)</f>
        <v>14072</v>
      </c>
      <c r="M256" s="309" t="n">
        <f aca="false">SUM(M254:M255)</f>
        <v>14177</v>
      </c>
      <c r="N256" s="309" t="n">
        <f aca="false">SUM(N254:N255)</f>
        <v>14203</v>
      </c>
      <c r="O256" s="309" t="n">
        <f aca="false">SUM(O254:O255)</f>
        <v>14418</v>
      </c>
      <c r="P256" s="309" t="n">
        <f aca="false">SUM(P254:P255)</f>
        <v>14681</v>
      </c>
      <c r="Q256" s="308" t="n">
        <f aca="false">SUM(Q254:Q255)</f>
        <v>14681</v>
      </c>
      <c r="R256" s="309" t="n">
        <f aca="false">SUM(R254:R255)</f>
        <v>14899</v>
      </c>
      <c r="S256" s="309" t="n">
        <f aca="false">SUM(S254:S255)</f>
        <v>15167</v>
      </c>
      <c r="T256" s="309" t="n">
        <f aca="false">SUM(T254:T255)</f>
        <v>15532</v>
      </c>
      <c r="U256" s="309" t="n">
        <f aca="false">SUM(U254:U255)</f>
        <v>16647</v>
      </c>
      <c r="V256" s="308" t="n">
        <f aca="false">SUM(V254:V255)</f>
        <v>16647</v>
      </c>
      <c r="W256" s="309" t="n">
        <f aca="false">SUM(W254:W255)</f>
        <v>17140</v>
      </c>
      <c r="X256" s="309" t="n">
        <f aca="false">SUM(X254:X255)</f>
        <v>17727</v>
      </c>
      <c r="Y256" s="309" t="n">
        <f aca="false">SUM(Y254:Y255)</f>
        <v>18441</v>
      </c>
      <c r="Z256" s="309" t="n">
        <f aca="false">SUM(Z254:Z255)</f>
        <v>19216</v>
      </c>
      <c r="AA256" s="308" t="n">
        <f aca="false">SUM(AA254:AA255)</f>
        <v>19216</v>
      </c>
      <c r="AB256" s="309" t="n">
        <f aca="false">SUM(AB254:AB255)</f>
        <v>20265</v>
      </c>
      <c r="AC256" s="309" t="n">
        <f aca="false">SUM(AC254:AC255)</f>
        <v>21401</v>
      </c>
      <c r="AD256" s="309" t="n">
        <f aca="false">SUM(AD254:AD255)</f>
        <v>22419</v>
      </c>
      <c r="AE256" s="309" t="n">
        <f aca="false">SUM(AE254:AE255)</f>
        <v>23247</v>
      </c>
      <c r="AF256" s="308" t="n">
        <f aca="false">SUM(AF254:AF255)</f>
        <v>23247</v>
      </c>
      <c r="AG256" s="309" t="n">
        <f aca="false">SUM(AG254:AG255)</f>
        <v>23856</v>
      </c>
      <c r="AH256" s="309" t="n">
        <f aca="false">SUM(AH254:AH255)</f>
        <v>24282</v>
      </c>
      <c r="AI256" s="309" t="n">
        <f aca="false">SUM(AI254:AI255)</f>
        <v>24718</v>
      </c>
      <c r="AJ256" s="309" t="n">
        <f aca="false">SUM(AJ254:AJ255)</f>
        <v>24900</v>
      </c>
      <c r="AK256" s="308" t="n">
        <f aca="false">SUM(AK254:AK255)</f>
        <v>24900</v>
      </c>
      <c r="AL256" s="309" t="n">
        <f aca="false">SUM(AL254:AL255)</f>
        <v>25327</v>
      </c>
      <c r="AM256" s="309" t="n">
        <f aca="false">SUM(AM254:AM255)</f>
        <v>25812</v>
      </c>
      <c r="AN256" s="309" t="n">
        <f aca="false">SUM(AN254:AN255)</f>
        <v>26200</v>
      </c>
      <c r="AO256" s="309" t="n">
        <f aca="false">SUM(AO254:AO255)</f>
        <v>28073</v>
      </c>
      <c r="AP256" s="308" t="n">
        <f aca="false">SUM(AP254:AP255)</f>
        <v>28073</v>
      </c>
      <c r="AQ256" s="309" t="n">
        <f aca="false">SUM(AQ254:AQ255)</f>
        <v>28809</v>
      </c>
      <c r="AR256" s="309" t="n">
        <f aca="false">SUM(AR254:AR255)</f>
        <v>29386</v>
      </c>
      <c r="AS256" s="309" t="n">
        <f aca="false">SUM(AS254:AS255)</f>
        <v>30684</v>
      </c>
      <c r="AT256" s="309" t="n">
        <f aca="false">SUM(AT254:AT255)</f>
        <v>31836</v>
      </c>
      <c r="AU256" s="308" t="n">
        <f aca="false">SUM(AU254:AU255)</f>
        <v>32016</v>
      </c>
      <c r="AV256" s="309" t="n">
        <f aca="false">SUM(AV254:AV255)</f>
        <v>33190</v>
      </c>
      <c r="AW256" s="309" t="n">
        <f aca="false">SUM(AW254:AW255)</f>
        <v>35316</v>
      </c>
      <c r="AX256" s="309" t="n">
        <f aca="false">SUM(AX254:AX255)</f>
        <v>37595</v>
      </c>
      <c r="AY256" s="309" t="n">
        <f aca="false">SUM(AY254:AY255)</f>
        <v>39086</v>
      </c>
      <c r="AZ256" s="308" t="n">
        <f aca="false">SUM(AZ254:AZ255)</f>
        <v>39086</v>
      </c>
      <c r="BA256" s="309" t="n">
        <f aca="false">SUM(BA254:BA255)</f>
        <v>40520</v>
      </c>
      <c r="BB256" s="309" t="n">
        <f aca="false">SUM(BB254:BB255)</f>
        <v>41542</v>
      </c>
      <c r="BC256" s="309" t="n">
        <f aca="false">SUM(BC254:BC255)</f>
        <v>42266</v>
      </c>
      <c r="BD256" s="309" t="n">
        <f aca="false">SUM(BD254:BD255)</f>
        <v>42417</v>
      </c>
      <c r="BE256" s="308" t="n">
        <f aca="false">SUM(BE254:BE255)</f>
        <v>42417</v>
      </c>
      <c r="BF256" s="309" t="n">
        <f aca="false">SUM(BF254:BF255)</f>
        <v>42713</v>
      </c>
      <c r="BG256" s="309" t="n">
        <f aca="false">SUM(BG254:BG255)</f>
        <v>43089</v>
      </c>
      <c r="BH256" s="309" t="n">
        <f aca="false">SUM(BH254:BH255)</f>
        <v>43789</v>
      </c>
      <c r="BI256" s="309" t="n">
        <f aca="false">SUM(BI254:BI255)</f>
        <v>44027</v>
      </c>
      <c r="BJ256" s="308" t="n">
        <f aca="false">SUM(BJ254:BJ255)</f>
        <v>44027</v>
      </c>
      <c r="BK256" s="309" t="n">
        <f aca="false">SUM(BK254:BK255)</f>
        <v>44127</v>
      </c>
      <c r="BL256" s="309" t="n">
        <f aca="false">SUM(BL254:BL255)</f>
        <v>44063</v>
      </c>
      <c r="BM256" s="309" t="n">
        <f aca="false">SUM(BM254:BM255)</f>
        <v>44250</v>
      </c>
      <c r="BN256" s="309" t="n">
        <f aca="false">SUM(BN254:BN255)</f>
        <v>44209</v>
      </c>
      <c r="BO256" s="311" t="n">
        <f aca="false">SUM(BO254:BO255)</f>
        <v>44209</v>
      </c>
      <c r="BP256" s="121"/>
      <c r="BQ256" s="121"/>
      <c r="BR256" s="121"/>
      <c r="BS256" s="121"/>
      <c r="BT256" s="120"/>
      <c r="BU256" s="121"/>
      <c r="BV256" s="121"/>
      <c r="BW256" s="121"/>
      <c r="BX256" s="121"/>
      <c r="BY256" s="120"/>
      <c r="BZ256" s="120"/>
      <c r="CA256" s="120"/>
      <c r="CB256" s="120"/>
      <c r="CC256" s="83"/>
    </row>
    <row r="257" s="84" customFormat="true" ht="15" hidden="true" customHeight="true" outlineLevel="2" collapsed="false">
      <c r="A257" s="123"/>
      <c r="B257" s="141"/>
      <c r="C257" s="111"/>
      <c r="D257" s="111"/>
      <c r="E257" s="111"/>
      <c r="F257" s="111"/>
      <c r="G257" s="111"/>
      <c r="H257" s="112"/>
      <c r="I257" s="112"/>
      <c r="J257" s="112"/>
      <c r="K257" s="112"/>
      <c r="L257" s="111"/>
      <c r="M257" s="112"/>
      <c r="N257" s="112"/>
      <c r="O257" s="112"/>
      <c r="P257" s="112"/>
      <c r="Q257" s="111"/>
      <c r="R257" s="112"/>
      <c r="S257" s="112"/>
      <c r="T257" s="112"/>
      <c r="U257" s="112"/>
      <c r="V257" s="111"/>
      <c r="W257" s="112"/>
      <c r="X257" s="112"/>
      <c r="Y257" s="112"/>
      <c r="Z257" s="112"/>
      <c r="AA257" s="111"/>
      <c r="AB257" s="112"/>
      <c r="AC257" s="112"/>
      <c r="AD257" s="112"/>
      <c r="AE257" s="112"/>
      <c r="AF257" s="111"/>
      <c r="AG257" s="112"/>
      <c r="AH257" s="112"/>
      <c r="AI257" s="112"/>
      <c r="AJ257" s="112"/>
      <c r="AK257" s="111"/>
      <c r="AL257" s="112"/>
      <c r="AM257" s="112"/>
      <c r="AN257" s="112"/>
      <c r="AO257" s="112"/>
      <c r="AP257" s="111"/>
      <c r="AQ257" s="112"/>
      <c r="AR257" s="112"/>
      <c r="AS257" s="112"/>
      <c r="AT257" s="112"/>
      <c r="AU257" s="111"/>
      <c r="AV257" s="112"/>
      <c r="AW257" s="112"/>
      <c r="AX257" s="112"/>
      <c r="AY257" s="112"/>
      <c r="AZ257" s="111"/>
      <c r="BA257" s="112"/>
      <c r="BB257" s="112"/>
      <c r="BC257" s="112"/>
      <c r="BD257" s="112"/>
      <c r="BE257" s="111"/>
      <c r="BF257" s="112"/>
      <c r="BG257" s="112"/>
      <c r="BH257" s="112"/>
      <c r="BI257" s="112"/>
      <c r="BJ257" s="111"/>
      <c r="BK257" s="112"/>
      <c r="BL257" s="112"/>
      <c r="BM257" s="112"/>
      <c r="BN257" s="112"/>
      <c r="BO257" s="113"/>
      <c r="BP257" s="112"/>
      <c r="BQ257" s="112"/>
      <c r="BR257" s="112"/>
      <c r="BS257" s="112"/>
      <c r="BT257" s="111"/>
      <c r="BU257" s="112"/>
      <c r="BV257" s="112"/>
      <c r="BW257" s="112"/>
      <c r="BX257" s="112"/>
      <c r="BY257" s="111"/>
      <c r="BZ257" s="111"/>
      <c r="CA257" s="111"/>
      <c r="CB257" s="111"/>
      <c r="CC257" s="83"/>
    </row>
    <row r="258" s="237" customFormat="true" ht="15" hidden="true" customHeight="true" outlineLevel="2" collapsed="false">
      <c r="A258" s="242" t="s">
        <v>352</v>
      </c>
      <c r="B258" s="232"/>
      <c r="C258" s="90" t="n">
        <v>1910</v>
      </c>
      <c r="D258" s="90" t="n">
        <v>2236</v>
      </c>
      <c r="E258" s="90" t="n">
        <v>2478</v>
      </c>
      <c r="F258" s="90" t="n">
        <v>2538</v>
      </c>
      <c r="G258" s="90" t="n">
        <v>2949</v>
      </c>
      <c r="H258" s="88"/>
      <c r="I258" s="88"/>
      <c r="J258" s="88"/>
      <c r="K258" s="88"/>
      <c r="L258" s="90" t="n">
        <v>3289</v>
      </c>
      <c r="M258" s="88"/>
      <c r="N258" s="88"/>
      <c r="O258" s="88"/>
      <c r="P258" s="88"/>
      <c r="Q258" s="90" t="n">
        <v>3607</v>
      </c>
      <c r="R258" s="88"/>
      <c r="S258" s="88"/>
      <c r="T258" s="88"/>
      <c r="U258" s="88"/>
      <c r="V258" s="90" t="n">
        <v>4210</v>
      </c>
      <c r="W258" s="88"/>
      <c r="X258" s="88"/>
      <c r="Y258" s="88"/>
      <c r="Z258" s="88"/>
      <c r="AA258" s="90" t="n">
        <v>5051</v>
      </c>
      <c r="AB258" s="88"/>
      <c r="AC258" s="88"/>
      <c r="AD258" s="88"/>
      <c r="AE258" s="88"/>
      <c r="AF258" s="90" t="n">
        <v>5674</v>
      </c>
      <c r="AG258" s="88"/>
      <c r="AH258" s="88"/>
      <c r="AI258" s="88"/>
      <c r="AJ258" s="88"/>
      <c r="AK258" s="90" t="n">
        <v>5953</v>
      </c>
      <c r="AL258" s="88"/>
      <c r="AM258" s="88"/>
      <c r="AN258" s="88"/>
      <c r="AO258" s="88"/>
      <c r="AP258" s="90" t="n">
        <v>6429</v>
      </c>
      <c r="AQ258" s="88"/>
      <c r="AR258" s="88"/>
      <c r="AS258" s="88"/>
      <c r="AT258" s="88"/>
      <c r="AU258" s="90" t="n">
        <v>7485</v>
      </c>
      <c r="AV258" s="88"/>
      <c r="AW258" s="88"/>
      <c r="AX258" s="88"/>
      <c r="AY258" s="88"/>
      <c r="AZ258" s="90" t="n">
        <v>8901</v>
      </c>
      <c r="BA258" s="88"/>
      <c r="BB258" s="88"/>
      <c r="BC258" s="88"/>
      <c r="BD258" s="88"/>
      <c r="BE258" s="90" t="n">
        <v>9851</v>
      </c>
      <c r="BF258" s="88"/>
      <c r="BG258" s="88"/>
      <c r="BH258" s="88"/>
      <c r="BI258" s="88"/>
      <c r="BJ258" s="90" t="n">
        <v>10344</v>
      </c>
      <c r="BK258" s="88"/>
      <c r="BL258" s="88"/>
      <c r="BM258" s="88"/>
      <c r="BN258" s="88"/>
      <c r="BO258" s="91"/>
      <c r="BP258" s="88"/>
      <c r="BQ258" s="88"/>
      <c r="BR258" s="88"/>
      <c r="BS258" s="88"/>
      <c r="BT258" s="87"/>
      <c r="BU258" s="88"/>
      <c r="BV258" s="88"/>
      <c r="BW258" s="88"/>
      <c r="BX258" s="88"/>
      <c r="BY258" s="87"/>
      <c r="BZ258" s="87"/>
      <c r="CA258" s="87"/>
      <c r="CB258" s="87"/>
      <c r="CC258" s="236"/>
    </row>
    <row r="259" s="237" customFormat="true" ht="15" hidden="true" customHeight="true" outlineLevel="2" collapsed="false">
      <c r="A259" s="242" t="s">
        <v>353</v>
      </c>
      <c r="B259" s="232"/>
      <c r="C259" s="90" t="n">
        <f aca="false">1639+367</f>
        <v>2006</v>
      </c>
      <c r="D259" s="90" t="n">
        <v>2659</v>
      </c>
      <c r="E259" s="90" t="n">
        <v>2852</v>
      </c>
      <c r="F259" s="90" t="n">
        <v>2856</v>
      </c>
      <c r="G259" s="90" t="n">
        <v>3658</v>
      </c>
      <c r="H259" s="88"/>
      <c r="I259" s="88"/>
      <c r="J259" s="88"/>
      <c r="K259" s="88"/>
      <c r="L259" s="90" t="n">
        <v>3846</v>
      </c>
      <c r="M259" s="88"/>
      <c r="N259" s="88"/>
      <c r="O259" s="88"/>
      <c r="P259" s="88"/>
      <c r="Q259" s="90" t="n">
        <v>3833</v>
      </c>
      <c r="R259" s="88"/>
      <c r="S259" s="88"/>
      <c r="T259" s="88"/>
      <c r="U259" s="88"/>
      <c r="V259" s="90" t="n">
        <v>4443</v>
      </c>
      <c r="W259" s="88"/>
      <c r="X259" s="88"/>
      <c r="Y259" s="88"/>
      <c r="Z259" s="88"/>
      <c r="AA259" s="90" t="n">
        <v>5112</v>
      </c>
      <c r="AB259" s="88"/>
      <c r="AC259" s="88"/>
      <c r="AD259" s="88"/>
      <c r="AE259" s="88"/>
      <c r="AF259" s="90" t="n">
        <v>5779</v>
      </c>
      <c r="AG259" s="88"/>
      <c r="AH259" s="88"/>
      <c r="AI259" s="88"/>
      <c r="AJ259" s="88"/>
      <c r="AK259" s="90" t="n">
        <v>5933</v>
      </c>
      <c r="AL259" s="88"/>
      <c r="AM259" s="88"/>
      <c r="AN259" s="88"/>
      <c r="AO259" s="88"/>
      <c r="AP259" s="90" t="n">
        <v>7680</v>
      </c>
      <c r="AQ259" s="88"/>
      <c r="AR259" s="88"/>
      <c r="AS259" s="88"/>
      <c r="AT259" s="88"/>
      <c r="AU259" s="90" t="n">
        <v>8237</v>
      </c>
      <c r="AV259" s="88"/>
      <c r="AW259" s="88"/>
      <c r="AX259" s="88"/>
      <c r="AY259" s="88"/>
      <c r="AZ259" s="90" t="n">
        <v>9953</v>
      </c>
      <c r="BA259" s="88"/>
      <c r="BB259" s="88"/>
      <c r="BC259" s="88"/>
      <c r="BD259" s="88"/>
      <c r="BE259" s="90" t="n">
        <v>9954</v>
      </c>
      <c r="BF259" s="88"/>
      <c r="BG259" s="88"/>
      <c r="BH259" s="88"/>
      <c r="BI259" s="88"/>
      <c r="BJ259" s="90" t="n">
        <v>11341</v>
      </c>
      <c r="BK259" s="88"/>
      <c r="BL259" s="88"/>
      <c r="BM259" s="88"/>
      <c r="BN259" s="88"/>
      <c r="BO259" s="91"/>
      <c r="BP259" s="88"/>
      <c r="BQ259" s="88"/>
      <c r="BR259" s="88"/>
      <c r="BS259" s="88"/>
      <c r="BT259" s="87"/>
      <c r="BU259" s="88"/>
      <c r="BV259" s="88"/>
      <c r="BW259" s="88"/>
      <c r="BX259" s="88"/>
      <c r="BY259" s="87"/>
      <c r="BZ259" s="87"/>
      <c r="CA259" s="87"/>
      <c r="CB259" s="87"/>
      <c r="CC259" s="236"/>
    </row>
    <row r="260" s="237" customFormat="true" ht="15" hidden="true" customHeight="true" outlineLevel="2" collapsed="false">
      <c r="A260" s="242" t="s">
        <v>354</v>
      </c>
      <c r="B260" s="232"/>
      <c r="C260" s="87"/>
      <c r="D260" s="87"/>
      <c r="E260" s="87"/>
      <c r="F260" s="87"/>
      <c r="G260" s="87"/>
      <c r="H260" s="88"/>
      <c r="I260" s="88"/>
      <c r="J260" s="88"/>
      <c r="K260" s="88"/>
      <c r="L260" s="87"/>
      <c r="M260" s="88"/>
      <c r="N260" s="88"/>
      <c r="O260" s="88"/>
      <c r="P260" s="88"/>
      <c r="Q260" s="87"/>
      <c r="R260" s="88"/>
      <c r="S260" s="88"/>
      <c r="T260" s="88"/>
      <c r="U260" s="88"/>
      <c r="V260" s="87"/>
      <c r="W260" s="88"/>
      <c r="X260" s="88"/>
      <c r="Y260" s="88"/>
      <c r="Z260" s="88"/>
      <c r="AA260" s="87"/>
      <c r="AB260" s="88"/>
      <c r="AC260" s="88"/>
      <c r="AD260" s="88"/>
      <c r="AE260" s="88"/>
      <c r="AF260" s="90" t="n">
        <v>267</v>
      </c>
      <c r="AG260" s="88"/>
      <c r="AH260" s="88"/>
      <c r="AI260" s="88"/>
      <c r="AJ260" s="88"/>
      <c r="AK260" s="90" t="n">
        <v>326</v>
      </c>
      <c r="AL260" s="88"/>
      <c r="AM260" s="88"/>
      <c r="AN260" s="88"/>
      <c r="AO260" s="88"/>
      <c r="AP260" s="90" t="n">
        <v>346</v>
      </c>
      <c r="AQ260" s="88"/>
      <c r="AR260" s="88"/>
      <c r="AS260" s="88"/>
      <c r="AT260" s="88"/>
      <c r="AU260" s="90" t="n">
        <v>707</v>
      </c>
      <c r="AV260" s="88"/>
      <c r="AW260" s="88"/>
      <c r="AX260" s="88"/>
      <c r="AY260" s="88"/>
      <c r="AZ260" s="90" t="n">
        <v>1541</v>
      </c>
      <c r="BA260" s="88"/>
      <c r="BB260" s="88"/>
      <c r="BC260" s="88"/>
      <c r="BD260" s="88"/>
      <c r="BE260" s="90" t="n">
        <v>2033</v>
      </c>
      <c r="BF260" s="88"/>
      <c r="BG260" s="88"/>
      <c r="BH260" s="88"/>
      <c r="BI260" s="88"/>
      <c r="BJ260" s="90" t="n">
        <v>1965</v>
      </c>
      <c r="BK260" s="88"/>
      <c r="BL260" s="88"/>
      <c r="BM260" s="88"/>
      <c r="BN260" s="88"/>
      <c r="BO260" s="91"/>
      <c r="BP260" s="88"/>
      <c r="BQ260" s="88"/>
      <c r="BR260" s="88"/>
      <c r="BS260" s="88"/>
      <c r="BT260" s="87"/>
      <c r="BU260" s="88"/>
      <c r="BV260" s="88"/>
      <c r="BW260" s="88"/>
      <c r="BX260" s="88"/>
      <c r="BY260" s="87"/>
      <c r="BZ260" s="87"/>
      <c r="CA260" s="87"/>
      <c r="CB260" s="87"/>
      <c r="CC260" s="236"/>
    </row>
    <row r="261" s="237" customFormat="true" ht="15" hidden="true" customHeight="true" outlineLevel="2" collapsed="false">
      <c r="A261" s="242" t="s">
        <v>355</v>
      </c>
      <c r="B261" s="232"/>
      <c r="C261" s="90" t="n">
        <v>679</v>
      </c>
      <c r="D261" s="90" t="n">
        <v>727</v>
      </c>
      <c r="E261" s="90" t="n">
        <v>723</v>
      </c>
      <c r="F261" s="90" t="n">
        <v>869</v>
      </c>
      <c r="G261" s="90" t="n">
        <v>1098</v>
      </c>
      <c r="H261" s="88"/>
      <c r="I261" s="88"/>
      <c r="J261" s="88"/>
      <c r="K261" s="88"/>
      <c r="L261" s="90" t="n">
        <v>1240</v>
      </c>
      <c r="M261" s="88"/>
      <c r="N261" s="88"/>
      <c r="O261" s="88"/>
      <c r="P261" s="88"/>
      <c r="Q261" s="90" t="n">
        <v>1380</v>
      </c>
      <c r="R261" s="88"/>
      <c r="S261" s="88"/>
      <c r="T261" s="88"/>
      <c r="U261" s="88"/>
      <c r="V261" s="90" t="n">
        <v>1561</v>
      </c>
      <c r="W261" s="88"/>
      <c r="X261" s="88"/>
      <c r="Y261" s="88"/>
      <c r="Z261" s="88"/>
      <c r="AA261" s="90" t="n">
        <v>1701</v>
      </c>
      <c r="AB261" s="88"/>
      <c r="AC261" s="88"/>
      <c r="AD261" s="88"/>
      <c r="AE261" s="88"/>
      <c r="AF261" s="90" t="n">
        <v>1701</v>
      </c>
      <c r="AG261" s="88"/>
      <c r="AH261" s="88"/>
      <c r="AI261" s="88"/>
      <c r="AJ261" s="88"/>
      <c r="AK261" s="90" t="n">
        <v>1898</v>
      </c>
      <c r="AL261" s="88"/>
      <c r="AM261" s="88"/>
      <c r="AN261" s="88"/>
      <c r="AO261" s="88"/>
      <c r="AP261" s="90" t="n">
        <v>2061</v>
      </c>
      <c r="AQ261" s="88"/>
      <c r="AR261" s="88"/>
      <c r="AS261" s="88"/>
      <c r="AT261" s="88"/>
      <c r="AU261" s="90" t="n">
        <v>2761</v>
      </c>
      <c r="AV261" s="88"/>
      <c r="AW261" s="88"/>
      <c r="AX261" s="88"/>
      <c r="AY261" s="88"/>
      <c r="AZ261" s="90" t="n">
        <v>3768</v>
      </c>
      <c r="BA261" s="88"/>
      <c r="BB261" s="88"/>
      <c r="BC261" s="88"/>
      <c r="BD261" s="88"/>
      <c r="BE261" s="90" t="n">
        <v>4035</v>
      </c>
      <c r="BF261" s="88"/>
      <c r="BG261" s="88"/>
      <c r="BH261" s="88"/>
      <c r="BI261" s="88"/>
      <c r="BJ261" s="90" t="n">
        <v>4385</v>
      </c>
      <c r="BK261" s="88"/>
      <c r="BL261" s="88"/>
      <c r="BM261" s="88"/>
      <c r="BN261" s="88"/>
      <c r="BO261" s="91"/>
      <c r="BP261" s="88"/>
      <c r="BQ261" s="88"/>
      <c r="BR261" s="88"/>
      <c r="BS261" s="88"/>
      <c r="BT261" s="87"/>
      <c r="BU261" s="88"/>
      <c r="BV261" s="88"/>
      <c r="BW261" s="88"/>
      <c r="BX261" s="88"/>
      <c r="BY261" s="87"/>
      <c r="BZ261" s="87"/>
      <c r="CA261" s="87"/>
      <c r="CB261" s="87"/>
      <c r="CC261" s="236"/>
    </row>
    <row r="262" s="237" customFormat="true" ht="15" hidden="true" customHeight="true" outlineLevel="2" collapsed="false">
      <c r="A262" s="242" t="s">
        <v>356</v>
      </c>
      <c r="B262" s="232"/>
      <c r="C262" s="87"/>
      <c r="D262" s="87"/>
      <c r="E262" s="87"/>
      <c r="F262" s="87"/>
      <c r="G262" s="87"/>
      <c r="H262" s="88"/>
      <c r="I262" s="88"/>
      <c r="J262" s="88"/>
      <c r="K262" s="88"/>
      <c r="L262" s="87"/>
      <c r="M262" s="88"/>
      <c r="N262" s="88"/>
      <c r="O262" s="88"/>
      <c r="P262" s="88"/>
      <c r="Q262" s="87"/>
      <c r="R262" s="88"/>
      <c r="S262" s="88"/>
      <c r="T262" s="88"/>
      <c r="U262" s="88"/>
      <c r="V262" s="87"/>
      <c r="W262" s="88"/>
      <c r="X262" s="88"/>
      <c r="Y262" s="88"/>
      <c r="Z262" s="88"/>
      <c r="AA262" s="87"/>
      <c r="AB262" s="88"/>
      <c r="AC262" s="88"/>
      <c r="AD262" s="88"/>
      <c r="AE262" s="88"/>
      <c r="AF262" s="90" t="n">
        <v>559</v>
      </c>
      <c r="AG262" s="88"/>
      <c r="AH262" s="88"/>
      <c r="AI262" s="88"/>
      <c r="AJ262" s="88"/>
      <c r="AK262" s="90" t="n">
        <v>624</v>
      </c>
      <c r="AL262" s="88"/>
      <c r="AM262" s="88"/>
      <c r="AN262" s="88"/>
      <c r="AO262" s="88"/>
      <c r="AP262" s="90" t="n">
        <v>744</v>
      </c>
      <c r="AQ262" s="88"/>
      <c r="AR262" s="88"/>
      <c r="AS262" s="88"/>
      <c r="AT262" s="88"/>
      <c r="AU262" s="90" t="n">
        <v>766</v>
      </c>
      <c r="AV262" s="88"/>
      <c r="AW262" s="88"/>
      <c r="AX262" s="88"/>
      <c r="AY262" s="88"/>
      <c r="AZ262" s="90" t="n">
        <v>742</v>
      </c>
      <c r="BA262" s="88"/>
      <c r="BB262" s="88"/>
      <c r="BC262" s="88"/>
      <c r="BD262" s="88"/>
      <c r="BE262" s="90" t="n">
        <v>939</v>
      </c>
      <c r="BF262" s="88"/>
      <c r="BG262" s="88"/>
      <c r="BH262" s="88"/>
      <c r="BI262" s="88"/>
      <c r="BJ262" s="90" t="n">
        <v>0</v>
      </c>
      <c r="BK262" s="88"/>
      <c r="BL262" s="88"/>
      <c r="BM262" s="88"/>
      <c r="BN262" s="88"/>
      <c r="BO262" s="91"/>
      <c r="BP262" s="88"/>
      <c r="BQ262" s="88"/>
      <c r="BR262" s="88"/>
      <c r="BS262" s="88"/>
      <c r="BT262" s="87"/>
      <c r="BU262" s="88"/>
      <c r="BV262" s="88"/>
      <c r="BW262" s="88"/>
      <c r="BX262" s="88"/>
      <c r="BY262" s="87"/>
      <c r="BZ262" s="87"/>
      <c r="CA262" s="87"/>
      <c r="CB262" s="87"/>
      <c r="CC262" s="236"/>
    </row>
    <row r="263" s="237" customFormat="true" ht="15" hidden="true" customHeight="true" outlineLevel="2" collapsed="false">
      <c r="A263" s="242" t="s">
        <v>357</v>
      </c>
      <c r="B263" s="232"/>
      <c r="C263" s="90" t="n">
        <f aca="false">2813+277</f>
        <v>3090</v>
      </c>
      <c r="D263" s="90" t="n">
        <f aca="false">3225+398</f>
        <v>3623</v>
      </c>
      <c r="E263" s="90" t="n">
        <f aca="false">3417+420</f>
        <v>3837</v>
      </c>
      <c r="F263" s="90" t="n">
        <f aca="false">3736+637</f>
        <v>4373</v>
      </c>
      <c r="G263" s="90" t="n">
        <f aca="false">4735+785</f>
        <v>5520</v>
      </c>
      <c r="H263" s="88"/>
      <c r="I263" s="88"/>
      <c r="J263" s="88"/>
      <c r="K263" s="88"/>
      <c r="L263" s="90" t="n">
        <v>5697</v>
      </c>
      <c r="M263" s="88"/>
      <c r="N263" s="88"/>
      <c r="O263" s="88"/>
      <c r="P263" s="88"/>
      <c r="Q263" s="90" t="n">
        <v>5861</v>
      </c>
      <c r="R263" s="88"/>
      <c r="S263" s="88"/>
      <c r="T263" s="88"/>
      <c r="U263" s="88"/>
      <c r="V263" s="90" t="n">
        <v>6433</v>
      </c>
      <c r="W263" s="88"/>
      <c r="X263" s="88"/>
      <c r="Y263" s="88"/>
      <c r="Z263" s="88"/>
      <c r="AA263" s="90" t="n">
        <v>7352</v>
      </c>
      <c r="AB263" s="88"/>
      <c r="AC263" s="88"/>
      <c r="AD263" s="88"/>
      <c r="AE263" s="88"/>
      <c r="AF263" s="90" t="n">
        <v>9267</v>
      </c>
      <c r="AG263" s="88"/>
      <c r="AH263" s="88"/>
      <c r="AI263" s="88"/>
      <c r="AJ263" s="88"/>
      <c r="AK263" s="90" t="n">
        <v>10166</v>
      </c>
      <c r="AL263" s="88"/>
      <c r="AM263" s="88"/>
      <c r="AN263" s="88"/>
      <c r="AO263" s="88"/>
      <c r="AP263" s="90" t="n">
        <v>10813</v>
      </c>
      <c r="AQ263" s="88"/>
      <c r="AR263" s="88"/>
      <c r="AS263" s="88"/>
      <c r="AT263" s="88"/>
      <c r="AU263" s="90" t="n">
        <v>12060</v>
      </c>
      <c r="AV263" s="88"/>
      <c r="AW263" s="88"/>
      <c r="AX263" s="88"/>
      <c r="AY263" s="88"/>
      <c r="AZ263" s="90" t="n">
        <v>14181</v>
      </c>
      <c r="BA263" s="88"/>
      <c r="BB263" s="88"/>
      <c r="BC263" s="88"/>
      <c r="BD263" s="88"/>
      <c r="BE263" s="90" t="n">
        <v>15604</v>
      </c>
      <c r="BF263" s="88"/>
      <c r="BG263" s="88"/>
      <c r="BH263" s="88"/>
      <c r="BI263" s="88"/>
      <c r="BJ263" s="90" t="n">
        <v>15992</v>
      </c>
      <c r="BK263" s="88"/>
      <c r="BL263" s="88"/>
      <c r="BM263" s="88"/>
      <c r="BN263" s="88"/>
      <c r="BO263" s="91"/>
      <c r="BP263" s="88"/>
      <c r="BQ263" s="88"/>
      <c r="BR263" s="88"/>
      <c r="BS263" s="88"/>
      <c r="BT263" s="87"/>
      <c r="BU263" s="88"/>
      <c r="BV263" s="88"/>
      <c r="BW263" s="88"/>
      <c r="BX263" s="88"/>
      <c r="BY263" s="87"/>
      <c r="BZ263" s="87"/>
      <c r="CA263" s="87"/>
      <c r="CB263" s="87"/>
      <c r="CC263" s="236"/>
    </row>
    <row r="264" s="84" customFormat="true" ht="15" hidden="true" customHeight="true" outlineLevel="2" collapsed="false">
      <c r="A264" s="307" t="s">
        <v>358</v>
      </c>
      <c r="B264" s="350"/>
      <c r="C264" s="308" t="n">
        <f aca="false">SUM(C258:C263)</f>
        <v>7685</v>
      </c>
      <c r="D264" s="308" t="n">
        <f aca="false">SUM(D258:D263)</f>
        <v>9245</v>
      </c>
      <c r="E264" s="308" t="n">
        <f aca="false">SUM(E258:E263)</f>
        <v>9890</v>
      </c>
      <c r="F264" s="308" t="n">
        <f aca="false">SUM(F258:F263)</f>
        <v>10636</v>
      </c>
      <c r="G264" s="308" t="n">
        <f aca="false">SUM(G258:G263)</f>
        <v>13225</v>
      </c>
      <c r="H264" s="121"/>
      <c r="I264" s="121"/>
      <c r="J264" s="121"/>
      <c r="K264" s="121"/>
      <c r="L264" s="308" t="n">
        <f aca="false">SUM(L258:L263)</f>
        <v>14072</v>
      </c>
      <c r="M264" s="121"/>
      <c r="N264" s="121"/>
      <c r="O264" s="121"/>
      <c r="P264" s="121"/>
      <c r="Q264" s="308" t="n">
        <f aca="false">SUM(Q258:Q263)</f>
        <v>14681</v>
      </c>
      <c r="R264" s="121"/>
      <c r="S264" s="121"/>
      <c r="T264" s="121"/>
      <c r="U264" s="121"/>
      <c r="V264" s="308" t="n">
        <f aca="false">SUM(V258:V263)</f>
        <v>16647</v>
      </c>
      <c r="W264" s="121"/>
      <c r="X264" s="121"/>
      <c r="Y264" s="121"/>
      <c r="Z264" s="121"/>
      <c r="AA264" s="308" t="n">
        <f aca="false">SUM(AA258:AA263)</f>
        <v>19216</v>
      </c>
      <c r="AB264" s="121"/>
      <c r="AC264" s="121"/>
      <c r="AD264" s="121"/>
      <c r="AE264" s="121"/>
      <c r="AF264" s="308" t="n">
        <f aca="false">SUM(AF258:AF263)</f>
        <v>23247</v>
      </c>
      <c r="AG264" s="121"/>
      <c r="AH264" s="121"/>
      <c r="AI264" s="121"/>
      <c r="AJ264" s="121"/>
      <c r="AK264" s="308" t="n">
        <f aca="false">SUM(AK258:AK263)</f>
        <v>24900</v>
      </c>
      <c r="AL264" s="121"/>
      <c r="AM264" s="121"/>
      <c r="AN264" s="121"/>
      <c r="AO264" s="121"/>
      <c r="AP264" s="308" t="n">
        <f aca="false">SUM(AP258:AP263)</f>
        <v>28073</v>
      </c>
      <c r="AQ264" s="121"/>
      <c r="AR264" s="121"/>
      <c r="AS264" s="121"/>
      <c r="AT264" s="121"/>
      <c r="AU264" s="308" t="n">
        <f aca="false">SUM(AU258:AU263)</f>
        <v>32016</v>
      </c>
      <c r="AV264" s="121"/>
      <c r="AW264" s="121"/>
      <c r="AX264" s="121"/>
      <c r="AY264" s="121"/>
      <c r="AZ264" s="308" t="n">
        <f aca="false">SUM(AZ258:AZ263)</f>
        <v>39086</v>
      </c>
      <c r="BA264" s="121"/>
      <c r="BB264" s="121"/>
      <c r="BC264" s="121"/>
      <c r="BD264" s="121"/>
      <c r="BE264" s="308" t="n">
        <f aca="false">SUM(BE258:BE263)</f>
        <v>42416</v>
      </c>
      <c r="BF264" s="121"/>
      <c r="BG264" s="121"/>
      <c r="BH264" s="121"/>
      <c r="BI264" s="121"/>
      <c r="BJ264" s="308" t="n">
        <f aca="false">SUM(BJ258:BJ263)</f>
        <v>44027</v>
      </c>
      <c r="BK264" s="121"/>
      <c r="BL264" s="121"/>
      <c r="BM264" s="121"/>
      <c r="BN264" s="121"/>
      <c r="BO264" s="311" t="n">
        <f aca="false">BO266+BO265</f>
        <v>44209</v>
      </c>
      <c r="BP264" s="121"/>
      <c r="BQ264" s="121"/>
      <c r="BR264" s="121"/>
      <c r="BS264" s="121"/>
      <c r="BT264" s="120"/>
      <c r="BU264" s="121"/>
      <c r="BV264" s="121"/>
      <c r="BW264" s="121"/>
      <c r="BX264" s="121"/>
      <c r="BY264" s="120"/>
      <c r="BZ264" s="120"/>
      <c r="CA264" s="120"/>
      <c r="CB264" s="120"/>
      <c r="CC264" s="83"/>
    </row>
    <row r="265" s="237" customFormat="true" ht="15" hidden="true" customHeight="true" outlineLevel="2" collapsed="false">
      <c r="A265" s="242" t="s">
        <v>359</v>
      </c>
      <c r="B265" s="232"/>
      <c r="C265" s="90" t="n">
        <v>1137</v>
      </c>
      <c r="D265" s="90" t="n">
        <v>2061</v>
      </c>
      <c r="E265" s="90" t="n">
        <v>1935</v>
      </c>
      <c r="F265" s="90" t="n">
        <v>2139</v>
      </c>
      <c r="G265" s="90" t="n">
        <v>2865</v>
      </c>
      <c r="H265" s="88"/>
      <c r="I265" s="88"/>
      <c r="J265" s="88"/>
      <c r="K265" s="88"/>
      <c r="L265" s="90" t="n">
        <v>2754</v>
      </c>
      <c r="M265" s="88"/>
      <c r="N265" s="88"/>
      <c r="O265" s="88"/>
      <c r="P265" s="88"/>
      <c r="Q265" s="90" t="n">
        <v>2513</v>
      </c>
      <c r="R265" s="88"/>
      <c r="S265" s="88"/>
      <c r="T265" s="88"/>
      <c r="U265" s="88"/>
      <c r="V265" s="90" t="n">
        <v>2656</v>
      </c>
      <c r="W265" s="88"/>
      <c r="X265" s="88"/>
      <c r="Y265" s="88"/>
      <c r="Z265" s="88"/>
      <c r="AA265" s="90" t="n">
        <v>2997</v>
      </c>
      <c r="AB265" s="88"/>
      <c r="AC265" s="88"/>
      <c r="AD265" s="88"/>
      <c r="AE265" s="88"/>
      <c r="AF265" s="90" t="n">
        <v>3203</v>
      </c>
      <c r="AG265" s="88"/>
      <c r="AH265" s="88"/>
      <c r="AI265" s="88"/>
      <c r="AJ265" s="88"/>
      <c r="AK265" s="90" t="n">
        <v>1681</v>
      </c>
      <c r="AL265" s="88"/>
      <c r="AM265" s="88"/>
      <c r="AN265" s="88"/>
      <c r="AO265" s="88"/>
      <c r="AP265" s="90" t="n">
        <v>1459</v>
      </c>
      <c r="AQ265" s="88"/>
      <c r="AR265" s="88"/>
      <c r="AS265" s="88"/>
      <c r="AT265" s="88"/>
      <c r="AU265" s="90" t="n">
        <v>2155</v>
      </c>
      <c r="AV265" s="88"/>
      <c r="AW265" s="88"/>
      <c r="AX265" s="88"/>
      <c r="AY265" s="88"/>
      <c r="AZ265" s="90" t="n">
        <v>2974</v>
      </c>
      <c r="BA265" s="88"/>
      <c r="BB265" s="88"/>
      <c r="BC265" s="88"/>
      <c r="BD265" s="88"/>
      <c r="BE265" s="90" t="n">
        <v>2107</v>
      </c>
      <c r="BF265" s="88"/>
      <c r="BG265" s="88"/>
      <c r="BH265" s="88"/>
      <c r="BI265" s="88"/>
      <c r="BJ265" s="90" t="n">
        <v>1241</v>
      </c>
      <c r="BK265" s="88"/>
      <c r="BL265" s="88"/>
      <c r="BM265" s="88"/>
      <c r="BN265" s="88"/>
      <c r="BO265" s="101" t="n">
        <v>689</v>
      </c>
      <c r="BP265" s="88"/>
      <c r="BQ265" s="88"/>
      <c r="BR265" s="88"/>
      <c r="BS265" s="88"/>
      <c r="BT265" s="87"/>
      <c r="BU265" s="88"/>
      <c r="BV265" s="88"/>
      <c r="BW265" s="88"/>
      <c r="BX265" s="88"/>
      <c r="BY265" s="87"/>
      <c r="BZ265" s="87"/>
      <c r="CA265" s="87"/>
      <c r="CB265" s="87"/>
      <c r="CC265" s="236"/>
    </row>
    <row r="266" s="84" customFormat="true" ht="15" hidden="true" customHeight="true" outlineLevel="2" collapsed="false">
      <c r="A266" s="307" t="s">
        <v>360</v>
      </c>
      <c r="B266" s="350"/>
      <c r="C266" s="308" t="n">
        <f aca="false">C264-C265</f>
        <v>6548</v>
      </c>
      <c r="D266" s="308" t="n">
        <f aca="false">D264-D265</f>
        <v>7184</v>
      </c>
      <c r="E266" s="308" t="n">
        <f aca="false">E264-E265</f>
        <v>7955</v>
      </c>
      <c r="F266" s="308" t="n">
        <f aca="false">F264-F265</f>
        <v>8497</v>
      </c>
      <c r="G266" s="308" t="n">
        <f aca="false">G264-G265</f>
        <v>10360</v>
      </c>
      <c r="H266" s="121"/>
      <c r="I266" s="121"/>
      <c r="J266" s="121"/>
      <c r="K266" s="121"/>
      <c r="L266" s="308" t="n">
        <f aca="false">L264-L265</f>
        <v>11318</v>
      </c>
      <c r="M266" s="121"/>
      <c r="N266" s="121"/>
      <c r="O266" s="121"/>
      <c r="P266" s="121"/>
      <c r="Q266" s="308" t="n">
        <f aca="false">Q264-Q265</f>
        <v>12168</v>
      </c>
      <c r="R266" s="121"/>
      <c r="S266" s="121"/>
      <c r="T266" s="121"/>
      <c r="U266" s="121"/>
      <c r="V266" s="308" t="n">
        <f aca="false">V264-V265</f>
        <v>13991</v>
      </c>
      <c r="W266" s="121"/>
      <c r="X266" s="121"/>
      <c r="Y266" s="121"/>
      <c r="Z266" s="121"/>
      <c r="AA266" s="308" t="n">
        <f aca="false">AA264-AA265</f>
        <v>16219</v>
      </c>
      <c r="AB266" s="121"/>
      <c r="AC266" s="121"/>
      <c r="AD266" s="121"/>
      <c r="AE266" s="121"/>
      <c r="AF266" s="308" t="n">
        <f aca="false">AF264-AF265</f>
        <v>20044</v>
      </c>
      <c r="AG266" s="121"/>
      <c r="AH266" s="121"/>
      <c r="AI266" s="121"/>
      <c r="AJ266" s="121"/>
      <c r="AK266" s="308" t="n">
        <f aca="false">AK264-AK265</f>
        <v>23219</v>
      </c>
      <c r="AL266" s="121"/>
      <c r="AM266" s="121"/>
      <c r="AN266" s="121"/>
      <c r="AO266" s="121"/>
      <c r="AP266" s="308" t="n">
        <f aca="false">AP264-AP265</f>
        <v>26614</v>
      </c>
      <c r="AQ266" s="121"/>
      <c r="AR266" s="121"/>
      <c r="AS266" s="121"/>
      <c r="AT266" s="121"/>
      <c r="AU266" s="308" t="n">
        <f aca="false">AU264-AU265</f>
        <v>29861</v>
      </c>
      <c r="AV266" s="121"/>
      <c r="AW266" s="121"/>
      <c r="AX266" s="121"/>
      <c r="AY266" s="121"/>
      <c r="AZ266" s="308" t="n">
        <f aca="false">AZ264-AZ265</f>
        <v>36112</v>
      </c>
      <c r="BA266" s="121"/>
      <c r="BB266" s="121"/>
      <c r="BC266" s="121"/>
      <c r="BD266" s="121"/>
      <c r="BE266" s="308" t="n">
        <f aca="false">BE264-BE265</f>
        <v>40309</v>
      </c>
      <c r="BF266" s="121"/>
      <c r="BG266" s="121"/>
      <c r="BH266" s="121"/>
      <c r="BI266" s="121"/>
      <c r="BJ266" s="308" t="n">
        <f aca="false">BJ264-BJ265</f>
        <v>42786</v>
      </c>
      <c r="BK266" s="121"/>
      <c r="BL266" s="121"/>
      <c r="BM266" s="121"/>
      <c r="BN266" s="121"/>
      <c r="BO266" s="122" t="n">
        <f aca="false">BO254</f>
        <v>43520</v>
      </c>
      <c r="BP266" s="121"/>
      <c r="BQ266" s="121"/>
      <c r="BR266" s="121"/>
      <c r="BS266" s="121"/>
      <c r="BT266" s="120"/>
      <c r="BU266" s="121"/>
      <c r="BV266" s="121"/>
      <c r="BW266" s="121"/>
      <c r="BX266" s="121"/>
      <c r="BY266" s="120"/>
      <c r="BZ266" s="120"/>
      <c r="CA266" s="120"/>
      <c r="CB266" s="120"/>
      <c r="CC266" s="83"/>
    </row>
    <row r="267" s="84" customFormat="true" ht="15" hidden="true" customHeight="true" outlineLevel="2" collapsed="false">
      <c r="A267" s="123"/>
      <c r="B267" s="141"/>
      <c r="C267" s="111"/>
      <c r="D267" s="111"/>
      <c r="E267" s="111"/>
      <c r="F267" s="111"/>
      <c r="G267" s="111"/>
      <c r="H267" s="112"/>
      <c r="I267" s="112"/>
      <c r="J267" s="112"/>
      <c r="K267" s="112"/>
      <c r="L267" s="111"/>
      <c r="M267" s="112"/>
      <c r="N267" s="112"/>
      <c r="O267" s="112"/>
      <c r="P267" s="112"/>
      <c r="Q267" s="111"/>
      <c r="R267" s="112"/>
      <c r="S267" s="112"/>
      <c r="T267" s="112"/>
      <c r="U267" s="112"/>
      <c r="V267" s="111"/>
      <c r="W267" s="112"/>
      <c r="X267" s="112"/>
      <c r="Y267" s="112"/>
      <c r="Z267" s="112"/>
      <c r="AA267" s="111"/>
      <c r="AB267" s="112"/>
      <c r="AC267" s="112"/>
      <c r="AD267" s="112"/>
      <c r="AE267" s="112"/>
      <c r="AF267" s="111"/>
      <c r="AG267" s="112"/>
      <c r="AH267" s="112"/>
      <c r="AI267" s="112"/>
      <c r="AJ267" s="112"/>
      <c r="AK267" s="111"/>
      <c r="AL267" s="112"/>
      <c r="AM267" s="112"/>
      <c r="AN267" s="112"/>
      <c r="AO267" s="112"/>
      <c r="AP267" s="111"/>
      <c r="AQ267" s="112"/>
      <c r="AR267" s="112"/>
      <c r="AS267" s="112"/>
      <c r="AT267" s="112"/>
      <c r="AU267" s="111"/>
      <c r="AV267" s="112"/>
      <c r="AW267" s="112"/>
      <c r="AX267" s="112"/>
      <c r="AY267" s="112"/>
      <c r="AZ267" s="111"/>
      <c r="BA267" s="112"/>
      <c r="BB267" s="112"/>
      <c r="BC267" s="112"/>
      <c r="BD267" s="112"/>
      <c r="BE267" s="111"/>
      <c r="BF267" s="112"/>
      <c r="BG267" s="112"/>
      <c r="BH267" s="112"/>
      <c r="BI267" s="112"/>
      <c r="BJ267" s="111"/>
      <c r="BK267" s="112"/>
      <c r="BL267" s="112"/>
      <c r="BM267" s="112"/>
      <c r="BN267" s="112"/>
      <c r="BO267" s="113"/>
      <c r="BP267" s="112"/>
      <c r="BQ267" s="112"/>
      <c r="BR267" s="112"/>
      <c r="BS267" s="112"/>
      <c r="BT267" s="111"/>
      <c r="BU267" s="112"/>
      <c r="BV267" s="112"/>
      <c r="BW267" s="112"/>
      <c r="BX267" s="112"/>
      <c r="BY267" s="111"/>
      <c r="BZ267" s="111"/>
      <c r="CA267" s="111"/>
      <c r="CB267" s="111"/>
      <c r="CC267" s="83"/>
    </row>
    <row r="268" s="237" customFormat="true" ht="15" hidden="true" customHeight="true" outlineLevel="2" collapsed="false">
      <c r="A268" s="356" t="s">
        <v>361</v>
      </c>
      <c r="B268" s="232"/>
      <c r="C268" s="90" t="n">
        <v>3601</v>
      </c>
      <c r="D268" s="90" t="n">
        <v>3805</v>
      </c>
      <c r="E268" s="90" t="n">
        <v>4313</v>
      </c>
      <c r="F268" s="90" t="n">
        <v>4620</v>
      </c>
      <c r="G268" s="90" t="n">
        <v>5112</v>
      </c>
      <c r="H268" s="88"/>
      <c r="I268" s="88"/>
      <c r="J268" s="88"/>
      <c r="K268" s="88"/>
      <c r="L268" s="90" t="n">
        <v>5589</v>
      </c>
      <c r="M268" s="88"/>
      <c r="N268" s="88"/>
      <c r="O268" s="88"/>
      <c r="P268" s="88"/>
      <c r="Q268" s="90" t="n">
        <v>6113</v>
      </c>
      <c r="R268" s="88"/>
      <c r="S268" s="88"/>
      <c r="T268" s="88"/>
      <c r="U268" s="88"/>
      <c r="V268" s="90" t="n">
        <v>6567</v>
      </c>
      <c r="W268" s="88"/>
      <c r="X268" s="88"/>
      <c r="Y268" s="88"/>
      <c r="Z268" s="88"/>
      <c r="AA268" s="90" t="n">
        <v>7211</v>
      </c>
      <c r="AB268" s="88"/>
      <c r="AC268" s="88"/>
      <c r="AD268" s="88"/>
      <c r="AE268" s="88"/>
      <c r="AF268" s="90" t="n">
        <v>8597</v>
      </c>
      <c r="AG268" s="88"/>
      <c r="AH268" s="88"/>
      <c r="AI268" s="88"/>
      <c r="AJ268" s="88"/>
      <c r="AK268" s="90" t="n">
        <v>11376</v>
      </c>
      <c r="AL268" s="88"/>
      <c r="AM268" s="88"/>
      <c r="AN268" s="88"/>
      <c r="AO268" s="88"/>
      <c r="AP268" s="90" t="n">
        <v>12812</v>
      </c>
      <c r="AQ268" s="88"/>
      <c r="AR268" s="88"/>
      <c r="AS268" s="88"/>
      <c r="AT268" s="88"/>
      <c r="AU268" s="90" t="n">
        <v>14222</v>
      </c>
      <c r="AV268" s="88"/>
      <c r="AW268" s="88"/>
      <c r="AX268" s="88"/>
      <c r="AY268" s="88"/>
      <c r="AZ268" s="90" t="n">
        <v>16722</v>
      </c>
      <c r="BA268" s="88"/>
      <c r="BB268" s="88"/>
      <c r="BC268" s="88"/>
      <c r="BD268" s="88"/>
      <c r="BE268" s="90" t="n">
        <v>19876</v>
      </c>
      <c r="BF268" s="88"/>
      <c r="BG268" s="88"/>
      <c r="BH268" s="88"/>
      <c r="BI268" s="88"/>
      <c r="BJ268" s="90" t="n">
        <v>21811</v>
      </c>
      <c r="BK268" s="88"/>
      <c r="BL268" s="88"/>
      <c r="BM268" s="88"/>
      <c r="BN268" s="88"/>
      <c r="BO268" s="91"/>
      <c r="BP268" s="88"/>
      <c r="BQ268" s="88"/>
      <c r="BR268" s="88"/>
      <c r="BS268" s="88"/>
      <c r="BT268" s="87"/>
      <c r="BU268" s="88"/>
      <c r="BV268" s="88"/>
      <c r="BW268" s="88"/>
      <c r="BX268" s="88"/>
      <c r="BY268" s="87"/>
      <c r="BZ268" s="87"/>
      <c r="CA268" s="87"/>
      <c r="CB268" s="87"/>
      <c r="CC268" s="236"/>
    </row>
    <row r="269" s="237" customFormat="true" ht="15" hidden="true" customHeight="true" outlineLevel="2" collapsed="false">
      <c r="A269" s="356" t="s">
        <v>362</v>
      </c>
      <c r="B269" s="232"/>
      <c r="C269" s="90" t="n">
        <v>6624</v>
      </c>
      <c r="D269" s="90" t="n">
        <v>6785</v>
      </c>
      <c r="E269" s="90" t="n">
        <v>7627</v>
      </c>
      <c r="F269" s="90" t="n">
        <v>8140</v>
      </c>
      <c r="G269" s="90" t="n">
        <v>9540</v>
      </c>
      <c r="H269" s="88"/>
      <c r="I269" s="88"/>
      <c r="J269" s="88"/>
      <c r="K269" s="88"/>
      <c r="L269" s="90" t="n">
        <v>10942</v>
      </c>
      <c r="M269" s="88"/>
      <c r="N269" s="88"/>
      <c r="O269" s="88"/>
      <c r="P269" s="88"/>
      <c r="Q269" s="90" t="n">
        <v>11824</v>
      </c>
      <c r="R269" s="88"/>
      <c r="S269" s="88"/>
      <c r="T269" s="88"/>
      <c r="U269" s="88"/>
      <c r="V269" s="90" t="n">
        <v>12852</v>
      </c>
      <c r="W269" s="88"/>
      <c r="X269" s="88"/>
      <c r="Y269" s="88"/>
      <c r="Z269" s="88"/>
      <c r="AA269" s="90" t="n">
        <v>15136</v>
      </c>
      <c r="AB269" s="88"/>
      <c r="AC269" s="88"/>
      <c r="AD269" s="88"/>
      <c r="AE269" s="88"/>
      <c r="AF269" s="90" t="n">
        <v>18204</v>
      </c>
      <c r="AG269" s="88"/>
      <c r="AH269" s="88"/>
      <c r="AI269" s="88"/>
      <c r="AJ269" s="88"/>
      <c r="AK269" s="90" t="n">
        <v>22192</v>
      </c>
      <c r="AL269" s="88"/>
      <c r="AM269" s="88"/>
      <c r="AN269" s="88"/>
      <c r="AO269" s="88"/>
      <c r="AP269" s="90" t="n">
        <v>24727</v>
      </c>
      <c r="AQ269" s="88"/>
      <c r="AR269" s="88"/>
      <c r="AS269" s="88"/>
      <c r="AT269" s="88"/>
      <c r="AU269" s="90" t="n">
        <v>28223</v>
      </c>
      <c r="AV269" s="88"/>
      <c r="AW269" s="88"/>
      <c r="AX269" s="88"/>
      <c r="AY269" s="88"/>
      <c r="AZ269" s="90" t="n">
        <v>33071</v>
      </c>
      <c r="BA269" s="88"/>
      <c r="BB269" s="88"/>
      <c r="BC269" s="88"/>
      <c r="BD269" s="88"/>
      <c r="BE269" s="90" t="n">
        <v>38805</v>
      </c>
      <c r="BF269" s="88"/>
      <c r="BG269" s="88"/>
      <c r="BH269" s="88"/>
      <c r="BI269" s="88"/>
      <c r="BJ269" s="90" t="n">
        <v>41697</v>
      </c>
      <c r="BK269" s="88"/>
      <c r="BL269" s="88"/>
      <c r="BM269" s="88"/>
      <c r="BN269" s="88"/>
      <c r="BO269" s="91"/>
      <c r="BP269" s="88"/>
      <c r="BQ269" s="88"/>
      <c r="BR269" s="88"/>
      <c r="BS269" s="88"/>
      <c r="BT269" s="87"/>
      <c r="BU269" s="88"/>
      <c r="BV269" s="88"/>
      <c r="BW269" s="88"/>
      <c r="BX269" s="88"/>
      <c r="BY269" s="87"/>
      <c r="BZ269" s="87"/>
      <c r="CA269" s="87"/>
      <c r="CB269" s="87"/>
      <c r="CC269" s="236"/>
    </row>
    <row r="270" s="84" customFormat="true" ht="15" hidden="true" customHeight="true" outlineLevel="1" collapsed="true">
      <c r="A270" s="140"/>
      <c r="B270" s="141"/>
      <c r="C270" s="111"/>
      <c r="D270" s="111"/>
      <c r="E270" s="111"/>
      <c r="F270" s="111"/>
      <c r="G270" s="111"/>
      <c r="H270" s="112"/>
      <c r="I270" s="112"/>
      <c r="J270" s="112"/>
      <c r="K270" s="112"/>
      <c r="L270" s="111"/>
      <c r="M270" s="112"/>
      <c r="N270" s="112"/>
      <c r="O270" s="112"/>
      <c r="P270" s="112"/>
      <c r="Q270" s="111"/>
      <c r="R270" s="112"/>
      <c r="S270" s="112"/>
      <c r="T270" s="112"/>
      <c r="U270" s="112"/>
      <c r="V270" s="111"/>
      <c r="W270" s="112"/>
      <c r="X270" s="112"/>
      <c r="Y270" s="112"/>
      <c r="Z270" s="112"/>
      <c r="AA270" s="111"/>
      <c r="AB270" s="112"/>
      <c r="AC270" s="112"/>
      <c r="AD270" s="112"/>
      <c r="AE270" s="112"/>
      <c r="AF270" s="111"/>
      <c r="AG270" s="112"/>
      <c r="AH270" s="112"/>
      <c r="AI270" s="112"/>
      <c r="AJ270" s="112"/>
      <c r="AK270" s="111"/>
      <c r="AL270" s="112"/>
      <c r="AM270" s="112"/>
      <c r="AN270" s="112"/>
      <c r="AO270" s="112"/>
      <c r="AP270" s="111"/>
      <c r="AQ270" s="112"/>
      <c r="AR270" s="112"/>
      <c r="AS270" s="112"/>
      <c r="AT270" s="112"/>
      <c r="AU270" s="111"/>
      <c r="AV270" s="112"/>
      <c r="AW270" s="112"/>
      <c r="AX270" s="112"/>
      <c r="AY270" s="112"/>
      <c r="AZ270" s="111"/>
      <c r="BA270" s="112"/>
      <c r="BB270" s="112"/>
      <c r="BC270" s="112"/>
      <c r="BD270" s="112"/>
      <c r="BE270" s="111"/>
      <c r="BF270" s="112"/>
      <c r="BG270" s="112"/>
      <c r="BH270" s="112"/>
      <c r="BI270" s="112"/>
      <c r="BJ270" s="111"/>
      <c r="BK270" s="112"/>
      <c r="BL270" s="112"/>
      <c r="BM270" s="112"/>
      <c r="BN270" s="112"/>
      <c r="BO270" s="113"/>
      <c r="BP270" s="112"/>
      <c r="BQ270" s="112"/>
      <c r="BR270" s="112"/>
      <c r="BS270" s="112"/>
      <c r="BT270" s="111"/>
      <c r="BU270" s="112"/>
      <c r="BV270" s="112"/>
      <c r="BW270" s="112"/>
      <c r="BX270" s="112"/>
      <c r="BY270" s="111"/>
      <c r="BZ270" s="111"/>
      <c r="CA270" s="111"/>
      <c r="CB270" s="111"/>
      <c r="CC270" s="83"/>
    </row>
    <row r="271" s="84" customFormat="true" ht="15" hidden="true" customHeight="true" outlineLevel="1" collapsed="false">
      <c r="A271" s="81" t="s">
        <v>363</v>
      </c>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2"/>
      <c r="BP271" s="81"/>
      <c r="BQ271" s="81"/>
      <c r="BR271" s="81"/>
      <c r="BS271" s="81"/>
      <c r="BT271" s="81"/>
      <c r="BU271" s="81"/>
      <c r="BV271" s="81"/>
      <c r="BW271" s="81"/>
      <c r="BX271" s="81"/>
      <c r="BY271" s="81"/>
      <c r="BZ271" s="81"/>
      <c r="CA271" s="81"/>
      <c r="CB271" s="81"/>
      <c r="CC271" s="83"/>
    </row>
    <row r="272" s="237" customFormat="true" ht="15" hidden="true" customHeight="true" outlineLevel="1" collapsed="false">
      <c r="A272" s="231" t="s">
        <v>364</v>
      </c>
      <c r="B272" s="232"/>
      <c r="C272" s="233"/>
      <c r="D272" s="233"/>
      <c r="E272" s="233"/>
      <c r="F272" s="233"/>
      <c r="G272" s="233"/>
      <c r="H272" s="234"/>
      <c r="I272" s="234"/>
      <c r="J272" s="234"/>
      <c r="K272" s="234"/>
      <c r="L272" s="370" t="n">
        <v>0.262</v>
      </c>
      <c r="M272" s="234"/>
      <c r="N272" s="234"/>
      <c r="O272" s="234"/>
      <c r="P272" s="234"/>
      <c r="Q272" s="370" t="n">
        <v>0.26</v>
      </c>
      <c r="R272" s="234"/>
      <c r="S272" s="234"/>
      <c r="T272" s="234"/>
      <c r="U272" s="234"/>
      <c r="V272" s="370" t="n">
        <v>0.242</v>
      </c>
      <c r="W272" s="234"/>
      <c r="X272" s="234"/>
      <c r="Y272" s="234"/>
      <c r="Z272" s="234"/>
      <c r="AA272" s="370" t="n">
        <v>0.274</v>
      </c>
      <c r="AB272" s="234"/>
      <c r="AC272" s="234"/>
      <c r="AD272" s="234"/>
      <c r="AE272" s="234"/>
      <c r="AF272" s="370" t="n">
        <v>0.226</v>
      </c>
      <c r="AG272" s="234"/>
      <c r="AH272" s="234"/>
      <c r="AI272" s="234"/>
      <c r="AJ272" s="234"/>
      <c r="AK272" s="370" t="n">
        <v>0.397</v>
      </c>
      <c r="AL272" s="234"/>
      <c r="AM272" s="234"/>
      <c r="AN272" s="234"/>
      <c r="AO272" s="234"/>
      <c r="AP272" s="370" t="n">
        <v>0.314</v>
      </c>
      <c r="AQ272" s="234"/>
      <c r="AR272" s="234"/>
      <c r="AS272" s="234"/>
      <c r="AT272" s="234"/>
      <c r="AU272" s="370" t="n">
        <v>0.37</v>
      </c>
      <c r="AV272" s="234"/>
      <c r="AW272" s="234"/>
      <c r="AX272" s="234"/>
      <c r="AY272" s="234"/>
      <c r="AZ272" s="370" t="n">
        <v>0.333</v>
      </c>
      <c r="BA272" s="234"/>
      <c r="BB272" s="234"/>
      <c r="BC272" s="234"/>
      <c r="BD272" s="234"/>
      <c r="BE272" s="370" t="n">
        <v>0.318</v>
      </c>
      <c r="BF272" s="234"/>
      <c r="BG272" s="234"/>
      <c r="BH272" s="234"/>
      <c r="BI272" s="234"/>
      <c r="BJ272" s="370" t="n">
        <v>0.166</v>
      </c>
      <c r="BK272" s="234"/>
      <c r="BL272" s="234"/>
      <c r="BM272" s="234"/>
      <c r="BN272" s="234"/>
      <c r="BO272" s="235"/>
      <c r="BP272" s="234"/>
      <c r="BQ272" s="234"/>
      <c r="BR272" s="234"/>
      <c r="BS272" s="234"/>
      <c r="BT272" s="233"/>
      <c r="BU272" s="234"/>
      <c r="BV272" s="234"/>
      <c r="BW272" s="234"/>
      <c r="BX272" s="234"/>
      <c r="BY272" s="233"/>
      <c r="BZ272" s="233"/>
      <c r="CA272" s="233"/>
      <c r="CB272" s="233"/>
      <c r="CC272" s="236"/>
    </row>
    <row r="273" s="237" customFormat="true" ht="15" hidden="true" customHeight="true" outlineLevel="1" collapsed="false">
      <c r="A273" s="231" t="s">
        <v>365</v>
      </c>
      <c r="B273" s="232"/>
      <c r="C273" s="233"/>
      <c r="D273" s="233"/>
      <c r="E273" s="233"/>
      <c r="F273" s="233"/>
      <c r="G273" s="233"/>
      <c r="H273" s="234"/>
      <c r="I273" s="234"/>
      <c r="J273" s="234"/>
      <c r="K273" s="234"/>
      <c r="L273" s="233"/>
      <c r="M273" s="234"/>
      <c r="N273" s="234"/>
      <c r="O273" s="234"/>
      <c r="P273" s="234"/>
      <c r="Q273" s="233"/>
      <c r="R273" s="234"/>
      <c r="S273" s="234"/>
      <c r="T273" s="234"/>
      <c r="U273" s="234"/>
      <c r="V273" s="233"/>
      <c r="W273" s="234"/>
      <c r="X273" s="234"/>
      <c r="Y273" s="234"/>
      <c r="Z273" s="234"/>
      <c r="AA273" s="233"/>
      <c r="AB273" s="234"/>
      <c r="AC273" s="234"/>
      <c r="AD273" s="234"/>
      <c r="AE273" s="234"/>
      <c r="AF273" s="233"/>
      <c r="AG273" s="234"/>
      <c r="AH273" s="234"/>
      <c r="AI273" s="234"/>
      <c r="AJ273" s="234"/>
      <c r="AK273" s="233"/>
      <c r="AL273" s="234"/>
      <c r="AM273" s="234"/>
      <c r="AN273" s="234"/>
      <c r="AO273" s="234"/>
      <c r="AP273" s="233"/>
      <c r="AQ273" s="234"/>
      <c r="AR273" s="234"/>
      <c r="AS273" s="234"/>
      <c r="AT273" s="234"/>
      <c r="AU273" s="233" t="n">
        <f aca="false">AU274-AU272</f>
        <v>0.293</v>
      </c>
      <c r="AV273" s="234"/>
      <c r="AW273" s="234"/>
      <c r="AX273" s="234"/>
      <c r="AY273" s="234"/>
      <c r="AZ273" s="233" t="n">
        <f aca="false">AZ274-AZ272</f>
        <v>0.225</v>
      </c>
      <c r="BA273" s="234"/>
      <c r="BB273" s="234"/>
      <c r="BC273" s="234"/>
      <c r="BD273" s="234"/>
      <c r="BE273" s="233" t="n">
        <f aca="false">BE274-BE272</f>
        <v>0.221</v>
      </c>
      <c r="BF273" s="234"/>
      <c r="BG273" s="234"/>
      <c r="BH273" s="234"/>
      <c r="BI273" s="234"/>
      <c r="BJ273" s="233" t="n">
        <f aca="false">BJ274-BJ272</f>
        <v>0.139</v>
      </c>
      <c r="BK273" s="234"/>
      <c r="BL273" s="234"/>
      <c r="BM273" s="234"/>
      <c r="BN273" s="234"/>
      <c r="BO273" s="235"/>
      <c r="BP273" s="234"/>
      <c r="BQ273" s="234"/>
      <c r="BR273" s="234"/>
      <c r="BS273" s="234"/>
      <c r="BT273" s="233"/>
      <c r="BU273" s="234"/>
      <c r="BV273" s="234"/>
      <c r="BW273" s="234"/>
      <c r="BX273" s="234"/>
      <c r="BY273" s="233"/>
      <c r="BZ273" s="233"/>
      <c r="CA273" s="233"/>
      <c r="CB273" s="233"/>
      <c r="CC273" s="236"/>
    </row>
    <row r="274" s="237" customFormat="true" ht="15" hidden="true" customHeight="true" outlineLevel="1" collapsed="false">
      <c r="A274" s="231" t="s">
        <v>366</v>
      </c>
      <c r="B274" s="232"/>
      <c r="C274" s="233"/>
      <c r="D274" s="233"/>
      <c r="E274" s="233"/>
      <c r="F274" s="233"/>
      <c r="G274" s="233"/>
      <c r="H274" s="234"/>
      <c r="I274" s="234"/>
      <c r="J274" s="234"/>
      <c r="K274" s="234"/>
      <c r="L274" s="233"/>
      <c r="M274" s="234"/>
      <c r="N274" s="234"/>
      <c r="O274" s="234"/>
      <c r="P274" s="234"/>
      <c r="Q274" s="233"/>
      <c r="R274" s="234"/>
      <c r="S274" s="234"/>
      <c r="T274" s="234"/>
      <c r="U274" s="234"/>
      <c r="V274" s="233"/>
      <c r="W274" s="234"/>
      <c r="X274" s="234"/>
      <c r="Y274" s="234"/>
      <c r="Z274" s="234"/>
      <c r="AA274" s="233"/>
      <c r="AB274" s="234"/>
      <c r="AC274" s="234"/>
      <c r="AD274" s="234"/>
      <c r="AE274" s="234"/>
      <c r="AF274" s="233"/>
      <c r="AG274" s="234"/>
      <c r="AH274" s="234"/>
      <c r="AI274" s="234"/>
      <c r="AJ274" s="234"/>
      <c r="AK274" s="233"/>
      <c r="AL274" s="234"/>
      <c r="AM274" s="234"/>
      <c r="AN274" s="234"/>
      <c r="AO274" s="234"/>
      <c r="AP274" s="233"/>
      <c r="AQ274" s="234"/>
      <c r="AR274" s="234"/>
      <c r="AS274" s="234"/>
      <c r="AT274" s="234"/>
      <c r="AU274" s="370" t="n">
        <v>0.663</v>
      </c>
      <c r="AV274" s="234"/>
      <c r="AW274" s="234"/>
      <c r="AX274" s="234"/>
      <c r="AY274" s="234"/>
      <c r="AZ274" s="370" t="n">
        <v>0.558</v>
      </c>
      <c r="BA274" s="234"/>
      <c r="BB274" s="234"/>
      <c r="BC274" s="234"/>
      <c r="BD274" s="234"/>
      <c r="BE274" s="370" t="n">
        <v>0.539</v>
      </c>
      <c r="BF274" s="234"/>
      <c r="BG274" s="234"/>
      <c r="BH274" s="234"/>
      <c r="BI274" s="234"/>
      <c r="BJ274" s="370" t="n">
        <v>0.305</v>
      </c>
      <c r="BK274" s="234"/>
      <c r="BL274" s="234"/>
      <c r="BM274" s="234"/>
      <c r="BN274" s="234"/>
      <c r="BO274" s="235"/>
      <c r="BP274" s="234"/>
      <c r="BQ274" s="234"/>
      <c r="BR274" s="234"/>
      <c r="BS274" s="234"/>
      <c r="BT274" s="233"/>
      <c r="BU274" s="234"/>
      <c r="BV274" s="234"/>
      <c r="BW274" s="234"/>
      <c r="BX274" s="234"/>
      <c r="BY274" s="233"/>
      <c r="BZ274" s="233"/>
      <c r="CA274" s="233"/>
      <c r="CB274" s="233"/>
      <c r="CC274" s="236"/>
    </row>
    <row r="275" s="84" customFormat="true" ht="15" hidden="false" customHeight="true" outlineLevel="0" collapsed="false">
      <c r="A275" s="140"/>
      <c r="B275" s="141"/>
      <c r="C275" s="111"/>
      <c r="D275" s="111"/>
      <c r="E275" s="111"/>
      <c r="F275" s="111"/>
      <c r="G275" s="111"/>
      <c r="H275" s="112"/>
      <c r="I275" s="112"/>
      <c r="J275" s="112"/>
      <c r="K275" s="112"/>
      <c r="L275" s="111"/>
      <c r="M275" s="112"/>
      <c r="N275" s="112"/>
      <c r="O275" s="112"/>
      <c r="P275" s="112"/>
      <c r="Q275" s="111"/>
      <c r="R275" s="112"/>
      <c r="S275" s="112"/>
      <c r="T275" s="112"/>
      <c r="U275" s="112"/>
      <c r="V275" s="111"/>
      <c r="W275" s="112"/>
      <c r="X275" s="112"/>
      <c r="Y275" s="112"/>
      <c r="Z275" s="112"/>
      <c r="AA275" s="111"/>
      <c r="AB275" s="112"/>
      <c r="AC275" s="112"/>
      <c r="AD275" s="112"/>
      <c r="AE275" s="112"/>
      <c r="AF275" s="111"/>
      <c r="AG275" s="112"/>
      <c r="AH275" s="112"/>
      <c r="AI275" s="112"/>
      <c r="AJ275" s="112"/>
      <c r="AK275" s="111"/>
      <c r="AL275" s="112"/>
      <c r="AM275" s="112"/>
      <c r="AN275" s="112"/>
      <c r="AO275" s="112"/>
      <c r="AP275" s="111"/>
      <c r="AQ275" s="112"/>
      <c r="AR275" s="112"/>
      <c r="AS275" s="112"/>
      <c r="AT275" s="112"/>
      <c r="AU275" s="111"/>
      <c r="AV275" s="112"/>
      <c r="AW275" s="112"/>
      <c r="AX275" s="112"/>
      <c r="AY275" s="112"/>
      <c r="AZ275" s="111"/>
      <c r="BA275" s="112"/>
      <c r="BB275" s="112"/>
      <c r="BC275" s="112"/>
      <c r="BD275" s="112"/>
      <c r="BE275" s="111"/>
      <c r="BF275" s="112"/>
      <c r="BG275" s="112"/>
      <c r="BH275" s="112"/>
      <c r="BI275" s="112"/>
      <c r="BJ275" s="111"/>
      <c r="BK275" s="112"/>
      <c r="BL275" s="112"/>
      <c r="BM275" s="112"/>
      <c r="BN275" s="112"/>
      <c r="BO275" s="113"/>
      <c r="BP275" s="112"/>
      <c r="BQ275" s="112"/>
      <c r="BR275" s="112"/>
      <c r="BS275" s="112"/>
      <c r="BT275" s="111"/>
      <c r="BU275" s="112"/>
      <c r="BV275" s="112"/>
      <c r="BW275" s="112"/>
      <c r="BX275" s="112"/>
      <c r="BY275" s="111"/>
      <c r="BZ275" s="111"/>
      <c r="CA275" s="111"/>
      <c r="CB275" s="111"/>
      <c r="CC275" s="83"/>
    </row>
    <row r="276" s="84" customFormat="true" ht="15" hidden="false" customHeight="true" outlineLevel="0" collapsed="false">
      <c r="A276" s="81" t="s">
        <v>367</v>
      </c>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2"/>
      <c r="BP276" s="81"/>
      <c r="BQ276" s="81"/>
      <c r="BR276" s="81"/>
      <c r="BS276" s="81"/>
      <c r="BT276" s="81"/>
      <c r="BU276" s="81"/>
      <c r="BV276" s="81"/>
      <c r="BW276" s="81"/>
      <c r="BX276" s="81"/>
      <c r="BY276" s="81"/>
      <c r="BZ276" s="81"/>
      <c r="CA276" s="81"/>
      <c r="CB276" s="81"/>
      <c r="CC276" s="83"/>
    </row>
    <row r="277" s="84" customFormat="true" ht="15" hidden="true" customHeight="true" outlineLevel="2" collapsed="false">
      <c r="A277" s="371" t="s">
        <v>368</v>
      </c>
      <c r="B277" s="232"/>
      <c r="C277" s="233" t="n">
        <f aca="false">(C332-C342)/C329</f>
        <v>0.624060579062356</v>
      </c>
      <c r="D277" s="233" t="n">
        <f aca="false">(D332-D342)/D329</f>
        <v>0.532687894110345</v>
      </c>
      <c r="E277" s="233" t="n">
        <f aca="false">(E332-E342)/E329</f>
        <v>0.537328117769577</v>
      </c>
      <c r="F277" s="233" t="n">
        <f aca="false">(F332-F342)/F329</f>
        <v>0.536753350642653</v>
      </c>
      <c r="G277" s="233" t="n">
        <f aca="false">(G332-G342)/G329</f>
        <v>0.541298863025864</v>
      </c>
      <c r="H277" s="234" t="n">
        <f aca="false">(H332-H342)/H329</f>
        <v>0.517221625492302</v>
      </c>
      <c r="I277" s="234" t="n">
        <f aca="false">(I332-I342)/I329</f>
        <v>0.501764419566805</v>
      </c>
      <c r="J277" s="234" t="n">
        <f aca="false">(J332-J342)/J329</f>
        <v>0.517092724247466</v>
      </c>
      <c r="K277" s="234" t="n">
        <f aca="false">(K332-K342)/K329</f>
        <v>0.518444444444445</v>
      </c>
      <c r="L277" s="233" t="n">
        <f aca="false">(L332-L342)/L329</f>
        <v>0.513168861377288</v>
      </c>
      <c r="M277" s="234" t="n">
        <f aca="false">(M332-M342)/M329</f>
        <v>0.488029577550154</v>
      </c>
      <c r="N277" s="234" t="n">
        <f aca="false">(N332-N342)/N329</f>
        <v>0.50027205126655</v>
      </c>
      <c r="O277" s="234" t="n">
        <f aca="false">(O332-O342)/O329</f>
        <v>0.495868835528015</v>
      </c>
      <c r="P277" s="234" t="n">
        <f aca="false">(P332-P342)/P329</f>
        <v>0.483834890531307</v>
      </c>
      <c r="Q277" s="233" t="n">
        <f aca="false">(Q332-Q342)/Q329</f>
        <v>0.492216067913875</v>
      </c>
      <c r="R277" s="234" t="n">
        <f aca="false">(R332-R342)/R329</f>
        <v>0.512376237623763</v>
      </c>
      <c r="S277" s="234" t="n">
        <f aca="false">(S332-S342)/S329</f>
        <v>0.525465624281444</v>
      </c>
      <c r="T277" s="234" t="n">
        <f aca="false">(T332-T342)/T329</f>
        <v>0.491843932547118</v>
      </c>
      <c r="U277" s="234" t="n">
        <f aca="false">(U332-U342)/U329</f>
        <v>0.473786305966237</v>
      </c>
      <c r="V277" s="233" t="n">
        <f aca="false">(V332-V342)/V329</f>
        <v>0.499411314534644</v>
      </c>
      <c r="W277" s="234" t="n">
        <f aca="false">(W332-W342)/W329</f>
        <v>0.467637373945256</v>
      </c>
      <c r="X277" s="234" t="n">
        <f aca="false">(X332-X342)/X329</f>
        <v>0.500142761968212</v>
      </c>
      <c r="Y277" s="234" t="n">
        <f aca="false">(Y332-Y342)/Y329</f>
        <v>0.529827572117349</v>
      </c>
      <c r="Z277" s="234" t="n">
        <f aca="false">(Z332-Z342)/Z329</f>
        <v>0.508514294641462</v>
      </c>
      <c r="AA277" s="233" t="n">
        <f aca="false">(AA332-AA342)/AA329</f>
        <v>0.503556910569106</v>
      </c>
      <c r="AB277" s="234" t="n">
        <f aca="false">(AB332-AB342)/AB329</f>
        <v>0.467789934354486</v>
      </c>
      <c r="AC277" s="234" t="n">
        <f aca="false">(AC332-AC342)/AC329</f>
        <v>0.530506495402131</v>
      </c>
      <c r="AD277" s="234" t="n">
        <f aca="false">(AD332-AD342)/AD329</f>
        <v>0.47916141349375</v>
      </c>
      <c r="AE277" s="234" t="n">
        <f aca="false">(AE332-AE342)/AE329</f>
        <v>0.521622911694511</v>
      </c>
      <c r="AF277" s="233" t="n">
        <f aca="false">(AF332-AF342)/AF329</f>
        <v>0.501836622807018</v>
      </c>
      <c r="AG277" s="234" t="n">
        <f aca="false">(AG332-AG342)/AG329</f>
        <v>0.536673993988605</v>
      </c>
      <c r="AH277" s="234" t="n">
        <f aca="false">(AH332-AH342)/AH329</f>
        <v>0.527395926632657</v>
      </c>
      <c r="AI277" s="234" t="n">
        <f aca="false">(AI332-AI342)/AI329</f>
        <v>0.524928846475808</v>
      </c>
      <c r="AJ277" s="234" t="n">
        <f aca="false">(AJ332-AJ342)/AJ329</f>
        <v>0.488888888888889</v>
      </c>
      <c r="AK277" s="233" t="n">
        <f aca="false">(AK332-AK342)/AK329</f>
        <v>0.515372250423012</v>
      </c>
      <c r="AL277" s="234" t="n">
        <f aca="false">(AL332-AL342)/AL329</f>
        <v>0.500245841186594</v>
      </c>
      <c r="AM277" s="234" t="n">
        <f aca="false">(AM332-AM342)/AM329</f>
        <v>0.480319932645759</v>
      </c>
      <c r="AN277" s="234" t="n">
        <f aca="false">(AN332-AN342)/AN329</f>
        <v>0.493835270338555</v>
      </c>
      <c r="AO277" s="234" t="n">
        <f aca="false">(AO332-AO342)/AO329</f>
        <v>0.450754548446241</v>
      </c>
      <c r="AP277" s="233" t="n">
        <f aca="false">(AP332-AP342)/AP329</f>
        <v>0.478627892835426</v>
      </c>
      <c r="AQ277" s="234" t="n">
        <f aca="false">(AQ332-AQ342)/AQ329</f>
        <v>0.433923783771397</v>
      </c>
      <c r="AR277" s="234" t="n">
        <f aca="false">(AR332-AR342)/AR329</f>
        <v>0.463384906223571</v>
      </c>
      <c r="AS277" s="234" t="n">
        <f aca="false">(AS332-AS342)/AS329</f>
        <v>0.460515520958541</v>
      </c>
      <c r="AT277" s="234" t="n">
        <f aca="false">(AT332-AT342)/AT329</f>
        <v>0.433408215661104</v>
      </c>
      <c r="AU277" s="233" t="n">
        <f aca="false">(AU332-AU342)/AU329</f>
        <v>0.447638493364139</v>
      </c>
      <c r="AV277" s="234" t="n">
        <f aca="false">(AV332-AV342)/AV329</f>
        <v>0.473177908555908</v>
      </c>
      <c r="AW277" s="234" t="n">
        <f aca="false">(AW332-AW342)/AW329</f>
        <v>0.485130282662738</v>
      </c>
      <c r="AX277" s="234" t="n">
        <f aca="false">(AX332-AX342)/AX329</f>
        <v>0.458041292421647</v>
      </c>
      <c r="AY277" s="234" t="n">
        <f aca="false">(AY332-AY342)/AY329</f>
        <v>0.456610991882056</v>
      </c>
      <c r="AZ277" s="233" t="n">
        <f aca="false">(AZ332-AZ342)/AZ329</f>
        <v>0.467081337905107</v>
      </c>
      <c r="BA277" s="234" t="n">
        <f aca="false">(BA332-BA342)/BA329</f>
        <v>0.468812071981263</v>
      </c>
      <c r="BB277" s="234" t="n">
        <f aca="false">(BB332-BB342)/BB329</f>
        <v>0.460295843414514</v>
      </c>
      <c r="BC277" s="234" t="n">
        <f aca="false">(BC332-BC342)/BC329</f>
        <v>0.454847894500225</v>
      </c>
      <c r="BD277" s="234" t="n">
        <f aca="false">(BD332-BD342)/BD329</f>
        <v>0.457040210031781</v>
      </c>
      <c r="BE277" s="233" t="n">
        <f aca="false">(BE332-BE342)/BE329</f>
        <v>0.460206469873179</v>
      </c>
      <c r="BF277" s="234" t="n">
        <f aca="false">(BF332-BF342)/BF329</f>
        <v>0.449716446124764</v>
      </c>
      <c r="BG277" s="234" t="n">
        <f aca="false">(BG332-BG342)/BG329</f>
        <v>0.449013263279298</v>
      </c>
      <c r="BH277" s="234" t="n">
        <f aca="false">(BH332-BH342)/BH329</f>
        <v>0.460434159602534</v>
      </c>
      <c r="BI277" s="234" t="n">
        <f aca="false">(BI332-BI342)/BI329</f>
        <v>0.456881288595241</v>
      </c>
      <c r="BJ277" s="233" t="n">
        <f aca="false">(BJ332-BJ342)/BJ329</f>
        <v>0.454741020914344</v>
      </c>
      <c r="BK277" s="234" t="n">
        <f aca="false">(BK332-BK342)/BK329</f>
        <v>0.428922043531615</v>
      </c>
      <c r="BL277" s="234" t="n">
        <f aca="false">(BL332-BL342)/BL329</f>
        <v>0.429982968654524</v>
      </c>
      <c r="BM277" s="234" t="n">
        <f aca="false">(BM332-BM342)/BM329</f>
        <v>0.447192655667908</v>
      </c>
      <c r="BN277" s="234" t="n">
        <f aca="false">(BN332-BN342)/BN329</f>
        <v>0.452197446002819</v>
      </c>
      <c r="BO277" s="235" t="n">
        <f aca="false">(BO332-BO342)/BO329</f>
        <v>0.440299626843969</v>
      </c>
      <c r="BP277" s="234" t="n">
        <f aca="false">(BP332-BP342)/BP329</f>
        <v>0.445866953797315</v>
      </c>
      <c r="BQ277" s="234" t="n">
        <f aca="false">(BQ332-BQ342)/BQ329</f>
        <v>0.428236564342596</v>
      </c>
      <c r="BR277" s="234" t="n">
        <f aca="false">(BR332-BR342)/BR329</f>
        <v>0.450919494334121</v>
      </c>
      <c r="BS277" s="234" t="n">
        <f aca="false">(BS332-BS342)/BS329</f>
        <v>0.448346147948897</v>
      </c>
      <c r="BT277" s="233" t="n">
        <f aca="false">(BT332-BT342)/BT329</f>
        <v>0.443594639890295</v>
      </c>
      <c r="BU277" s="234" t="n">
        <f aca="false">(BU332-BU342)/BU329</f>
        <v>0.447516214454772</v>
      </c>
      <c r="BV277" s="234" t="n">
        <f aca="false">(BV332-BV342)/BV329</f>
        <v>0.406251650902647</v>
      </c>
      <c r="BW277" s="234" t="n">
        <f aca="false">(BW332-BW342)/BW329</f>
        <v>0.429814664438943</v>
      </c>
      <c r="BX277" s="234" t="n">
        <f aca="false">(BX332-BX342)/BX329</f>
        <v>0.449905600377731</v>
      </c>
      <c r="BY277" s="233" t="n">
        <f aca="false">(BY332-BY342)/BY329</f>
        <v>0.433954983842108</v>
      </c>
      <c r="BZ277" s="233" t="n">
        <f aca="false">(BZ332-BZ342)/BZ329</f>
        <v>0.437722193242827</v>
      </c>
      <c r="CA277" s="233" t="n">
        <f aca="false">(CA332-CA342)/CA329</f>
        <v>0.438014223203069</v>
      </c>
      <c r="CB277" s="233" t="n">
        <f aca="false">(CB332-CB342)/CB329</f>
        <v>0.43797944841757</v>
      </c>
      <c r="CC277" s="83"/>
    </row>
    <row r="278" s="375" customFormat="true" ht="15" hidden="true" customHeight="true" outlineLevel="2" collapsed="false">
      <c r="A278" s="372" t="s">
        <v>369</v>
      </c>
      <c r="B278" s="326"/>
      <c r="C278" s="327" t="n">
        <f aca="false">1-C277</f>
        <v>0.375939420937645</v>
      </c>
      <c r="D278" s="327" t="n">
        <f aca="false">1-D277</f>
        <v>0.467312105889655</v>
      </c>
      <c r="E278" s="327" t="n">
        <f aca="false">1-E277</f>
        <v>0.462671882230423</v>
      </c>
      <c r="F278" s="327" t="n">
        <f aca="false">1-F277</f>
        <v>0.463246649357347</v>
      </c>
      <c r="G278" s="327" t="n">
        <f aca="false">1-G277</f>
        <v>0.458701136974137</v>
      </c>
      <c r="H278" s="331" t="n">
        <f aca="false">1-H277</f>
        <v>0.482778374507698</v>
      </c>
      <c r="I278" s="331" t="n">
        <f aca="false">1-I277</f>
        <v>0.498235580433195</v>
      </c>
      <c r="J278" s="331" t="n">
        <f aca="false">1-J277</f>
        <v>0.482907275752534</v>
      </c>
      <c r="K278" s="331" t="n">
        <f aca="false">1-K277</f>
        <v>0.481555555555556</v>
      </c>
      <c r="L278" s="327" t="n">
        <f aca="false">1-L277</f>
        <v>0.486831138622712</v>
      </c>
      <c r="M278" s="331" t="n">
        <f aca="false">1-M277</f>
        <v>0.511970422449846</v>
      </c>
      <c r="N278" s="331" t="n">
        <f aca="false">1-N277</f>
        <v>0.49972794873345</v>
      </c>
      <c r="O278" s="331" t="n">
        <f aca="false">1-O277</f>
        <v>0.504131164471986</v>
      </c>
      <c r="P278" s="331" t="n">
        <f aca="false">1-P277</f>
        <v>0.516165109468693</v>
      </c>
      <c r="Q278" s="327" t="n">
        <f aca="false">1-Q277</f>
        <v>0.507783932086125</v>
      </c>
      <c r="R278" s="331" t="n">
        <f aca="false">1-R277</f>
        <v>0.487623762376238</v>
      </c>
      <c r="S278" s="331" t="n">
        <f aca="false">1-S277</f>
        <v>0.474534375718556</v>
      </c>
      <c r="T278" s="331" t="n">
        <f aca="false">1-T277</f>
        <v>0.508156067452882</v>
      </c>
      <c r="U278" s="331" t="n">
        <f aca="false">1-U277</f>
        <v>0.526213694033763</v>
      </c>
      <c r="V278" s="327" t="n">
        <f aca="false">1-V277</f>
        <v>0.500588685465356</v>
      </c>
      <c r="W278" s="331" t="n">
        <f aca="false">1-W277</f>
        <v>0.532362626054744</v>
      </c>
      <c r="X278" s="331" t="n">
        <f aca="false">1-X277</f>
        <v>0.499857238031788</v>
      </c>
      <c r="Y278" s="331" t="n">
        <f aca="false">1-Y277</f>
        <v>0.470172427882651</v>
      </c>
      <c r="Z278" s="331" t="n">
        <f aca="false">1-Z277</f>
        <v>0.491485705358538</v>
      </c>
      <c r="AA278" s="327" t="n">
        <f aca="false">1-AA277</f>
        <v>0.496443089430894</v>
      </c>
      <c r="AB278" s="331" t="n">
        <f aca="false">1-AB277</f>
        <v>0.532210065645514</v>
      </c>
      <c r="AC278" s="331" t="n">
        <f aca="false">1-AC277</f>
        <v>0.469493504597869</v>
      </c>
      <c r="AD278" s="331" t="n">
        <f aca="false">1-AD277</f>
        <v>0.52083858650625</v>
      </c>
      <c r="AE278" s="331" t="n">
        <f aca="false">1-AE277</f>
        <v>0.47837708830549</v>
      </c>
      <c r="AF278" s="327" t="n">
        <f aca="false">1-AF277</f>
        <v>0.498163377192983</v>
      </c>
      <c r="AG278" s="331" t="n">
        <f aca="false">1-AG277</f>
        <v>0.463326006011395</v>
      </c>
      <c r="AH278" s="331" t="n">
        <f aca="false">1-AH277</f>
        <v>0.472604073367343</v>
      </c>
      <c r="AI278" s="331" t="n">
        <f aca="false">1-AI277</f>
        <v>0.475071153524192</v>
      </c>
      <c r="AJ278" s="331" t="n">
        <f aca="false">1-AJ277</f>
        <v>0.511111111111111</v>
      </c>
      <c r="AK278" s="327" t="n">
        <f aca="false">1-AK277</f>
        <v>0.484627749576988</v>
      </c>
      <c r="AL278" s="331" t="n">
        <f aca="false">1-AL277</f>
        <v>0.499754158813406</v>
      </c>
      <c r="AM278" s="331" t="n">
        <f aca="false">1-AM277</f>
        <v>0.519680067354241</v>
      </c>
      <c r="AN278" s="331" t="n">
        <f aca="false">1-AN277</f>
        <v>0.506164729661445</v>
      </c>
      <c r="AO278" s="331" t="n">
        <f aca="false">1-AO277</f>
        <v>0.549245451553759</v>
      </c>
      <c r="AP278" s="327" t="n">
        <f aca="false">1-AP277</f>
        <v>0.521372107164574</v>
      </c>
      <c r="AQ278" s="331" t="n">
        <f aca="false">1-AQ277</f>
        <v>0.566076216228603</v>
      </c>
      <c r="AR278" s="331" t="n">
        <f aca="false">1-AR277</f>
        <v>0.536615093776429</v>
      </c>
      <c r="AS278" s="331" t="n">
        <f aca="false">1-AS277</f>
        <v>0.539484479041459</v>
      </c>
      <c r="AT278" s="331" t="n">
        <f aca="false">1-AT277</f>
        <v>0.566591784338896</v>
      </c>
      <c r="AU278" s="327" t="n">
        <f aca="false">1-AU277</f>
        <v>0.552361506635861</v>
      </c>
      <c r="AV278" s="331" t="n">
        <f aca="false">1-AV277</f>
        <v>0.526822091444092</v>
      </c>
      <c r="AW278" s="331" t="n">
        <f aca="false">1-AW277</f>
        <v>0.514869717337262</v>
      </c>
      <c r="AX278" s="331" t="n">
        <f aca="false">1-AX277</f>
        <v>0.541958707578353</v>
      </c>
      <c r="AY278" s="331" t="n">
        <f aca="false">1-AY277</f>
        <v>0.543389008117944</v>
      </c>
      <c r="AZ278" s="327" t="n">
        <f aca="false">1-AZ277</f>
        <v>0.532918662094893</v>
      </c>
      <c r="BA278" s="331" t="n">
        <f aca="false">1-BA277</f>
        <v>0.531187928018737</v>
      </c>
      <c r="BB278" s="331" t="n">
        <f aca="false">1-BB277</f>
        <v>0.539704156585486</v>
      </c>
      <c r="BC278" s="331" t="n">
        <f aca="false">1-BC277</f>
        <v>0.545152105499775</v>
      </c>
      <c r="BD278" s="331" t="n">
        <f aca="false">1-BD277</f>
        <v>0.542959789968219</v>
      </c>
      <c r="BE278" s="327" t="n">
        <f aca="false">1-BE277</f>
        <v>0.539793530126821</v>
      </c>
      <c r="BF278" s="331" t="n">
        <f aca="false">1-BF277</f>
        <v>0.550283553875236</v>
      </c>
      <c r="BG278" s="331" t="n">
        <f aca="false">1-BG277</f>
        <v>0.550986736720702</v>
      </c>
      <c r="BH278" s="331" t="n">
        <f aca="false">1-BH277</f>
        <v>0.539565840397466</v>
      </c>
      <c r="BI278" s="331" t="n">
        <f aca="false">1-BI277</f>
        <v>0.543118711404759</v>
      </c>
      <c r="BJ278" s="327" t="n">
        <f aca="false">1-BJ277</f>
        <v>0.545258979085657</v>
      </c>
      <c r="BK278" s="331" t="n">
        <f aca="false">1-BK277</f>
        <v>0.571077956468385</v>
      </c>
      <c r="BL278" s="331" t="n">
        <f aca="false">1-BL277</f>
        <v>0.570017031345476</v>
      </c>
      <c r="BM278" s="331" t="n">
        <f aca="false">1-BM277</f>
        <v>0.552807344332092</v>
      </c>
      <c r="BN278" s="331" t="n">
        <f aca="false">1-BN277</f>
        <v>0.547802553997181</v>
      </c>
      <c r="BO278" s="373" t="n">
        <f aca="false">1-BO277</f>
        <v>0.559700373156031</v>
      </c>
      <c r="BP278" s="331" t="n">
        <f aca="false">1-BP277</f>
        <v>0.554133046202685</v>
      </c>
      <c r="BQ278" s="331" t="n">
        <f aca="false">1-BQ277</f>
        <v>0.571763435657404</v>
      </c>
      <c r="BR278" s="331" t="n">
        <f aca="false">1-BR277</f>
        <v>0.549080505665879</v>
      </c>
      <c r="BS278" s="331" t="n">
        <f aca="false">1-BS277</f>
        <v>0.551653852051103</v>
      </c>
      <c r="BT278" s="327" t="n">
        <f aca="false">1-BT277</f>
        <v>0.556405360109705</v>
      </c>
      <c r="BU278" s="331" t="n">
        <f aca="false">1-BU277</f>
        <v>0.552483785545228</v>
      </c>
      <c r="BV278" s="331" t="n">
        <f aca="false">1-BV277</f>
        <v>0.593748349097353</v>
      </c>
      <c r="BW278" s="331" t="n">
        <f aca="false">1-BW277</f>
        <v>0.570185335561057</v>
      </c>
      <c r="BX278" s="331" t="n">
        <f aca="false">1-BX277</f>
        <v>0.550094399622269</v>
      </c>
      <c r="BY278" s="327" t="n">
        <f aca="false">1-BY277</f>
        <v>0.566045016157892</v>
      </c>
      <c r="BZ278" s="327" t="n">
        <f aca="false">1-BZ277</f>
        <v>0.562277806757173</v>
      </c>
      <c r="CA278" s="327" t="n">
        <f aca="false">1-CA277</f>
        <v>0.561985776796931</v>
      </c>
      <c r="CB278" s="327" t="n">
        <f aca="false">1-CB277</f>
        <v>0.56202055158243</v>
      </c>
      <c r="CC278" s="374"/>
    </row>
    <row r="279" s="375" customFormat="true" ht="15" hidden="true" customHeight="true" outlineLevel="2" collapsed="false">
      <c r="A279" s="343"/>
      <c r="B279" s="232"/>
      <c r="C279" s="233"/>
      <c r="D279" s="233"/>
      <c r="E279" s="233"/>
      <c r="F279" s="233"/>
      <c r="G279" s="233"/>
      <c r="H279" s="234"/>
      <c r="I279" s="234"/>
      <c r="J279" s="234"/>
      <c r="K279" s="234"/>
      <c r="L279" s="233"/>
      <c r="M279" s="234"/>
      <c r="N279" s="234"/>
      <c r="O279" s="234"/>
      <c r="P279" s="234"/>
      <c r="Q279" s="233"/>
      <c r="R279" s="234"/>
      <c r="S279" s="234"/>
      <c r="T279" s="234"/>
      <c r="U279" s="234"/>
      <c r="V279" s="233"/>
      <c r="W279" s="234"/>
      <c r="X279" s="234"/>
      <c r="Y279" s="234"/>
      <c r="Z279" s="234"/>
      <c r="AA279" s="233"/>
      <c r="AB279" s="234"/>
      <c r="AC279" s="234"/>
      <c r="AD279" s="234"/>
      <c r="AE279" s="234"/>
      <c r="AF279" s="233"/>
      <c r="AG279" s="234"/>
      <c r="AH279" s="234"/>
      <c r="AI279" s="234"/>
      <c r="AJ279" s="234"/>
      <c r="AK279" s="233"/>
      <c r="AL279" s="234"/>
      <c r="AM279" s="234"/>
      <c r="AN279" s="234"/>
      <c r="AO279" s="234"/>
      <c r="AP279" s="233"/>
      <c r="AQ279" s="234"/>
      <c r="AR279" s="234"/>
      <c r="AS279" s="234"/>
      <c r="AT279" s="234"/>
      <c r="AU279" s="233"/>
      <c r="AV279" s="234"/>
      <c r="AW279" s="234"/>
      <c r="AX279" s="234"/>
      <c r="AY279" s="234"/>
      <c r="AZ279" s="233"/>
      <c r="BA279" s="234"/>
      <c r="BB279" s="234"/>
      <c r="BC279" s="234"/>
      <c r="BD279" s="234"/>
      <c r="BE279" s="233"/>
      <c r="BF279" s="234"/>
      <c r="BG279" s="234"/>
      <c r="BH279" s="234"/>
      <c r="BI279" s="234"/>
      <c r="BJ279" s="233"/>
      <c r="BK279" s="234"/>
      <c r="BL279" s="234"/>
      <c r="BM279" s="234"/>
      <c r="BN279" s="234"/>
      <c r="BO279" s="235"/>
      <c r="BP279" s="234"/>
      <c r="BQ279" s="234"/>
      <c r="BR279" s="234"/>
      <c r="BS279" s="234"/>
      <c r="BT279" s="233"/>
      <c r="BU279" s="234"/>
      <c r="BV279" s="234"/>
      <c r="BW279" s="234"/>
      <c r="BX279" s="234"/>
      <c r="BY279" s="233"/>
      <c r="BZ279" s="233"/>
      <c r="CA279" s="233"/>
      <c r="CB279" s="233"/>
      <c r="CC279" s="374"/>
    </row>
    <row r="280" s="375" customFormat="true" ht="15" hidden="true" customHeight="true" outlineLevel="1" collapsed="true">
      <c r="A280" s="376" t="s">
        <v>370</v>
      </c>
      <c r="B280" s="377"/>
      <c r="C280" s="378" t="n">
        <f aca="false">C332/C329</f>
        <v>0.712798304327586</v>
      </c>
      <c r="D280" s="378" t="n">
        <f aca="false">D332/D329</f>
        <v>0.566282854821872</v>
      </c>
      <c r="E280" s="378" t="n">
        <f aca="false">E332/E329</f>
        <v>0.566559046263207</v>
      </c>
      <c r="F280" s="378" t="n">
        <f aca="false">F332/F329</f>
        <v>0.576194929573893</v>
      </c>
      <c r="G280" s="378" t="n">
        <f aca="false">G332/G329</f>
        <v>0.58491388333156</v>
      </c>
      <c r="H280" s="379" t="n">
        <f aca="false">H332/H329</f>
        <v>0.563551736484067</v>
      </c>
      <c r="I280" s="379" t="n">
        <f aca="false">I332/I329</f>
        <v>0.542528595765393</v>
      </c>
      <c r="J280" s="379" t="n">
        <f aca="false">J332/J329</f>
        <v>0.562774164271668</v>
      </c>
      <c r="K280" s="379" t="n">
        <f aca="false">K332/K329</f>
        <v>0.560307898259706</v>
      </c>
      <c r="L280" s="378" t="n">
        <f aca="false">L332/L329</f>
        <v>0.556651094201999</v>
      </c>
      <c r="M280" s="379" t="n">
        <f aca="false">M332/M329</f>
        <v>0.528092611673435</v>
      </c>
      <c r="N280" s="379" t="n">
        <f aca="false">N332/N329</f>
        <v>0.544283900610604</v>
      </c>
      <c r="O280" s="379" t="n">
        <f aca="false">O332/O329</f>
        <v>0.545894655305965</v>
      </c>
      <c r="P280" s="379" t="n">
        <f aca="false">P332/P329</f>
        <v>0.539952586807977</v>
      </c>
      <c r="Q280" s="378" t="n">
        <f aca="false">Q332/Q329</f>
        <v>0.539435137875505</v>
      </c>
      <c r="R280" s="379" t="n">
        <f aca="false">R332/R329</f>
        <v>0.573882388238824</v>
      </c>
      <c r="S280" s="379" t="n">
        <f aca="false">S332/S329</f>
        <v>0.573810071280754</v>
      </c>
      <c r="T280" s="379" t="n">
        <f aca="false">T332/T329</f>
        <v>0.540174143061832</v>
      </c>
      <c r="U280" s="379" t="n">
        <f aca="false">U332/U329</f>
        <v>0.527838943063857</v>
      </c>
      <c r="V280" s="378" t="n">
        <f aca="false">V332/V329</f>
        <v>0.551936775181021</v>
      </c>
      <c r="W280" s="379" t="n">
        <f aca="false">W332/W329</f>
        <v>0.524284832270014</v>
      </c>
      <c r="X280" s="379" t="n">
        <f aca="false">X332/X329</f>
        <v>0.549585990292186</v>
      </c>
      <c r="Y280" s="379" t="n">
        <f aca="false">Y332/Y329</f>
        <v>0.571177576203318</v>
      </c>
      <c r="Z280" s="379" t="n">
        <f aca="false">Z332/Z329</f>
        <v>0.548468989220434</v>
      </c>
      <c r="AA280" s="378" t="n">
        <f aca="false">AA332/AA329</f>
        <v>0.549675238600212</v>
      </c>
      <c r="AB280" s="379" t="n">
        <f aca="false">AB332/AB329</f>
        <v>0.512691466083151</v>
      </c>
      <c r="AC280" s="379" t="n">
        <f aca="false">AC332/AC329</f>
        <v>0.566888045540797</v>
      </c>
      <c r="AD280" s="379" t="n">
        <f aca="false">AD332/AD329</f>
        <v>0.518785346349195</v>
      </c>
      <c r="AE280" s="379" t="n">
        <f aca="false">AE332/AE329</f>
        <v>0.556754176610978</v>
      </c>
      <c r="AF280" s="378" t="n">
        <f aca="false">AF332/AF329</f>
        <v>0.540460526315789</v>
      </c>
      <c r="AG280" s="379" t="n">
        <f aca="false">AG332/AG329</f>
        <v>0.583688484141582</v>
      </c>
      <c r="AH280" s="379" t="n">
        <f aca="false">AH332/AH329</f>
        <v>0.569609408466062</v>
      </c>
      <c r="AI280" s="379" t="n">
        <f aca="false">AI332/AI329</f>
        <v>0.562564875272058</v>
      </c>
      <c r="AJ280" s="379" t="n">
        <f aca="false">AJ332/AJ329</f>
        <v>0.519336058466493</v>
      </c>
      <c r="AK280" s="378" t="n">
        <f aca="false">AK332/AK329</f>
        <v>0.55331641285956</v>
      </c>
      <c r="AL280" s="379" t="n">
        <f aca="false">AL332/AL329</f>
        <v>0.548717528476604</v>
      </c>
      <c r="AM280" s="379" t="n">
        <f aca="false">AM332/AM329</f>
        <v>0.517936073608564</v>
      </c>
      <c r="AN280" s="379" t="n">
        <f aca="false">AN332/AN329</f>
        <v>0.524658918645781</v>
      </c>
      <c r="AO280" s="379" t="n">
        <f aca="false">AO332/AO329</f>
        <v>0.480231300832119</v>
      </c>
      <c r="AP280" s="378" t="n">
        <f aca="false">AP332/AP329</f>
        <v>0.513738956254248</v>
      </c>
      <c r="AQ280" s="379" t="n">
        <f aca="false">AQ332/AQ329</f>
        <v>0.460940901487202</v>
      </c>
      <c r="AR280" s="379" t="n">
        <f aca="false">AR332/AR329</f>
        <v>0.491418337396149</v>
      </c>
      <c r="AS280" s="379" t="n">
        <f aca="false">AS332/AS329</f>
        <v>0.482685593268846</v>
      </c>
      <c r="AT280" s="379" t="n">
        <f aca="false">AT332/AT329</f>
        <v>0.458319961489089</v>
      </c>
      <c r="AU280" s="378" t="n">
        <f aca="false">AU332/AU329</f>
        <v>0.472946107140938</v>
      </c>
      <c r="AV280" s="379" t="n">
        <f aca="false">AV332/AV329</f>
        <v>0.510242191036668</v>
      </c>
      <c r="AW280" s="379" t="n">
        <f aca="false">AW332/AW329</f>
        <v>0.509345364146948</v>
      </c>
      <c r="AX280" s="379" t="n">
        <f aca="false">AX332/AX329</f>
        <v>0.481906443071492</v>
      </c>
      <c r="AY280" s="379" t="n">
        <f aca="false">AY332/AY329</f>
        <v>0.485101552051258</v>
      </c>
      <c r="AZ280" s="378" t="n">
        <f aca="false">AZ332/AZ329</f>
        <v>0.494644223412395</v>
      </c>
      <c r="BA280" s="379" t="n">
        <f aca="false">BA332/BA329</f>
        <v>0.494055912958406</v>
      </c>
      <c r="BB280" s="379" t="n">
        <f aca="false">BB332/BB329</f>
        <v>0.486547962273445</v>
      </c>
      <c r="BC280" s="379" t="n">
        <f aca="false">BC332/BC329</f>
        <v>0.481252809830661</v>
      </c>
      <c r="BD280" s="379" t="n">
        <f aca="false">BD332/BD329</f>
        <v>0.48634793422689</v>
      </c>
      <c r="BE280" s="378" t="n">
        <f aca="false">BE332/BE329</f>
        <v>0.487051182030952</v>
      </c>
      <c r="BF280" s="379" t="n">
        <f aca="false">BF332/BF329</f>
        <v>0.490245746691872</v>
      </c>
      <c r="BG280" s="379" t="n">
        <f aca="false">BG332/BG329</f>
        <v>0.485455244441597</v>
      </c>
      <c r="BH280" s="379" t="n">
        <f aca="false">BH332/BH329</f>
        <v>0.491998446560336</v>
      </c>
      <c r="BI280" s="379" t="n">
        <f aca="false">BI332/BI329</f>
        <v>0.482899339292654</v>
      </c>
      <c r="BJ280" s="378" t="n">
        <f aca="false">BJ332/BJ329</f>
        <v>0.487242993464931</v>
      </c>
      <c r="BK280" s="379" t="n">
        <f aca="false">BK332/BK329</f>
        <v>0.460091713492217</v>
      </c>
      <c r="BL280" s="379" t="n">
        <f aca="false">BL332/BL329</f>
        <v>0.463122586684348</v>
      </c>
      <c r="BM280" s="379" t="n">
        <f aca="false">BM332/BM329</f>
        <v>0.483728046833422</v>
      </c>
      <c r="BN280" s="379" t="n">
        <f aca="false">BN332/BN329</f>
        <v>0.478447433140223</v>
      </c>
      <c r="BO280" s="380" t="n">
        <f aca="false">BO332/BO329</f>
        <v>0.471704120022163</v>
      </c>
      <c r="BP280" s="379" t="n">
        <f aca="false">BP332/BP329</f>
        <v>0.480091713492217</v>
      </c>
      <c r="BQ280" s="379" t="n">
        <f aca="false">BQ332/BQ329</f>
        <v>0.461122586684348</v>
      </c>
      <c r="BR280" s="379" t="n">
        <f aca="false">BR332/BR329</f>
        <v>0.481728046833422</v>
      </c>
      <c r="BS280" s="379" t="n">
        <f aca="false">BS332/BS329</f>
        <v>0.476447433140223</v>
      </c>
      <c r="BT280" s="378" t="n">
        <f aca="false">BT332/BT329</f>
        <v>0.4749574754338</v>
      </c>
      <c r="BU280" s="379" t="n">
        <f aca="false">BU332/BU329</f>
        <v>0.478091713492217</v>
      </c>
      <c r="BV280" s="379" t="n">
        <f aca="false">BV332/BV329</f>
        <v>0.436122586684348</v>
      </c>
      <c r="BW280" s="379" t="n">
        <f aca="false">BW332/BW329</f>
        <v>0.456728046833422</v>
      </c>
      <c r="BX280" s="379" t="n">
        <f aca="false">BX332/BX329</f>
        <v>0.474447433140223</v>
      </c>
      <c r="BY280" s="378" t="n">
        <f aca="false">BY332/BY329</f>
        <v>0.461745793947806</v>
      </c>
      <c r="BZ280" s="378" t="n">
        <f aca="false">BZ332/BZ329</f>
        <v>0.459745793947806</v>
      </c>
      <c r="CA280" s="378" t="n">
        <f aca="false">CA332/CA329</f>
        <v>0.457745793947806</v>
      </c>
      <c r="CB280" s="378" t="n">
        <f aca="false">CB332/CB329</f>
        <v>0.455745793947806</v>
      </c>
      <c r="CC280" s="374"/>
    </row>
    <row r="281" s="375" customFormat="true" ht="15" hidden="true" customHeight="true" outlineLevel="1" collapsed="false">
      <c r="A281" s="381" t="s">
        <v>199</v>
      </c>
      <c r="B281" s="141"/>
      <c r="C281" s="142" t="n">
        <f aca="false">1-C280</f>
        <v>0.287201695672414</v>
      </c>
      <c r="D281" s="142" t="n">
        <f aca="false">1-D280</f>
        <v>0.433717145178128</v>
      </c>
      <c r="E281" s="142" t="n">
        <f aca="false">1-E280</f>
        <v>0.433440953736793</v>
      </c>
      <c r="F281" s="142" t="n">
        <f aca="false">1-F280</f>
        <v>0.423805070426107</v>
      </c>
      <c r="G281" s="142" t="n">
        <f aca="false">1-G280</f>
        <v>0.41508611666844</v>
      </c>
      <c r="H281" s="143" t="n">
        <f aca="false">1-H280</f>
        <v>0.436448263515933</v>
      </c>
      <c r="I281" s="143" t="n">
        <f aca="false">1-I280</f>
        <v>0.457471404234607</v>
      </c>
      <c r="J281" s="143" t="n">
        <f aca="false">1-J280</f>
        <v>0.437225835728332</v>
      </c>
      <c r="K281" s="143" t="n">
        <f aca="false">1-K280</f>
        <v>0.439692101740295</v>
      </c>
      <c r="L281" s="142" t="n">
        <f aca="false">1-L280</f>
        <v>0.443348905798001</v>
      </c>
      <c r="M281" s="143" t="n">
        <f aca="false">1-M280</f>
        <v>0.471907388326565</v>
      </c>
      <c r="N281" s="143" t="n">
        <f aca="false">1-N280</f>
        <v>0.455716099389396</v>
      </c>
      <c r="O281" s="143" t="n">
        <f aca="false">1-O280</f>
        <v>0.454105344694036</v>
      </c>
      <c r="P281" s="143" t="n">
        <f aca="false">1-P280</f>
        <v>0.460047413192023</v>
      </c>
      <c r="Q281" s="142" t="n">
        <f aca="false">1-Q280</f>
        <v>0.460564862124495</v>
      </c>
      <c r="R281" s="143" t="n">
        <f aca="false">1-R280</f>
        <v>0.426117611761176</v>
      </c>
      <c r="S281" s="143" t="n">
        <f aca="false">1-S280</f>
        <v>0.426189928719246</v>
      </c>
      <c r="T281" s="143" t="n">
        <f aca="false">1-T280</f>
        <v>0.459825856938168</v>
      </c>
      <c r="U281" s="143" t="n">
        <f aca="false">1-U280</f>
        <v>0.472161056936143</v>
      </c>
      <c r="V281" s="142" t="n">
        <f aca="false">1-V280</f>
        <v>0.448063224818979</v>
      </c>
      <c r="W281" s="143" t="n">
        <f aca="false">1-W280</f>
        <v>0.475715167729986</v>
      </c>
      <c r="X281" s="143" t="n">
        <f aca="false">1-X280</f>
        <v>0.450414009707814</v>
      </c>
      <c r="Y281" s="143" t="n">
        <f aca="false">1-Y280</f>
        <v>0.428822423796682</v>
      </c>
      <c r="Z281" s="143" t="n">
        <f aca="false">1-Z280</f>
        <v>0.451531010779566</v>
      </c>
      <c r="AA281" s="142" t="n">
        <f aca="false">1-AA280</f>
        <v>0.450324761399788</v>
      </c>
      <c r="AB281" s="143" t="n">
        <f aca="false">1-AB280</f>
        <v>0.487308533916849</v>
      </c>
      <c r="AC281" s="143" t="n">
        <f aca="false">1-AC280</f>
        <v>0.433111954459203</v>
      </c>
      <c r="AD281" s="143" t="n">
        <f aca="false">1-AD280</f>
        <v>0.481214653650805</v>
      </c>
      <c r="AE281" s="143" t="n">
        <f aca="false">1-AE280</f>
        <v>0.443245823389022</v>
      </c>
      <c r="AF281" s="142" t="n">
        <f aca="false">1-AF280</f>
        <v>0.459539473684211</v>
      </c>
      <c r="AG281" s="143" t="n">
        <f aca="false">1-AG280</f>
        <v>0.416311515858418</v>
      </c>
      <c r="AH281" s="143" t="n">
        <f aca="false">1-AH280</f>
        <v>0.430390591533938</v>
      </c>
      <c r="AI281" s="143" t="n">
        <f aca="false">1-AI280</f>
        <v>0.437435124727942</v>
      </c>
      <c r="AJ281" s="143" t="n">
        <f aca="false">1-AJ280</f>
        <v>0.480663941533507</v>
      </c>
      <c r="AK281" s="142" t="n">
        <f aca="false">1-AK280</f>
        <v>0.44668358714044</v>
      </c>
      <c r="AL281" s="143" t="n">
        <f aca="false">1-AL280</f>
        <v>0.451282471523396</v>
      </c>
      <c r="AM281" s="143" t="n">
        <f aca="false">1-AM280</f>
        <v>0.482063926391436</v>
      </c>
      <c r="AN281" s="143" t="n">
        <f aca="false">1-AN280</f>
        <v>0.475341081354219</v>
      </c>
      <c r="AO281" s="143" t="n">
        <f aca="false">1-AO280</f>
        <v>0.519768699167881</v>
      </c>
      <c r="AP281" s="142" t="n">
        <f aca="false">1-AP280</f>
        <v>0.486261043745752</v>
      </c>
      <c r="AQ281" s="143" t="n">
        <f aca="false">1-AQ280</f>
        <v>0.539059098512798</v>
      </c>
      <c r="AR281" s="143" t="n">
        <f aca="false">1-AR280</f>
        <v>0.508581662603851</v>
      </c>
      <c r="AS281" s="143" t="n">
        <f aca="false">1-AS280</f>
        <v>0.517314406731155</v>
      </c>
      <c r="AT281" s="143" t="n">
        <f aca="false">1-AT280</f>
        <v>0.541680038510911</v>
      </c>
      <c r="AU281" s="142" t="n">
        <f aca="false">1-AU280</f>
        <v>0.527053892859062</v>
      </c>
      <c r="AV281" s="143" t="n">
        <f aca="false">1-AV280</f>
        <v>0.489757808963332</v>
      </c>
      <c r="AW281" s="143" t="n">
        <f aca="false">1-AW280</f>
        <v>0.490654635853052</v>
      </c>
      <c r="AX281" s="143" t="n">
        <f aca="false">1-AX280</f>
        <v>0.518093556928508</v>
      </c>
      <c r="AY281" s="143" t="n">
        <f aca="false">1-AY280</f>
        <v>0.514898447948742</v>
      </c>
      <c r="AZ281" s="142" t="n">
        <f aca="false">1-AZ280</f>
        <v>0.505355776587605</v>
      </c>
      <c r="BA281" s="143" t="n">
        <f aca="false">1-BA280</f>
        <v>0.505944087041594</v>
      </c>
      <c r="BB281" s="143" t="n">
        <f aca="false">1-BB280</f>
        <v>0.513452037726555</v>
      </c>
      <c r="BC281" s="143" t="n">
        <f aca="false">1-BC280</f>
        <v>0.518747190169339</v>
      </c>
      <c r="BD281" s="143" t="n">
        <f aca="false">1-BD280</f>
        <v>0.513652065773111</v>
      </c>
      <c r="BE281" s="142" t="n">
        <f aca="false">1-BE280</f>
        <v>0.512948817969048</v>
      </c>
      <c r="BF281" s="143" t="n">
        <f aca="false">1-BF280</f>
        <v>0.509754253308129</v>
      </c>
      <c r="BG281" s="143" t="n">
        <f aca="false">1-BG280</f>
        <v>0.514544755558403</v>
      </c>
      <c r="BH281" s="143" t="n">
        <f aca="false">1-BH280</f>
        <v>0.508001553439664</v>
      </c>
      <c r="BI281" s="143" t="n">
        <f aca="false">1-BI280</f>
        <v>0.517100660707346</v>
      </c>
      <c r="BJ281" s="142" t="n">
        <f aca="false">1-BJ280</f>
        <v>0.512757006535069</v>
      </c>
      <c r="BK281" s="143" t="n">
        <f aca="false">1-BK280</f>
        <v>0.539908286507783</v>
      </c>
      <c r="BL281" s="143" t="n">
        <f aca="false">1-BL280</f>
        <v>0.536877413315652</v>
      </c>
      <c r="BM281" s="143" t="n">
        <f aca="false">1-BM280</f>
        <v>0.516271953166578</v>
      </c>
      <c r="BN281" s="143" t="n">
        <f aca="false">1-BN280</f>
        <v>0.521552566859777</v>
      </c>
      <c r="BO281" s="144" t="n">
        <f aca="false">1-BO280</f>
        <v>0.528295879977837</v>
      </c>
      <c r="BP281" s="143" t="n">
        <f aca="false">1-BP280</f>
        <v>0.519908286507783</v>
      </c>
      <c r="BQ281" s="143" t="n">
        <f aca="false">1-BQ280</f>
        <v>0.538877413315652</v>
      </c>
      <c r="BR281" s="143" t="n">
        <f aca="false">1-BR280</f>
        <v>0.518271953166578</v>
      </c>
      <c r="BS281" s="143" t="n">
        <f aca="false">1-BS280</f>
        <v>0.523552566859777</v>
      </c>
      <c r="BT281" s="142" t="n">
        <f aca="false">1-BT280</f>
        <v>0.5250425245662</v>
      </c>
      <c r="BU281" s="143" t="n">
        <f aca="false">1-BU280</f>
        <v>0.521908286507783</v>
      </c>
      <c r="BV281" s="143" t="n">
        <f aca="false">1-BV280</f>
        <v>0.563877413315652</v>
      </c>
      <c r="BW281" s="143" t="n">
        <f aca="false">1-BW280</f>
        <v>0.543271953166578</v>
      </c>
      <c r="BX281" s="143" t="n">
        <f aca="false">1-BX280</f>
        <v>0.525552566859777</v>
      </c>
      <c r="BY281" s="142" t="n">
        <f aca="false">1-BY280</f>
        <v>0.538254206052194</v>
      </c>
      <c r="BZ281" s="142" t="n">
        <f aca="false">1-BZ280</f>
        <v>0.540254206052194</v>
      </c>
      <c r="CA281" s="142" t="n">
        <f aca="false">1-CA280</f>
        <v>0.542254206052194</v>
      </c>
      <c r="CB281" s="142" t="n">
        <f aca="false">1-CB280</f>
        <v>0.544254206052194</v>
      </c>
      <c r="CC281" s="374"/>
    </row>
    <row r="282" s="383" customFormat="true" ht="15" hidden="true" customHeight="true" outlineLevel="1" collapsed="false">
      <c r="A282" s="131" t="s">
        <v>371</v>
      </c>
      <c r="B282" s="382"/>
      <c r="C282" s="167"/>
      <c r="D282" s="167"/>
      <c r="E282" s="167"/>
      <c r="F282" s="167"/>
      <c r="G282" s="167"/>
      <c r="H282" s="168"/>
      <c r="I282" s="168"/>
      <c r="J282" s="168"/>
      <c r="K282" s="168"/>
      <c r="L282" s="167"/>
      <c r="M282" s="168"/>
      <c r="N282" s="168"/>
      <c r="O282" s="168"/>
      <c r="P282" s="168"/>
      <c r="Q282" s="167"/>
      <c r="R282" s="168"/>
      <c r="S282" s="168"/>
      <c r="T282" s="168"/>
      <c r="U282" s="168"/>
      <c r="V282" s="167"/>
      <c r="W282" s="168"/>
      <c r="X282" s="168"/>
      <c r="Y282" s="168"/>
      <c r="Z282" s="168"/>
      <c r="AA282" s="167"/>
      <c r="AB282" s="168"/>
      <c r="AC282" s="168"/>
      <c r="AD282" s="168"/>
      <c r="AE282" s="168"/>
      <c r="AF282" s="167"/>
      <c r="AG282" s="168"/>
      <c r="AH282" s="168"/>
      <c r="AI282" s="168"/>
      <c r="AJ282" s="168"/>
      <c r="AK282" s="167"/>
      <c r="AL282" s="168"/>
      <c r="AM282" s="168"/>
      <c r="AN282" s="168"/>
      <c r="AO282" s="168"/>
      <c r="AP282" s="167"/>
      <c r="AQ282" s="168"/>
      <c r="AR282" s="168"/>
      <c r="AS282" s="168"/>
      <c r="AT282" s="168"/>
      <c r="AU282" s="167"/>
      <c r="AV282" s="168"/>
      <c r="AW282" s="168"/>
      <c r="AX282" s="168"/>
      <c r="AY282" s="168"/>
      <c r="AZ282" s="167"/>
      <c r="BA282" s="168"/>
      <c r="BB282" s="168"/>
      <c r="BC282" s="168"/>
      <c r="BD282" s="168"/>
      <c r="BE282" s="167"/>
      <c r="BF282" s="168"/>
      <c r="BG282" s="168"/>
      <c r="BH282" s="168"/>
      <c r="BI282" s="168"/>
      <c r="BJ282" s="167"/>
      <c r="BK282" s="168"/>
      <c r="BL282" s="168"/>
      <c r="BM282" s="168"/>
      <c r="BN282" s="168"/>
      <c r="BO282" s="169"/>
      <c r="BP282" s="134" t="str">
        <f aca="true">IFERROR(VLOOKUP($A282,tb_ConsensusEstimate,MATCH(BP$5,OFFSET(tb_ConsensusEstimate,0,0,1,COLUMNS(tb_ConsensusEstimate)),0),FALSE()),"-")</f>
        <v>N/A</v>
      </c>
      <c r="BQ282" s="134" t="str">
        <f aca="true">IFERROR(VLOOKUP($A282,tb_ConsensusEstimate,MATCH(BQ$5,OFFSET(tb_ConsensusEstimate,0,0,1,COLUMNS(tb_ConsensusEstimate)),0),FALSE()),"-")</f>
        <v>N/A</v>
      </c>
      <c r="BR282" s="134" t="str">
        <f aca="true">IFERROR(VLOOKUP($A282,tb_ConsensusEstimate,MATCH(BR$5,OFFSET(tb_ConsensusEstimate,0,0,1,COLUMNS(tb_ConsensusEstimate)),0),FALSE()),"-")</f>
        <v>N/A</v>
      </c>
      <c r="BS282" s="134" t="str">
        <f aca="true">IFERROR(VLOOKUP($A282,tb_ConsensusEstimate,MATCH(BS$5,OFFSET(tb_ConsensusEstimate,0,0,1,COLUMNS(tb_ConsensusEstimate)),0),FALSE()),"-")</f>
        <v>N/A</v>
      </c>
      <c r="BT282" s="133" t="str">
        <f aca="true">IFERROR(VLOOKUP($A282,tb_ConsensusEstimate,MATCH(BT$5,OFFSET(tb_ConsensusEstimate,0,0,1,COLUMNS(tb_ConsensusEstimate)),0),FALSE()),"-")</f>
        <v>N/A</v>
      </c>
      <c r="BU282" s="134" t="str">
        <f aca="true">IFERROR(VLOOKUP($A282,tb_ConsensusEstimate,MATCH(BU$5,OFFSET(tb_ConsensusEstimate,0,0,1,COLUMNS(tb_ConsensusEstimate)),0),FALSE()),"-")</f>
        <v>N/A</v>
      </c>
      <c r="BV282" s="134" t="str">
        <f aca="true">IFERROR(VLOOKUP($A282,tb_ConsensusEstimate,MATCH(BV$5,OFFSET(tb_ConsensusEstimate,0,0,1,COLUMNS(tb_ConsensusEstimate)),0),FALSE()),"-")</f>
        <v>N/A</v>
      </c>
      <c r="BW282" s="134" t="str">
        <f aca="true">IFERROR(VLOOKUP($A282,tb_ConsensusEstimate,MATCH(BW$5,OFFSET(tb_ConsensusEstimate,0,0,1,COLUMNS(tb_ConsensusEstimate)),0),FALSE()),"-")</f>
        <v>N/A</v>
      </c>
      <c r="BX282" s="134" t="str">
        <f aca="true">IFERROR(VLOOKUP($A282,tb_ConsensusEstimate,MATCH(BX$5,OFFSET(tb_ConsensusEstimate,0,0,1,COLUMNS(tb_ConsensusEstimate)),0),FALSE()),"-")</f>
        <v>N/A</v>
      </c>
      <c r="BY282" s="133" t="str">
        <f aca="true">IFERROR(VLOOKUP($A282,tb_ConsensusEstimate,MATCH(BY$5,OFFSET(tb_ConsensusEstimate,0,0,1,COLUMNS(tb_ConsensusEstimate)),0),FALSE()),"-")</f>
        <v>N/A</v>
      </c>
      <c r="BZ282" s="133" t="str">
        <f aca="true">IFERROR(VLOOKUP($A282,tb_ConsensusEstimate,MATCH(BZ$5,OFFSET(tb_ConsensusEstimate,0,0,1,COLUMNS(tb_ConsensusEstimate)),0),FALSE()),"-")</f>
        <v>N/A</v>
      </c>
      <c r="CA282" s="133" t="str">
        <f aca="true">IFERROR(VLOOKUP($A282,tb_ConsensusEstimate,MATCH(CA$5,OFFSET(tb_ConsensusEstimate,0,0,1,COLUMNS(tb_ConsensusEstimate)),0),FALSE()),"-")</f>
        <v>N/A</v>
      </c>
      <c r="CB282" s="133" t="str">
        <f aca="true">IFERROR(VLOOKUP($A282,tb_ConsensusEstimate,MATCH(CB$5,OFFSET(tb_ConsensusEstimate,0,0,1,COLUMNS(tb_ConsensusEstimate)),0),FALSE()),"-")</f>
        <v>N/A</v>
      </c>
      <c r="CC282" s="168"/>
    </row>
    <row r="283" s="84" customFormat="true" ht="15" hidden="true" customHeight="true" outlineLevel="1" collapsed="false">
      <c r="A283" s="381"/>
      <c r="B283" s="141"/>
      <c r="C283" s="142"/>
      <c r="D283" s="142"/>
      <c r="E283" s="142"/>
      <c r="F283" s="142"/>
      <c r="G283" s="142"/>
      <c r="H283" s="143"/>
      <c r="I283" s="143"/>
      <c r="J283" s="143"/>
      <c r="K283" s="143"/>
      <c r="L283" s="142"/>
      <c r="M283" s="143"/>
      <c r="N283" s="143"/>
      <c r="O283" s="143"/>
      <c r="P283" s="143"/>
      <c r="Q283" s="142"/>
      <c r="R283" s="143"/>
      <c r="S283" s="143"/>
      <c r="T283" s="143"/>
      <c r="U283" s="143"/>
      <c r="V283" s="142"/>
      <c r="W283" s="143"/>
      <c r="X283" s="143"/>
      <c r="Y283" s="143"/>
      <c r="Z283" s="143"/>
      <c r="AA283" s="142"/>
      <c r="AB283" s="143"/>
      <c r="AC283" s="143"/>
      <c r="AD283" s="143"/>
      <c r="AE283" s="143"/>
      <c r="AF283" s="142"/>
      <c r="AG283" s="143"/>
      <c r="AH283" s="143"/>
      <c r="AI283" s="143"/>
      <c r="AJ283" s="143"/>
      <c r="AK283" s="142"/>
      <c r="AL283" s="143"/>
      <c r="AM283" s="143"/>
      <c r="AN283" s="143"/>
      <c r="AO283" s="143"/>
      <c r="AP283" s="142"/>
      <c r="AQ283" s="143"/>
      <c r="AR283" s="143"/>
      <c r="AS283" s="143"/>
      <c r="AT283" s="143"/>
      <c r="AU283" s="142"/>
      <c r="AV283" s="143"/>
      <c r="AW283" s="143"/>
      <c r="AX283" s="143"/>
      <c r="AY283" s="143"/>
      <c r="AZ283" s="142"/>
      <c r="BA283" s="143"/>
      <c r="BB283" s="143"/>
      <c r="BC283" s="143"/>
      <c r="BD283" s="143"/>
      <c r="BE283" s="142"/>
      <c r="BF283" s="143"/>
      <c r="BG283" s="143"/>
      <c r="BH283" s="143"/>
      <c r="BI283" s="143"/>
      <c r="BJ283" s="142"/>
      <c r="BK283" s="143"/>
      <c r="BL283" s="143"/>
      <c r="BM283" s="143"/>
      <c r="BN283" s="143"/>
      <c r="BO283" s="144"/>
      <c r="BP283" s="143"/>
      <c r="BQ283" s="143"/>
      <c r="BR283" s="143"/>
      <c r="BS283" s="143"/>
      <c r="BT283" s="142"/>
      <c r="BU283" s="143"/>
      <c r="BV283" s="143"/>
      <c r="BW283" s="143"/>
      <c r="BX283" s="143"/>
      <c r="BY283" s="142"/>
      <c r="BZ283" s="142"/>
      <c r="CA283" s="142"/>
      <c r="CB283" s="142"/>
      <c r="CC283" s="83"/>
    </row>
    <row r="284" s="84" customFormat="true" ht="15" hidden="true" customHeight="true" outlineLevel="1" collapsed="false">
      <c r="A284" s="384" t="s">
        <v>372</v>
      </c>
      <c r="B284" s="141"/>
      <c r="C284" s="385" t="n">
        <f aca="false">C336/C329</f>
        <v>0.0969610848694569</v>
      </c>
      <c r="D284" s="385" t="n">
        <f aca="false">D336/D329</f>
        <v>0.0401613775522201</v>
      </c>
      <c r="E284" s="385" t="n">
        <f aca="false">E336/E329</f>
        <v>0.0385600159970696</v>
      </c>
      <c r="F284" s="385" t="n">
        <f aca="false">F336/F329</f>
        <v>0.0548024909358551</v>
      </c>
      <c r="G284" s="385" t="n">
        <f aca="false">G336/G329</f>
        <v>0.0594321496890756</v>
      </c>
      <c r="H284" s="386" t="n">
        <f aca="false">H336/H329</f>
        <v>0.0607948442534909</v>
      </c>
      <c r="I284" s="386" t="n">
        <f aca="false">I336/I329</f>
        <v>0.0486128011681674</v>
      </c>
      <c r="J284" s="386" t="n">
        <f aca="false">J336/J329</f>
        <v>0.0581606413553169</v>
      </c>
      <c r="K284" s="386" t="n">
        <f aca="false">K336/K329</f>
        <v>0.0531459170013387</v>
      </c>
      <c r="L284" s="385" t="n">
        <f aca="false">L336/L329</f>
        <v>0.0548317642761775</v>
      </c>
      <c r="M284" s="386" t="n">
        <f aca="false">M336/M329</f>
        <v>0.0498818110188496</v>
      </c>
      <c r="N284" s="386" t="n">
        <f aca="false">N336/N329</f>
        <v>0.053382504080769</v>
      </c>
      <c r="O284" s="386" t="n">
        <f aca="false">O336/O329</f>
        <v>0.0552543248128066</v>
      </c>
      <c r="P284" s="386" t="n">
        <f aca="false">P336/P329</f>
        <v>0.0624041277367173</v>
      </c>
      <c r="Q284" s="385" t="n">
        <f aca="false">Q336/Q329</f>
        <v>0.0549882900256466</v>
      </c>
      <c r="R284" s="386" t="n">
        <f aca="false">R336/R329</f>
        <v>0.0666066606660666</v>
      </c>
      <c r="S284" s="386" t="n">
        <f aca="false">S336/S329</f>
        <v>0.0519659691883192</v>
      </c>
      <c r="T284" s="386" t="n">
        <f aca="false">T336/T329</f>
        <v>0.0489364047172931</v>
      </c>
      <c r="U284" s="386" t="n">
        <f aca="false">U336/U329</f>
        <v>0.0559924504561183</v>
      </c>
      <c r="V284" s="385" t="n">
        <f aca="false">V336/V329</f>
        <v>0.0551598281038441</v>
      </c>
      <c r="W284" s="386" t="n">
        <f aca="false">W336/W329</f>
        <v>0.0507306030047335</v>
      </c>
      <c r="X284" s="386" t="n">
        <f aca="false">X336/X329</f>
        <v>0.0485390691919673</v>
      </c>
      <c r="Y284" s="386" t="n">
        <f aca="false">Y336/Y329</f>
        <v>0.0422080575304405</v>
      </c>
      <c r="Z284" s="386" t="n">
        <f aca="false">Z336/Z329</f>
        <v>0.0440165599125137</v>
      </c>
      <c r="AA284" s="385" t="n">
        <f aca="false">AA336/AA329</f>
        <v>0.0460189112760693</v>
      </c>
      <c r="AB284" s="386" t="n">
        <f aca="false">AB336/AB329</f>
        <v>0.0499781181619256</v>
      </c>
      <c r="AC284" s="386" t="n">
        <f aca="false">AC336/AC329</f>
        <v>0.0428404612465334</v>
      </c>
      <c r="AD284" s="386" t="n">
        <f aca="false">AD336/AD329</f>
        <v>0.0438745001981197</v>
      </c>
      <c r="AE284" s="386" t="n">
        <f aca="false">AE336/AE329</f>
        <v>0.0428321400159109</v>
      </c>
      <c r="AF284" s="385" t="n">
        <f aca="false">AF336/AF329</f>
        <v>0.0445906432748538</v>
      </c>
      <c r="AG284" s="386" t="n">
        <f aca="false">AG336/AG329</f>
        <v>0.0542819972186084</v>
      </c>
      <c r="AH284" s="386" t="n">
        <f aca="false">AH336/AH329</f>
        <v>0.0480937731220063</v>
      </c>
      <c r="AI284" s="386" t="n">
        <f aca="false">AI336/AI329</f>
        <v>0.0430269546291646</v>
      </c>
      <c r="AJ284" s="386" t="n">
        <f aca="false">AJ336/AJ329</f>
        <v>0.0365415582806887</v>
      </c>
      <c r="AK284" s="385" t="n">
        <f aca="false">AK336/AK329</f>
        <v>0.0440355329949239</v>
      </c>
      <c r="AL284" s="386" t="n">
        <f aca="false">AL336/AL329</f>
        <v>0.0535524051462755</v>
      </c>
      <c r="AM284" s="386" t="n">
        <f aca="false">AM336/AM329</f>
        <v>0.0394503412815347</v>
      </c>
      <c r="AN284" s="386" t="n">
        <f aca="false">AN336/AN329</f>
        <v>0.0332238504295099</v>
      </c>
      <c r="AO284" s="386" t="n">
        <f aca="false">AO336/AO329</f>
        <v>0.0356118659207371</v>
      </c>
      <c r="AP284" s="385" t="n">
        <f aca="false">AP336/AP329</f>
        <v>0.0389812926995028</v>
      </c>
      <c r="AQ284" s="386" t="n">
        <f aca="false">AQ336/AQ329</f>
        <v>0.0385893352276633</v>
      </c>
      <c r="AR284" s="386" t="n">
        <f aca="false">AR336/AR329</f>
        <v>0.0427341923287399</v>
      </c>
      <c r="AS284" s="386" t="n">
        <f aca="false">AS336/AS329</f>
        <v>0.0348959227672524</v>
      </c>
      <c r="AT284" s="386" t="n">
        <f aca="false">AT336/AT329</f>
        <v>0.0406169768934532</v>
      </c>
      <c r="AU284" s="385" t="n">
        <f aca="false">AU336/AU329</f>
        <v>0.0389876954489281</v>
      </c>
      <c r="AV284" s="386" t="n">
        <f aca="false">AV336/AV329</f>
        <v>0.0587652784065188</v>
      </c>
      <c r="AW284" s="386" t="n">
        <f aca="false">AW336/AW329</f>
        <v>0.0408802136083234</v>
      </c>
      <c r="AX284" s="386" t="n">
        <f aca="false">AX336/AX329</f>
        <v>0.0408078500597062</v>
      </c>
      <c r="AY284" s="386" t="n">
        <f aca="false">AY336/AY329</f>
        <v>0.0436067307393238</v>
      </c>
      <c r="AZ284" s="385" t="n">
        <f aca="false">AZ336/AZ329</f>
        <v>0.0446739777267704</v>
      </c>
      <c r="BA284" s="386" t="n">
        <f aca="false">BA336/BA329</f>
        <v>0.0385846847113931</v>
      </c>
      <c r="BB284" s="386" t="n">
        <f aca="false">BB336/BB329</f>
        <v>0.0407255552496994</v>
      </c>
      <c r="BC284" s="386" t="n">
        <f aca="false">BC336/BC329</f>
        <v>0.0431290274239473</v>
      </c>
      <c r="BD284" s="386" t="n">
        <f aca="false">BD336/BD329</f>
        <v>0.0392427801575238</v>
      </c>
      <c r="BE284" s="385" t="n">
        <f aca="false">BE336/BE329</f>
        <v>0.0403940707948546</v>
      </c>
      <c r="BF284" s="386" t="n">
        <f aca="false">BF336/BF329</f>
        <v>0.0516635160680529</v>
      </c>
      <c r="BG284" s="386" t="n">
        <f aca="false">BG336/BG329</f>
        <v>0.0443711155250849</v>
      </c>
      <c r="BH284" s="386" t="n">
        <f aca="false">BH336/BH329</f>
        <v>0.0397734120766542</v>
      </c>
      <c r="BI284" s="386" t="n">
        <f aca="false">BI336/BI329</f>
        <v>0.0343740553612299</v>
      </c>
      <c r="BJ284" s="385" t="n">
        <f aca="false">BJ336/BJ329</f>
        <v>0.0412448828676463</v>
      </c>
      <c r="BK284" s="386" t="n">
        <f aca="false">BK336/BK329</f>
        <v>0.036259122908997</v>
      </c>
      <c r="BL284" s="386" t="n">
        <f aca="false">BL336/BL329</f>
        <v>0.0388340678913634</v>
      </c>
      <c r="BM284" s="386" t="n">
        <f aca="false">BM336/BM329</f>
        <v>0.0403406067056945</v>
      </c>
      <c r="BN284" s="386" t="n">
        <f aca="false">BN336/BN329</f>
        <v>0.0386083699488583</v>
      </c>
      <c r="BO284" s="387" t="n">
        <f aca="false">BO336/BO329</f>
        <v>0.0385033351394208</v>
      </c>
      <c r="BP284" s="143" t="n">
        <f aca="false">BP336/BP329</f>
        <v>0.035259122908997</v>
      </c>
      <c r="BQ284" s="143" t="n">
        <f aca="false">BQ336/BQ329</f>
        <v>0.0368340678913634</v>
      </c>
      <c r="BR284" s="143" t="n">
        <f aca="false">BR336/BR329</f>
        <v>0.0383406067056945</v>
      </c>
      <c r="BS284" s="143" t="n">
        <f aca="false">BS336/BS329</f>
        <v>0.0366083699488583</v>
      </c>
      <c r="BT284" s="142" t="n">
        <f aca="false">BT336/BT329</f>
        <v>0.0367887282854991</v>
      </c>
      <c r="BU284" s="143" t="n">
        <f aca="false">BU336/BU329</f>
        <v>0.033259122908997</v>
      </c>
      <c r="BV284" s="143" t="n">
        <f aca="false">BV336/BV329</f>
        <v>0.0348340678913634</v>
      </c>
      <c r="BW284" s="143" t="n">
        <f aca="false">BW336/BW329</f>
        <v>0.0363406067056945</v>
      </c>
      <c r="BX284" s="143" t="n">
        <f aca="false">BX336/BX329</f>
        <v>0.0346083699488583</v>
      </c>
      <c r="BY284" s="142" t="n">
        <f aca="false">BY336/BY329</f>
        <v>0.0347971248958579</v>
      </c>
      <c r="BZ284" s="142" t="n">
        <f aca="false">BZ336/BZ329</f>
        <v>0.0327971248958579</v>
      </c>
      <c r="CA284" s="142" t="n">
        <f aca="false">CA336/CA329</f>
        <v>0.0307971248958579</v>
      </c>
      <c r="CB284" s="142" t="n">
        <f aca="false">CB336/CB329</f>
        <v>0.0287971248958579</v>
      </c>
      <c r="CC284" s="83"/>
    </row>
    <row r="285" s="84" customFormat="true" ht="15" hidden="true" customHeight="true" outlineLevel="1" collapsed="false">
      <c r="A285" s="384" t="s">
        <v>373</v>
      </c>
      <c r="B285" s="141"/>
      <c r="C285" s="385" t="n">
        <f aca="false">C335/C329</f>
        <v>0.292445223026911</v>
      </c>
      <c r="D285" s="385" t="n">
        <f aca="false">D335/D329</f>
        <v>0.116112067202344</v>
      </c>
      <c r="E285" s="385" t="n">
        <f aca="false">E335/E329</f>
        <v>0.104453431981929</v>
      </c>
      <c r="F285" s="385" t="n">
        <f aca="false">F335/F329</f>
        <v>0.12452185380916</v>
      </c>
      <c r="G285" s="385" t="n">
        <f aca="false">G335/G329</f>
        <v>0.168155230008583</v>
      </c>
      <c r="H285" s="386" t="n">
        <f aca="false">H335/H329</f>
        <v>0.199856784819191</v>
      </c>
      <c r="I285" s="386" t="n">
        <f aca="false">I335/I329</f>
        <v>0.162387442200049</v>
      </c>
      <c r="J285" s="386" t="n">
        <f aca="false">J335/J329</f>
        <v>0.196717591892301</v>
      </c>
      <c r="K285" s="386" t="n">
        <f aca="false">K335/K329</f>
        <v>0.179384203480589</v>
      </c>
      <c r="L285" s="385" t="n">
        <f aca="false">L335/L329</f>
        <v>0.183398940999546</v>
      </c>
      <c r="M285" s="386" t="n">
        <f aca="false">M335/M329</f>
        <v>0.158433844475423</v>
      </c>
      <c r="N285" s="386" t="n">
        <f aca="false">N335/N329</f>
        <v>0.161658908167584</v>
      </c>
      <c r="O285" s="386" t="n">
        <f aca="false">O335/O329</f>
        <v>0.171895171701523</v>
      </c>
      <c r="P285" s="386" t="n">
        <f aca="false">P335/P329</f>
        <v>0.190350020917585</v>
      </c>
      <c r="Q285" s="385" t="n">
        <f aca="false">Q335/Q329</f>
        <v>0.169876458776516</v>
      </c>
      <c r="R285" s="386" t="n">
        <f aca="false">R335/R329</f>
        <v>0.206045604560456</v>
      </c>
      <c r="S285" s="386" t="n">
        <f aca="false">S335/S329</f>
        <v>0.155380547252242</v>
      </c>
      <c r="T285" s="386" t="n">
        <f aca="false">T335/T329</f>
        <v>0.150666813622837</v>
      </c>
      <c r="U285" s="386" t="n">
        <f aca="false">U335/U329</f>
        <v>0.150676313306071</v>
      </c>
      <c r="V285" s="385" t="n">
        <f aca="false">V335/V329</f>
        <v>0.162742096897628</v>
      </c>
      <c r="W285" s="386" t="n">
        <f aca="false">W335/W329</f>
        <v>0.162121835768677</v>
      </c>
      <c r="X285" s="386" t="n">
        <f aca="false">X335/X329</f>
        <v>0.148805558199296</v>
      </c>
      <c r="Y285" s="386" t="n">
        <f aca="false">Y335/Y329</f>
        <v>0.128503718231593</v>
      </c>
      <c r="Z285" s="386" t="n">
        <f aca="false">Z335/Z329</f>
        <v>0.123965005467896</v>
      </c>
      <c r="AA285" s="385" t="n">
        <f aca="false">AA335/AA329</f>
        <v>0.139150318133616</v>
      </c>
      <c r="AB285" s="386" t="n">
        <f aca="false">AB335/AB329</f>
        <v>0.156280087527352</v>
      </c>
      <c r="AC285" s="386" t="n">
        <f aca="false">AC335/AC329</f>
        <v>0.138702379214713</v>
      </c>
      <c r="AD285" s="386" t="n">
        <f aca="false">AD335/AD329</f>
        <v>0.142754223551025</v>
      </c>
      <c r="AE285" s="386" t="n">
        <f aca="false">AE335/AE329</f>
        <v>0.140779634049324</v>
      </c>
      <c r="AF285" s="385" t="n">
        <f aca="false">AF335/AF329</f>
        <v>0.143996710526316</v>
      </c>
      <c r="AG285" s="386" t="n">
        <f aca="false">AG335/AG329</f>
        <v>0.212058678390382</v>
      </c>
      <c r="AH285" s="386" t="n">
        <f aca="false">AH335/AH329</f>
        <v>0.189804898944663</v>
      </c>
      <c r="AI285" s="386" t="n">
        <f aca="false">AI335/AI329</f>
        <v>0.164841788046208</v>
      </c>
      <c r="AJ285" s="386" t="n">
        <f aca="false">AJ335/AJ329</f>
        <v>0.127858293075684</v>
      </c>
      <c r="AK285" s="385" t="n">
        <f aca="false">AK335/AK329</f>
        <v>0.166539763113367</v>
      </c>
      <c r="AL285" s="386" t="n">
        <f aca="false">AL335/AL329</f>
        <v>0.222896009178071</v>
      </c>
      <c r="AM285" s="386" t="n">
        <f aca="false">AM335/AM329</f>
        <v>0.170460354211144</v>
      </c>
      <c r="AN285" s="386" t="n">
        <f aca="false">AN335/AN329</f>
        <v>0.134916624557858</v>
      </c>
      <c r="AO285" s="386" t="n">
        <f aca="false">AO335/AO329</f>
        <v>0.130670866437873</v>
      </c>
      <c r="AP285" s="385" t="n">
        <f aca="false">AP335/AP329</f>
        <v>0.157441785599313</v>
      </c>
      <c r="AQ285" s="386" t="n">
        <f aca="false">AQ335/AQ329</f>
        <v>0.1428538692454</v>
      </c>
      <c r="AR285" s="386" t="n">
        <f aca="false">AR335/AR329</f>
        <v>0.15765384806726</v>
      </c>
      <c r="AS285" s="386" t="n">
        <f aca="false">AS335/AS329</f>
        <v>0.116230706122527</v>
      </c>
      <c r="AT285" s="386" t="n">
        <f aca="false">AT335/AT329</f>
        <v>0.136513157894737</v>
      </c>
      <c r="AU285" s="385" t="n">
        <f aca="false">AU335/AU329</f>
        <v>0.136854548385363</v>
      </c>
      <c r="AV285" s="386" t="n">
        <f aca="false">AV335/AV329</f>
        <v>0.209002942507922</v>
      </c>
      <c r="AW285" s="386" t="n">
        <f aca="false">AW335/AW329</f>
        <v>0.145308903415892</v>
      </c>
      <c r="AX285" s="386" t="n">
        <f aca="false">AX335/AX329</f>
        <v>0.141806413651074</v>
      </c>
      <c r="AY285" s="386" t="n">
        <f aca="false">AY335/AY329</f>
        <v>0.140944294112158</v>
      </c>
      <c r="AZ285" s="385" t="n">
        <f aca="false">AZ335/AZ329</f>
        <v>0.153659780668197</v>
      </c>
      <c r="BA285" s="386" t="n">
        <f aca="false">BA335/BA329</f>
        <v>0.140508730841066</v>
      </c>
      <c r="BB285" s="386" t="n">
        <f aca="false">BB335/BB329</f>
        <v>0.144864755226519</v>
      </c>
      <c r="BC285" s="386" t="n">
        <f aca="false">BC335/BC329</f>
        <v>0.148568859583396</v>
      </c>
      <c r="BD285" s="386" t="n">
        <f aca="false">BD335/BD329</f>
        <v>0.143899405831146</v>
      </c>
      <c r="BE285" s="385" t="n">
        <f aca="false">BE335/BE329</f>
        <v>0.144441823756736</v>
      </c>
      <c r="BF285" s="386" t="n">
        <f aca="false">BF335/BF329</f>
        <v>0.195066162570889</v>
      </c>
      <c r="BG285" s="386" t="n">
        <f aca="false">BG335/BG329</f>
        <v>0.176299096559236</v>
      </c>
      <c r="BH285" s="386" t="n">
        <f aca="false">BH335/BH329</f>
        <v>0.141309442502645</v>
      </c>
      <c r="BI285" s="386" t="n">
        <f aca="false">BI335/BI329</f>
        <v>0.120481927710843</v>
      </c>
      <c r="BJ285" s="385" t="n">
        <f aca="false">BJ335/BJ329</f>
        <v>0.152273828941828</v>
      </c>
      <c r="BK285" s="386" t="n">
        <f aca="false">BK335/BK329</f>
        <v>0.149983853258412</v>
      </c>
      <c r="BL285" s="386" t="n">
        <f aca="false">BL335/BL329</f>
        <v>0.151682982955654</v>
      </c>
      <c r="BM285" s="386" t="n">
        <f aca="false">BM335/BM329</f>
        <v>0.147511974454497</v>
      </c>
      <c r="BN285" s="386" t="n">
        <f aca="false">BN335/BN329</f>
        <v>0.129891645486258</v>
      </c>
      <c r="BO285" s="387" t="n">
        <f aca="false">BO335/BO329</f>
        <v>0.143838027630077</v>
      </c>
      <c r="BP285" s="143" t="n">
        <f aca="false">BP335/BP329</f>
        <v>0.139983853258412</v>
      </c>
      <c r="BQ285" s="143" t="n">
        <f aca="false">BQ335/BQ329</f>
        <v>0.107682982955654</v>
      </c>
      <c r="BR285" s="143" t="n">
        <f aca="false">BR335/BR329</f>
        <v>0.132511974454497</v>
      </c>
      <c r="BS285" s="143" t="n">
        <f aca="false">BS335/BS329</f>
        <v>0.127891645486258</v>
      </c>
      <c r="BT285" s="142" t="n">
        <f aca="false">BT335/BT329</f>
        <v>0.127027006406879</v>
      </c>
      <c r="BU285" s="143" t="n">
        <f aca="false">BU335/BU329</f>
        <v>0.137983853258412</v>
      </c>
      <c r="BV285" s="143" t="n">
        <f aca="false">BV335/BV329</f>
        <v>0.0636829829556535</v>
      </c>
      <c r="BW285" s="143" t="n">
        <f aca="false">BW335/BW329</f>
        <v>0.117511974454497</v>
      </c>
      <c r="BX285" s="143" t="n">
        <f aca="false">BX335/BX329</f>
        <v>0.125891645486258</v>
      </c>
      <c r="BY285" s="142" t="n">
        <f aca="false">BY335/BY329</f>
        <v>0.111953703121996</v>
      </c>
      <c r="BZ285" s="142" t="n">
        <f aca="false">BZ335/BZ329</f>
        <v>0.109953703121996</v>
      </c>
      <c r="CA285" s="142" t="n">
        <f aca="false">CA335/CA329</f>
        <v>0.107953703121996</v>
      </c>
      <c r="CB285" s="142" t="n">
        <f aca="false">CB335/CB329</f>
        <v>0.105953703121996</v>
      </c>
      <c r="CC285" s="83"/>
    </row>
    <row r="286" s="84" customFormat="true" ht="15" hidden="true" customHeight="true" outlineLevel="1" collapsed="false">
      <c r="A286" s="384" t="s">
        <v>374</v>
      </c>
      <c r="B286" s="141"/>
      <c r="C286" s="385" t="n">
        <f aca="false">C337/C329</f>
        <v>-0</v>
      </c>
      <c r="D286" s="385" t="n">
        <f aca="false">D337/D329</f>
        <v>-0</v>
      </c>
      <c r="E286" s="385" t="n">
        <f aca="false">E337/E329</f>
        <v>-0</v>
      </c>
      <c r="F286" s="385" t="n">
        <f aca="false">F337/F329</f>
        <v>-0</v>
      </c>
      <c r="G286" s="385" t="n">
        <f aca="false">G337/G329</f>
        <v>-0.0122882734076014</v>
      </c>
      <c r="H286" s="386" t="n">
        <f aca="false">H337/H329</f>
        <v>-0.0144647332617257</v>
      </c>
      <c r="I286" s="386" t="n">
        <f aca="false">I337/I329</f>
        <v>-0.012350936967632</v>
      </c>
      <c r="J286" s="386" t="n">
        <f aca="false">J337/J329</f>
        <v>-0.0153531992134322</v>
      </c>
      <c r="K286" s="386" t="n">
        <f aca="false">K337/K329</f>
        <v>-0.013520749665328</v>
      </c>
      <c r="L286" s="385" t="n">
        <f aca="false">L337/L329</f>
        <v>-0.0138323375072593</v>
      </c>
      <c r="M286" s="386" t="n">
        <f aca="false">M337/M329</f>
        <v>-0.0126068246560398</v>
      </c>
      <c r="N286" s="386" t="n">
        <f aca="false">N337/N329</f>
        <v>-0.0125748140983012</v>
      </c>
      <c r="O286" s="386" t="n">
        <f aca="false">O337/O329</f>
        <v>-0.013426284533953</v>
      </c>
      <c r="P286" s="386" t="n">
        <f aca="false">P337/P329</f>
        <v>-0.0145028587365779</v>
      </c>
      <c r="Q286" s="385" t="n">
        <f aca="false">Q337/Q329</f>
        <v>-0.0132328674526333</v>
      </c>
      <c r="R286" s="386" t="n">
        <f aca="false">R337/R329</f>
        <v>-0.0175517551755176</v>
      </c>
      <c r="S286" s="386" t="n">
        <f aca="false">S337/S329</f>
        <v>-0.0135088526097954</v>
      </c>
      <c r="T286" s="386" t="n">
        <f aca="false">T337/T329</f>
        <v>-0.0128954039457732</v>
      </c>
      <c r="U286" s="386" t="n">
        <f aca="false">U337/U329</f>
        <v>-0.0123204361958687</v>
      </c>
      <c r="V286" s="385" t="n">
        <f aca="false">V337/V329</f>
        <v>-0.0138046741625949</v>
      </c>
      <c r="W286" s="386" t="n">
        <f aca="false">W337/W329</f>
        <v>-0.0122967688824861</v>
      </c>
      <c r="X286" s="386" t="n">
        <f aca="false">X337/X329</f>
        <v>-0.0114209574569335</v>
      </c>
      <c r="Y286" s="386" t="n">
        <f aca="false">Y337/Y329</f>
        <v>-0.00976546539184441</v>
      </c>
      <c r="Z286" s="386" t="n">
        <f aca="false">Z337/Z329</f>
        <v>-0.00937353538509608</v>
      </c>
      <c r="AA286" s="385" t="n">
        <f aca="false">AA337/AA329</f>
        <v>-0.0105823612583952</v>
      </c>
      <c r="AB286" s="386" t="n">
        <f aca="false">AB337/AB329</f>
        <v>-0</v>
      </c>
      <c r="AC286" s="386" t="n">
        <f aca="false">AC337/AC329</f>
        <v>-0</v>
      </c>
      <c r="AD286" s="386" t="n">
        <f aca="false">AD337/AD329</f>
        <v>-0</v>
      </c>
      <c r="AE286" s="386" t="n">
        <f aca="false">AE337/AE329</f>
        <v>-0</v>
      </c>
      <c r="AF286" s="385" t="n">
        <f aca="false">AF337/AF329</f>
        <v>-0</v>
      </c>
      <c r="AG286" s="386" t="n">
        <f aca="false">AG337/AG329</f>
        <v>-0</v>
      </c>
      <c r="AH286" s="386" t="n">
        <f aca="false">AH337/AH329</f>
        <v>-0</v>
      </c>
      <c r="AI286" s="386" t="n">
        <f aca="false">AI337/AI329</f>
        <v>-0</v>
      </c>
      <c r="AJ286" s="386" t="n">
        <f aca="false">AJ337/AJ329</f>
        <v>-0</v>
      </c>
      <c r="AK286" s="385" t="n">
        <f aca="false">AK337/AK329</f>
        <v>-0</v>
      </c>
      <c r="AL286" s="386" t="n">
        <f aca="false">AL337/AL329</f>
        <v>-0</v>
      </c>
      <c r="AM286" s="386" t="n">
        <f aca="false">AM337/AM329</f>
        <v>-0</v>
      </c>
      <c r="AN286" s="386" t="n">
        <f aca="false">AN337/AN329</f>
        <v>-0</v>
      </c>
      <c r="AO286" s="386" t="n">
        <f aca="false">AO337/AO329</f>
        <v>-0</v>
      </c>
      <c r="AP286" s="385" t="n">
        <f aca="false">AP337/AP329</f>
        <v>-0</v>
      </c>
      <c r="AQ286" s="386" t="n">
        <f aca="false">AQ337/AQ329</f>
        <v>-0</v>
      </c>
      <c r="AR286" s="386" t="n">
        <f aca="false">AR337/AR329</f>
        <v>-0</v>
      </c>
      <c r="AS286" s="386" t="n">
        <f aca="false">AS337/AS329</f>
        <v>-0</v>
      </c>
      <c r="AT286" s="386" t="n">
        <f aca="false">AT337/AT329</f>
        <v>-0.0428634467265725</v>
      </c>
      <c r="AU286" s="385" t="n">
        <f aca="false">AU337/AU329</f>
        <v>-0.0114824566116813</v>
      </c>
      <c r="AV286" s="386" t="n">
        <f aca="false">AV337/AV329</f>
        <v>-0</v>
      </c>
      <c r="AW286" s="386" t="n">
        <f aca="false">AW337/AW329</f>
        <v>-0</v>
      </c>
      <c r="AX286" s="386" t="n">
        <f aca="false">AX337/AX329</f>
        <v>-0</v>
      </c>
      <c r="AY286" s="386" t="n">
        <f aca="false">AY337/AY329</f>
        <v>-0</v>
      </c>
      <c r="AZ286" s="385" t="n">
        <f aca="false">AZ337/AZ329</f>
        <v>-0</v>
      </c>
      <c r="BA286" s="386" t="n">
        <f aca="false">BA337/BA329</f>
        <v>-0</v>
      </c>
      <c r="BB286" s="386" t="n">
        <f aca="false">BB337/BB329</f>
        <v>-0</v>
      </c>
      <c r="BC286" s="386" t="n">
        <f aca="false">BC337/BC329</f>
        <v>-0</v>
      </c>
      <c r="BD286" s="386" t="n">
        <f aca="false">BD337/BD329</f>
        <v>-0</v>
      </c>
      <c r="BE286" s="385" t="n">
        <f aca="false">BE337/BE329</f>
        <v>-0</v>
      </c>
      <c r="BF286" s="386" t="n">
        <f aca="false">BF337/BF329</f>
        <v>-0</v>
      </c>
      <c r="BG286" s="386" t="n">
        <f aca="false">BG337/BG329</f>
        <v>-0</v>
      </c>
      <c r="BH286" s="386" t="n">
        <f aca="false">BH337/BH329</f>
        <v>-0</v>
      </c>
      <c r="BI286" s="386" t="n">
        <f aca="false">BI337/BI329</f>
        <v>-0</v>
      </c>
      <c r="BJ286" s="385" t="n">
        <f aca="false">BJ337/BJ329</f>
        <v>-0</v>
      </c>
      <c r="BK286" s="386" t="n">
        <f aca="false">BK337/BK329</f>
        <v>-0</v>
      </c>
      <c r="BL286" s="386" t="n">
        <f aca="false">BL337/BL329</f>
        <v>-0</v>
      </c>
      <c r="BM286" s="386" t="n">
        <f aca="false">BM337/BM329</f>
        <v>-0</v>
      </c>
      <c r="BN286" s="386" t="n">
        <f aca="false">BN337/BN329</f>
        <v>-0</v>
      </c>
      <c r="BO286" s="387" t="n">
        <f aca="false">BO337/BO329</f>
        <v>-0</v>
      </c>
      <c r="BP286" s="143" t="n">
        <f aca="false">BP337/BP329</f>
        <v>0</v>
      </c>
      <c r="BQ286" s="143" t="n">
        <f aca="false">BQ337/BQ329</f>
        <v>0</v>
      </c>
      <c r="BR286" s="143" t="n">
        <f aca="false">BR337/BR329</f>
        <v>0</v>
      </c>
      <c r="BS286" s="143" t="n">
        <f aca="false">BS337/BS329</f>
        <v>0</v>
      </c>
      <c r="BT286" s="142" t="n">
        <f aca="false">BT337/BT329</f>
        <v>0</v>
      </c>
      <c r="BU286" s="143" t="n">
        <f aca="false">BU337/BU329</f>
        <v>0</v>
      </c>
      <c r="BV286" s="143" t="n">
        <f aca="false">BV337/BV329</f>
        <v>0</v>
      </c>
      <c r="BW286" s="143" t="n">
        <f aca="false">BW337/BW329</f>
        <v>0</v>
      </c>
      <c r="BX286" s="143" t="n">
        <f aca="false">BX337/BX329</f>
        <v>0</v>
      </c>
      <c r="BY286" s="142" t="n">
        <f aca="false">BY337/BY329</f>
        <v>0</v>
      </c>
      <c r="BZ286" s="142" t="n">
        <f aca="false">BZ337/BZ329</f>
        <v>0</v>
      </c>
      <c r="CA286" s="142" t="n">
        <f aca="false">CA337/CA329</f>
        <v>0</v>
      </c>
      <c r="CB286" s="142" t="n">
        <f aca="false">CB337/CB329</f>
        <v>0</v>
      </c>
      <c r="CC286" s="83"/>
    </row>
    <row r="287" s="84" customFormat="true" ht="15" hidden="true" customHeight="true" outlineLevel="1" collapsed="false">
      <c r="A287" s="349" t="s">
        <v>375</v>
      </c>
      <c r="B287" s="350"/>
      <c r="C287" s="353" t="n">
        <f aca="false">C338/C329</f>
        <v>-0.102204612223954</v>
      </c>
      <c r="D287" s="353" t="n">
        <f aca="false">D338/D329</f>
        <v>0.277443700423564</v>
      </c>
      <c r="E287" s="353" t="n">
        <f aca="false">E338/E329</f>
        <v>0.290427505757795</v>
      </c>
      <c r="F287" s="353" t="n">
        <f aca="false">F338/F329</f>
        <v>0.244480725681092</v>
      </c>
      <c r="G287" s="353" t="n">
        <f aca="false">G338/G329</f>
        <v>0.199787010378383</v>
      </c>
      <c r="H287" s="352" t="n">
        <f aca="false">H338/H329</f>
        <v>0.190261367704977</v>
      </c>
      <c r="I287" s="352" t="n">
        <f aca="false">I338/I329</f>
        <v>0.258822097834023</v>
      </c>
      <c r="J287" s="352" t="n">
        <f aca="false">J338/J329</f>
        <v>0.197700801694146</v>
      </c>
      <c r="K287" s="352" t="n">
        <f aca="false">K338/K329</f>
        <v>0.220682730923695</v>
      </c>
      <c r="L287" s="353" t="n">
        <f aca="false">L338/L329</f>
        <v>0.218950538029536</v>
      </c>
      <c r="M287" s="352" t="n">
        <f aca="false">M338/M329</f>
        <v>0.276198557488333</v>
      </c>
      <c r="N287" s="352" t="n">
        <f aca="false">N338/N329</f>
        <v>0.253249501239345</v>
      </c>
      <c r="O287" s="352" t="n">
        <f aca="false">O338/O329</f>
        <v>0.240382132713659</v>
      </c>
      <c r="P287" s="352" t="n">
        <f aca="false">P338/P329</f>
        <v>0.221796123274299</v>
      </c>
      <c r="Q287" s="353" t="n">
        <f aca="false">Q338/Q329</f>
        <v>0.248932980774966</v>
      </c>
      <c r="R287" s="352" t="n">
        <f aca="false">R338/R329</f>
        <v>0.171017101710171</v>
      </c>
      <c r="S287" s="352" t="n">
        <f aca="false">S338/S329</f>
        <v>0.23235226488848</v>
      </c>
      <c r="T287" s="352" t="n">
        <f aca="false">T338/T329</f>
        <v>0.273118042543811</v>
      </c>
      <c r="U287" s="352" t="n">
        <f aca="false">U338/U329</f>
        <v>0.277812729369823</v>
      </c>
      <c r="V287" s="353" t="n">
        <f aca="false">V338/V329</f>
        <v>0.243965973980103</v>
      </c>
      <c r="W287" s="352" t="n">
        <f aca="false">W338/W329</f>
        <v>0.275159497839062</v>
      </c>
      <c r="X287" s="352" t="n">
        <f aca="false">X338/X329</f>
        <v>0.264490339773484</v>
      </c>
      <c r="Y287" s="352" t="n">
        <f aca="false">Y338/Y329</f>
        <v>0.267876113426493</v>
      </c>
      <c r="Z287" s="352" t="n">
        <f aca="false">Z338/Z329</f>
        <v>0.292922980784253</v>
      </c>
      <c r="AA287" s="353" t="n">
        <f aca="false">AA338/AA329</f>
        <v>0.275737893248498</v>
      </c>
      <c r="AB287" s="352" t="n">
        <f aca="false">AB338/AB329</f>
        <v>0.281050328227571</v>
      </c>
      <c r="AC287" s="352" t="n">
        <f aca="false">AC338/AC329</f>
        <v>0.251569113997957</v>
      </c>
      <c r="AD287" s="352" t="n">
        <f aca="false">AD338/AD329</f>
        <v>0.294585929901661</v>
      </c>
      <c r="AE287" s="352" t="n">
        <f aca="false">AE338/AE329</f>
        <v>0.259634049323787</v>
      </c>
      <c r="AF287" s="353" t="n">
        <f aca="false">AF338/AF329</f>
        <v>0.270952119883041</v>
      </c>
      <c r="AG287" s="352" t="n">
        <f aca="false">AG338/AG329</f>
        <v>0.149970840249428</v>
      </c>
      <c r="AH287" s="352" t="n">
        <f aca="false">AH338/AH329</f>
        <v>0.192491919467269</v>
      </c>
      <c r="AI287" s="352" t="n">
        <f aca="false">AI338/AI329</f>
        <v>0.22956638205257</v>
      </c>
      <c r="AJ287" s="352" t="n">
        <f aca="false">AJ338/AJ329</f>
        <v>0.316264090177134</v>
      </c>
      <c r="AK287" s="353" t="n">
        <f aca="false">AK338/AK329</f>
        <v>0.236108291032149</v>
      </c>
      <c r="AL287" s="352" t="n">
        <f aca="false">AL338/AL329</f>
        <v>0.174834057199049</v>
      </c>
      <c r="AM287" s="352" t="n">
        <f aca="false">AM338/AM329</f>
        <v>0.272153230898758</v>
      </c>
      <c r="AN287" s="352" t="n">
        <f aca="false">AN338/AN329</f>
        <v>0.307200606366852</v>
      </c>
      <c r="AO287" s="352" t="n">
        <f aca="false">AO338/AO329</f>
        <v>0.353485966809271</v>
      </c>
      <c r="AP287" s="353" t="n">
        <f aca="false">AP338/AP329</f>
        <v>0.289837965446936</v>
      </c>
      <c r="AQ287" s="352" t="n">
        <f aca="false">AQ338/AQ329</f>
        <v>0.357615894039735</v>
      </c>
      <c r="AR287" s="352" t="n">
        <f aca="false">AR338/AR329</f>
        <v>0.30819362220785</v>
      </c>
      <c r="AS287" s="352" t="n">
        <f aca="false">AS338/AS329</f>
        <v>0.366187777841375</v>
      </c>
      <c r="AT287" s="352" t="n">
        <f aca="false">AT338/AT329</f>
        <v>0.407413350449294</v>
      </c>
      <c r="AU287" s="353" t="n">
        <f aca="false">AU338/AU329</f>
        <v>0.362694105636452</v>
      </c>
      <c r="AV287" s="352" t="n">
        <f aca="false">AV338/AV329</f>
        <v>0.221989588048891</v>
      </c>
      <c r="AW287" s="352" t="n">
        <f aca="false">AW338/AW329</f>
        <v>0.304465518828837</v>
      </c>
      <c r="AX287" s="352" t="n">
        <f aca="false">AX338/AX329</f>
        <v>0.335479293217728</v>
      </c>
      <c r="AY287" s="352" t="n">
        <f aca="false">AY338/AY329</f>
        <v>0.33034742309726</v>
      </c>
      <c r="AZ287" s="353" t="n">
        <f aca="false">AZ338/AZ329</f>
        <v>0.307022018192638</v>
      </c>
      <c r="BA287" s="352" t="n">
        <f aca="false">BA338/BA329</f>
        <v>0.326850671489135</v>
      </c>
      <c r="BB287" s="352" t="n">
        <f aca="false">BB338/BB329</f>
        <v>0.327861727250337</v>
      </c>
      <c r="BC287" s="352" t="n">
        <f aca="false">BC338/BC329</f>
        <v>0.327049303161996</v>
      </c>
      <c r="BD287" s="352" t="n">
        <f aca="false">BD338/BD329</f>
        <v>0.330509879784441</v>
      </c>
      <c r="BE287" s="353" t="n">
        <f aca="false">BE338/BE329</f>
        <v>0.328112923417457</v>
      </c>
      <c r="BF287" s="352" t="n">
        <f aca="false">BF338/BF329</f>
        <v>0.263024574669187</v>
      </c>
      <c r="BG287" s="352" t="n">
        <f aca="false">BG338/BG329</f>
        <v>0.293874543474082</v>
      </c>
      <c r="BH287" s="352" t="n">
        <f aca="false">BH338/BH329</f>
        <v>0.326918698860365</v>
      </c>
      <c r="BI287" s="352" t="n">
        <f aca="false">BI338/BI329</f>
        <v>0.362244677635272</v>
      </c>
      <c r="BJ287" s="353" t="n">
        <f aca="false">BJ338/BJ329</f>
        <v>0.319238294725594</v>
      </c>
      <c r="BK287" s="352" t="n">
        <f aca="false">BK338/BK329</f>
        <v>0.353665310340373</v>
      </c>
      <c r="BL287" s="352" t="n">
        <f aca="false">BL338/BL329</f>
        <v>0.346360362468635</v>
      </c>
      <c r="BM287" s="352" t="n">
        <f aca="false">BM338/BM329</f>
        <v>0.328419372006386</v>
      </c>
      <c r="BN287" s="352" t="n">
        <f aca="false">BN338/BN329</f>
        <v>0.353052551424661</v>
      </c>
      <c r="BO287" s="354" t="n">
        <f aca="false">BO338/BO329</f>
        <v>0.34595451720834</v>
      </c>
      <c r="BP287" s="355" t="n">
        <f aca="false">BP338/BP329</f>
        <v>0.344665310340373</v>
      </c>
      <c r="BQ287" s="355" t="n">
        <f aca="false">BQ338/BQ329</f>
        <v>0.394360362468635</v>
      </c>
      <c r="BR287" s="355" t="n">
        <f aca="false">BR338/BR329</f>
        <v>0.347419372006386</v>
      </c>
      <c r="BS287" s="355" t="n">
        <f aca="false">BS338/BS329</f>
        <v>0.359052551424661</v>
      </c>
      <c r="BT287" s="351" t="n">
        <f aca="false">BT338/BT329</f>
        <v>0.361226789873822</v>
      </c>
      <c r="BU287" s="355" t="n">
        <f aca="false">BU338/BU329</f>
        <v>0.350665310340373</v>
      </c>
      <c r="BV287" s="355" t="n">
        <f aca="false">BV338/BV329</f>
        <v>0.465360362468635</v>
      </c>
      <c r="BW287" s="355" t="n">
        <f aca="false">BW338/BW329</f>
        <v>0.389419372006386</v>
      </c>
      <c r="BX287" s="355" t="n">
        <f aca="false">BX338/BX329</f>
        <v>0.365052551424661</v>
      </c>
      <c r="BY287" s="351" t="n">
        <f aca="false">BY338/BY329</f>
        <v>0.39150337803434</v>
      </c>
      <c r="BZ287" s="351" t="n">
        <f aca="false">BZ338/BZ329</f>
        <v>0.39750337803434</v>
      </c>
      <c r="CA287" s="351" t="n">
        <f aca="false">CA338/CA329</f>
        <v>0.40350337803434</v>
      </c>
      <c r="CB287" s="351" t="n">
        <f aca="false">CB338/CB329</f>
        <v>0.40950337803434</v>
      </c>
      <c r="CC287" s="83"/>
    </row>
    <row r="288" s="84" customFormat="true" ht="15" hidden="true" customHeight="true" outlineLevel="1" collapsed="false">
      <c r="A288" s="388" t="s">
        <v>376</v>
      </c>
      <c r="B288" s="141"/>
      <c r="C288" s="385" t="n">
        <f aca="false">C339/C329</f>
        <v>-0.102204612223954</v>
      </c>
      <c r="D288" s="385" t="n">
        <f aca="false">D339/D329</f>
        <v>0.277443700423564</v>
      </c>
      <c r="E288" s="385" t="n">
        <f aca="false">E339/E329</f>
        <v>0.290427505757795</v>
      </c>
      <c r="F288" s="385" t="n">
        <f aca="false">F339/F329</f>
        <v>0.244480725681092</v>
      </c>
      <c r="G288" s="385" t="n">
        <f aca="false">G339/G329</f>
        <v>0.199787010378383</v>
      </c>
      <c r="H288" s="386" t="n">
        <f aca="false">H339/H329</f>
        <v>0.190261367704977</v>
      </c>
      <c r="I288" s="386" t="n">
        <f aca="false">I339/I329</f>
        <v>0.258822097834023</v>
      </c>
      <c r="J288" s="386" t="n">
        <f aca="false">J339/J329</f>
        <v>0.197700801694146</v>
      </c>
      <c r="K288" s="386" t="n">
        <f aca="false">K339/K329</f>
        <v>0.220682730923695</v>
      </c>
      <c r="L288" s="385" t="n">
        <f aca="false">L339/L329</f>
        <v>0.218950538029536</v>
      </c>
      <c r="M288" s="386" t="n">
        <f aca="false">M339/M329</f>
        <v>0.276198557488333</v>
      </c>
      <c r="N288" s="386" t="n">
        <f aca="false">N339/N329</f>
        <v>0.253249501239345</v>
      </c>
      <c r="O288" s="386" t="n">
        <f aca="false">O339/O329</f>
        <v>0.240382132713659</v>
      </c>
      <c r="P288" s="386" t="n">
        <f aca="false">P339/P329</f>
        <v>0.221796123274299</v>
      </c>
      <c r="Q288" s="385" t="n">
        <f aca="false">Q339/Q329</f>
        <v>0.248932980774966</v>
      </c>
      <c r="R288" s="386" t="n">
        <f aca="false">R339/R329</f>
        <v>0.171017101710171</v>
      </c>
      <c r="S288" s="386" t="n">
        <f aca="false">S339/S329</f>
        <v>0.23235226488848</v>
      </c>
      <c r="T288" s="386" t="n">
        <f aca="false">T339/T329</f>
        <v>0.273118042543811</v>
      </c>
      <c r="U288" s="386" t="n">
        <f aca="false">U339/U329</f>
        <v>0.277812729369823</v>
      </c>
      <c r="V288" s="385" t="n">
        <f aca="false">V339/V329</f>
        <v>0.243965973980103</v>
      </c>
      <c r="W288" s="386" t="n">
        <f aca="false">W339/W329</f>
        <v>0.275159497839062</v>
      </c>
      <c r="X288" s="386" t="n">
        <f aca="false">X339/X329</f>
        <v>0.264490339773484</v>
      </c>
      <c r="Y288" s="386" t="n">
        <f aca="false">Y339/Y329</f>
        <v>0.267876113426493</v>
      </c>
      <c r="Z288" s="386" t="n">
        <f aca="false">Z339/Z329</f>
        <v>0.292922980784253</v>
      </c>
      <c r="AA288" s="385" t="n">
        <f aca="false">AA339/AA329</f>
        <v>0.275737893248498</v>
      </c>
      <c r="AB288" s="386" t="n">
        <f aca="false">AB339/AB329</f>
        <v>0.281050328227571</v>
      </c>
      <c r="AC288" s="386" t="n">
        <f aca="false">AC339/AC329</f>
        <v>0.251569113997957</v>
      </c>
      <c r="AD288" s="386" t="n">
        <f aca="false">AD339/AD329</f>
        <v>0.294585929901661</v>
      </c>
      <c r="AE288" s="386" t="n">
        <f aca="false">AE339/AE329</f>
        <v>0.259634049323787</v>
      </c>
      <c r="AF288" s="385" t="n">
        <f aca="false">AF339/AF329</f>
        <v>0.270952119883041</v>
      </c>
      <c r="AG288" s="386" t="n">
        <f aca="false">AG339/AG329</f>
        <v>0.149970840249428</v>
      </c>
      <c r="AH288" s="386" t="n">
        <f aca="false">AH339/AH329</f>
        <v>0.192491919467269</v>
      </c>
      <c r="AI288" s="386" t="n">
        <f aca="false">AI339/AI329</f>
        <v>0.22956638205257</v>
      </c>
      <c r="AJ288" s="386" t="n">
        <f aca="false">AJ339/AJ329</f>
        <v>0.316264090177134</v>
      </c>
      <c r="AK288" s="385" t="n">
        <f aca="false">AK339/AK329</f>
        <v>0.236108291032149</v>
      </c>
      <c r="AL288" s="386" t="n">
        <f aca="false">AL339/AL329</f>
        <v>0.174834057199049</v>
      </c>
      <c r="AM288" s="386" t="n">
        <f aca="false">AM339/AM329</f>
        <v>0.272153230898758</v>
      </c>
      <c r="AN288" s="386" t="n">
        <f aca="false">AN339/AN329</f>
        <v>0.307200606366852</v>
      </c>
      <c r="AO288" s="386" t="n">
        <f aca="false">AO339/AO329</f>
        <v>0.353485966809271</v>
      </c>
      <c r="AP288" s="385" t="n">
        <f aca="false">AP339/AP329</f>
        <v>0.289837965446936</v>
      </c>
      <c r="AQ288" s="386" t="n">
        <f aca="false">AQ339/AQ329</f>
        <v>0.357615894039735</v>
      </c>
      <c r="AR288" s="386" t="n">
        <f aca="false">AR339/AR329</f>
        <v>0.30819362220785</v>
      </c>
      <c r="AS288" s="386" t="n">
        <f aca="false">AS339/AS329</f>
        <v>0.366187777841375</v>
      </c>
      <c r="AT288" s="386" t="n">
        <f aca="false">AT339/AT329</f>
        <v>0.407413350449294</v>
      </c>
      <c r="AU288" s="385" t="n">
        <f aca="false">AU339/AU329</f>
        <v>0.362694105636452</v>
      </c>
      <c r="AV288" s="386" t="n">
        <f aca="false">AV339/AV329</f>
        <v>0.221989588048891</v>
      </c>
      <c r="AW288" s="386" t="n">
        <f aca="false">AW339/AW329</f>
        <v>0.304465518828837</v>
      </c>
      <c r="AX288" s="386" t="n">
        <f aca="false">AX339/AX329</f>
        <v>0.335479293217728</v>
      </c>
      <c r="AY288" s="386" t="n">
        <f aca="false">AY339/AY329</f>
        <v>0.33034742309726</v>
      </c>
      <c r="AZ288" s="385" t="n">
        <f aca="false">AZ339/AZ329</f>
        <v>0.307022018192638</v>
      </c>
      <c r="BA288" s="386" t="n">
        <f aca="false">BA339/BA329</f>
        <v>0.326850671489135</v>
      </c>
      <c r="BB288" s="386" t="n">
        <f aca="false">BB339/BB329</f>
        <v>0.327861727250337</v>
      </c>
      <c r="BC288" s="386" t="n">
        <f aca="false">BC339/BC329</f>
        <v>0.327049303161996</v>
      </c>
      <c r="BD288" s="386" t="n">
        <f aca="false">BD339/BD329</f>
        <v>0.330509879784441</v>
      </c>
      <c r="BE288" s="385" t="n">
        <f aca="false">BE339/BE329</f>
        <v>0.328112923417457</v>
      </c>
      <c r="BF288" s="386" t="n">
        <f aca="false">BF339/BF329</f>
        <v>0.263024574669187</v>
      </c>
      <c r="BG288" s="386" t="n">
        <f aca="false">BG339/BG329</f>
        <v>0.293874543474082</v>
      </c>
      <c r="BH288" s="386" t="n">
        <f aca="false">BH339/BH329</f>
        <v>0.326918698860365</v>
      </c>
      <c r="BI288" s="386" t="n">
        <f aca="false">BI339/BI329</f>
        <v>0.362244677635272</v>
      </c>
      <c r="BJ288" s="385" t="n">
        <f aca="false">BJ339/BJ329</f>
        <v>0.319238294725594</v>
      </c>
      <c r="BK288" s="386" t="n">
        <f aca="false">BK339/BK329</f>
        <v>0.353665310340373</v>
      </c>
      <c r="BL288" s="386" t="n">
        <f aca="false">BL339/BL329</f>
        <v>0.346360362468635</v>
      </c>
      <c r="BM288" s="386" t="n">
        <f aca="false">BM339/BM329</f>
        <v>0.328419372006386</v>
      </c>
      <c r="BN288" s="386" t="n">
        <f aca="false">BN339/BN329</f>
        <v>0.353052551424661</v>
      </c>
      <c r="BO288" s="387" t="n">
        <f aca="false">BO339/BO329</f>
        <v>0.34595451720834</v>
      </c>
      <c r="BP288" s="143" t="n">
        <f aca="false">BP339/BP329</f>
        <v>0.344665310340373</v>
      </c>
      <c r="BQ288" s="143" t="n">
        <f aca="false">BQ339/BQ329</f>
        <v>0.394360362468635</v>
      </c>
      <c r="BR288" s="143" t="n">
        <f aca="false">BR339/BR329</f>
        <v>0.347419372006386</v>
      </c>
      <c r="BS288" s="143" t="n">
        <f aca="false">BS339/BS329</f>
        <v>0.359052551424661</v>
      </c>
      <c r="BT288" s="142" t="n">
        <f aca="false">BT339/BT329</f>
        <v>0.361226789873822</v>
      </c>
      <c r="BU288" s="143" t="n">
        <f aca="false">BU339/BU329</f>
        <v>0.350665310340373</v>
      </c>
      <c r="BV288" s="143" t="n">
        <f aca="false">BV339/BV329</f>
        <v>0.465360362468635</v>
      </c>
      <c r="BW288" s="143" t="n">
        <f aca="false">BW339/BW329</f>
        <v>0.389419372006386</v>
      </c>
      <c r="BX288" s="143" t="n">
        <f aca="false">BX339/BX329</f>
        <v>0.365052551424661</v>
      </c>
      <c r="BY288" s="142" t="n">
        <f aca="false">BY339/BY329</f>
        <v>0.39150337803434</v>
      </c>
      <c r="BZ288" s="142" t="n">
        <f aca="false">BZ339/BZ329</f>
        <v>0.39750337803434</v>
      </c>
      <c r="CA288" s="142" t="n">
        <f aca="false">CA339/CA329</f>
        <v>0.40350337803434</v>
      </c>
      <c r="CB288" s="142" t="n">
        <f aca="false">CB339/CB329</f>
        <v>0.40950337803434</v>
      </c>
      <c r="CC288" s="83"/>
    </row>
    <row r="289" s="84" customFormat="true" ht="15" hidden="true" customHeight="true" outlineLevel="1" collapsed="false">
      <c r="A289" s="240" t="s">
        <v>377</v>
      </c>
      <c r="B289" s="132"/>
      <c r="C289" s="133"/>
      <c r="D289" s="133"/>
      <c r="E289" s="133"/>
      <c r="F289" s="133"/>
      <c r="G289" s="133"/>
      <c r="H289" s="134"/>
      <c r="I289" s="134"/>
      <c r="J289" s="134"/>
      <c r="K289" s="134"/>
      <c r="L289" s="133"/>
      <c r="M289" s="134"/>
      <c r="N289" s="134"/>
      <c r="O289" s="134"/>
      <c r="P289" s="134"/>
      <c r="Q289" s="133"/>
      <c r="R289" s="134"/>
      <c r="S289" s="134"/>
      <c r="T289" s="134"/>
      <c r="U289" s="134"/>
      <c r="V289" s="133"/>
      <c r="W289" s="134"/>
      <c r="X289" s="134"/>
      <c r="Y289" s="134"/>
      <c r="Z289" s="134"/>
      <c r="AA289" s="133"/>
      <c r="AB289" s="134"/>
      <c r="AC289" s="134"/>
      <c r="AD289" s="134"/>
      <c r="AE289" s="134"/>
      <c r="AF289" s="133"/>
      <c r="AG289" s="134"/>
      <c r="AH289" s="134"/>
      <c r="AI289" s="134"/>
      <c r="AJ289" s="134"/>
      <c r="AK289" s="133"/>
      <c r="AL289" s="134"/>
      <c r="AM289" s="134"/>
      <c r="AN289" s="134"/>
      <c r="AO289" s="134"/>
      <c r="AP289" s="133"/>
      <c r="AQ289" s="134"/>
      <c r="AR289" s="134"/>
      <c r="AS289" s="134"/>
      <c r="AT289" s="134"/>
      <c r="AU289" s="133"/>
      <c r="AV289" s="134"/>
      <c r="AW289" s="134"/>
      <c r="AX289" s="134"/>
      <c r="AY289" s="134"/>
      <c r="AZ289" s="133"/>
      <c r="BA289" s="134"/>
      <c r="BB289" s="134"/>
      <c r="BC289" s="134"/>
      <c r="BD289" s="134"/>
      <c r="BE289" s="133"/>
      <c r="BF289" s="134"/>
      <c r="BG289" s="134"/>
      <c r="BH289" s="134"/>
      <c r="BI289" s="134"/>
      <c r="BJ289" s="133"/>
      <c r="BK289" s="134"/>
      <c r="BL289" s="134"/>
      <c r="BM289" s="134"/>
      <c r="BN289" s="134"/>
      <c r="BO289" s="135"/>
      <c r="BP289" s="134" t="n">
        <f aca="false">IFERROR(BP340/BP330,0)</f>
        <v>0</v>
      </c>
      <c r="BQ289" s="134" t="n">
        <f aca="false">IFERROR(BQ340/BQ330,0)</f>
        <v>0</v>
      </c>
      <c r="BR289" s="134" t="n">
        <f aca="false">IFERROR(BR340/BR330,0)</f>
        <v>0</v>
      </c>
      <c r="BS289" s="134" t="n">
        <f aca="false">IFERROR(BS340/BS330,0)</f>
        <v>0</v>
      </c>
      <c r="BT289" s="133" t="n">
        <f aca="false">IFERROR(BT340/BT330,0)</f>
        <v>0</v>
      </c>
      <c r="BU289" s="134" t="n">
        <f aca="false">IFERROR(BU340/BU330,0)</f>
        <v>0</v>
      </c>
      <c r="BV289" s="134" t="n">
        <f aca="false">IFERROR(BV340/BV330,0)</f>
        <v>0</v>
      </c>
      <c r="BW289" s="134" t="n">
        <f aca="false">IFERROR(BW340/BW330,0)</f>
        <v>0</v>
      </c>
      <c r="BX289" s="134" t="n">
        <f aca="false">IFERROR(BX340/BX330,0)</f>
        <v>0</v>
      </c>
      <c r="BY289" s="133" t="n">
        <f aca="false">IFERROR(BY340/BY330,0)</f>
        <v>0</v>
      </c>
      <c r="BZ289" s="133" t="n">
        <f aca="false">IFERROR(BZ340/BZ330,0)</f>
        <v>0</v>
      </c>
      <c r="CA289" s="133" t="n">
        <f aca="false">IFERROR(CA340/CA330,0)</f>
        <v>0</v>
      </c>
      <c r="CB289" s="133" t="n">
        <f aca="false">IFERROR(CB340/CB330,0)</f>
        <v>0</v>
      </c>
      <c r="CC289" s="83"/>
    </row>
    <row r="290" s="84" customFormat="true" ht="15" hidden="true" customHeight="true" outlineLevel="1" collapsed="false">
      <c r="A290" s="140"/>
      <c r="B290" s="141"/>
      <c r="C290" s="142"/>
      <c r="D290" s="142"/>
      <c r="E290" s="142"/>
      <c r="F290" s="142"/>
      <c r="G290" s="142"/>
      <c r="H290" s="143"/>
      <c r="I290" s="143"/>
      <c r="J290" s="143"/>
      <c r="K290" s="143"/>
      <c r="L290" s="142"/>
      <c r="M290" s="143"/>
      <c r="N290" s="143"/>
      <c r="O290" s="143"/>
      <c r="P290" s="143"/>
      <c r="Q290" s="142"/>
      <c r="R290" s="143"/>
      <c r="S290" s="143"/>
      <c r="T290" s="143"/>
      <c r="U290" s="143"/>
      <c r="V290" s="142"/>
      <c r="W290" s="143"/>
      <c r="X290" s="143"/>
      <c r="Y290" s="143"/>
      <c r="Z290" s="143"/>
      <c r="AA290" s="142"/>
      <c r="AB290" s="143"/>
      <c r="AC290" s="143"/>
      <c r="AD290" s="143"/>
      <c r="AE290" s="143"/>
      <c r="AF290" s="142"/>
      <c r="AG290" s="143"/>
      <c r="AH290" s="143"/>
      <c r="AI290" s="143"/>
      <c r="AJ290" s="143"/>
      <c r="AK290" s="142"/>
      <c r="AL290" s="143"/>
      <c r="AM290" s="143"/>
      <c r="AN290" s="143"/>
      <c r="AO290" s="143"/>
      <c r="AP290" s="142"/>
      <c r="AQ290" s="143"/>
      <c r="AR290" s="143"/>
      <c r="AS290" s="143"/>
      <c r="AT290" s="143"/>
      <c r="AU290" s="142"/>
      <c r="AV290" s="143"/>
      <c r="AW290" s="143"/>
      <c r="AX290" s="143"/>
      <c r="AY290" s="143"/>
      <c r="AZ290" s="142"/>
      <c r="BA290" s="143"/>
      <c r="BB290" s="143"/>
      <c r="BC290" s="143"/>
      <c r="BD290" s="143"/>
      <c r="BE290" s="142"/>
      <c r="BF290" s="143"/>
      <c r="BG290" s="143"/>
      <c r="BH290" s="143"/>
      <c r="BI290" s="143"/>
      <c r="BJ290" s="142"/>
      <c r="BK290" s="143"/>
      <c r="BL290" s="143"/>
      <c r="BM290" s="143"/>
      <c r="BN290" s="143"/>
      <c r="BO290" s="144"/>
      <c r="BP290" s="143"/>
      <c r="BQ290" s="143"/>
      <c r="BR290" s="143"/>
      <c r="BS290" s="143"/>
      <c r="BT290" s="142"/>
      <c r="BU290" s="143"/>
      <c r="BV290" s="143"/>
      <c r="BW290" s="143"/>
      <c r="BX290" s="143"/>
      <c r="BY290" s="142"/>
      <c r="BZ290" s="142"/>
      <c r="CA290" s="142"/>
      <c r="CB290" s="142"/>
      <c r="CC290" s="83"/>
    </row>
    <row r="291" s="84" customFormat="true" ht="15" hidden="true" customHeight="true" outlineLevel="1" collapsed="false">
      <c r="A291" s="315" t="s">
        <v>378</v>
      </c>
      <c r="B291" s="232"/>
      <c r="C291" s="317" t="n">
        <f aca="false">C342/C329</f>
        <v>0.0887377252652308</v>
      </c>
      <c r="D291" s="317" t="n">
        <f aca="false">D342/D329</f>
        <v>0.0335949607115271</v>
      </c>
      <c r="E291" s="317" t="n">
        <f aca="false">E342/E329</f>
        <v>0.0292309284936299</v>
      </c>
      <c r="F291" s="317" t="n">
        <f aca="false">F342/F329</f>
        <v>0.0394415789312393</v>
      </c>
      <c r="G291" s="317" t="n">
        <f aca="false">G342/G329</f>
        <v>0.0436150203056969</v>
      </c>
      <c r="H291" s="316" t="n">
        <f aca="false">H342/H329</f>
        <v>0.0463301109917651</v>
      </c>
      <c r="I291" s="316" t="n">
        <f aca="false">I342/I329</f>
        <v>0.0407641761985885</v>
      </c>
      <c r="J291" s="316" t="n">
        <f aca="false">J342/J329</f>
        <v>0.0456814400242021</v>
      </c>
      <c r="K291" s="316" t="n">
        <f aca="false">K342/K329</f>
        <v>0.0418634538152611</v>
      </c>
      <c r="L291" s="317" t="n">
        <f aca="false">L342/L329</f>
        <v>0.043482232824711</v>
      </c>
      <c r="M291" s="316" t="n">
        <f aca="false">M342/M329</f>
        <v>0.0400630341232802</v>
      </c>
      <c r="N291" s="316" t="n">
        <f aca="false">N342/N329</f>
        <v>0.0440118493440542</v>
      </c>
      <c r="O291" s="316" t="n">
        <f aca="false">O342/O329</f>
        <v>0.0500258197779499</v>
      </c>
      <c r="P291" s="316" t="n">
        <f aca="false">P342/P329</f>
        <v>0.0561176962766699</v>
      </c>
      <c r="Q291" s="317" t="n">
        <f aca="false">Q342/Q329</f>
        <v>0.0472190699616295</v>
      </c>
      <c r="R291" s="316" t="n">
        <f aca="false">R342/R329</f>
        <v>0.0615061506150615</v>
      </c>
      <c r="S291" s="316" t="n">
        <f aca="false">S342/S329</f>
        <v>0.0483444469993102</v>
      </c>
      <c r="T291" s="316" t="n">
        <f aca="false">T342/T329</f>
        <v>0.048330210514714</v>
      </c>
      <c r="U291" s="316" t="n">
        <f aca="false">U342/U329</f>
        <v>0.0540526370976198</v>
      </c>
      <c r="V291" s="317" t="n">
        <f aca="false">V342/V329</f>
        <v>0.0525254606463766</v>
      </c>
      <c r="W291" s="316" t="n">
        <f aca="false">W342/W329</f>
        <v>0.0566474583247582</v>
      </c>
      <c r="X291" s="316" t="n">
        <f aca="false">X342/X329</f>
        <v>0.0494432283239745</v>
      </c>
      <c r="Y291" s="316" t="n">
        <f aca="false">Y342/Y329</f>
        <v>0.0413500040859688</v>
      </c>
      <c r="Z291" s="316" t="n">
        <f aca="false">Z342/Z329</f>
        <v>0.039954694578972</v>
      </c>
      <c r="AA291" s="317" t="n">
        <f aca="false">AA342/AA329</f>
        <v>0.0461183280311064</v>
      </c>
      <c r="AB291" s="316" t="n">
        <f aca="false">AB342/AB329</f>
        <v>0.0449015317286652</v>
      </c>
      <c r="AC291" s="316" t="n">
        <f aca="false">AC342/AC329</f>
        <v>0.0363815501386659</v>
      </c>
      <c r="AD291" s="316" t="n">
        <f aca="false">AD342/AD329</f>
        <v>0.0396239328554447</v>
      </c>
      <c r="AE291" s="316" t="n">
        <f aca="false">AE342/AE329</f>
        <v>0.0351312649164678</v>
      </c>
      <c r="AF291" s="317" t="n">
        <f aca="false">AF342/AF329</f>
        <v>0.0386239035087719</v>
      </c>
      <c r="AG291" s="316" t="n">
        <f aca="false">AG342/AG329</f>
        <v>0.0470144901529765</v>
      </c>
      <c r="AH291" s="316" t="n">
        <f aca="false">AH342/AH329</f>
        <v>0.0422134818334047</v>
      </c>
      <c r="AI291" s="316" t="n">
        <f aca="false">AI342/AI329</f>
        <v>0.0376360287962498</v>
      </c>
      <c r="AJ291" s="316" t="n">
        <f aca="false">AJ342/AJ329</f>
        <v>0.0304471695776043</v>
      </c>
      <c r="AK291" s="317" t="n">
        <f aca="false">AK342/AK329</f>
        <v>0.0379441624365482</v>
      </c>
      <c r="AL291" s="316" t="n">
        <f aca="false">AL342/AL329</f>
        <v>0.0484716872900107</v>
      </c>
      <c r="AM291" s="316" t="n">
        <f aca="false">AM342/AM329</f>
        <v>0.0376161409628048</v>
      </c>
      <c r="AN291" s="316" t="n">
        <f aca="false">AN342/AN329</f>
        <v>0.0308236483072259</v>
      </c>
      <c r="AO291" s="316" t="n">
        <f aca="false">AO342/AO329</f>
        <v>0.0294767523858775</v>
      </c>
      <c r="AP291" s="317" t="n">
        <f aca="false">AP342/AP329</f>
        <v>0.0351110634188218</v>
      </c>
      <c r="AQ291" s="316" t="n">
        <f aca="false">AQ342/AQ329</f>
        <v>0.0270171177158047</v>
      </c>
      <c r="AR291" s="316" t="n">
        <f aca="false">AR342/AR329</f>
        <v>0.0280334311725785</v>
      </c>
      <c r="AS291" s="316" t="n">
        <f aca="false">AS342/AS329</f>
        <v>0.0221700723103047</v>
      </c>
      <c r="AT291" s="316" t="n">
        <f aca="false">AT342/AT329</f>
        <v>0.0249117458279846</v>
      </c>
      <c r="AU291" s="317" t="n">
        <f aca="false">AU342/AU329</f>
        <v>0.0253076137767987</v>
      </c>
      <c r="AV291" s="316" t="n">
        <f aca="false">AV342/AV329</f>
        <v>0.0370642824807605</v>
      </c>
      <c r="AW291" s="316" t="n">
        <f aca="false">AW342/AW329</f>
        <v>0.0242150814842096</v>
      </c>
      <c r="AX291" s="316" t="n">
        <f aca="false">AX342/AX329</f>
        <v>0.0238651506498451</v>
      </c>
      <c r="AY291" s="316" t="n">
        <f aca="false">AY342/AY329</f>
        <v>0.0284905601692016</v>
      </c>
      <c r="AZ291" s="317" t="n">
        <f aca="false">AZ342/AZ329</f>
        <v>0.0275628855072874</v>
      </c>
      <c r="BA291" s="316" t="n">
        <f aca="false">BA342/BA329</f>
        <v>0.0252438409771427</v>
      </c>
      <c r="BB291" s="316" t="n">
        <f aca="false">BB342/BB329</f>
        <v>0.0262521188589311</v>
      </c>
      <c r="BC291" s="316" t="n">
        <f aca="false">BC342/BC329</f>
        <v>0.0264049153304361</v>
      </c>
      <c r="BD291" s="316" t="n">
        <f aca="false">BD342/BD329</f>
        <v>0.0293077241951085</v>
      </c>
      <c r="BE291" s="317" t="n">
        <f aca="false">BE342/BE329</f>
        <v>0.0268447121577735</v>
      </c>
      <c r="BF291" s="316" t="n">
        <f aca="false">BF342/BF329</f>
        <v>0.0405293005671078</v>
      </c>
      <c r="BG291" s="316" t="n">
        <f aca="false">BG342/BG329</f>
        <v>0.036441981162299</v>
      </c>
      <c r="BH291" s="316" t="n">
        <f aca="false">BH342/BH329</f>
        <v>0.0315642869578027</v>
      </c>
      <c r="BI291" s="316" t="n">
        <f aca="false">BI342/BI329</f>
        <v>0.0260180506974133</v>
      </c>
      <c r="BJ291" s="317" t="n">
        <f aca="false">BJ342/BJ329</f>
        <v>0.0325019725505875</v>
      </c>
      <c r="BK291" s="316" t="n">
        <f aca="false">BK342/BK329</f>
        <v>0.031169669960602</v>
      </c>
      <c r="BL291" s="316" t="n">
        <f aca="false">BL342/BL329</f>
        <v>0.0331396180298244</v>
      </c>
      <c r="BM291" s="316" t="n">
        <f aca="false">BM342/BM329</f>
        <v>0.0365353911655136</v>
      </c>
      <c r="BN291" s="316" t="n">
        <f aca="false">BN342/BN329</f>
        <v>0.0262499871374034</v>
      </c>
      <c r="BO291" s="332" t="n">
        <f aca="false">BO342/BO329</f>
        <v>0.0314044931781935</v>
      </c>
      <c r="BP291" s="234" t="n">
        <f aca="false">BP342/BP329</f>
        <v>0.0342247596949023</v>
      </c>
      <c r="BQ291" s="234" t="n">
        <f aca="false">BQ342/BQ329</f>
        <v>0.0328860223417524</v>
      </c>
      <c r="BR291" s="234" t="n">
        <f aca="false">BR342/BR329</f>
        <v>0.0308085524993006</v>
      </c>
      <c r="BS291" s="234" t="n">
        <f aca="false">BS342/BS329</f>
        <v>0.0281012851913256</v>
      </c>
      <c r="BT291" s="233" t="n">
        <f aca="false">BT342/BT329</f>
        <v>0.0313628355435053</v>
      </c>
      <c r="BU291" s="234" t="n">
        <f aca="false">BU342/BU329</f>
        <v>0.0305754990374456</v>
      </c>
      <c r="BV291" s="234" t="n">
        <f aca="false">BV342/BV329</f>
        <v>0.0298709357817014</v>
      </c>
      <c r="BW291" s="234" t="n">
        <f aca="false">BW342/BW329</f>
        <v>0.0269133823944787</v>
      </c>
      <c r="BX291" s="234" t="n">
        <f aca="false">BX342/BX329</f>
        <v>0.0245418327624913</v>
      </c>
      <c r="BY291" s="233" t="n">
        <f aca="false">BY342/BY329</f>
        <v>0.0277908101056981</v>
      </c>
      <c r="BZ291" s="233" t="n">
        <f aca="false">BZ342/BZ329</f>
        <v>0.0220236007049785</v>
      </c>
      <c r="CA291" s="233" t="n">
        <f aca="false">CA342/CA329</f>
        <v>0.0197315707447368</v>
      </c>
      <c r="CB291" s="233" t="n">
        <f aca="false">CB342/CB329</f>
        <v>0.0177663455302358</v>
      </c>
      <c r="CC291" s="83"/>
    </row>
    <row r="292" s="84" customFormat="true" ht="15" hidden="true" customHeight="true" outlineLevel="1" collapsed="false">
      <c r="A292" s="315" t="s">
        <v>379</v>
      </c>
      <c r="B292" s="232"/>
      <c r="C292" s="317" t="n">
        <f aca="false">C343/C329</f>
        <v>0.00839189931725753</v>
      </c>
      <c r="D292" s="317" t="n">
        <f aca="false">D343/D329</f>
        <v>0.00268615051937272</v>
      </c>
      <c r="E292" s="317" t="n">
        <f aca="false">E343/E329</f>
        <v>0.00219959706496244</v>
      </c>
      <c r="F292" s="317" t="n">
        <f aca="false">F343/F329</f>
        <v>0.00395514793762304</v>
      </c>
      <c r="G292" s="317" t="n">
        <f aca="false">G343/G329</f>
        <v>0.00998431746663601</v>
      </c>
      <c r="H292" s="316" t="n">
        <f aca="false">H343/H329</f>
        <v>0.0165413533834587</v>
      </c>
      <c r="I292" s="316" t="n">
        <f aca="false">I343/I329</f>
        <v>0.00821367729374544</v>
      </c>
      <c r="J292" s="316" t="n">
        <f aca="false">J343/J329</f>
        <v>0.0103615186809862</v>
      </c>
      <c r="K292" s="316" t="n">
        <f aca="false">K343/K329</f>
        <v>0.00875502008032129</v>
      </c>
      <c r="L292" s="317" t="n">
        <f aca="false">L343/L329</f>
        <v>0.0108225755031738</v>
      </c>
      <c r="M292" s="316" t="n">
        <f aca="false">M343/M329</f>
        <v>0.00884902115279714</v>
      </c>
      <c r="N292" s="316" t="n">
        <f aca="false">N343/N329</f>
        <v>0.00906837555165952</v>
      </c>
      <c r="O292" s="316" t="n">
        <f aca="false">O343/O329</f>
        <v>0.00955331784146656</v>
      </c>
      <c r="P292" s="316" t="n">
        <f aca="false">P343/P329</f>
        <v>0.0102286989262307</v>
      </c>
      <c r="Q292" s="317" t="n">
        <f aca="false">Q343/Q329</f>
        <v>0.00939501779359431</v>
      </c>
      <c r="R292" s="316" t="n">
        <f aca="false">R343/R329</f>
        <v>0.0099009900990099</v>
      </c>
      <c r="S292" s="316" t="n">
        <f aca="false">S343/S329</f>
        <v>0.00626580823177742</v>
      </c>
      <c r="T292" s="316" t="n">
        <f aca="false">T343/T329</f>
        <v>0.00639259340901576</v>
      </c>
      <c r="U292" s="316" t="n">
        <f aca="false">U343/U329</f>
        <v>0.00629128656810318</v>
      </c>
      <c r="V292" s="317" t="n">
        <f aca="false">V343/V329</f>
        <v>0.00702007417436864</v>
      </c>
      <c r="W292" s="316" t="n">
        <f aca="false">W343/W329</f>
        <v>0.00694587363655073</v>
      </c>
      <c r="X292" s="316" t="n">
        <f aca="false">X343/X329</f>
        <v>0.00480631959645951</v>
      </c>
      <c r="Y292" s="316" t="n">
        <f aca="false">Y343/Y329</f>
        <v>0.00604723379913377</v>
      </c>
      <c r="Z292" s="316" t="n">
        <f aca="false">Z343/Z329</f>
        <v>0.00574129042337135</v>
      </c>
      <c r="AA292" s="317" t="n">
        <f aca="false">AA343/AA329</f>
        <v>0.00586558854718982</v>
      </c>
      <c r="AB292" s="316" t="n">
        <f aca="false">AB343/AB329</f>
        <v>0.00533916849015317</v>
      </c>
      <c r="AC292" s="316" t="n">
        <f aca="false">AC343/AC329</f>
        <v>0.00335717413516275</v>
      </c>
      <c r="AD292" s="316" t="n">
        <f aca="false">AD343/AD329</f>
        <v>0.00597961168545802</v>
      </c>
      <c r="AE292" s="316" t="n">
        <f aca="false">AE343/AE329</f>
        <v>0.0026412092283214</v>
      </c>
      <c r="AF292" s="317" t="n">
        <f aca="false">AF343/AF329</f>
        <v>0.00423062865497076</v>
      </c>
      <c r="AG292" s="316" t="n">
        <f aca="false">AG343/AG329</f>
        <v>0.00668431205419228</v>
      </c>
      <c r="AH292" s="316" t="n">
        <f aca="false">AH343/AH329</f>
        <v>0.0048677908018225</v>
      </c>
      <c r="AI292" s="316" t="n">
        <f aca="false">AI343/AI329</f>
        <v>0.0060271220492215</v>
      </c>
      <c r="AJ292" s="316" t="n">
        <f aca="false">AJ343/AJ329</f>
        <v>0.00723398984268549</v>
      </c>
      <c r="AK292" s="317" t="n">
        <f aca="false">AK343/AK329</f>
        <v>0.00631133671742809</v>
      </c>
      <c r="AL292" s="316" t="n">
        <f aca="false">AL343/AL329</f>
        <v>0.00610505613373761</v>
      </c>
      <c r="AM292" s="316" t="n">
        <f aca="false">AM343/AM329</f>
        <v>0.00309709234146195</v>
      </c>
      <c r="AN292" s="316" t="n">
        <f aca="false">AN343/AN329</f>
        <v>0.00568468923698838</v>
      </c>
      <c r="AO292" s="316" t="n">
        <f aca="false">AO343/AO329</f>
        <v>0.00145738329180574</v>
      </c>
      <c r="AP292" s="317" t="n">
        <f aca="false">AP343/AP329</f>
        <v>0.00385592159387631</v>
      </c>
      <c r="AQ292" s="316" t="n">
        <f aca="false">AQ343/AQ329</f>
        <v>0.00481220926235707</v>
      </c>
      <c r="AR292" s="316" t="n">
        <f aca="false">AR343/AR329</f>
        <v>0.00721357146410626</v>
      </c>
      <c r="AS292" s="316" t="n">
        <f aca="false">AS343/AS329</f>
        <v>0.00648694026291187</v>
      </c>
      <c r="AT292" s="316" t="n">
        <f aca="false">AT343/AT329</f>
        <v>0.00671935173299102</v>
      </c>
      <c r="AU292" s="317" t="n">
        <f aca="false">AU343/AU329</f>
        <v>0.00631347052818226</v>
      </c>
      <c r="AV292" s="316" t="n">
        <f aca="false">AV343/AV329</f>
        <v>0.00325373472159348</v>
      </c>
      <c r="AW292" s="316" t="n">
        <f aca="false">AW343/AW329</f>
        <v>0.0025596169781788</v>
      </c>
      <c r="AX292" s="316" t="n">
        <f aca="false">AX343/AX329</f>
        <v>0.00389387882249104</v>
      </c>
      <c r="AY292" s="316" t="n">
        <f aca="false">AY343/AY329</f>
        <v>0.00326583932070542</v>
      </c>
      <c r="AZ292" s="317" t="n">
        <f aca="false">AZ343/AZ329</f>
        <v>0.00325408295313932</v>
      </c>
      <c r="BA292" s="316" t="n">
        <f aca="false">BA343/BA329</f>
        <v>0.00271263822596425</v>
      </c>
      <c r="BB292" s="316" t="n">
        <f aca="false">BB343/BB329</f>
        <v>0.00483896672123785</v>
      </c>
      <c r="BC292" s="316" t="n">
        <f aca="false">BC343/BC329</f>
        <v>0.00621909186273041</v>
      </c>
      <c r="BD292" s="316" t="n">
        <f aca="false">BD343/BD329</f>
        <v>0.00574823822025702</v>
      </c>
      <c r="BE292" s="317" t="n">
        <f aca="false">BE343/BE329</f>
        <v>0.0048914128127438</v>
      </c>
      <c r="BF292" s="316" t="n">
        <f aca="false">BF343/BF329</f>
        <v>0.00374291115311909</v>
      </c>
      <c r="BG292" s="316" t="n">
        <f aca="false">BG343/BG329</f>
        <v>0.00744858076504133</v>
      </c>
      <c r="BH292" s="316" t="n">
        <f aca="false">BH343/BH329</f>
        <v>0.00713778741981707</v>
      </c>
      <c r="BI292" s="316" t="n">
        <f aca="false">BI343/BI329</f>
        <v>0.00572181197909919</v>
      </c>
      <c r="BJ292" s="317" t="n">
        <f aca="false">BJ343/BJ329</f>
        <v>0.0061069458548132</v>
      </c>
      <c r="BK292" s="316" t="n">
        <f aca="false">BK343/BK329</f>
        <v>0.00516695730801524</v>
      </c>
      <c r="BL292" s="316" t="n">
        <f aca="false">BL343/BL329</f>
        <v>0.00637050326975831</v>
      </c>
      <c r="BM292" s="316" t="n">
        <f aca="false">BM343/BM329</f>
        <v>0.00767695582756785</v>
      </c>
      <c r="BN292" s="316" t="n">
        <f aca="false">BN343/BN329</f>
        <v>0.00572128296683508</v>
      </c>
      <c r="BO292" s="332" t="n">
        <f aca="false">BO343/BO329</f>
        <v>0.00619273707958723</v>
      </c>
      <c r="BP292" s="234" t="n">
        <f aca="false">BP343/BP329</f>
        <v>0.003</v>
      </c>
      <c r="BQ292" s="234" t="n">
        <f aca="false">BQ343/BQ329</f>
        <v>0.003</v>
      </c>
      <c r="BR292" s="234" t="n">
        <f aca="false">BR343/BR329</f>
        <v>0.003</v>
      </c>
      <c r="BS292" s="234" t="n">
        <f aca="false">BS343/BS329</f>
        <v>0.003</v>
      </c>
      <c r="BT292" s="233" t="n">
        <f aca="false">BT343/BT329</f>
        <v>0.003</v>
      </c>
      <c r="BU292" s="234" t="n">
        <f aca="false">BU343/BU329</f>
        <v>0.003</v>
      </c>
      <c r="BV292" s="234" t="n">
        <f aca="false">BV343/BV329</f>
        <v>0.003</v>
      </c>
      <c r="BW292" s="234" t="n">
        <f aca="false">BW343/BW329</f>
        <v>0.003</v>
      </c>
      <c r="BX292" s="234" t="n">
        <f aca="false">BX343/BX329</f>
        <v>0.003</v>
      </c>
      <c r="BY292" s="233" t="n">
        <f aca="false">BY343/BY329</f>
        <v>0.003</v>
      </c>
      <c r="BZ292" s="233" t="n">
        <f aca="false">BZ343/BZ329</f>
        <v>0.003</v>
      </c>
      <c r="CA292" s="233" t="n">
        <f aca="false">CA343/CA329</f>
        <v>0.003</v>
      </c>
      <c r="CB292" s="233" t="n">
        <f aca="false">CB343/CB329</f>
        <v>0.003</v>
      </c>
      <c r="CC292" s="83"/>
    </row>
    <row r="293" s="84" customFormat="true" ht="15" hidden="true" customHeight="true" outlineLevel="1" collapsed="false">
      <c r="A293" s="349" t="s">
        <v>380</v>
      </c>
      <c r="B293" s="350"/>
      <c r="C293" s="353" t="n">
        <f aca="false">C344/C329</f>
        <v>-0.00507498764146542</v>
      </c>
      <c r="D293" s="353" t="n">
        <f aca="false">D344/D329</f>
        <v>0.313724811654464</v>
      </c>
      <c r="E293" s="353" t="n">
        <f aca="false">E344/E329</f>
        <v>0.321858031316387</v>
      </c>
      <c r="F293" s="353" t="n">
        <f aca="false">F344/F329</f>
        <v>0.287877452549955</v>
      </c>
      <c r="G293" s="353" t="n">
        <f aca="false">G344/G329</f>
        <v>0.253386348150715</v>
      </c>
      <c r="H293" s="352" t="n">
        <f aca="false">H344/H329</f>
        <v>0.253132832080201</v>
      </c>
      <c r="I293" s="352" t="n">
        <f aca="false">I344/I329</f>
        <v>0.307799951326357</v>
      </c>
      <c r="J293" s="352" t="n">
        <f aca="false">J344/J329</f>
        <v>0.253743760399334</v>
      </c>
      <c r="K293" s="352" t="n">
        <f aca="false">K344/K329</f>
        <v>0.271301204819277</v>
      </c>
      <c r="L293" s="353" t="n">
        <f aca="false">L344/L329</f>
        <v>0.273255346357421</v>
      </c>
      <c r="M293" s="352" t="n">
        <f aca="false">M344/M329</f>
        <v>0.32511061276441</v>
      </c>
      <c r="N293" s="352" t="n">
        <f aca="false">N344/N329</f>
        <v>0.306329726135058</v>
      </c>
      <c r="O293" s="352" t="n">
        <f aca="false">O344/O329</f>
        <v>0.299961270333075</v>
      </c>
      <c r="P293" s="352" t="n">
        <f aca="false">P344/P329</f>
        <v>0.2881425184772</v>
      </c>
      <c r="Q293" s="353" t="n">
        <f aca="false">Q344/Q329</f>
        <v>0.305547068530189</v>
      </c>
      <c r="R293" s="352" t="n">
        <f aca="false">R344/R329</f>
        <v>0.242424242424242</v>
      </c>
      <c r="S293" s="352" t="n">
        <f aca="false">S344/S329</f>
        <v>0.286962520119568</v>
      </c>
      <c r="T293" s="352" t="n">
        <f aca="false">T344/T329</f>
        <v>0.327840846467541</v>
      </c>
      <c r="U293" s="352" t="n">
        <f aca="false">U344/U329</f>
        <v>0.338156653035546</v>
      </c>
      <c r="V293" s="353" t="n">
        <f aca="false">V344/V329</f>
        <v>0.303511508800848</v>
      </c>
      <c r="W293" s="352" t="n">
        <f aca="false">W344/W329</f>
        <v>0.33875282980037</v>
      </c>
      <c r="X293" s="352" t="n">
        <f aca="false">X344/X329</f>
        <v>0.318739887693918</v>
      </c>
      <c r="Y293" s="352" t="n">
        <f aca="false">Y344/Y329</f>
        <v>0.315273351311596</v>
      </c>
      <c r="Z293" s="352" t="n">
        <f aca="false">Z344/Z329</f>
        <v>0.338618965786596</v>
      </c>
      <c r="AA293" s="353" t="n">
        <f aca="false">AA344/AA329</f>
        <v>0.327721809826794</v>
      </c>
      <c r="AB293" s="352" t="n">
        <f aca="false">AB344/AB329</f>
        <v>0.33129102844639</v>
      </c>
      <c r="AC293" s="352" t="n">
        <f aca="false">AC344/AC329</f>
        <v>0.291307838271785</v>
      </c>
      <c r="AD293" s="352" t="n">
        <f aca="false">AD344/AD329</f>
        <v>0.340189474442563</v>
      </c>
      <c r="AE293" s="352" t="n">
        <f aca="false">AE344/AE329</f>
        <v>0.297406523468576</v>
      </c>
      <c r="AF293" s="353" t="n">
        <f aca="false">AF344/AF329</f>
        <v>0.313806652046784</v>
      </c>
      <c r="AG293" s="352" t="n">
        <f aca="false">AG344/AG329</f>
        <v>0.203669642456597</v>
      </c>
      <c r="AH293" s="352" t="n">
        <f aca="false">AH344/AH329</f>
        <v>0.239573192102496</v>
      </c>
      <c r="AI293" s="352" t="n">
        <f aca="false">AI344/AI329</f>
        <v>0.273229532898041</v>
      </c>
      <c r="AJ293" s="352" t="n">
        <f aca="false">AJ344/AJ329</f>
        <v>0.353945249597424</v>
      </c>
      <c r="AK293" s="353" t="n">
        <f aca="false">AK344/AK329</f>
        <v>0.280363790186125</v>
      </c>
      <c r="AL293" s="352" t="n">
        <f aca="false">AL344/AL329</f>
        <v>0.229410800622798</v>
      </c>
      <c r="AM293" s="352" t="n">
        <f aca="false">AM344/AM329</f>
        <v>0.312866464203025</v>
      </c>
      <c r="AN293" s="352" t="n">
        <f aca="false">AN344/AN329</f>
        <v>0.343708943911066</v>
      </c>
      <c r="AO293" s="352" t="n">
        <f aca="false">AO344/AO329</f>
        <v>0.384420102486954</v>
      </c>
      <c r="AP293" s="353" t="n">
        <f aca="false">AP344/AP329</f>
        <v>0.328804950459634</v>
      </c>
      <c r="AQ293" s="352" t="n">
        <f aca="false">AQ344/AQ329</f>
        <v>0.389445221017897</v>
      </c>
      <c r="AR293" s="352" t="n">
        <f aca="false">AR344/AR329</f>
        <v>0.343440624844535</v>
      </c>
      <c r="AS293" s="352" t="n">
        <f aca="false">AS344/AS329</f>
        <v>0.394844790414592</v>
      </c>
      <c r="AT293" s="352" t="n">
        <f aca="false">AT344/AT329</f>
        <v>0.43904444801027</v>
      </c>
      <c r="AU293" s="353" t="n">
        <f aca="false">AU344/AU329</f>
        <v>0.394315189941433</v>
      </c>
      <c r="AV293" s="352" t="n">
        <f aca="false">AV344/AV329</f>
        <v>0.262307605251245</v>
      </c>
      <c r="AW293" s="352" t="n">
        <f aca="false">AW344/AW329</f>
        <v>0.331240217291226</v>
      </c>
      <c r="AX293" s="352" t="n">
        <f aca="false">AX344/AX329</f>
        <v>0.363238322690064</v>
      </c>
      <c r="AY293" s="352" t="n">
        <f aca="false">AY344/AY329</f>
        <v>0.362103822587167</v>
      </c>
      <c r="AZ293" s="353" t="n">
        <f aca="false">AZ344/AZ329</f>
        <v>0.337838986653065</v>
      </c>
      <c r="BA293" s="352" t="n">
        <f aca="false">BA344/BA329</f>
        <v>0.354807150692242</v>
      </c>
      <c r="BB293" s="352" t="n">
        <f aca="false">BB344/BB329</f>
        <v>0.358952812830506</v>
      </c>
      <c r="BC293" s="352" t="n">
        <f aca="false">BC344/BC329</f>
        <v>0.359673310355163</v>
      </c>
      <c r="BD293" s="352" t="n">
        <f aca="false">BD344/BD329</f>
        <v>0.365565842199807</v>
      </c>
      <c r="BE293" s="353" t="n">
        <f aca="false">BE344/BE329</f>
        <v>0.359849048387975</v>
      </c>
      <c r="BF293" s="352" t="n">
        <f aca="false">BF344/BF329</f>
        <v>0.307296786389414</v>
      </c>
      <c r="BG293" s="352" t="n">
        <f aca="false">BG344/BG329</f>
        <v>0.337765105401422</v>
      </c>
      <c r="BH293" s="352" t="n">
        <f aca="false">BH344/BH329</f>
        <v>0.365620773237984</v>
      </c>
      <c r="BI293" s="352" t="n">
        <f aca="false">BI344/BI329</f>
        <v>0.393984540311785</v>
      </c>
      <c r="BJ293" s="353" t="n">
        <f aca="false">BJ344/BJ329</f>
        <v>0.357847213130995</v>
      </c>
      <c r="BK293" s="352" t="n">
        <f aca="false">BK344/BK329</f>
        <v>0.390001937608991</v>
      </c>
      <c r="BL293" s="352" t="n">
        <f aca="false">BL344/BL329</f>
        <v>0.385870483768218</v>
      </c>
      <c r="BM293" s="352" t="n">
        <f aca="false">BM344/BM329</f>
        <v>0.372631718999468</v>
      </c>
      <c r="BN293" s="352" t="n">
        <f aca="false">BN344/BN329</f>
        <v>0.3850238215289</v>
      </c>
      <c r="BO293" s="354" t="n">
        <f aca="false">BO344/BO329</f>
        <v>0.383551747466121</v>
      </c>
      <c r="BP293" s="355" t="n">
        <f aca="false">BP344/BP329</f>
        <v>0.381890070035276</v>
      </c>
      <c r="BQ293" s="355" t="n">
        <f aca="false">BQ344/BQ329</f>
        <v>0.430246384810387</v>
      </c>
      <c r="BR293" s="355" t="n">
        <f aca="false">BR344/BR329</f>
        <v>0.381227924505687</v>
      </c>
      <c r="BS293" s="355" t="n">
        <f aca="false">BS344/BS329</f>
        <v>0.390153836615987</v>
      </c>
      <c r="BT293" s="351" t="n">
        <f aca="false">BT344/BT329</f>
        <v>0.395589625417328</v>
      </c>
      <c r="BU293" s="355" t="n">
        <f aca="false">BU344/BU329</f>
        <v>0.384240809377819</v>
      </c>
      <c r="BV293" s="355" t="n">
        <f aca="false">BV344/BV329</f>
        <v>0.498231298250336</v>
      </c>
      <c r="BW293" s="355" t="n">
        <f aca="false">BW344/BW329</f>
        <v>0.419332754400865</v>
      </c>
      <c r="BX293" s="355" t="n">
        <f aca="false">BX344/BX329</f>
        <v>0.392594384187153</v>
      </c>
      <c r="BY293" s="351" t="n">
        <f aca="false">BY344/BY329</f>
        <v>0.422294188140038</v>
      </c>
      <c r="BZ293" s="351" t="n">
        <f aca="false">BZ344/BZ329</f>
        <v>0.422526978739319</v>
      </c>
      <c r="CA293" s="351" t="n">
        <f aca="false">CA344/CA329</f>
        <v>0.426234948779077</v>
      </c>
      <c r="CB293" s="351" t="n">
        <f aca="false">CB344/CB329</f>
        <v>0.430269723564576</v>
      </c>
      <c r="CC293" s="83"/>
    </row>
    <row r="294" s="84" customFormat="true" ht="15" hidden="true" customHeight="true" outlineLevel="1" collapsed="false">
      <c r="A294" s="388" t="s">
        <v>381</v>
      </c>
      <c r="B294" s="141"/>
      <c r="C294" s="385" t="n">
        <f aca="false">C345/C329</f>
        <v>-0.00507498764146542</v>
      </c>
      <c r="D294" s="385" t="n">
        <f aca="false">D345/D329</f>
        <v>0.313724811654464</v>
      </c>
      <c r="E294" s="385" t="n">
        <f aca="false">E345/E329</f>
        <v>0.321858031316387</v>
      </c>
      <c r="F294" s="385" t="n">
        <f aca="false">F345/F329</f>
        <v>0.287877452549955</v>
      </c>
      <c r="G294" s="385" t="n">
        <f aca="false">G345/G329</f>
        <v>0.253386348150715</v>
      </c>
      <c r="H294" s="386" t="n">
        <f aca="false">H345/H329</f>
        <v>0.253132832080201</v>
      </c>
      <c r="I294" s="386" t="n">
        <f aca="false">I345/I329</f>
        <v>0.307799951326357</v>
      </c>
      <c r="J294" s="386" t="n">
        <f aca="false">J345/J329</f>
        <v>0.253743760399334</v>
      </c>
      <c r="K294" s="386" t="n">
        <f aca="false">K345/K329</f>
        <v>0.271301204819277</v>
      </c>
      <c r="L294" s="385" t="n">
        <f aca="false">L345/L329</f>
        <v>0.273255346357421</v>
      </c>
      <c r="M294" s="386" t="n">
        <f aca="false">M345/M329</f>
        <v>0.32511061276441</v>
      </c>
      <c r="N294" s="386" t="n">
        <f aca="false">N345/N329</f>
        <v>0.306329726135058</v>
      </c>
      <c r="O294" s="386" t="n">
        <f aca="false">O345/O329</f>
        <v>0.299961270333075</v>
      </c>
      <c r="P294" s="386" t="n">
        <f aca="false">P345/P329</f>
        <v>0.2881425184772</v>
      </c>
      <c r="Q294" s="385" t="n">
        <f aca="false">Q345/Q329</f>
        <v>0.305547068530189</v>
      </c>
      <c r="R294" s="386" t="n">
        <f aca="false">R345/R329</f>
        <v>0.242424242424242</v>
      </c>
      <c r="S294" s="386" t="n">
        <f aca="false">S345/S329</f>
        <v>0.286962520119568</v>
      </c>
      <c r="T294" s="386" t="n">
        <f aca="false">T345/T329</f>
        <v>0.327840846467541</v>
      </c>
      <c r="U294" s="386" t="n">
        <f aca="false">U345/U329</f>
        <v>0.338156653035546</v>
      </c>
      <c r="V294" s="385" t="n">
        <f aca="false">V345/V329</f>
        <v>0.303511508800848</v>
      </c>
      <c r="W294" s="386" t="n">
        <f aca="false">W345/W329</f>
        <v>0.33875282980037</v>
      </c>
      <c r="X294" s="386" t="n">
        <f aca="false">X345/X329</f>
        <v>0.318739887693918</v>
      </c>
      <c r="Y294" s="386" t="n">
        <f aca="false">Y345/Y329</f>
        <v>0.315273351311596</v>
      </c>
      <c r="Z294" s="386" t="n">
        <f aca="false">Z345/Z329</f>
        <v>0.338618965786596</v>
      </c>
      <c r="AA294" s="385" t="n">
        <f aca="false">AA345/AA329</f>
        <v>0.327721809826794</v>
      </c>
      <c r="AB294" s="386" t="n">
        <f aca="false">AB345/AB329</f>
        <v>0.33129102844639</v>
      </c>
      <c r="AC294" s="386" t="n">
        <f aca="false">AC345/AC329</f>
        <v>0.291307838271785</v>
      </c>
      <c r="AD294" s="386" t="n">
        <f aca="false">AD345/AD329</f>
        <v>0.340189474442563</v>
      </c>
      <c r="AE294" s="386" t="n">
        <f aca="false">AE345/AE329</f>
        <v>0.297406523468576</v>
      </c>
      <c r="AF294" s="385" t="n">
        <f aca="false">AF345/AF329</f>
        <v>0.313806652046784</v>
      </c>
      <c r="AG294" s="386" t="n">
        <f aca="false">AG345/AG329</f>
        <v>0.203669642456597</v>
      </c>
      <c r="AH294" s="386" t="n">
        <f aca="false">AH345/AH329</f>
        <v>0.239573192102496</v>
      </c>
      <c r="AI294" s="386" t="n">
        <f aca="false">AI345/AI329</f>
        <v>0.273229532898041</v>
      </c>
      <c r="AJ294" s="386" t="n">
        <f aca="false">AJ345/AJ329</f>
        <v>0.353945249597424</v>
      </c>
      <c r="AK294" s="385" t="n">
        <f aca="false">AK345/AK329</f>
        <v>0.280363790186125</v>
      </c>
      <c r="AL294" s="386" t="n">
        <f aca="false">AL345/AL329</f>
        <v>0.229410800622798</v>
      </c>
      <c r="AM294" s="386" t="n">
        <f aca="false">AM345/AM329</f>
        <v>0.312866464203025</v>
      </c>
      <c r="AN294" s="386" t="n">
        <f aca="false">AN345/AN329</f>
        <v>0.343708943911066</v>
      </c>
      <c r="AO294" s="386" t="n">
        <f aca="false">AO345/AO329</f>
        <v>0.384420102486954</v>
      </c>
      <c r="AP294" s="385" t="n">
        <f aca="false">AP345/AP329</f>
        <v>0.328804950459634</v>
      </c>
      <c r="AQ294" s="386" t="n">
        <f aca="false">AQ345/AQ329</f>
        <v>0.389445221017897</v>
      </c>
      <c r="AR294" s="386" t="n">
        <f aca="false">AR345/AR329</f>
        <v>0.343440624844535</v>
      </c>
      <c r="AS294" s="386" t="n">
        <f aca="false">AS345/AS329</f>
        <v>0.394844790414592</v>
      </c>
      <c r="AT294" s="386" t="n">
        <f aca="false">AT345/AT329</f>
        <v>0.43904444801027</v>
      </c>
      <c r="AU294" s="385" t="n">
        <f aca="false">AU345/AU329</f>
        <v>0.394315189941433</v>
      </c>
      <c r="AV294" s="386" t="n">
        <f aca="false">AV345/AV329</f>
        <v>0.262307605251245</v>
      </c>
      <c r="AW294" s="386" t="n">
        <f aca="false">AW345/AW329</f>
        <v>0.331240217291226</v>
      </c>
      <c r="AX294" s="386" t="n">
        <f aca="false">AX345/AX329</f>
        <v>0.363238322690064</v>
      </c>
      <c r="AY294" s="386" t="n">
        <f aca="false">AY345/AY329</f>
        <v>0.362103822587167</v>
      </c>
      <c r="AZ294" s="385" t="n">
        <f aca="false">AZ345/AZ329</f>
        <v>0.337838986653065</v>
      </c>
      <c r="BA294" s="386" t="n">
        <f aca="false">BA345/BA329</f>
        <v>0.354807150692242</v>
      </c>
      <c r="BB294" s="386" t="n">
        <f aca="false">BB345/BB329</f>
        <v>0.358952812830506</v>
      </c>
      <c r="BC294" s="386" t="n">
        <f aca="false">BC345/BC329</f>
        <v>0.359673310355163</v>
      </c>
      <c r="BD294" s="386" t="n">
        <f aca="false">BD345/BD329</f>
        <v>0.365565842199807</v>
      </c>
      <c r="BE294" s="385" t="n">
        <f aca="false">BE345/BE329</f>
        <v>0.359849048387975</v>
      </c>
      <c r="BF294" s="386" t="n">
        <f aca="false">BF345/BF329</f>
        <v>0.307296786389414</v>
      </c>
      <c r="BG294" s="386" t="n">
        <f aca="false">BG345/BG329</f>
        <v>0.337765105401422</v>
      </c>
      <c r="BH294" s="386" t="n">
        <f aca="false">BH345/BH329</f>
        <v>0.365620773237984</v>
      </c>
      <c r="BI294" s="386" t="n">
        <f aca="false">BI345/BI329</f>
        <v>0.393984540311785</v>
      </c>
      <c r="BJ294" s="385" t="n">
        <f aca="false">BJ345/BJ329</f>
        <v>0.357847213130995</v>
      </c>
      <c r="BK294" s="386" t="n">
        <f aca="false">BK345/BK329</f>
        <v>0.390001937608991</v>
      </c>
      <c r="BL294" s="386" t="n">
        <f aca="false">BL345/BL329</f>
        <v>0.385870483768218</v>
      </c>
      <c r="BM294" s="386" t="n">
        <f aca="false">BM345/BM329</f>
        <v>0.372631718999468</v>
      </c>
      <c r="BN294" s="386" t="n">
        <f aca="false">BN345/BN329</f>
        <v>0.3850238215289</v>
      </c>
      <c r="BO294" s="387" t="n">
        <f aca="false">BO345/BO329</f>
        <v>0.383551747466121</v>
      </c>
      <c r="BP294" s="143" t="n">
        <f aca="false">BP345/BP329</f>
        <v>0.381890070035276</v>
      </c>
      <c r="BQ294" s="143" t="n">
        <f aca="false">BQ345/BQ329</f>
        <v>0.430246384810387</v>
      </c>
      <c r="BR294" s="143" t="n">
        <f aca="false">BR345/BR329</f>
        <v>0.381227924505687</v>
      </c>
      <c r="BS294" s="143" t="n">
        <f aca="false">BS345/BS329</f>
        <v>0.390153836615987</v>
      </c>
      <c r="BT294" s="142" t="n">
        <f aca="false">BT345/BT329</f>
        <v>0.395589625417328</v>
      </c>
      <c r="BU294" s="143" t="n">
        <f aca="false">BU345/BU329</f>
        <v>0.384240809377819</v>
      </c>
      <c r="BV294" s="143" t="n">
        <f aca="false">BV345/BV329</f>
        <v>0.498231298250336</v>
      </c>
      <c r="BW294" s="143" t="n">
        <f aca="false">BW345/BW329</f>
        <v>0.419332754400865</v>
      </c>
      <c r="BX294" s="143" t="n">
        <f aca="false">BX345/BX329</f>
        <v>0.392594384187153</v>
      </c>
      <c r="BY294" s="142" t="n">
        <f aca="false">BY345/BY329</f>
        <v>0.422294188140038</v>
      </c>
      <c r="BZ294" s="142" t="n">
        <f aca="false">BZ345/BZ329</f>
        <v>0.422526978739319</v>
      </c>
      <c r="CA294" s="142" t="n">
        <f aca="false">CA345/CA329</f>
        <v>0.426234948779077</v>
      </c>
      <c r="CB294" s="142" t="n">
        <f aca="false">CB345/CB329</f>
        <v>0.430269723564576</v>
      </c>
      <c r="CC294" s="83"/>
    </row>
    <row r="295" s="383" customFormat="true" ht="15" hidden="true" customHeight="true" outlineLevel="1" collapsed="false">
      <c r="A295" s="131" t="s">
        <v>382</v>
      </c>
      <c r="B295" s="382"/>
      <c r="C295" s="167"/>
      <c r="D295" s="167"/>
      <c r="E295" s="167"/>
      <c r="F295" s="167"/>
      <c r="G295" s="167"/>
      <c r="H295" s="168"/>
      <c r="I295" s="168"/>
      <c r="J295" s="168"/>
      <c r="K295" s="168"/>
      <c r="L295" s="167"/>
      <c r="M295" s="168"/>
      <c r="N295" s="168"/>
      <c r="O295" s="168"/>
      <c r="P295" s="168"/>
      <c r="Q295" s="167"/>
      <c r="R295" s="168"/>
      <c r="S295" s="168"/>
      <c r="T295" s="168"/>
      <c r="U295" s="168"/>
      <c r="V295" s="167"/>
      <c r="W295" s="168"/>
      <c r="X295" s="168"/>
      <c r="Y295" s="168"/>
      <c r="Z295" s="168"/>
      <c r="AA295" s="167"/>
      <c r="AB295" s="168"/>
      <c r="AC295" s="168"/>
      <c r="AD295" s="168"/>
      <c r="AE295" s="168"/>
      <c r="AF295" s="167"/>
      <c r="AG295" s="168"/>
      <c r="AH295" s="168"/>
      <c r="AI295" s="168"/>
      <c r="AJ295" s="168"/>
      <c r="AK295" s="167"/>
      <c r="AL295" s="168"/>
      <c r="AM295" s="168"/>
      <c r="AN295" s="168"/>
      <c r="AO295" s="168"/>
      <c r="AP295" s="167"/>
      <c r="AQ295" s="168"/>
      <c r="AR295" s="168"/>
      <c r="AS295" s="168"/>
      <c r="AT295" s="168"/>
      <c r="AU295" s="167"/>
      <c r="AV295" s="168"/>
      <c r="AW295" s="168"/>
      <c r="AX295" s="168"/>
      <c r="AY295" s="168"/>
      <c r="AZ295" s="167"/>
      <c r="BA295" s="168"/>
      <c r="BB295" s="168"/>
      <c r="BC295" s="168"/>
      <c r="BD295" s="168"/>
      <c r="BE295" s="167"/>
      <c r="BF295" s="168"/>
      <c r="BG295" s="168"/>
      <c r="BH295" s="168"/>
      <c r="BI295" s="168"/>
      <c r="BJ295" s="167"/>
      <c r="BK295" s="168"/>
      <c r="BL295" s="168"/>
      <c r="BM295" s="168"/>
      <c r="BN295" s="168"/>
      <c r="BO295" s="169"/>
      <c r="BP295" s="134" t="n">
        <f aca="false">IFERROR(BP346/BP330,0)</f>
        <v>0</v>
      </c>
      <c r="BQ295" s="134" t="n">
        <f aca="false">IFERROR(BQ346/BQ330,0)</f>
        <v>0</v>
      </c>
      <c r="BR295" s="134" t="n">
        <f aca="false">IFERROR(BR346/BR330,0)</f>
        <v>0</v>
      </c>
      <c r="BS295" s="134" t="n">
        <f aca="false">IFERROR(BS346/BS330,0)</f>
        <v>0</v>
      </c>
      <c r="BT295" s="133" t="n">
        <f aca="false">IFERROR(BT346/BT330,0)</f>
        <v>0</v>
      </c>
      <c r="BU295" s="134" t="n">
        <f aca="false">IFERROR(BU346/BU330,0)</f>
        <v>0</v>
      </c>
      <c r="BV295" s="134" t="n">
        <f aca="false">IFERROR(BV346/BV330,0)</f>
        <v>0</v>
      </c>
      <c r="BW295" s="134" t="n">
        <f aca="false">IFERROR(BW346/BW330,0)</f>
        <v>0</v>
      </c>
      <c r="BX295" s="134" t="n">
        <f aca="false">IFERROR(BX346/BX330,0)</f>
        <v>0</v>
      </c>
      <c r="BY295" s="133" t="n">
        <f aca="false">IFERROR(BY346/BY330,0)</f>
        <v>0</v>
      </c>
      <c r="BZ295" s="133" t="n">
        <f aca="false">IFERROR(BZ346/BZ330,0)</f>
        <v>0</v>
      </c>
      <c r="CA295" s="133" t="n">
        <f aca="false">IFERROR(CA346/CA330,0)</f>
        <v>0</v>
      </c>
      <c r="CB295" s="133" t="n">
        <f aca="false">IFERROR(CB346/CB330,0)</f>
        <v>0</v>
      </c>
      <c r="CC295" s="168"/>
    </row>
    <row r="296" s="383" customFormat="true" ht="15" hidden="false" customHeight="true" outlineLevel="0" collapsed="false">
      <c r="A296" s="131"/>
      <c r="B296" s="382"/>
      <c r="C296" s="167"/>
      <c r="D296" s="167"/>
      <c r="E296" s="167"/>
      <c r="F296" s="167"/>
      <c r="G296" s="167"/>
      <c r="H296" s="168"/>
      <c r="I296" s="168"/>
      <c r="J296" s="168"/>
      <c r="K296" s="168"/>
      <c r="L296" s="167"/>
      <c r="M296" s="168"/>
      <c r="N296" s="168"/>
      <c r="O296" s="168"/>
      <c r="P296" s="168"/>
      <c r="Q296" s="167"/>
      <c r="R296" s="168"/>
      <c r="S296" s="168"/>
      <c r="T296" s="168"/>
      <c r="U296" s="168"/>
      <c r="V296" s="167"/>
      <c r="W296" s="168"/>
      <c r="X296" s="168"/>
      <c r="Y296" s="168"/>
      <c r="Z296" s="168"/>
      <c r="AA296" s="167"/>
      <c r="AB296" s="168"/>
      <c r="AC296" s="168"/>
      <c r="AD296" s="168"/>
      <c r="AE296" s="168"/>
      <c r="AF296" s="167"/>
      <c r="AG296" s="168"/>
      <c r="AH296" s="168"/>
      <c r="AI296" s="168"/>
      <c r="AJ296" s="168"/>
      <c r="AK296" s="167"/>
      <c r="AL296" s="168"/>
      <c r="AM296" s="168"/>
      <c r="AN296" s="168"/>
      <c r="AO296" s="168"/>
      <c r="AP296" s="167"/>
      <c r="AQ296" s="168"/>
      <c r="AR296" s="168"/>
      <c r="AS296" s="168"/>
      <c r="AT296" s="168"/>
      <c r="AU296" s="167"/>
      <c r="AV296" s="168"/>
      <c r="AW296" s="168"/>
      <c r="AX296" s="168"/>
      <c r="AY296" s="168"/>
      <c r="AZ296" s="167"/>
      <c r="BA296" s="168"/>
      <c r="BB296" s="168"/>
      <c r="BC296" s="168"/>
      <c r="BD296" s="168"/>
      <c r="BE296" s="167"/>
      <c r="BF296" s="168"/>
      <c r="BG296" s="168"/>
      <c r="BH296" s="168"/>
      <c r="BI296" s="168"/>
      <c r="BJ296" s="167"/>
      <c r="BK296" s="168"/>
      <c r="BL296" s="168"/>
      <c r="BM296" s="168"/>
      <c r="BN296" s="168"/>
      <c r="BO296" s="169"/>
      <c r="BP296" s="168"/>
      <c r="BQ296" s="168"/>
      <c r="BR296" s="168"/>
      <c r="BS296" s="168"/>
      <c r="BT296" s="389"/>
      <c r="BU296" s="168"/>
      <c r="BV296" s="168"/>
      <c r="BW296" s="168"/>
      <c r="BX296" s="168"/>
      <c r="BY296" s="389"/>
      <c r="BZ296" s="389"/>
      <c r="CA296" s="389"/>
      <c r="CB296" s="389"/>
      <c r="CC296" s="168"/>
    </row>
    <row r="297" s="157" customFormat="true" ht="15" hidden="false" customHeight="true" outlineLevel="0" collapsed="false">
      <c r="A297" s="219" t="s">
        <v>383</v>
      </c>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c r="AA297" s="219"/>
      <c r="AB297" s="219"/>
      <c r="AC297" s="219"/>
      <c r="AD297" s="219"/>
      <c r="AE297" s="219"/>
      <c r="AF297" s="219"/>
      <c r="AG297" s="219"/>
      <c r="AH297" s="219"/>
      <c r="AI297" s="219"/>
      <c r="AJ297" s="219"/>
      <c r="AK297" s="219"/>
      <c r="AL297" s="219"/>
      <c r="AM297" s="219"/>
      <c r="AN297" s="219"/>
      <c r="AO297" s="219"/>
      <c r="AP297" s="219"/>
      <c r="AQ297" s="219"/>
      <c r="AR297" s="219"/>
      <c r="AS297" s="219"/>
      <c r="AT297" s="219"/>
      <c r="AU297" s="219"/>
      <c r="AV297" s="219"/>
      <c r="AW297" s="219"/>
      <c r="AX297" s="219"/>
      <c r="AY297" s="219"/>
      <c r="AZ297" s="219"/>
      <c r="BA297" s="219"/>
      <c r="BB297" s="219"/>
      <c r="BC297" s="219"/>
      <c r="BD297" s="219"/>
      <c r="BE297" s="219"/>
      <c r="BF297" s="219"/>
      <c r="BG297" s="219"/>
      <c r="BH297" s="219"/>
      <c r="BI297" s="219"/>
      <c r="BJ297" s="219"/>
      <c r="BK297" s="219"/>
      <c r="BL297" s="219"/>
      <c r="BM297" s="219"/>
      <c r="BN297" s="219"/>
      <c r="BO297" s="220"/>
      <c r="BP297" s="219"/>
      <c r="BQ297" s="219"/>
      <c r="BR297" s="219"/>
      <c r="BS297" s="219"/>
      <c r="BT297" s="219"/>
      <c r="BU297" s="219"/>
      <c r="BV297" s="219"/>
      <c r="BW297" s="219"/>
      <c r="BX297" s="219"/>
      <c r="BY297" s="219"/>
      <c r="BZ297" s="219"/>
      <c r="CA297" s="219"/>
      <c r="CB297" s="219"/>
      <c r="CC297" s="156"/>
    </row>
    <row r="298" s="51" customFormat="true" ht="15" hidden="true" customHeight="true" outlineLevel="1" collapsed="false">
      <c r="A298" s="270" t="s">
        <v>384</v>
      </c>
      <c r="B298" s="254"/>
      <c r="C298" s="255" t="n">
        <v>1174.858</v>
      </c>
      <c r="D298" s="255" t="n">
        <v>3894.742</v>
      </c>
      <c r="E298" s="255" t="n">
        <v>4883.913</v>
      </c>
      <c r="F298" s="255" t="n">
        <v>3801.632</v>
      </c>
      <c r="G298" s="255" t="n">
        <v>3993.129</v>
      </c>
      <c r="H298" s="263" t="n">
        <v>1030</v>
      </c>
      <c r="I298" s="263" t="n">
        <v>1243</v>
      </c>
      <c r="J298" s="263" t="n">
        <v>884.5</v>
      </c>
      <c r="K298" s="263" t="n">
        <v>1085.3</v>
      </c>
      <c r="L298" s="255" t="n">
        <v>4242.79</v>
      </c>
      <c r="M298" s="263" t="n">
        <v>1246.5</v>
      </c>
      <c r="N298" s="263" t="n">
        <v>1134.5</v>
      </c>
      <c r="O298" s="263" t="n">
        <v>975.3</v>
      </c>
      <c r="P298" s="263" t="n">
        <v>880.9</v>
      </c>
      <c r="Q298" s="255" t="n">
        <v>4237.183</v>
      </c>
      <c r="R298" s="263" t="n">
        <v>859.8</v>
      </c>
      <c r="S298" s="263" t="n">
        <v>1265.4</v>
      </c>
      <c r="T298" s="263" t="n">
        <v>1257.7</v>
      </c>
      <c r="U298" s="263" t="n">
        <v>1289.1</v>
      </c>
      <c r="V298" s="255" t="n">
        <v>4672</v>
      </c>
      <c r="W298" s="263" t="n">
        <v>1215.8</v>
      </c>
      <c r="X298" s="263" t="n">
        <v>1384.1</v>
      </c>
      <c r="Y298" s="263" t="n">
        <v>1818.9</v>
      </c>
      <c r="Z298" s="263" t="n">
        <v>1954.9</v>
      </c>
      <c r="AA298" s="255" t="n">
        <v>6373.7</v>
      </c>
      <c r="AB298" s="263" t="n">
        <v>1667.7</v>
      </c>
      <c r="AC298" s="263" t="n">
        <v>2086.5</v>
      </c>
      <c r="AD298" s="263" t="n">
        <v>2080.6</v>
      </c>
      <c r="AE298" s="50" t="n">
        <f aca="false">AF298-SUM(AB298,AC298,AD298)</f>
        <v>2424.3</v>
      </c>
      <c r="AF298" s="255" t="n">
        <v>8259.1</v>
      </c>
      <c r="AG298" s="263" t="n">
        <v>1689</v>
      </c>
      <c r="AH298" s="263" t="n">
        <v>1850.8</v>
      </c>
      <c r="AI298" s="263" t="n">
        <v>2325.6</v>
      </c>
      <c r="AJ298" s="50" t="n">
        <f aca="false">AK298-SUM(AG298,AH298,AI298)</f>
        <v>3130.8</v>
      </c>
      <c r="AK298" s="255" t="n">
        <v>8996.2</v>
      </c>
      <c r="AL298" s="263" t="n">
        <v>1584</v>
      </c>
      <c r="AM298" s="263" t="n">
        <v>2438.6</v>
      </c>
      <c r="AN298" s="263" t="n">
        <v>3095.6</v>
      </c>
      <c r="AO298" s="50" t="n">
        <f aca="false">AP298-SUM(AL298,AM298,AN298)</f>
        <v>3198.4</v>
      </c>
      <c r="AP298" s="255" t="n">
        <v>10316.6</v>
      </c>
      <c r="AQ298" s="263" t="n">
        <v>3128.8</v>
      </c>
      <c r="AR298" s="263" t="n">
        <v>2949.6</v>
      </c>
      <c r="AS298" s="263" t="n">
        <v>4111.1</v>
      </c>
      <c r="AT298" s="50" t="n">
        <f aca="false">AU298-SUM(AQ298,AR298,AS298)</f>
        <v>3463.3</v>
      </c>
      <c r="AU298" s="255" t="n">
        <v>13652.8</v>
      </c>
      <c r="AV298" s="263" t="n">
        <v>2287.2</v>
      </c>
      <c r="AW298" s="263" t="n">
        <v>4140.5</v>
      </c>
      <c r="AX298" s="263" t="n">
        <v>4254.7</v>
      </c>
      <c r="AY298" s="50" t="n">
        <f aca="false">AZ298-SUM(AV298,AW298,AX298)</f>
        <v>4747.9</v>
      </c>
      <c r="AZ298" s="255" t="n">
        <v>15430.3</v>
      </c>
      <c r="BA298" s="263" t="n">
        <v>5341.8</v>
      </c>
      <c r="BB298" s="263" t="n">
        <v>5606.1</v>
      </c>
      <c r="BC298" s="263" t="n">
        <v>5308.2</v>
      </c>
      <c r="BD298" s="50" t="n">
        <f aca="false">BE298-SUM(BA298,BB298,BC298)</f>
        <v>5682.5</v>
      </c>
      <c r="BE298" s="255" t="n">
        <v>21938.6</v>
      </c>
      <c r="BF298" s="263" t="n">
        <v>3965.9</v>
      </c>
      <c r="BG298" s="263" t="n">
        <v>4760.9</v>
      </c>
      <c r="BH298" s="263" t="n">
        <v>5926</v>
      </c>
      <c r="BI298" s="50" t="n">
        <f aca="false">BJ298-SUM(BF298,BG298,BH298)</f>
        <v>7115.9</v>
      </c>
      <c r="BJ298" s="255" t="n">
        <v>21768.7</v>
      </c>
      <c r="BK298" s="263" t="n">
        <v>5740.4</v>
      </c>
      <c r="BL298" s="263" t="n">
        <v>5596.1</v>
      </c>
      <c r="BM298" s="263" t="n">
        <v>5553.8</v>
      </c>
      <c r="BN298" s="50" t="n">
        <f aca="false">BO298-SUM(BK298,BL298,BM298)</f>
        <v>7584</v>
      </c>
      <c r="BO298" s="390" t="n">
        <v>24474.3</v>
      </c>
      <c r="BP298" s="48"/>
      <c r="BQ298" s="48"/>
      <c r="BR298" s="48"/>
      <c r="BS298" s="48"/>
      <c r="BT298" s="159"/>
      <c r="BU298" s="48"/>
      <c r="BV298" s="48"/>
      <c r="BW298" s="48"/>
      <c r="BX298" s="48"/>
      <c r="BY298" s="159"/>
      <c r="BZ298" s="159"/>
      <c r="CA298" s="159"/>
      <c r="CB298" s="159"/>
      <c r="CC298" s="50"/>
    </row>
    <row r="299" s="51" customFormat="true" ht="15" hidden="true" customHeight="true" outlineLevel="1" collapsed="false">
      <c r="A299" s="226" t="s">
        <v>385</v>
      </c>
      <c r="B299" s="257"/>
      <c r="C299" s="258" t="n">
        <v>421.205</v>
      </c>
      <c r="D299" s="258" t="n">
        <v>613.196</v>
      </c>
      <c r="E299" s="258" t="n">
        <v>767.122</v>
      </c>
      <c r="F299" s="258" t="n">
        <v>929.923</v>
      </c>
      <c r="G299" s="258" t="n">
        <v>1252.197</v>
      </c>
      <c r="H299" s="265" t="n">
        <v>366.5</v>
      </c>
      <c r="I299" s="265" t="n">
        <v>400.6</v>
      </c>
      <c r="J299" s="265" t="n">
        <v>437.7</v>
      </c>
      <c r="K299" s="265" t="n">
        <v>408.7</v>
      </c>
      <c r="L299" s="258" t="n">
        <v>1613.487</v>
      </c>
      <c r="M299" s="265" t="n">
        <v>403.4</v>
      </c>
      <c r="N299" s="265" t="n">
        <v>519.6</v>
      </c>
      <c r="O299" s="265" t="n">
        <v>573.9</v>
      </c>
      <c r="P299" s="265" t="n">
        <v>553.3</v>
      </c>
      <c r="Q299" s="258" t="n">
        <v>2050.192</v>
      </c>
      <c r="R299" s="265" t="n">
        <v>473.4</v>
      </c>
      <c r="S299" s="265" t="n">
        <v>474.2</v>
      </c>
      <c r="T299" s="265" t="n">
        <v>556.9</v>
      </c>
      <c r="U299" s="265" t="n">
        <v>618.3</v>
      </c>
      <c r="V299" s="258" t="n">
        <v>2122.8</v>
      </c>
      <c r="W299" s="265" t="n">
        <v>727.8</v>
      </c>
      <c r="X299" s="265" t="n">
        <v>717.3</v>
      </c>
      <c r="Y299" s="265" t="n">
        <v>628.5</v>
      </c>
      <c r="Z299" s="265" t="n">
        <v>605.5</v>
      </c>
      <c r="AA299" s="258" t="n">
        <v>2679.1</v>
      </c>
      <c r="AB299" s="265" t="n">
        <v>617.3</v>
      </c>
      <c r="AC299" s="265" t="n">
        <v>653.9</v>
      </c>
      <c r="AD299" s="265" t="n">
        <v>695.5</v>
      </c>
      <c r="AE299" s="391" t="n">
        <f aca="false">AF299-SUM(AB299,AC299,AD299)</f>
        <v>718.2</v>
      </c>
      <c r="AF299" s="258" t="n">
        <v>2684.9</v>
      </c>
      <c r="AG299" s="265" t="n">
        <v>540.1</v>
      </c>
      <c r="AH299" s="265" t="n">
        <v>717.1</v>
      </c>
      <c r="AI299" s="265" t="n">
        <v>660.9</v>
      </c>
      <c r="AJ299" s="391" t="n">
        <f aca="false">AK299-SUM(AG299,AH299,AI299)</f>
        <v>905.7</v>
      </c>
      <c r="AK299" s="258" t="n">
        <v>2823.8</v>
      </c>
      <c r="AL299" s="265" t="n">
        <v>856.6</v>
      </c>
      <c r="AM299" s="265" t="n">
        <v>887.1</v>
      </c>
      <c r="AN299" s="265" t="n">
        <v>862.4</v>
      </c>
      <c r="AO299" s="391" t="n">
        <f aca="false">AP299-SUM(AL299,AM299,AN299)</f>
        <v>1055.8</v>
      </c>
      <c r="AP299" s="258" t="n">
        <v>3661.9</v>
      </c>
      <c r="AQ299" s="265" t="n">
        <v>1235.1</v>
      </c>
      <c r="AR299" s="265" t="n">
        <v>1070.6</v>
      </c>
      <c r="AS299" s="265" t="n">
        <v>1130.2</v>
      </c>
      <c r="AT299" s="391" t="n">
        <f aca="false">AU299-SUM(AQ299,AR299,AS299)</f>
        <v>1522.3</v>
      </c>
      <c r="AU299" s="258" t="n">
        <v>4958.2</v>
      </c>
      <c r="AV299" s="265" t="n">
        <v>1247.2</v>
      </c>
      <c r="AW299" s="265" t="n">
        <v>1290</v>
      </c>
      <c r="AX299" s="265" t="n">
        <v>1523.6</v>
      </c>
      <c r="AY299" s="391" t="n">
        <f aca="false">AZ299-SUM(AV299,AW299,AX299)</f>
        <v>1682.3</v>
      </c>
      <c r="AZ299" s="258" t="n">
        <v>5743.1</v>
      </c>
      <c r="BA299" s="265" t="n">
        <v>1404.4</v>
      </c>
      <c r="BB299" s="265" t="n">
        <v>1296.2</v>
      </c>
      <c r="BC299" s="265" t="n">
        <v>1364.8</v>
      </c>
      <c r="BD299" s="391" t="n">
        <f aca="false">BE299-SUM(BA299,BB299,BC299)</f>
        <v>1554.5</v>
      </c>
      <c r="BE299" s="258" t="n">
        <v>5619.9</v>
      </c>
      <c r="BF299" s="265" t="n">
        <v>1324.1</v>
      </c>
      <c r="BG299" s="265" t="n">
        <v>1481.9</v>
      </c>
      <c r="BH299" s="265" t="n">
        <v>1541.3</v>
      </c>
      <c r="BI299" s="391" t="n">
        <f aca="false">BJ299-SUM(BF299,BG299,BH299)</f>
        <v>2146.9</v>
      </c>
      <c r="BJ299" s="258" t="n">
        <v>6494.2</v>
      </c>
      <c r="BK299" s="265" t="n">
        <v>2001.1</v>
      </c>
      <c r="BL299" s="265" t="n">
        <v>2095.6</v>
      </c>
      <c r="BM299" s="265" t="n">
        <v>1962.2</v>
      </c>
      <c r="BN299" s="391" t="n">
        <f aca="false">BO299-SUM(BK299,BL299,BM299)</f>
        <v>2134.1</v>
      </c>
      <c r="BO299" s="392" t="n">
        <v>8193</v>
      </c>
      <c r="BP299" s="259"/>
      <c r="BQ299" s="259"/>
      <c r="BR299" s="259"/>
      <c r="BS299" s="259"/>
      <c r="BT299" s="261"/>
      <c r="BU299" s="259"/>
      <c r="BV299" s="259"/>
      <c r="BW299" s="259"/>
      <c r="BX299" s="259"/>
      <c r="BY299" s="261"/>
      <c r="BZ299" s="261"/>
      <c r="CA299" s="261"/>
      <c r="CB299" s="261"/>
      <c r="CC299" s="50"/>
    </row>
    <row r="300" s="157" customFormat="true" ht="15" hidden="true" customHeight="true" outlineLevel="1" collapsed="false">
      <c r="A300" s="244" t="s">
        <v>386</v>
      </c>
      <c r="B300" s="393"/>
      <c r="C300" s="357" t="n">
        <f aca="false">SUM(C298:C299)</f>
        <v>1596.063</v>
      </c>
      <c r="D300" s="357" t="n">
        <f aca="false">SUM(D298:D299)</f>
        <v>4507.938</v>
      </c>
      <c r="E300" s="357" t="n">
        <f aca="false">SUM(E298:E299)</f>
        <v>5651.035</v>
      </c>
      <c r="F300" s="357" t="n">
        <f aca="false">SUM(F298:F299)</f>
        <v>4731.555</v>
      </c>
      <c r="G300" s="357" t="n">
        <f aca="false">SUM(G298:G299)</f>
        <v>5245.326</v>
      </c>
      <c r="H300" s="394" t="n">
        <f aca="false">SUM(H298:H299)</f>
        <v>1396.5</v>
      </c>
      <c r="I300" s="394" t="n">
        <f aca="false">SUM(I298:I299)</f>
        <v>1643.6</v>
      </c>
      <c r="J300" s="394" t="n">
        <f aca="false">SUM(J298:J299)</f>
        <v>1322.2</v>
      </c>
      <c r="K300" s="394" t="n">
        <f aca="false">SUM(K298:K299)</f>
        <v>1494</v>
      </c>
      <c r="L300" s="357" t="n">
        <f aca="false">SUM(L298:L299)</f>
        <v>5856.277</v>
      </c>
      <c r="M300" s="394" t="n">
        <f aca="false">SUM(M298:M299)</f>
        <v>1649.9</v>
      </c>
      <c r="N300" s="394" t="n">
        <f aca="false">SUM(N298:N299)</f>
        <v>1654.1</v>
      </c>
      <c r="O300" s="394" t="n">
        <f aca="false">SUM(O298:O299)</f>
        <v>1549.2</v>
      </c>
      <c r="P300" s="394" t="n">
        <f aca="false">SUM(P298:P299)</f>
        <v>1434.2</v>
      </c>
      <c r="Q300" s="357" t="n">
        <f aca="false">SUM(Q298:Q299)</f>
        <v>6287.375</v>
      </c>
      <c r="R300" s="394" t="n">
        <f aca="false">SUM(R298:R299)</f>
        <v>1333.2</v>
      </c>
      <c r="S300" s="394" t="n">
        <f aca="false">SUM(S298:S299)</f>
        <v>1739.6</v>
      </c>
      <c r="T300" s="394" t="n">
        <f aca="false">SUM(T298:T299)</f>
        <v>1814.6</v>
      </c>
      <c r="U300" s="394" t="n">
        <f aca="false">SUM(U298:U299)</f>
        <v>1907.4</v>
      </c>
      <c r="V300" s="357" t="n">
        <f aca="false">SUM(V298:V299)</f>
        <v>6794.8</v>
      </c>
      <c r="W300" s="394" t="n">
        <f aca="false">SUM(W298:W299)</f>
        <v>1943.6</v>
      </c>
      <c r="X300" s="394" t="n">
        <f aca="false">SUM(X298:X299)</f>
        <v>2101.4</v>
      </c>
      <c r="Y300" s="394" t="n">
        <f aca="false">SUM(Y298:Y299)</f>
        <v>2447.4</v>
      </c>
      <c r="Z300" s="394" t="n">
        <f aca="false">SUM(Z298:Z299)</f>
        <v>2560.4</v>
      </c>
      <c r="AA300" s="357" t="n">
        <f aca="false">SUM(AA298:AA299)</f>
        <v>9052.8</v>
      </c>
      <c r="AB300" s="394" t="n">
        <f aca="false">SUM(AB298:AB299)</f>
        <v>2285</v>
      </c>
      <c r="AC300" s="394" t="n">
        <f aca="false">SUM(AC298:AC299)</f>
        <v>2740.4</v>
      </c>
      <c r="AD300" s="394" t="n">
        <f aca="false">SUM(AD298:AD299)</f>
        <v>2776.1</v>
      </c>
      <c r="AE300" s="394" t="n">
        <f aca="false">SUM(AE298:AE299)</f>
        <v>3142.5</v>
      </c>
      <c r="AF300" s="357" t="n">
        <f aca="false">SUM(AF298:AF299)</f>
        <v>10944</v>
      </c>
      <c r="AG300" s="394" t="n">
        <f aca="false">SUM(AG298:AG299)</f>
        <v>2229.1</v>
      </c>
      <c r="AH300" s="394" t="n">
        <f aca="false">SUM(AH298:AH299)</f>
        <v>2567.9</v>
      </c>
      <c r="AI300" s="394" t="n">
        <f aca="false">SUM(AI298:AI299)</f>
        <v>2986.5</v>
      </c>
      <c r="AJ300" s="394" t="n">
        <f aca="false">SUM(AJ298:AJ299)</f>
        <v>4036.5</v>
      </c>
      <c r="AK300" s="357" t="n">
        <f aca="false">SUM(AK298:AK299)</f>
        <v>11820</v>
      </c>
      <c r="AL300" s="394" t="n">
        <f aca="false">SUM(AL298:AL299)</f>
        <v>2440.6</v>
      </c>
      <c r="AM300" s="394" t="n">
        <f aca="false">SUM(AM298:AM299)</f>
        <v>3325.7</v>
      </c>
      <c r="AN300" s="394" t="n">
        <f aca="false">SUM(AN298:AN299)</f>
        <v>3958</v>
      </c>
      <c r="AO300" s="394" t="n">
        <f aca="false">SUM(AO298:AO299)</f>
        <v>4254.2</v>
      </c>
      <c r="AP300" s="357" t="n">
        <f aca="false">SUM(AP298:AP299)</f>
        <v>13978.5</v>
      </c>
      <c r="AQ300" s="394" t="n">
        <f aca="false">SUM(AQ298:AQ299)</f>
        <v>4363.9</v>
      </c>
      <c r="AR300" s="394" t="n">
        <f aca="false">SUM(AR298:AR299)</f>
        <v>4020.2</v>
      </c>
      <c r="AS300" s="394" t="n">
        <f aca="false">SUM(AS298:AS299)</f>
        <v>5241.3</v>
      </c>
      <c r="AT300" s="394" t="n">
        <f aca="false">SUM(AT298:AT299)</f>
        <v>4985.6</v>
      </c>
      <c r="AU300" s="357" t="n">
        <f aca="false">SUM(AU298:AU299)</f>
        <v>18611</v>
      </c>
      <c r="AV300" s="394" t="n">
        <f aca="false">SUM(AV298:AV299)</f>
        <v>3534.4</v>
      </c>
      <c r="AW300" s="394" t="n">
        <f aca="false">SUM(AW298:AW299)</f>
        <v>5430.5</v>
      </c>
      <c r="AX300" s="394" t="n">
        <f aca="false">SUM(AX298:AX299)</f>
        <v>5778.3</v>
      </c>
      <c r="AY300" s="394" t="n">
        <f aca="false">SUM(AY298:AY299)</f>
        <v>6430.2</v>
      </c>
      <c r="AZ300" s="357" t="n">
        <f aca="false">SUM(AZ298:AZ299)</f>
        <v>21173.4</v>
      </c>
      <c r="BA300" s="394" t="n">
        <f aca="false">SUM(BA298:BA299)</f>
        <v>6746.2</v>
      </c>
      <c r="BB300" s="394" t="n">
        <f aca="false">SUM(BB298:BB299)</f>
        <v>6902.3</v>
      </c>
      <c r="BC300" s="394" t="n">
        <f aca="false">SUM(BC298:BC299)</f>
        <v>6673</v>
      </c>
      <c r="BD300" s="394" t="n">
        <f aca="false">SUM(BD298:BD299)</f>
        <v>7237</v>
      </c>
      <c r="BE300" s="357" t="n">
        <f aca="false">SUM(BE298:BE299)</f>
        <v>27558.5</v>
      </c>
      <c r="BF300" s="394" t="n">
        <f aca="false">SUM(BF298:BF299)</f>
        <v>5290</v>
      </c>
      <c r="BG300" s="394" t="n">
        <f aca="false">SUM(BG298:BG299)</f>
        <v>6242.8</v>
      </c>
      <c r="BH300" s="394" t="n">
        <f aca="false">SUM(BH298:BH299)</f>
        <v>7467.3</v>
      </c>
      <c r="BI300" s="394" t="n">
        <f aca="false">SUM(BI298:BI299)</f>
        <v>9262.8</v>
      </c>
      <c r="BJ300" s="357" t="n">
        <f aca="false">SUM(BJ298:BJ299)</f>
        <v>28262.9</v>
      </c>
      <c r="BK300" s="394" t="n">
        <f aca="false">SUM(BK298:BK299)</f>
        <v>7741.5</v>
      </c>
      <c r="BL300" s="394" t="n">
        <f aca="false">SUM(BL298:BL299)</f>
        <v>7691.7</v>
      </c>
      <c r="BM300" s="394" t="n">
        <f aca="false">SUM(BM298:BM299)</f>
        <v>7516</v>
      </c>
      <c r="BN300" s="394" t="n">
        <f aca="false">SUM(BN298:BN299)</f>
        <v>9718.1</v>
      </c>
      <c r="BO300" s="395" t="n">
        <f aca="false">SUM(BO298:BO299)</f>
        <v>32667.3</v>
      </c>
      <c r="BP300" s="163"/>
      <c r="BQ300" s="163"/>
      <c r="BR300" s="163"/>
      <c r="BS300" s="163"/>
      <c r="BT300" s="162"/>
      <c r="BU300" s="163"/>
      <c r="BV300" s="163"/>
      <c r="BW300" s="163"/>
      <c r="BX300" s="163"/>
      <c r="BY300" s="162"/>
      <c r="BZ300" s="162"/>
      <c r="CA300" s="162"/>
      <c r="CB300" s="162"/>
      <c r="CC300" s="156"/>
    </row>
    <row r="301" s="51" customFormat="true" ht="15" hidden="true" customHeight="true" outlineLevel="1" collapsed="false">
      <c r="A301" s="270" t="s">
        <v>387</v>
      </c>
      <c r="B301" s="254"/>
      <c r="C301" s="255" t="n">
        <v>-852.417</v>
      </c>
      <c r="D301" s="255" t="n">
        <v>-2222.965</v>
      </c>
      <c r="E301" s="255" t="n">
        <v>-2793.931</v>
      </c>
      <c r="F301" s="255" t="n">
        <v>-2198.921</v>
      </c>
      <c r="G301" s="255" t="n">
        <v>-2233.621</v>
      </c>
      <c r="H301" s="48"/>
      <c r="I301" s="48"/>
      <c r="J301" s="48"/>
      <c r="K301" s="48"/>
      <c r="L301" s="255" t="n">
        <v>-2335.512</v>
      </c>
      <c r="M301" s="48"/>
      <c r="N301" s="48"/>
      <c r="O301" s="48"/>
      <c r="P301" s="48"/>
      <c r="Q301" s="255" t="n">
        <v>-2212.965</v>
      </c>
      <c r="R301" s="48"/>
      <c r="S301" s="48"/>
      <c r="T301" s="48"/>
      <c r="U301" s="48"/>
      <c r="V301" s="255" t="n">
        <v>-2468.2</v>
      </c>
      <c r="W301" s="48"/>
      <c r="X301" s="48"/>
      <c r="Y301" s="48"/>
      <c r="Z301" s="48"/>
      <c r="AA301" s="255" t="n">
        <v>-3459</v>
      </c>
      <c r="AB301" s="48"/>
      <c r="AC301" s="48"/>
      <c r="AD301" s="48"/>
      <c r="AE301" s="48"/>
      <c r="AF301" s="255" t="n">
        <v>-4141.2</v>
      </c>
      <c r="AG301" s="48"/>
      <c r="AH301" s="48"/>
      <c r="AI301" s="48"/>
      <c r="AJ301" s="48"/>
      <c r="AK301" s="255" t="n">
        <v>-4676.2</v>
      </c>
      <c r="AL301" s="48"/>
      <c r="AM301" s="48"/>
      <c r="AN301" s="48"/>
      <c r="AO301" s="48"/>
      <c r="AP301" s="255" t="n">
        <v>-5169.3</v>
      </c>
      <c r="AQ301" s="48"/>
      <c r="AR301" s="48"/>
      <c r="AS301" s="48"/>
      <c r="AT301" s="48"/>
      <c r="AU301" s="255" t="n">
        <v>-6482.9</v>
      </c>
      <c r="AV301" s="48"/>
      <c r="AW301" s="48"/>
      <c r="AX301" s="48"/>
      <c r="AY301" s="48"/>
      <c r="AZ301" s="255" t="n">
        <v>-7582.3</v>
      </c>
      <c r="BA301" s="48"/>
      <c r="BB301" s="48"/>
      <c r="BC301" s="48"/>
      <c r="BD301" s="48"/>
      <c r="BE301" s="255" t="n">
        <v>-10151</v>
      </c>
      <c r="BF301" s="48"/>
      <c r="BG301" s="48"/>
      <c r="BH301" s="48"/>
      <c r="BI301" s="48"/>
      <c r="BJ301" s="255" t="n">
        <v>-10406.9</v>
      </c>
      <c r="BK301" s="48"/>
      <c r="BL301" s="48"/>
      <c r="BM301" s="48"/>
      <c r="BN301" s="48"/>
      <c r="BO301" s="160"/>
      <c r="BP301" s="48"/>
      <c r="BQ301" s="48"/>
      <c r="BR301" s="48"/>
      <c r="BS301" s="48"/>
      <c r="BT301" s="159"/>
      <c r="BU301" s="48"/>
      <c r="BV301" s="48"/>
      <c r="BW301" s="48"/>
      <c r="BX301" s="48"/>
      <c r="BY301" s="159"/>
      <c r="BZ301" s="159"/>
      <c r="CA301" s="159"/>
      <c r="CB301" s="159"/>
      <c r="CC301" s="50"/>
    </row>
    <row r="302" s="51" customFormat="true" ht="15" hidden="true" customHeight="true" outlineLevel="1" collapsed="false">
      <c r="A302" s="226" t="s">
        <v>388</v>
      </c>
      <c r="B302" s="257"/>
      <c r="C302" s="258" t="n">
        <v>-285.254</v>
      </c>
      <c r="D302" s="258" t="n">
        <v>-329.803</v>
      </c>
      <c r="E302" s="258" t="n">
        <v>-407.714</v>
      </c>
      <c r="F302" s="258" t="n">
        <v>-527.377</v>
      </c>
      <c r="G302" s="258" t="n">
        <v>-834.443</v>
      </c>
      <c r="H302" s="259"/>
      <c r="I302" s="259"/>
      <c r="J302" s="259"/>
      <c r="K302" s="259"/>
      <c r="L302" s="258" t="n">
        <v>-924.391</v>
      </c>
      <c r="M302" s="259"/>
      <c r="N302" s="259"/>
      <c r="O302" s="259"/>
      <c r="P302" s="259"/>
      <c r="Q302" s="258" t="n">
        <v>-1178.666</v>
      </c>
      <c r="R302" s="259"/>
      <c r="S302" s="259"/>
      <c r="T302" s="259"/>
      <c r="U302" s="259"/>
      <c r="V302" s="258" t="n">
        <v>-1282.1</v>
      </c>
      <c r="W302" s="259"/>
      <c r="X302" s="259"/>
      <c r="Y302" s="259"/>
      <c r="Z302" s="259"/>
      <c r="AA302" s="258" t="n">
        <v>-1517.1</v>
      </c>
      <c r="AB302" s="259"/>
      <c r="AC302" s="259"/>
      <c r="AD302" s="259"/>
      <c r="AE302" s="259"/>
      <c r="AF302" s="258" t="n">
        <v>-1773.6</v>
      </c>
      <c r="AG302" s="259"/>
      <c r="AH302" s="259"/>
      <c r="AI302" s="259"/>
      <c r="AJ302" s="259"/>
      <c r="AK302" s="258" t="n">
        <v>-1864</v>
      </c>
      <c r="AL302" s="259"/>
      <c r="AM302" s="259"/>
      <c r="AN302" s="259"/>
      <c r="AO302" s="259"/>
      <c r="AP302" s="258" t="n">
        <v>-2012</v>
      </c>
      <c r="AQ302" s="259"/>
      <c r="AR302" s="259"/>
      <c r="AS302" s="259"/>
      <c r="AT302" s="259"/>
      <c r="AU302" s="258" t="n">
        <v>-2319.1</v>
      </c>
      <c r="AV302" s="259"/>
      <c r="AW302" s="259"/>
      <c r="AX302" s="259"/>
      <c r="AY302" s="259"/>
      <c r="AZ302" s="258" t="n">
        <v>-2891</v>
      </c>
      <c r="BA302" s="259"/>
      <c r="BB302" s="259"/>
      <c r="BC302" s="259"/>
      <c r="BD302" s="259"/>
      <c r="BE302" s="258" t="n">
        <v>-3271.4</v>
      </c>
      <c r="BF302" s="259"/>
      <c r="BG302" s="259"/>
      <c r="BH302" s="259"/>
      <c r="BI302" s="259"/>
      <c r="BJ302" s="258" t="n">
        <v>-3364</v>
      </c>
      <c r="BK302" s="259"/>
      <c r="BL302" s="259"/>
      <c r="BM302" s="259"/>
      <c r="BN302" s="259"/>
      <c r="BO302" s="260"/>
      <c r="BP302" s="259"/>
      <c r="BQ302" s="259"/>
      <c r="BR302" s="259"/>
      <c r="BS302" s="259"/>
      <c r="BT302" s="261"/>
      <c r="BU302" s="259"/>
      <c r="BV302" s="259"/>
      <c r="BW302" s="259"/>
      <c r="BX302" s="259"/>
      <c r="BY302" s="261"/>
      <c r="BZ302" s="261"/>
      <c r="CA302" s="261"/>
      <c r="CB302" s="261"/>
      <c r="CC302" s="50"/>
    </row>
    <row r="303" s="157" customFormat="true" ht="15" hidden="true" customHeight="true" outlineLevel="1" collapsed="false">
      <c r="A303" s="244" t="s">
        <v>389</v>
      </c>
      <c r="B303" s="393"/>
      <c r="C303" s="357" t="n">
        <f aca="false">SUM(C301:C302)</f>
        <v>-1137.671</v>
      </c>
      <c r="D303" s="357" t="n">
        <f aca="false">SUM(D301:D302)</f>
        <v>-2552.768</v>
      </c>
      <c r="E303" s="357" t="n">
        <f aca="false">SUM(E301:E302)</f>
        <v>-3201.645</v>
      </c>
      <c r="F303" s="357" t="n">
        <f aca="false">SUM(F301:F302)</f>
        <v>-2726.298</v>
      </c>
      <c r="G303" s="357" t="n">
        <f aca="false">SUM(G301:G302)</f>
        <v>-3068.064</v>
      </c>
      <c r="H303" s="396" t="n">
        <v>-787</v>
      </c>
      <c r="I303" s="396" t="n">
        <v>-891.7</v>
      </c>
      <c r="J303" s="396" t="n">
        <v>-744.1</v>
      </c>
      <c r="K303" s="396" t="n">
        <v>-837.1</v>
      </c>
      <c r="L303" s="357" t="n">
        <f aca="false">SUM(L301:L302)</f>
        <v>-3259.903</v>
      </c>
      <c r="M303" s="396" t="n">
        <v>-871.3</v>
      </c>
      <c r="N303" s="396" t="n">
        <v>-900.3</v>
      </c>
      <c r="O303" s="396" t="n">
        <v>-845.7</v>
      </c>
      <c r="P303" s="396" t="n">
        <v>-774.4</v>
      </c>
      <c r="Q303" s="357" t="n">
        <f aca="false">SUM(Q301:Q302)</f>
        <v>-3391.631</v>
      </c>
      <c r="R303" s="396" t="n">
        <v>-765.1</v>
      </c>
      <c r="S303" s="396" t="n">
        <v>-998.2</v>
      </c>
      <c r="T303" s="396" t="n">
        <v>-980.2</v>
      </c>
      <c r="U303" s="396" t="n">
        <v>-1006.8</v>
      </c>
      <c r="V303" s="357" t="n">
        <f aca="false">SUM(V301:V302)</f>
        <v>-3750.3</v>
      </c>
      <c r="W303" s="396" t="n">
        <v>-1019</v>
      </c>
      <c r="X303" s="396" t="n">
        <v>-1154.9</v>
      </c>
      <c r="Y303" s="396" t="n">
        <v>-1397.9</v>
      </c>
      <c r="Z303" s="396" t="n">
        <v>-1404.3</v>
      </c>
      <c r="AA303" s="357" t="n">
        <f aca="false">SUM(AA301:AA302)</f>
        <v>-4976.1</v>
      </c>
      <c r="AB303" s="396" t="n">
        <v>-1171.5</v>
      </c>
      <c r="AC303" s="396" t="n">
        <v>-1553.5</v>
      </c>
      <c r="AD303" s="396" t="n">
        <v>-1440.2</v>
      </c>
      <c r="AE303" s="394" t="n">
        <f aca="false">AF303-SUM(AB303,AC303,AD303)</f>
        <v>-1749.6</v>
      </c>
      <c r="AF303" s="357" t="n">
        <f aca="false">SUM(AF301:AF302)</f>
        <v>-5914.8</v>
      </c>
      <c r="AG303" s="396" t="n">
        <v>-1301.1</v>
      </c>
      <c r="AH303" s="396" t="n">
        <v>-1462.7</v>
      </c>
      <c r="AI303" s="396" t="n">
        <v>-1680.1</v>
      </c>
      <c r="AJ303" s="394" t="n">
        <f aca="false">AK303-SUM(AG303,AH303,AI303)</f>
        <v>-2096.3</v>
      </c>
      <c r="AK303" s="357" t="n">
        <f aca="false">SUM(AK301:AK302)</f>
        <v>-6540.2</v>
      </c>
      <c r="AL303" s="396" t="n">
        <v>-1339.2</v>
      </c>
      <c r="AM303" s="396" t="n">
        <v>-1722.5</v>
      </c>
      <c r="AN303" s="396" t="n">
        <v>-2076.6</v>
      </c>
      <c r="AO303" s="394" t="n">
        <f aca="false">AP303-SUM(AL303,AM303,AN303)</f>
        <v>-2043</v>
      </c>
      <c r="AP303" s="357" t="n">
        <f aca="false">SUM(AP301:AP302)</f>
        <v>-7181.3</v>
      </c>
      <c r="AQ303" s="396" t="n">
        <v>-2011.5</v>
      </c>
      <c r="AR303" s="396" t="n">
        <v>-1975.6</v>
      </c>
      <c r="AS303" s="396" t="n">
        <v>-2529.9</v>
      </c>
      <c r="AT303" s="394" t="n">
        <f aca="false">AU303-SUM(AQ303,AR303,AS303)</f>
        <v>-2285</v>
      </c>
      <c r="AU303" s="357" t="n">
        <f aca="false">SUM(AU301:AU302)</f>
        <v>-8802</v>
      </c>
      <c r="AV303" s="396" t="n">
        <v>-1803.4</v>
      </c>
      <c r="AW303" s="396" t="n">
        <v>-2766</v>
      </c>
      <c r="AX303" s="396" t="n">
        <v>-2784.6</v>
      </c>
      <c r="AY303" s="394" t="n">
        <f aca="false">AZ303-SUM(AV303,AW303,AX303)</f>
        <v>-3119.3</v>
      </c>
      <c r="AZ303" s="357" t="n">
        <f aca="false">SUM(AZ301:AZ302)</f>
        <v>-10473.3</v>
      </c>
      <c r="BA303" s="396" t="n">
        <v>-3333</v>
      </c>
      <c r="BB303" s="396" t="n">
        <v>-3358.3</v>
      </c>
      <c r="BC303" s="396" t="n">
        <v>-3211.4</v>
      </c>
      <c r="BD303" s="394" t="n">
        <f aca="false">BE303-SUM(BA303,BB303,BC303)</f>
        <v>-3519.7</v>
      </c>
      <c r="BE303" s="397" t="n">
        <v>-13422.4</v>
      </c>
      <c r="BF303" s="396" t="n">
        <v>-2593.4</v>
      </c>
      <c r="BG303" s="396" t="n">
        <v>-3030.6</v>
      </c>
      <c r="BH303" s="396" t="n">
        <v>-3673.9</v>
      </c>
      <c r="BI303" s="394" t="n">
        <f aca="false">BJ303-SUM(BF303,BG303,BH303)</f>
        <v>-4473</v>
      </c>
      <c r="BJ303" s="162" t="n">
        <f aca="false">SUM(BJ301:BJ302)</f>
        <v>-13770.9</v>
      </c>
      <c r="BK303" s="396" t="n">
        <v>-3561.8</v>
      </c>
      <c r="BL303" s="396" t="n">
        <v>-3562.2</v>
      </c>
      <c r="BM303" s="396" t="n">
        <v>-3635.7</v>
      </c>
      <c r="BN303" s="394" t="n">
        <f aca="false">BO303-SUM(BK303,BL303,BM303)</f>
        <v>-4649.6</v>
      </c>
      <c r="BO303" s="398" t="n">
        <v>-15409.3</v>
      </c>
      <c r="BP303" s="163"/>
      <c r="BQ303" s="163"/>
      <c r="BR303" s="163"/>
      <c r="BS303" s="163"/>
      <c r="BT303" s="162"/>
      <c r="BU303" s="163"/>
      <c r="BV303" s="163"/>
      <c r="BW303" s="163"/>
      <c r="BX303" s="163"/>
      <c r="BY303" s="162"/>
      <c r="BZ303" s="162"/>
      <c r="CA303" s="162"/>
      <c r="CB303" s="162"/>
      <c r="CC303" s="156"/>
    </row>
    <row r="304" s="157" customFormat="true" ht="15" hidden="true" customHeight="true" outlineLevel="1" collapsed="false">
      <c r="A304" s="221" t="s">
        <v>390</v>
      </c>
      <c r="B304" s="266"/>
      <c r="C304" s="399" t="n">
        <f aca="false">C300+C303</f>
        <v>458.392</v>
      </c>
      <c r="D304" s="399" t="n">
        <f aca="false">D300+D303</f>
        <v>1955.17</v>
      </c>
      <c r="E304" s="399" t="n">
        <f aca="false">E300+E303</f>
        <v>2449.39</v>
      </c>
      <c r="F304" s="399" t="n">
        <f aca="false">F300+F303</f>
        <v>2005.257</v>
      </c>
      <c r="G304" s="399" t="n">
        <f aca="false">G300+G303</f>
        <v>2177.262</v>
      </c>
      <c r="H304" s="156" t="n">
        <f aca="false">H300+H303</f>
        <v>609.5</v>
      </c>
      <c r="I304" s="156" t="n">
        <f aca="false">I300+I303</f>
        <v>751.9</v>
      </c>
      <c r="J304" s="156" t="n">
        <f aca="false">J300+J303</f>
        <v>578.1</v>
      </c>
      <c r="K304" s="156" t="n">
        <f aca="false">K300+K303</f>
        <v>656.9</v>
      </c>
      <c r="L304" s="399" t="n">
        <f aca="false">L300+L303</f>
        <v>2596.374</v>
      </c>
      <c r="M304" s="156" t="n">
        <f aca="false">M300+M303</f>
        <v>778.6</v>
      </c>
      <c r="N304" s="156" t="n">
        <f aca="false">N300+N303</f>
        <v>753.8</v>
      </c>
      <c r="O304" s="156" t="n">
        <f aca="false">O300+O303</f>
        <v>703.5</v>
      </c>
      <c r="P304" s="156" t="n">
        <f aca="false">P300+P303</f>
        <v>659.8</v>
      </c>
      <c r="Q304" s="399" t="n">
        <f aca="false">Q300+Q303</f>
        <v>2895.744</v>
      </c>
      <c r="R304" s="156" t="n">
        <f aca="false">R300+R303</f>
        <v>568.1</v>
      </c>
      <c r="S304" s="156" t="n">
        <f aca="false">S300+S303</f>
        <v>741.4</v>
      </c>
      <c r="T304" s="156" t="n">
        <f aca="false">T300+T303</f>
        <v>834.4</v>
      </c>
      <c r="U304" s="156" t="n">
        <f aca="false">U300+U303</f>
        <v>900.6</v>
      </c>
      <c r="V304" s="399" t="n">
        <f aca="false">V300+V303</f>
        <v>3044.5</v>
      </c>
      <c r="W304" s="156" t="n">
        <f aca="false">W300+W303</f>
        <v>924.6</v>
      </c>
      <c r="X304" s="156" t="n">
        <f aca="false">X300+X303</f>
        <v>946.5</v>
      </c>
      <c r="Y304" s="156" t="n">
        <f aca="false">Y300+Y303</f>
        <v>1049.5</v>
      </c>
      <c r="Z304" s="156" t="n">
        <f aca="false">Z300+Z303</f>
        <v>1156.1</v>
      </c>
      <c r="AA304" s="399" t="n">
        <f aca="false">AA300+AA303</f>
        <v>4076.7</v>
      </c>
      <c r="AB304" s="156" t="n">
        <f aca="false">AB300+AB303</f>
        <v>1113.5</v>
      </c>
      <c r="AC304" s="156" t="n">
        <f aca="false">AC300+AC303</f>
        <v>1186.9</v>
      </c>
      <c r="AD304" s="156" t="n">
        <f aca="false">AD300+AD303</f>
        <v>1335.9</v>
      </c>
      <c r="AE304" s="156" t="n">
        <f aca="false">AE300+AE303</f>
        <v>1392.9</v>
      </c>
      <c r="AF304" s="399" t="n">
        <f aca="false">AF300+AF303</f>
        <v>5029.2</v>
      </c>
      <c r="AG304" s="156" t="n">
        <f aca="false">AG300+AG303</f>
        <v>928</v>
      </c>
      <c r="AH304" s="156" t="n">
        <f aca="false">AH300+AH303</f>
        <v>1105.2</v>
      </c>
      <c r="AI304" s="156" t="n">
        <f aca="false">AI300+AI303</f>
        <v>1306.4</v>
      </c>
      <c r="AJ304" s="156" t="n">
        <f aca="false">AJ300+AJ303</f>
        <v>1940.2</v>
      </c>
      <c r="AK304" s="399" t="n">
        <f aca="false">AK300+AK303</f>
        <v>5279.8</v>
      </c>
      <c r="AL304" s="156" t="n">
        <f aca="false">AL300+AL303</f>
        <v>1101.4</v>
      </c>
      <c r="AM304" s="156" t="n">
        <f aca="false">AM300+AM303</f>
        <v>1603.2</v>
      </c>
      <c r="AN304" s="156" t="n">
        <f aca="false">AN300+AN303</f>
        <v>1881.4</v>
      </c>
      <c r="AO304" s="156" t="n">
        <f aca="false">AO300+AO303</f>
        <v>2211.2</v>
      </c>
      <c r="AP304" s="399" t="n">
        <f aca="false">AP300+AP303</f>
        <v>6797.2</v>
      </c>
      <c r="AQ304" s="156" t="n">
        <f aca="false">AQ300+AQ303</f>
        <v>2352.4</v>
      </c>
      <c r="AR304" s="156" t="n">
        <f aca="false">AR300+AR303</f>
        <v>2044.6</v>
      </c>
      <c r="AS304" s="156" t="n">
        <f aca="false">AS300+AS303</f>
        <v>2711.4</v>
      </c>
      <c r="AT304" s="156" t="n">
        <f aca="false">AT300+AT303</f>
        <v>2700.6</v>
      </c>
      <c r="AU304" s="399" t="n">
        <f aca="false">AU300+AU303</f>
        <v>9809</v>
      </c>
      <c r="AV304" s="156" t="n">
        <f aca="false">AV300+AV303</f>
        <v>1731</v>
      </c>
      <c r="AW304" s="156" t="n">
        <f aca="false">AW300+AW303</f>
        <v>2664.5</v>
      </c>
      <c r="AX304" s="156" t="n">
        <f aca="false">AX300+AX303</f>
        <v>2993.7</v>
      </c>
      <c r="AY304" s="156" t="n">
        <f aca="false">AY300+AY303</f>
        <v>3310.9</v>
      </c>
      <c r="AZ304" s="399" t="n">
        <f aca="false">AZ300+AZ303</f>
        <v>10700.1</v>
      </c>
      <c r="BA304" s="156" t="n">
        <f aca="false">BA300+BA303</f>
        <v>3413.2</v>
      </c>
      <c r="BB304" s="156" t="n">
        <f aca="false">BB300+BB303</f>
        <v>3544</v>
      </c>
      <c r="BC304" s="156" t="n">
        <f aca="false">BC300+BC303</f>
        <v>3461.6</v>
      </c>
      <c r="BD304" s="156" t="n">
        <f aca="false">BD300+BD303</f>
        <v>3717.3</v>
      </c>
      <c r="BE304" s="399" t="n">
        <f aca="false">BE300+BE303</f>
        <v>14136.1</v>
      </c>
      <c r="BF304" s="156" t="n">
        <f aca="false">BF300+BF303</f>
        <v>2696.6</v>
      </c>
      <c r="BG304" s="156" t="n">
        <f aca="false">BG300+BG303</f>
        <v>3212.2</v>
      </c>
      <c r="BH304" s="156" t="n">
        <f aca="false">BH300+BH303</f>
        <v>3793.4</v>
      </c>
      <c r="BI304" s="156" t="n">
        <f aca="false">BI300+BI303</f>
        <v>4789.8</v>
      </c>
      <c r="BJ304" s="399" t="n">
        <f aca="false">BJ300+BJ303</f>
        <v>14492</v>
      </c>
      <c r="BK304" s="156" t="n">
        <f aca="false">BK300+BK303</f>
        <v>4179.7</v>
      </c>
      <c r="BL304" s="156" t="n">
        <f aca="false">BL300+BL303</f>
        <v>4129.5</v>
      </c>
      <c r="BM304" s="156" t="n">
        <f aca="false">BM300+BM303</f>
        <v>3880.3</v>
      </c>
      <c r="BN304" s="156" t="n">
        <f aca="false">BN300+BN303</f>
        <v>5068.5</v>
      </c>
      <c r="BO304" s="400" t="n">
        <f aca="false">BO300+BO303</f>
        <v>17258</v>
      </c>
      <c r="BP304" s="268"/>
      <c r="BQ304" s="268"/>
      <c r="BR304" s="268"/>
      <c r="BS304" s="268"/>
      <c r="BT304" s="267"/>
      <c r="BU304" s="268"/>
      <c r="BV304" s="268"/>
      <c r="BW304" s="268"/>
      <c r="BX304" s="268"/>
      <c r="BY304" s="267"/>
      <c r="BZ304" s="267"/>
      <c r="CA304" s="267"/>
      <c r="CB304" s="267"/>
      <c r="CC304" s="156"/>
    </row>
    <row r="305" s="51" customFormat="true" ht="15" hidden="true" customHeight="true" outlineLevel="1" collapsed="false">
      <c r="A305" s="270" t="s">
        <v>391</v>
      </c>
      <c r="B305" s="254"/>
      <c r="C305" s="159"/>
      <c r="D305" s="159"/>
      <c r="E305" s="159"/>
      <c r="F305" s="159"/>
      <c r="G305" s="255" t="n">
        <v>64.456</v>
      </c>
      <c r="H305" s="263" t="n">
        <v>20.2</v>
      </c>
      <c r="I305" s="263" t="n">
        <v>20.3</v>
      </c>
      <c r="J305" s="263" t="n">
        <v>20.3</v>
      </c>
      <c r="K305" s="263" t="n">
        <v>20.2</v>
      </c>
      <c r="L305" s="255" t="n">
        <v>81.006</v>
      </c>
      <c r="M305" s="263" t="n">
        <v>20.8</v>
      </c>
      <c r="N305" s="263" t="n">
        <v>20.8</v>
      </c>
      <c r="O305" s="263" t="n">
        <v>20.8</v>
      </c>
      <c r="P305" s="263" t="n">
        <v>20.8</v>
      </c>
      <c r="Q305" s="255" t="n">
        <v>83.2</v>
      </c>
      <c r="R305" s="263" t="n">
        <v>23.4</v>
      </c>
      <c r="S305" s="263" t="n">
        <v>23.5</v>
      </c>
      <c r="T305" s="263" t="n">
        <v>23.4</v>
      </c>
      <c r="U305" s="263" t="n">
        <v>23.5</v>
      </c>
      <c r="V305" s="255" t="n">
        <v>93.8</v>
      </c>
      <c r="W305" s="263" t="n">
        <v>23.9</v>
      </c>
      <c r="X305" s="263" t="n">
        <v>24</v>
      </c>
      <c r="Y305" s="263" t="n">
        <v>23.9</v>
      </c>
      <c r="Z305" s="263" t="n">
        <v>24</v>
      </c>
      <c r="AA305" s="255" t="n">
        <v>95.8</v>
      </c>
      <c r="AB305" s="48"/>
      <c r="AC305" s="48"/>
      <c r="AD305" s="48"/>
      <c r="AE305" s="50" t="n">
        <f aca="false">AF305-SUM(AB305,AC305,AD305)</f>
        <v>0</v>
      </c>
      <c r="AF305" s="255" t="n">
        <v>0</v>
      </c>
      <c r="AG305" s="48"/>
      <c r="AH305" s="48"/>
      <c r="AI305" s="48"/>
      <c r="AJ305" s="50" t="n">
        <f aca="false">AK305-SUM(AG305,AH305,AI305)</f>
        <v>0</v>
      </c>
      <c r="AK305" s="159"/>
      <c r="AL305" s="48"/>
      <c r="AM305" s="48"/>
      <c r="AN305" s="48"/>
      <c r="AO305" s="50" t="n">
        <f aca="false">AP305-SUM(AL305,AM305,AN305)</f>
        <v>0</v>
      </c>
      <c r="AP305" s="159"/>
      <c r="AQ305" s="48"/>
      <c r="AR305" s="48"/>
      <c r="AS305" s="48"/>
      <c r="AT305" s="50" t="n">
        <f aca="false">AU305-SUM(AQ305,AR305,AS305)</f>
        <v>213.7</v>
      </c>
      <c r="AU305" s="255" t="n">
        <v>213.7</v>
      </c>
      <c r="AV305" s="48"/>
      <c r="AW305" s="48"/>
      <c r="AX305" s="48"/>
      <c r="AY305" s="48"/>
      <c r="AZ305" s="159"/>
      <c r="BA305" s="48"/>
      <c r="BB305" s="48"/>
      <c r="BC305" s="48"/>
      <c r="BD305" s="48"/>
      <c r="BE305" s="159"/>
      <c r="BF305" s="48"/>
      <c r="BG305" s="48"/>
      <c r="BH305" s="48"/>
      <c r="BI305" s="48"/>
      <c r="BJ305" s="159"/>
      <c r="BK305" s="48"/>
      <c r="BL305" s="48"/>
      <c r="BM305" s="48"/>
      <c r="BN305" s="48"/>
      <c r="BO305" s="160"/>
      <c r="BP305" s="48"/>
      <c r="BQ305" s="48"/>
      <c r="BR305" s="48"/>
      <c r="BS305" s="48"/>
      <c r="BT305" s="159"/>
      <c r="BU305" s="48"/>
      <c r="BV305" s="48"/>
      <c r="BW305" s="48"/>
      <c r="BX305" s="48"/>
      <c r="BY305" s="159"/>
      <c r="BZ305" s="159"/>
      <c r="CA305" s="159"/>
      <c r="CB305" s="159"/>
      <c r="CC305" s="50"/>
    </row>
    <row r="306" s="51" customFormat="true" ht="15" hidden="true" customHeight="true" outlineLevel="1" collapsed="false">
      <c r="A306" s="270" t="s">
        <v>392</v>
      </c>
      <c r="B306" s="254"/>
      <c r="C306" s="255" t="n">
        <v>-466.761</v>
      </c>
      <c r="D306" s="255" t="n">
        <v>-523.426</v>
      </c>
      <c r="E306" s="255" t="n">
        <v>-590.27</v>
      </c>
      <c r="F306" s="255" t="n">
        <v>-589.182</v>
      </c>
      <c r="G306" s="255" t="n">
        <v>-882.029</v>
      </c>
      <c r="H306" s="263" t="n">
        <v>-279.1</v>
      </c>
      <c r="I306" s="263" t="n">
        <v>-266.9</v>
      </c>
      <c r="J306" s="263" t="n">
        <v>-260.1</v>
      </c>
      <c r="K306" s="263" t="n">
        <v>-268</v>
      </c>
      <c r="L306" s="255" t="n">
        <v>-1074.035</v>
      </c>
      <c r="M306" s="263" t="n">
        <v>-261.4</v>
      </c>
      <c r="N306" s="263" t="n">
        <v>-267.4</v>
      </c>
      <c r="O306" s="263" t="n">
        <v>-266.3</v>
      </c>
      <c r="P306" s="263" t="n">
        <v>-273</v>
      </c>
      <c r="Q306" s="255" t="n">
        <v>-1068.077</v>
      </c>
      <c r="R306" s="263" t="n">
        <v>-274.7</v>
      </c>
      <c r="S306" s="263" t="n">
        <v>-270.3</v>
      </c>
      <c r="T306" s="263" t="n">
        <v>-273.4</v>
      </c>
      <c r="U306" s="263" t="n">
        <v>-287.4</v>
      </c>
      <c r="V306" s="255" t="n">
        <v>-1105.8</v>
      </c>
      <c r="W306" s="263" t="n">
        <v>-315.1</v>
      </c>
      <c r="X306" s="263" t="n">
        <v>-312.7</v>
      </c>
      <c r="Y306" s="263" t="n">
        <v>-314.5</v>
      </c>
      <c r="Z306" s="263" t="n">
        <v>-317.4</v>
      </c>
      <c r="AA306" s="255" t="n">
        <v>-1259.7</v>
      </c>
      <c r="AB306" s="263" t="n">
        <v>-357.1</v>
      </c>
      <c r="AC306" s="263" t="n">
        <v>-380.1</v>
      </c>
      <c r="AD306" s="263" t="n">
        <v>-396.3</v>
      </c>
      <c r="AE306" s="50" t="n">
        <f aca="false">AF306-SUM(AB306,AC306,AD306)</f>
        <v>-442.4</v>
      </c>
      <c r="AF306" s="255" t="n">
        <v>-1575.9</v>
      </c>
      <c r="AG306" s="263" t="n">
        <v>-472.7</v>
      </c>
      <c r="AH306" s="263" t="n">
        <v>-487.4</v>
      </c>
      <c r="AI306" s="263" t="n">
        <v>-492.3</v>
      </c>
      <c r="AJ306" s="50" t="n">
        <f aca="false">AK306-SUM(AG306,AH306,AI306)</f>
        <v>-516.1</v>
      </c>
      <c r="AK306" s="255" t="n">
        <v>-1968.5</v>
      </c>
      <c r="AL306" s="263" t="n">
        <v>-544</v>
      </c>
      <c r="AM306" s="263" t="n">
        <v>-566.9</v>
      </c>
      <c r="AN306" s="263" t="n">
        <v>-534</v>
      </c>
      <c r="AO306" s="50" t="n">
        <f aca="false">AP306-SUM(AL306,AM306,AN306)</f>
        <v>-555.9</v>
      </c>
      <c r="AP306" s="255" t="n">
        <v>-2200.8</v>
      </c>
      <c r="AQ306" s="263" t="n">
        <v>-623.4</v>
      </c>
      <c r="AR306" s="263" t="n">
        <v>-633.8</v>
      </c>
      <c r="AS306" s="263" t="n">
        <v>-609.2</v>
      </c>
      <c r="AT306" s="50" t="n">
        <f aca="false">AU306-SUM(AQ306,AR306,AS306)</f>
        <v>-680.6</v>
      </c>
      <c r="AU306" s="255" t="n">
        <v>-2547</v>
      </c>
      <c r="AV306" s="263" t="n">
        <v>-738.7</v>
      </c>
      <c r="AW306" s="263" t="n">
        <v>-789.1</v>
      </c>
      <c r="AX306" s="263" t="n">
        <v>-819.4</v>
      </c>
      <c r="AY306" s="50" t="n">
        <f aca="false">AZ306-SUM(AV306,AW306,AX306)</f>
        <v>-906.3</v>
      </c>
      <c r="AZ306" s="255" t="n">
        <v>-3253.5</v>
      </c>
      <c r="BA306" s="263" t="n">
        <v>-947.9</v>
      </c>
      <c r="BB306" s="263" t="n">
        <v>-999.9</v>
      </c>
      <c r="BC306" s="263" t="n">
        <v>-991.4</v>
      </c>
      <c r="BD306" s="50" t="n">
        <f aca="false">BE306-SUM(BA306,BB306,BC306)</f>
        <v>-1041.4</v>
      </c>
      <c r="BE306" s="255" t="n">
        <v>-3980.6</v>
      </c>
      <c r="BF306" s="263" t="n">
        <v>-1031.9</v>
      </c>
      <c r="BG306" s="263" t="n">
        <v>-1100.6</v>
      </c>
      <c r="BH306" s="263" t="n">
        <v>-1055.2</v>
      </c>
      <c r="BI306" s="50" t="n">
        <f aca="false">BJ306-SUM(BF306,BG306,BH306)</f>
        <v>-1116</v>
      </c>
      <c r="BJ306" s="255" t="n">
        <v>-4303.7</v>
      </c>
      <c r="BK306" s="263" t="n">
        <v>-1161.1</v>
      </c>
      <c r="BL306" s="263" t="n">
        <v>-1166.7</v>
      </c>
      <c r="BM306" s="263" t="n">
        <v>-1108.7</v>
      </c>
      <c r="BN306" s="50" t="n">
        <f aca="false">BO306-SUM(BK306,BL306,BM306)</f>
        <v>-1262.3</v>
      </c>
      <c r="BO306" s="390" t="n">
        <v>-4698.8</v>
      </c>
      <c r="BP306" s="48"/>
      <c r="BQ306" s="48"/>
      <c r="BR306" s="48"/>
      <c r="BS306" s="48"/>
      <c r="BT306" s="159"/>
      <c r="BU306" s="48"/>
      <c r="BV306" s="48"/>
      <c r="BW306" s="48"/>
      <c r="BX306" s="48"/>
      <c r="BY306" s="159"/>
      <c r="BZ306" s="159"/>
      <c r="CA306" s="159"/>
      <c r="CB306" s="159"/>
      <c r="CC306" s="50"/>
    </row>
    <row r="307" s="51" customFormat="true" ht="15" hidden="true" customHeight="true" outlineLevel="1" collapsed="false">
      <c r="A307" s="226" t="s">
        <v>393</v>
      </c>
      <c r="B307" s="257"/>
      <c r="C307" s="258" t="n">
        <v>-154.756</v>
      </c>
      <c r="D307" s="258" t="n">
        <v>-181.045</v>
      </c>
      <c r="E307" s="258" t="n">
        <v>-217.904</v>
      </c>
      <c r="F307" s="258" t="n">
        <v>-259.301</v>
      </c>
      <c r="G307" s="258" t="n">
        <v>-311.741</v>
      </c>
      <c r="H307" s="265" t="n">
        <v>-84.9</v>
      </c>
      <c r="I307" s="265" t="n">
        <v>-79.9</v>
      </c>
      <c r="J307" s="265" t="n">
        <v>-76.9</v>
      </c>
      <c r="K307" s="265" t="n">
        <v>-79.4</v>
      </c>
      <c r="L307" s="258" t="n">
        <v>-321.11</v>
      </c>
      <c r="M307" s="265" t="n">
        <v>-82.3</v>
      </c>
      <c r="N307" s="265" t="n">
        <v>-88.3</v>
      </c>
      <c r="O307" s="265" t="n">
        <v>-85.6</v>
      </c>
      <c r="P307" s="265" t="n">
        <v>-89.5</v>
      </c>
      <c r="Q307" s="258" t="n">
        <v>-345.732</v>
      </c>
      <c r="R307" s="265" t="n">
        <v>-88.8</v>
      </c>
      <c r="S307" s="265" t="n">
        <v>-90.4</v>
      </c>
      <c r="T307" s="265" t="n">
        <v>-88.8</v>
      </c>
      <c r="U307" s="265" t="n">
        <v>-106.8</v>
      </c>
      <c r="V307" s="258" t="n">
        <v>-374.8</v>
      </c>
      <c r="W307" s="265" t="n">
        <v>-98.6</v>
      </c>
      <c r="X307" s="265" t="n">
        <v>-102</v>
      </c>
      <c r="Y307" s="265" t="n">
        <v>-103.3</v>
      </c>
      <c r="Z307" s="265" t="n">
        <v>-112.7</v>
      </c>
      <c r="AA307" s="258" t="n">
        <v>-416.6</v>
      </c>
      <c r="AB307" s="265" t="n">
        <v>-114.2</v>
      </c>
      <c r="AC307" s="265" t="n">
        <v>-117.4</v>
      </c>
      <c r="AD307" s="265" t="n">
        <v>-121.8</v>
      </c>
      <c r="AE307" s="391" t="n">
        <f aca="false">AF307-SUM(AB307,AC307,AD307)</f>
        <v>-134.6</v>
      </c>
      <c r="AF307" s="258" t="n">
        <v>-488</v>
      </c>
      <c r="AG307" s="265" t="n">
        <v>-121</v>
      </c>
      <c r="AH307" s="265" t="n">
        <v>-123.5</v>
      </c>
      <c r="AI307" s="265" t="n">
        <v>-128.5</v>
      </c>
      <c r="AJ307" s="391" t="n">
        <f aca="false">AK307-SUM(AG307,AH307,AI307)</f>
        <v>-147.5</v>
      </c>
      <c r="AK307" s="258" t="n">
        <v>-520.5</v>
      </c>
      <c r="AL307" s="265" t="n">
        <v>-130.7</v>
      </c>
      <c r="AM307" s="265" t="n">
        <v>-131.2</v>
      </c>
      <c r="AN307" s="265" t="n">
        <v>-131.5</v>
      </c>
      <c r="AO307" s="391" t="n">
        <f aca="false">AP307-SUM(AL307,AM307,AN307)</f>
        <v>-151.5</v>
      </c>
      <c r="AP307" s="258" t="n">
        <v>-544.9</v>
      </c>
      <c r="AQ307" s="265" t="n">
        <v>-168.4</v>
      </c>
      <c r="AR307" s="265" t="n">
        <v>-171.8</v>
      </c>
      <c r="AS307" s="265" t="n">
        <v>-182.9</v>
      </c>
      <c r="AT307" s="391" t="n">
        <f aca="false">AU307-SUM(AQ307,AR307,AS307)</f>
        <v>-202.5</v>
      </c>
      <c r="AU307" s="258" t="n">
        <v>-725.6</v>
      </c>
      <c r="AV307" s="265" t="n">
        <v>-207.7</v>
      </c>
      <c r="AW307" s="265" t="n">
        <v>-222</v>
      </c>
      <c r="AX307" s="265" t="n">
        <v>-235.8</v>
      </c>
      <c r="AY307" s="391" t="n">
        <f aca="false">AZ307-SUM(AV307,AW307,AX307)</f>
        <v>-280.4</v>
      </c>
      <c r="AZ307" s="258" t="n">
        <v>-945.9</v>
      </c>
      <c r="BA307" s="265" t="n">
        <v>-260.3</v>
      </c>
      <c r="BB307" s="265" t="n">
        <v>-281.1</v>
      </c>
      <c r="BC307" s="265" t="n">
        <v>-287.8</v>
      </c>
      <c r="BD307" s="391" t="n">
        <f aca="false">BE307-SUM(BA307,BB307,BC307)</f>
        <v>-284</v>
      </c>
      <c r="BE307" s="258" t="n">
        <v>-1113.2</v>
      </c>
      <c r="BF307" s="265" t="n">
        <v>-273.3</v>
      </c>
      <c r="BG307" s="265" t="n">
        <v>-277</v>
      </c>
      <c r="BH307" s="265" t="n">
        <v>-297</v>
      </c>
      <c r="BI307" s="391" t="n">
        <f aca="false">BJ307-SUM(BF307,BG307,BH307)</f>
        <v>-318.4</v>
      </c>
      <c r="BJ307" s="258" t="n">
        <v>-1165.7</v>
      </c>
      <c r="BK307" s="265" t="n">
        <v>-280.7</v>
      </c>
      <c r="BL307" s="265" t="n">
        <v>-298.7</v>
      </c>
      <c r="BM307" s="265" t="n">
        <v>-303.2</v>
      </c>
      <c r="BN307" s="391" t="n">
        <f aca="false">BO307-SUM(BK307,BL307,BM307)</f>
        <v>-375.2</v>
      </c>
      <c r="BO307" s="392" t="n">
        <v>-1257.8</v>
      </c>
      <c r="BP307" s="259"/>
      <c r="BQ307" s="259"/>
      <c r="BR307" s="259"/>
      <c r="BS307" s="259"/>
      <c r="BT307" s="261"/>
      <c r="BU307" s="259"/>
      <c r="BV307" s="259"/>
      <c r="BW307" s="259"/>
      <c r="BX307" s="259"/>
      <c r="BY307" s="261"/>
      <c r="BZ307" s="261"/>
      <c r="CA307" s="261"/>
      <c r="CB307" s="261"/>
      <c r="CC307" s="50"/>
    </row>
    <row r="308" s="157" customFormat="true" ht="15" hidden="true" customHeight="true" outlineLevel="1" collapsed="false">
      <c r="A308" s="244" t="s">
        <v>394</v>
      </c>
      <c r="B308" s="393"/>
      <c r="C308" s="357" t="n">
        <f aca="false">SUM(C304:C307)</f>
        <v>-163.125</v>
      </c>
      <c r="D308" s="357" t="n">
        <f aca="false">SUM(D304:D307)</f>
        <v>1250.699</v>
      </c>
      <c r="E308" s="357" t="n">
        <f aca="false">SUM(E304:E307)</f>
        <v>1641.216</v>
      </c>
      <c r="F308" s="357" t="n">
        <f aca="false">SUM(F304:F307)</f>
        <v>1156.774</v>
      </c>
      <c r="G308" s="357" t="n">
        <f aca="false">SUM(G304:G307)</f>
        <v>1047.948</v>
      </c>
      <c r="H308" s="394" t="n">
        <f aca="false">SUM(H304:H307)</f>
        <v>265.7</v>
      </c>
      <c r="I308" s="394" t="n">
        <f aca="false">SUM(I304:I307)</f>
        <v>425.4</v>
      </c>
      <c r="J308" s="394" t="n">
        <f aca="false">SUM(J304:J307)</f>
        <v>261.4</v>
      </c>
      <c r="K308" s="394" t="n">
        <f aca="false">SUM(K304:K307)</f>
        <v>329.7</v>
      </c>
      <c r="L308" s="357" t="n">
        <f aca="false">SUM(L304:L307)</f>
        <v>1282.235</v>
      </c>
      <c r="M308" s="394" t="n">
        <f aca="false">SUM(M304:M307)</f>
        <v>455.7</v>
      </c>
      <c r="N308" s="394" t="n">
        <f aca="false">SUM(N304:N307)</f>
        <v>418.9</v>
      </c>
      <c r="O308" s="394" t="n">
        <f aca="false">SUM(O304:O307)</f>
        <v>372.4</v>
      </c>
      <c r="P308" s="394" t="n">
        <f aca="false">SUM(P304:P307)</f>
        <v>318.1</v>
      </c>
      <c r="Q308" s="357" t="n">
        <f aca="false">SUM(Q304:Q307)</f>
        <v>1565.135</v>
      </c>
      <c r="R308" s="394" t="n">
        <f aca="false">SUM(R304:R307)</f>
        <v>228</v>
      </c>
      <c r="S308" s="394" t="n">
        <f aca="false">SUM(S304:S307)</f>
        <v>404.2</v>
      </c>
      <c r="T308" s="394" t="n">
        <f aca="false">SUM(T304:T307)</f>
        <v>495.6</v>
      </c>
      <c r="U308" s="394" t="n">
        <f aca="false">SUM(U304:U307)</f>
        <v>529.9</v>
      </c>
      <c r="V308" s="357" t="n">
        <f aca="false">SUM(V304:V307)</f>
        <v>1657.7</v>
      </c>
      <c r="W308" s="394" t="n">
        <f aca="false">SUM(W304:W307)</f>
        <v>534.8</v>
      </c>
      <c r="X308" s="394" t="n">
        <f aca="false">SUM(X304:X307)</f>
        <v>555.8</v>
      </c>
      <c r="Y308" s="394" t="n">
        <f aca="false">SUM(Y304:Y307)</f>
        <v>655.6</v>
      </c>
      <c r="Z308" s="394" t="n">
        <f aca="false">SUM(Z304:Z307)</f>
        <v>750</v>
      </c>
      <c r="AA308" s="357" t="n">
        <f aca="false">SUM(AA304:AA307)</f>
        <v>2496.2</v>
      </c>
      <c r="AB308" s="394" t="n">
        <f aca="false">SUM(AB304:AB307)</f>
        <v>642.2</v>
      </c>
      <c r="AC308" s="394" t="n">
        <f aca="false">SUM(AC304:AC307)</f>
        <v>689.4</v>
      </c>
      <c r="AD308" s="394" t="n">
        <f aca="false">SUM(AD304:AD307)</f>
        <v>817.8</v>
      </c>
      <c r="AE308" s="394" t="n">
        <f aca="false">SUM(AE304:AE307)</f>
        <v>815.900000000001</v>
      </c>
      <c r="AF308" s="357" t="n">
        <f aca="false">SUM(AF304:AF307)</f>
        <v>2965.3</v>
      </c>
      <c r="AG308" s="394" t="n">
        <f aca="false">SUM(AG304:AG307)</f>
        <v>334.3</v>
      </c>
      <c r="AH308" s="394" t="n">
        <f aca="false">SUM(AH304:AH307)</f>
        <v>494.3</v>
      </c>
      <c r="AI308" s="394" t="n">
        <f aca="false">SUM(AI304:AI307)</f>
        <v>685.6</v>
      </c>
      <c r="AJ308" s="394" t="n">
        <f aca="false">SUM(AJ304:AJ307)</f>
        <v>1276.6</v>
      </c>
      <c r="AK308" s="357" t="n">
        <f aca="false">SUM(AK304:AK307)</f>
        <v>2790.8</v>
      </c>
      <c r="AL308" s="394" t="n">
        <f aca="false">SUM(AL304:AL307)</f>
        <v>426.7</v>
      </c>
      <c r="AM308" s="394" t="n">
        <f aca="false">SUM(AM304:AM307)</f>
        <v>905.1</v>
      </c>
      <c r="AN308" s="394" t="n">
        <f aca="false">SUM(AN304:AN307)</f>
        <v>1215.9</v>
      </c>
      <c r="AO308" s="394" t="n">
        <f aca="false">SUM(AO304:AO307)</f>
        <v>1503.8</v>
      </c>
      <c r="AP308" s="357" t="n">
        <f aca="false">SUM(AP304:AP307)</f>
        <v>4051.5</v>
      </c>
      <c r="AQ308" s="394" t="n">
        <f aca="false">SUM(AQ304:AQ307)</f>
        <v>1560.6</v>
      </c>
      <c r="AR308" s="394" t="n">
        <f aca="false">SUM(AR304:AR307)</f>
        <v>1239</v>
      </c>
      <c r="AS308" s="394" t="n">
        <f aca="false">SUM(AS304:AS307)</f>
        <v>1919.3</v>
      </c>
      <c r="AT308" s="394" t="n">
        <f aca="false">SUM(AT304:AT307)</f>
        <v>2031.2</v>
      </c>
      <c r="AU308" s="357" t="n">
        <f aca="false">SUM(AU304:AU307)</f>
        <v>6750.1</v>
      </c>
      <c r="AV308" s="394" t="n">
        <f aca="false">SUM(AV304:AV307)</f>
        <v>784.6</v>
      </c>
      <c r="AW308" s="394" t="n">
        <f aca="false">SUM(AW304:AW307)</f>
        <v>1653.4</v>
      </c>
      <c r="AX308" s="394" t="n">
        <f aca="false">SUM(AX304:AX307)</f>
        <v>1938.5</v>
      </c>
      <c r="AY308" s="394" t="n">
        <f aca="false">SUM(AY304:AY307)</f>
        <v>2124.2</v>
      </c>
      <c r="AZ308" s="357" t="n">
        <f aca="false">SUM(AZ304:AZ307)</f>
        <v>6500.7</v>
      </c>
      <c r="BA308" s="394" t="n">
        <f aca="false">SUM(BA304:BA307)</f>
        <v>2205</v>
      </c>
      <c r="BB308" s="394" t="n">
        <f aca="false">SUM(BB304:BB307)</f>
        <v>2263</v>
      </c>
      <c r="BC308" s="394" t="n">
        <f aca="false">SUM(BC304:BC307)</f>
        <v>2182.4</v>
      </c>
      <c r="BD308" s="394" t="n">
        <f aca="false">SUM(BD304:BD307)</f>
        <v>2391.9</v>
      </c>
      <c r="BE308" s="357" t="n">
        <f aca="false">SUM(BE304:BE307)</f>
        <v>9042.3</v>
      </c>
      <c r="BF308" s="394" t="n">
        <f aca="false">SUM(BF304:BF307)</f>
        <v>1391.4</v>
      </c>
      <c r="BG308" s="394" t="n">
        <f aca="false">SUM(BG304:BG307)</f>
        <v>1834.6</v>
      </c>
      <c r="BH308" s="394" t="n">
        <f aca="false">SUM(BH304:BH307)</f>
        <v>2441.2</v>
      </c>
      <c r="BI308" s="394" t="n">
        <f aca="false">SUM(BI304:BI307)</f>
        <v>3355.4</v>
      </c>
      <c r="BJ308" s="357" t="n">
        <f aca="false">SUM(BJ304:BJ307)</f>
        <v>9022.6</v>
      </c>
      <c r="BK308" s="394" t="n">
        <f aca="false">SUM(BK304:BK307)</f>
        <v>2737.9</v>
      </c>
      <c r="BL308" s="394" t="n">
        <f aca="false">SUM(BL304:BL307)</f>
        <v>2664.1</v>
      </c>
      <c r="BM308" s="394" t="n">
        <f aca="false">SUM(BM304:BM307)</f>
        <v>2468.4</v>
      </c>
      <c r="BN308" s="394" t="n">
        <f aca="false">SUM(BN304:BN307)</f>
        <v>3431</v>
      </c>
      <c r="BO308" s="395" t="n">
        <f aca="false">SUM(BO304:BO307)</f>
        <v>11301.4</v>
      </c>
      <c r="BP308" s="163"/>
      <c r="BQ308" s="163"/>
      <c r="BR308" s="163"/>
      <c r="BS308" s="163"/>
      <c r="BT308" s="162"/>
      <c r="BU308" s="163"/>
      <c r="BV308" s="163"/>
      <c r="BW308" s="163"/>
      <c r="BX308" s="163"/>
      <c r="BY308" s="162"/>
      <c r="BZ308" s="162"/>
      <c r="CA308" s="162"/>
      <c r="CB308" s="162"/>
      <c r="CC308" s="156"/>
    </row>
    <row r="309" s="51" customFormat="true" ht="15" hidden="true" customHeight="true" outlineLevel="1" collapsed="false">
      <c r="A309" s="401" t="s">
        <v>395</v>
      </c>
      <c r="B309" s="254"/>
      <c r="C309" s="255" t="n">
        <v>-51.191</v>
      </c>
      <c r="D309" s="255" t="n">
        <v>-23.301</v>
      </c>
      <c r="E309" s="255" t="n">
        <v>-33.737</v>
      </c>
      <c r="F309" s="255" t="n">
        <v>-22.8</v>
      </c>
      <c r="G309" s="255" t="n">
        <v>-33.6</v>
      </c>
      <c r="H309" s="48"/>
      <c r="I309" s="48"/>
      <c r="J309" s="48"/>
      <c r="K309" s="48"/>
      <c r="L309" s="255" t="n">
        <v>-23.1</v>
      </c>
      <c r="M309" s="48"/>
      <c r="N309" s="48"/>
      <c r="O309" s="48"/>
      <c r="P309" s="48"/>
      <c r="Q309" s="255" t="n">
        <v>-27.4</v>
      </c>
      <c r="R309" s="48"/>
      <c r="S309" s="48"/>
      <c r="T309" s="48"/>
      <c r="U309" s="48"/>
      <c r="V309" s="255" t="n">
        <v>-38</v>
      </c>
      <c r="W309" s="48"/>
      <c r="X309" s="48"/>
      <c r="Y309" s="48"/>
      <c r="Z309" s="48"/>
      <c r="AA309" s="255" t="n">
        <v>-57.5</v>
      </c>
      <c r="AB309" s="48"/>
      <c r="AC309" s="48"/>
      <c r="AD309" s="48"/>
      <c r="AE309" s="48"/>
      <c r="AF309" s="255" t="n">
        <v>-41.8</v>
      </c>
      <c r="AG309" s="48"/>
      <c r="AH309" s="48"/>
      <c r="AI309" s="48"/>
      <c r="AJ309" s="48"/>
      <c r="AK309" s="255" t="n">
        <v>-36.6</v>
      </c>
      <c r="AL309" s="48"/>
      <c r="AM309" s="48"/>
      <c r="AN309" s="48"/>
      <c r="AO309" s="48"/>
      <c r="AP309" s="255" t="n">
        <v>-43.3</v>
      </c>
      <c r="AQ309" s="48"/>
      <c r="AR309" s="48"/>
      <c r="AS309" s="48"/>
      <c r="AT309" s="48"/>
      <c r="AU309" s="255" t="n">
        <v>-54.6</v>
      </c>
      <c r="AV309" s="48"/>
      <c r="AW309" s="48"/>
      <c r="AX309" s="48"/>
      <c r="AY309" s="48"/>
      <c r="AZ309" s="255" t="n">
        <v>-60.8</v>
      </c>
      <c r="BA309" s="48"/>
      <c r="BB309" s="48"/>
      <c r="BC309" s="48"/>
      <c r="BD309" s="48"/>
      <c r="BE309" s="255" t="n">
        <v>-152.7</v>
      </c>
      <c r="BF309" s="48"/>
      <c r="BG309" s="48"/>
      <c r="BH309" s="48"/>
      <c r="BI309" s="48"/>
      <c r="BJ309" s="255" t="n">
        <v>-162.6</v>
      </c>
      <c r="BK309" s="48"/>
      <c r="BL309" s="48"/>
      <c r="BM309" s="48"/>
      <c r="BN309" s="48"/>
      <c r="BO309" s="390" t="n">
        <v>-165</v>
      </c>
      <c r="BP309" s="48"/>
      <c r="BQ309" s="48"/>
      <c r="BR309" s="48"/>
      <c r="BS309" s="48"/>
      <c r="BT309" s="159"/>
      <c r="BU309" s="48"/>
      <c r="BV309" s="48"/>
      <c r="BW309" s="48"/>
      <c r="BX309" s="48"/>
      <c r="BY309" s="159"/>
      <c r="BZ309" s="159"/>
      <c r="CA309" s="159"/>
      <c r="CB309" s="159"/>
      <c r="CC309" s="50"/>
    </row>
    <row r="310" s="51" customFormat="true" ht="15" hidden="true" customHeight="true" outlineLevel="1" collapsed="false">
      <c r="A310" s="402" t="s">
        <v>396</v>
      </c>
      <c r="B310" s="257"/>
      <c r="C310" s="258" t="n">
        <v>42.766</v>
      </c>
      <c r="D310" s="258" t="n">
        <v>15.125</v>
      </c>
      <c r="E310" s="258" t="n">
        <v>41.156</v>
      </c>
      <c r="F310" s="403" t="n">
        <f aca="false">F311-F309</f>
        <v>16.604</v>
      </c>
      <c r="G310" s="403" t="n">
        <f aca="false">G311-G309</f>
        <v>9.129</v>
      </c>
      <c r="H310" s="259"/>
      <c r="I310" s="259"/>
      <c r="J310" s="259"/>
      <c r="K310" s="259"/>
      <c r="L310" s="403" t="n">
        <f aca="false">L311-L309</f>
        <v>14.5</v>
      </c>
      <c r="M310" s="259"/>
      <c r="N310" s="259"/>
      <c r="O310" s="259"/>
      <c r="P310" s="259"/>
      <c r="Q310" s="403" t="n">
        <f aca="false">Q311-Q309</f>
        <v>10.885</v>
      </c>
      <c r="R310" s="259"/>
      <c r="S310" s="259"/>
      <c r="T310" s="259"/>
      <c r="U310" s="259"/>
      <c r="V310" s="403" t="n">
        <f aca="false">V311-V309</f>
        <v>71.7</v>
      </c>
      <c r="W310" s="259"/>
      <c r="X310" s="259"/>
      <c r="Y310" s="259"/>
      <c r="Z310" s="259"/>
      <c r="AA310" s="403" t="n">
        <f aca="false">AA311-AA309</f>
        <v>7.2</v>
      </c>
      <c r="AB310" s="259"/>
      <c r="AC310" s="259"/>
      <c r="AD310" s="259"/>
      <c r="AE310" s="259"/>
      <c r="AF310" s="403" t="n">
        <f aca="false">AF311-AF309</f>
        <v>13.5</v>
      </c>
      <c r="AG310" s="259"/>
      <c r="AH310" s="259"/>
      <c r="AI310" s="259"/>
      <c r="AJ310" s="259"/>
      <c r="AK310" s="403" t="n">
        <f aca="false">AK311-AK309</f>
        <v>11.6</v>
      </c>
      <c r="AL310" s="259"/>
      <c r="AM310" s="259"/>
      <c r="AN310" s="259"/>
      <c r="AO310" s="259"/>
      <c r="AP310" s="403" t="n">
        <f aca="false">AP311-AP309</f>
        <v>8.4</v>
      </c>
      <c r="AQ310" s="259"/>
      <c r="AR310" s="259"/>
      <c r="AS310" s="259"/>
      <c r="AT310" s="259"/>
      <c r="AU310" s="403" t="n">
        <f aca="false">AU311-AU309</f>
        <v>10</v>
      </c>
      <c r="AV310" s="259"/>
      <c r="AW310" s="259"/>
      <c r="AX310" s="259"/>
      <c r="AY310" s="259"/>
      <c r="AZ310" s="403" t="n">
        <f aca="false">AZ311-AZ309</f>
        <v>16.2</v>
      </c>
      <c r="BA310" s="259"/>
      <c r="BB310" s="259"/>
      <c r="BC310" s="259"/>
      <c r="BD310" s="259"/>
      <c r="BE310" s="403" t="n">
        <f aca="false">BE311-BE309</f>
        <v>193.9</v>
      </c>
      <c r="BF310" s="259"/>
      <c r="BG310" s="259"/>
      <c r="BH310" s="259"/>
      <c r="BI310" s="259"/>
      <c r="BJ310" s="403" t="n">
        <f aca="false">BJ311-BJ309</f>
        <v>182.4</v>
      </c>
      <c r="BK310" s="259"/>
      <c r="BL310" s="259"/>
      <c r="BM310" s="259"/>
      <c r="BN310" s="259"/>
      <c r="BO310" s="404" t="n">
        <f aca="false">BO311-BO309</f>
        <v>269.7</v>
      </c>
      <c r="BP310" s="259"/>
      <c r="BQ310" s="259"/>
      <c r="BR310" s="259"/>
      <c r="BS310" s="259"/>
      <c r="BT310" s="261"/>
      <c r="BU310" s="259"/>
      <c r="BV310" s="259"/>
      <c r="BW310" s="259"/>
      <c r="BX310" s="259"/>
      <c r="BY310" s="261"/>
      <c r="BZ310" s="261"/>
      <c r="CA310" s="261"/>
      <c r="CB310" s="261"/>
      <c r="CC310" s="50"/>
    </row>
    <row r="311" s="51" customFormat="true" ht="15" hidden="true" customHeight="true" outlineLevel="1" collapsed="false">
      <c r="A311" s="226" t="s">
        <v>397</v>
      </c>
      <c r="B311" s="257"/>
      <c r="C311" s="403" t="n">
        <f aca="false">SUM(C309:C310)</f>
        <v>-8.425</v>
      </c>
      <c r="D311" s="403" t="n">
        <f aca="false">SUM(D309:D310)</f>
        <v>-8.176</v>
      </c>
      <c r="E311" s="403" t="n">
        <f aca="false">SUM(E309:E310)</f>
        <v>7.419</v>
      </c>
      <c r="F311" s="258" t="n">
        <v>-6.196</v>
      </c>
      <c r="G311" s="258" t="n">
        <v>-24.471</v>
      </c>
      <c r="H311" s="265" t="n">
        <v>-2.6</v>
      </c>
      <c r="I311" s="265" t="n">
        <v>-1.4</v>
      </c>
      <c r="J311" s="265" t="n">
        <v>-2</v>
      </c>
      <c r="K311" s="265" t="n">
        <v>-2.6</v>
      </c>
      <c r="L311" s="258" t="n">
        <v>-8.6</v>
      </c>
      <c r="M311" s="265" t="n">
        <v>-3.5</v>
      </c>
      <c r="N311" s="265" t="n">
        <v>-4.2</v>
      </c>
      <c r="O311" s="265" t="n">
        <v>-4.2</v>
      </c>
      <c r="P311" s="265" t="n">
        <v>-4.6</v>
      </c>
      <c r="Q311" s="258" t="n">
        <v>-16.515</v>
      </c>
      <c r="R311" s="265" t="n">
        <v>-3.6</v>
      </c>
      <c r="S311" s="265" t="n">
        <v>-3.6</v>
      </c>
      <c r="T311" s="265" t="n">
        <v>-33.9</v>
      </c>
      <c r="U311" s="265" t="n">
        <v>74.8</v>
      </c>
      <c r="V311" s="258" t="n">
        <v>33.7</v>
      </c>
      <c r="W311" s="265" t="n">
        <v>-14.1</v>
      </c>
      <c r="X311" s="265" t="n">
        <v>-10.8</v>
      </c>
      <c r="Y311" s="265" t="n">
        <v>-12.5</v>
      </c>
      <c r="Z311" s="265" t="n">
        <v>-12.9</v>
      </c>
      <c r="AA311" s="258" t="n">
        <v>-50.3</v>
      </c>
      <c r="AB311" s="265" t="n">
        <v>-10.5</v>
      </c>
      <c r="AC311" s="265" t="n">
        <v>-2.2</v>
      </c>
      <c r="AD311" s="265" t="n">
        <v>-8.1</v>
      </c>
      <c r="AE311" s="391" t="n">
        <f aca="false">AF311-SUM(AB311,AC311,AD311)</f>
        <v>-7.5</v>
      </c>
      <c r="AF311" s="258" t="n">
        <v>-28.3</v>
      </c>
      <c r="AG311" s="265" t="n">
        <v>-7.9</v>
      </c>
      <c r="AH311" s="265" t="n">
        <v>-6.9</v>
      </c>
      <c r="AI311" s="265" t="n">
        <v>-5.4</v>
      </c>
      <c r="AJ311" s="391" t="n">
        <f aca="false">AK311-SUM(AG311,AH311,AI311)</f>
        <v>-4.8</v>
      </c>
      <c r="AK311" s="258" t="n">
        <v>-25</v>
      </c>
      <c r="AL311" s="265" t="n">
        <v>-11.4</v>
      </c>
      <c r="AM311" s="265" t="n">
        <v>-7.1</v>
      </c>
      <c r="AN311" s="265" t="n">
        <v>-8.4</v>
      </c>
      <c r="AO311" s="391" t="n">
        <f aca="false">AP311-SUM(AL311,AM311,AN311)</f>
        <v>-8</v>
      </c>
      <c r="AP311" s="258" t="n">
        <v>-34.9</v>
      </c>
      <c r="AQ311" s="265" t="n">
        <v>-12.1</v>
      </c>
      <c r="AR311" s="265" t="n">
        <v>-9.8</v>
      </c>
      <c r="AS311" s="265" t="n">
        <v>-10.5</v>
      </c>
      <c r="AT311" s="391" t="n">
        <f aca="false">AU311-SUM(AQ311,AR311,AS311)</f>
        <v>-12.2</v>
      </c>
      <c r="AU311" s="258" t="n">
        <v>-44.6</v>
      </c>
      <c r="AV311" s="265" t="n">
        <v>-15.6</v>
      </c>
      <c r="AW311" s="265" t="n">
        <v>-10.8</v>
      </c>
      <c r="AX311" s="265" t="n">
        <v>-15.1</v>
      </c>
      <c r="AY311" s="391" t="n">
        <f aca="false">AZ311-SUM(AV311,AW311,AX311)</f>
        <v>-3.1</v>
      </c>
      <c r="AZ311" s="258" t="n">
        <v>-44.6</v>
      </c>
      <c r="BA311" s="265" t="n">
        <v>12.2</v>
      </c>
      <c r="BB311" s="265" t="n">
        <v>16.7</v>
      </c>
      <c r="BC311" s="265" t="n">
        <v>7.1</v>
      </c>
      <c r="BD311" s="391" t="n">
        <f aca="false">BE311-SUM(BA311,BB311,BC311)</f>
        <v>5.2</v>
      </c>
      <c r="BE311" s="258" t="n">
        <v>41.2</v>
      </c>
      <c r="BF311" s="265" t="n">
        <v>26.2</v>
      </c>
      <c r="BG311" s="265" t="n">
        <v>-11.9</v>
      </c>
      <c r="BH311" s="265" t="n">
        <v>-0.8</v>
      </c>
      <c r="BI311" s="391" t="n">
        <f aca="false">BJ311-SUM(BF311,BG311,BH311)</f>
        <v>6.3</v>
      </c>
      <c r="BJ311" s="258" t="n">
        <v>19.8</v>
      </c>
      <c r="BK311" s="265" t="n">
        <v>49.2</v>
      </c>
      <c r="BL311" s="265" t="n">
        <v>24.8</v>
      </c>
      <c r="BM311" s="265" t="n">
        <v>19.4</v>
      </c>
      <c r="BN311" s="391" t="n">
        <f aca="false">BO311-SUM(BK311,BL311,BM311)</f>
        <v>11.3</v>
      </c>
      <c r="BO311" s="392" t="n">
        <v>104.7</v>
      </c>
      <c r="BP311" s="259"/>
      <c r="BQ311" s="259"/>
      <c r="BR311" s="259"/>
      <c r="BS311" s="259"/>
      <c r="BT311" s="261"/>
      <c r="BU311" s="259"/>
      <c r="BV311" s="259"/>
      <c r="BW311" s="259"/>
      <c r="BX311" s="259"/>
      <c r="BY311" s="261"/>
      <c r="BZ311" s="261"/>
      <c r="CA311" s="261"/>
      <c r="CB311" s="261"/>
      <c r="CC311" s="50"/>
    </row>
    <row r="312" s="157" customFormat="true" ht="15" hidden="true" customHeight="true" outlineLevel="1" collapsed="false">
      <c r="A312" s="244" t="s">
        <v>398</v>
      </c>
      <c r="B312" s="393"/>
      <c r="C312" s="357" t="n">
        <f aca="false">C308+C311</f>
        <v>-171.55</v>
      </c>
      <c r="D312" s="357" t="n">
        <f aca="false">D308+D311</f>
        <v>1242.523</v>
      </c>
      <c r="E312" s="357" t="n">
        <f aca="false">E308+E311</f>
        <v>1648.635</v>
      </c>
      <c r="F312" s="357" t="n">
        <f aca="false">F308+F311</f>
        <v>1150.578</v>
      </c>
      <c r="G312" s="357" t="n">
        <f aca="false">G308+G311</f>
        <v>1023.477</v>
      </c>
      <c r="H312" s="394" t="n">
        <f aca="false">H308+H311</f>
        <v>263.1</v>
      </c>
      <c r="I312" s="394" t="n">
        <f aca="false">I308+I311</f>
        <v>424</v>
      </c>
      <c r="J312" s="394" t="n">
        <f aca="false">J308+J311</f>
        <v>259.4</v>
      </c>
      <c r="K312" s="394" t="n">
        <f aca="false">K308+K311</f>
        <v>327.1</v>
      </c>
      <c r="L312" s="357" t="n">
        <f aca="false">L308+L311</f>
        <v>1273.635</v>
      </c>
      <c r="M312" s="394" t="n">
        <f aca="false">M308+M311</f>
        <v>452.2</v>
      </c>
      <c r="N312" s="394" t="n">
        <f aca="false">N308+N311</f>
        <v>414.7</v>
      </c>
      <c r="O312" s="394" t="n">
        <f aca="false">O308+O311</f>
        <v>368.2</v>
      </c>
      <c r="P312" s="394" t="n">
        <f aca="false">P308+P311</f>
        <v>313.5</v>
      </c>
      <c r="Q312" s="357" t="n">
        <f aca="false">Q308+Q311</f>
        <v>1548.62</v>
      </c>
      <c r="R312" s="394" t="n">
        <f aca="false">R308+R311</f>
        <v>224.4</v>
      </c>
      <c r="S312" s="394" t="n">
        <f aca="false">S308+S311</f>
        <v>400.6</v>
      </c>
      <c r="T312" s="394" t="n">
        <f aca="false">T308+T311</f>
        <v>461.7</v>
      </c>
      <c r="U312" s="394" t="n">
        <f aca="false">U308+U311</f>
        <v>604.7</v>
      </c>
      <c r="V312" s="357" t="n">
        <f aca="false">V308+V311</f>
        <v>1691.4</v>
      </c>
      <c r="W312" s="394" t="n">
        <f aca="false">W308+W311</f>
        <v>520.7</v>
      </c>
      <c r="X312" s="394" t="n">
        <f aca="false">X308+X311</f>
        <v>545</v>
      </c>
      <c r="Y312" s="394" t="n">
        <f aca="false">Y308+Y311</f>
        <v>643.1</v>
      </c>
      <c r="Z312" s="394" t="n">
        <f aca="false">Z308+Z311</f>
        <v>737.1</v>
      </c>
      <c r="AA312" s="357" t="n">
        <f aca="false">AA308+AA311</f>
        <v>2445.9</v>
      </c>
      <c r="AB312" s="394" t="n">
        <f aca="false">AB308+AB311</f>
        <v>631.7</v>
      </c>
      <c r="AC312" s="394" t="n">
        <f aca="false">AC308+AC311</f>
        <v>687.2</v>
      </c>
      <c r="AD312" s="394" t="n">
        <f aca="false">AD308+AD311</f>
        <v>809.7</v>
      </c>
      <c r="AE312" s="394" t="n">
        <f aca="false">AE308+AE311</f>
        <v>808.400000000001</v>
      </c>
      <c r="AF312" s="357" t="n">
        <f aca="false">AF308+AF311</f>
        <v>2937</v>
      </c>
      <c r="AG312" s="394" t="n">
        <f aca="false">AG308+AG311</f>
        <v>326.4</v>
      </c>
      <c r="AH312" s="394" t="n">
        <f aca="false">AH308+AH311</f>
        <v>487.4</v>
      </c>
      <c r="AI312" s="394" t="n">
        <f aca="false">AI308+AI311</f>
        <v>680.2</v>
      </c>
      <c r="AJ312" s="394" t="n">
        <f aca="false">AJ308+AJ311</f>
        <v>1271.8</v>
      </c>
      <c r="AK312" s="357" t="n">
        <f aca="false">AK308+AK311</f>
        <v>2765.8</v>
      </c>
      <c r="AL312" s="394" t="n">
        <f aca="false">AL308+AL311</f>
        <v>415.3</v>
      </c>
      <c r="AM312" s="394" t="n">
        <f aca="false">AM308+AM311</f>
        <v>898</v>
      </c>
      <c r="AN312" s="394" t="n">
        <f aca="false">AN308+AN311</f>
        <v>1207.5</v>
      </c>
      <c r="AO312" s="394" t="n">
        <f aca="false">AO308+AO311</f>
        <v>1495.8</v>
      </c>
      <c r="AP312" s="357" t="n">
        <f aca="false">AP308+AP311</f>
        <v>4016.6</v>
      </c>
      <c r="AQ312" s="394" t="n">
        <f aca="false">AQ308+AQ311</f>
        <v>1548.5</v>
      </c>
      <c r="AR312" s="394" t="n">
        <f aca="false">AR308+AR311</f>
        <v>1229.2</v>
      </c>
      <c r="AS312" s="394" t="n">
        <f aca="false">AS308+AS311</f>
        <v>1908.8</v>
      </c>
      <c r="AT312" s="394" t="n">
        <f aca="false">AT308+AT311</f>
        <v>2019</v>
      </c>
      <c r="AU312" s="357" t="n">
        <f aca="false">AU308+AU311</f>
        <v>6705.5</v>
      </c>
      <c r="AV312" s="394" t="n">
        <f aca="false">AV308+AV311</f>
        <v>768.999999999999</v>
      </c>
      <c r="AW312" s="394" t="n">
        <f aca="false">AW308+AW311</f>
        <v>1642.6</v>
      </c>
      <c r="AX312" s="394" t="n">
        <f aca="false">AX308+AX311</f>
        <v>1923.4</v>
      </c>
      <c r="AY312" s="394" t="n">
        <f aca="false">AY308+AY311</f>
        <v>2121.1</v>
      </c>
      <c r="AZ312" s="357" t="n">
        <f aca="false">AZ308+AZ311</f>
        <v>6456.1</v>
      </c>
      <c r="BA312" s="394" t="n">
        <f aca="false">BA308+BA311</f>
        <v>2217.2</v>
      </c>
      <c r="BB312" s="394" t="n">
        <f aca="false">BB308+BB311</f>
        <v>2279.7</v>
      </c>
      <c r="BC312" s="394" t="n">
        <f aca="false">BC308+BC311</f>
        <v>2189.5</v>
      </c>
      <c r="BD312" s="394" t="n">
        <f aca="false">BD308+BD311</f>
        <v>2397.1</v>
      </c>
      <c r="BE312" s="357" t="n">
        <f aca="false">BE308+BE311</f>
        <v>9083.5</v>
      </c>
      <c r="BF312" s="394" t="n">
        <f aca="false">BF308+BF311</f>
        <v>1417.6</v>
      </c>
      <c r="BG312" s="394" t="n">
        <f aca="false">BG308+BG311</f>
        <v>1822.7</v>
      </c>
      <c r="BH312" s="394" t="n">
        <f aca="false">BH308+BH311</f>
        <v>2440.4</v>
      </c>
      <c r="BI312" s="394" t="n">
        <f aca="false">BI308+BI311</f>
        <v>3361.7</v>
      </c>
      <c r="BJ312" s="357" t="n">
        <f aca="false">BJ308+BJ311</f>
        <v>9042.4</v>
      </c>
      <c r="BK312" s="394" t="n">
        <f aca="false">BK308+BK311</f>
        <v>2787.1</v>
      </c>
      <c r="BL312" s="394" t="n">
        <f aca="false">BL308+BL311</f>
        <v>2688.9</v>
      </c>
      <c r="BM312" s="394" t="n">
        <f aca="false">BM308+BM311</f>
        <v>2487.8</v>
      </c>
      <c r="BN312" s="394" t="n">
        <f aca="false">BN308+BN311</f>
        <v>3442.3</v>
      </c>
      <c r="BO312" s="395" t="n">
        <f aca="false">BO308+BO311</f>
        <v>11406.1</v>
      </c>
      <c r="BP312" s="163"/>
      <c r="BQ312" s="163"/>
      <c r="BR312" s="163"/>
      <c r="BS312" s="163"/>
      <c r="BT312" s="162"/>
      <c r="BU312" s="163"/>
      <c r="BV312" s="163"/>
      <c r="BW312" s="163"/>
      <c r="BX312" s="163"/>
      <c r="BY312" s="162"/>
      <c r="BZ312" s="162"/>
      <c r="CA312" s="162"/>
      <c r="CB312" s="162"/>
      <c r="CC312" s="156"/>
    </row>
    <row r="313" s="51" customFormat="true" ht="15" hidden="true" customHeight="true" outlineLevel="2" collapsed="false">
      <c r="A313" s="401" t="s">
        <v>399</v>
      </c>
      <c r="B313" s="254"/>
      <c r="C313" s="255" t="n">
        <v>-29.97</v>
      </c>
      <c r="D313" s="255" t="n">
        <v>-180.613</v>
      </c>
      <c r="E313" s="255" t="n">
        <v>-129.127</v>
      </c>
      <c r="F313" s="255" t="n">
        <v>-79.255</v>
      </c>
      <c r="G313" s="255" t="n">
        <v>-52.753</v>
      </c>
      <c r="H313" s="48"/>
      <c r="I313" s="48"/>
      <c r="J313" s="48"/>
      <c r="K313" s="48"/>
      <c r="L313" s="255" t="n">
        <v>-130.425</v>
      </c>
      <c r="M313" s="48"/>
      <c r="N313" s="48"/>
      <c r="O313" s="48"/>
      <c r="P313" s="48"/>
      <c r="Q313" s="255" t="n">
        <v>-116.094</v>
      </c>
      <c r="R313" s="48"/>
      <c r="S313" s="48"/>
      <c r="T313" s="48"/>
      <c r="U313" s="48"/>
      <c r="V313" s="255" t="n">
        <v>-157.9</v>
      </c>
      <c r="W313" s="48"/>
      <c r="X313" s="48"/>
      <c r="Y313" s="48"/>
      <c r="Z313" s="48"/>
      <c r="AA313" s="255" t="n">
        <v>-367.1</v>
      </c>
      <c r="AB313" s="48"/>
      <c r="AC313" s="48"/>
      <c r="AD313" s="48"/>
      <c r="AE313" s="48"/>
      <c r="AF313" s="255" t="n">
        <v>-643.5</v>
      </c>
      <c r="AG313" s="48"/>
      <c r="AH313" s="48"/>
      <c r="AI313" s="48"/>
      <c r="AJ313" s="48"/>
      <c r="AK313" s="255" t="n">
        <v>-423.9</v>
      </c>
      <c r="AL313" s="48"/>
      <c r="AM313" s="48"/>
      <c r="AN313" s="48"/>
      <c r="AO313" s="48"/>
      <c r="AP313" s="255" t="n">
        <v>-783</v>
      </c>
      <c r="AQ313" s="48"/>
      <c r="AR313" s="48"/>
      <c r="AS313" s="48"/>
      <c r="AT313" s="48"/>
      <c r="AU313" s="255" t="n">
        <v>-1388.5</v>
      </c>
      <c r="AV313" s="48"/>
      <c r="AW313" s="48"/>
      <c r="AX313" s="48"/>
      <c r="AY313" s="48"/>
      <c r="AZ313" s="255" t="n">
        <v>-1496.7</v>
      </c>
      <c r="BA313" s="48"/>
      <c r="BB313" s="48"/>
      <c r="BC313" s="48"/>
      <c r="BD313" s="48"/>
      <c r="BE313" s="255" t="n">
        <v>-1653</v>
      </c>
      <c r="BF313" s="48"/>
      <c r="BG313" s="48"/>
      <c r="BH313" s="48"/>
      <c r="BI313" s="48"/>
      <c r="BJ313" s="255" t="n">
        <v>-1746.8</v>
      </c>
      <c r="BK313" s="48"/>
      <c r="BL313" s="48"/>
      <c r="BM313" s="48"/>
      <c r="BN313" s="48"/>
      <c r="BO313" s="160"/>
      <c r="BP313" s="48"/>
      <c r="BQ313" s="48"/>
      <c r="BR313" s="48"/>
      <c r="BS313" s="48"/>
      <c r="BT313" s="159"/>
      <c r="BU313" s="48"/>
      <c r="BV313" s="48"/>
      <c r="BW313" s="48"/>
      <c r="BX313" s="48"/>
      <c r="BY313" s="159"/>
      <c r="BZ313" s="159"/>
      <c r="CA313" s="159"/>
      <c r="CB313" s="159"/>
      <c r="CC313" s="50"/>
    </row>
    <row r="314" s="51" customFormat="true" ht="15" hidden="true" customHeight="true" outlineLevel="2" collapsed="false">
      <c r="A314" s="402" t="s">
        <v>400</v>
      </c>
      <c r="B314" s="257"/>
      <c r="C314" s="258" t="n">
        <v>50.595</v>
      </c>
      <c r="D314" s="258" t="n">
        <v>-40.09</v>
      </c>
      <c r="E314" s="258" t="n">
        <v>-52.548</v>
      </c>
      <c r="F314" s="258" t="n">
        <v>74.993</v>
      </c>
      <c r="G314" s="258" t="n">
        <v>44.766</v>
      </c>
      <c r="H314" s="259"/>
      <c r="I314" s="259"/>
      <c r="J314" s="259"/>
      <c r="K314" s="259"/>
      <c r="L314" s="258" t="n">
        <v>53.43</v>
      </c>
      <c r="M314" s="259"/>
      <c r="N314" s="259"/>
      <c r="O314" s="259"/>
      <c r="P314" s="259"/>
      <c r="Q314" s="258" t="n">
        <v>-45.352</v>
      </c>
      <c r="R314" s="259"/>
      <c r="S314" s="259"/>
      <c r="T314" s="259"/>
      <c r="U314" s="259"/>
      <c r="V314" s="258" t="n">
        <v>-61.6</v>
      </c>
      <c r="W314" s="259"/>
      <c r="X314" s="259"/>
      <c r="Y314" s="259"/>
      <c r="Z314" s="259"/>
      <c r="AA314" s="258" t="n">
        <v>56.4</v>
      </c>
      <c r="AB314" s="259"/>
      <c r="AC314" s="259"/>
      <c r="AD314" s="259"/>
      <c r="AE314" s="259"/>
      <c r="AF314" s="258" t="n">
        <v>291.9</v>
      </c>
      <c r="AG314" s="259"/>
      <c r="AH314" s="259"/>
      <c r="AI314" s="259"/>
      <c r="AJ314" s="259"/>
      <c r="AK314" s="258" t="n">
        <v>232.2</v>
      </c>
      <c r="AL314" s="259"/>
      <c r="AM314" s="259"/>
      <c r="AN314" s="259"/>
      <c r="AO314" s="259"/>
      <c r="AP314" s="258" t="n">
        <v>231.5</v>
      </c>
      <c r="AQ314" s="259"/>
      <c r="AR314" s="259"/>
      <c r="AS314" s="259"/>
      <c r="AT314" s="259"/>
      <c r="AU314" s="258" t="n">
        <v>367.1</v>
      </c>
      <c r="AV314" s="259"/>
      <c r="AW314" s="259"/>
      <c r="AX314" s="259"/>
      <c r="AY314" s="259"/>
      <c r="AZ314" s="258" t="n">
        <v>526.8</v>
      </c>
      <c r="BA314" s="259"/>
      <c r="BB314" s="259"/>
      <c r="BC314" s="259"/>
      <c r="BD314" s="259"/>
      <c r="BE314" s="258" t="n">
        <v>217.2</v>
      </c>
      <c r="BF314" s="259"/>
      <c r="BG314" s="259"/>
      <c r="BH314" s="259"/>
      <c r="BI314" s="259"/>
      <c r="BJ314" s="258" t="n">
        <v>66.2</v>
      </c>
      <c r="BK314" s="259"/>
      <c r="BL314" s="259"/>
      <c r="BM314" s="259"/>
      <c r="BN314" s="259"/>
      <c r="BO314" s="260"/>
      <c r="BP314" s="259"/>
      <c r="BQ314" s="259"/>
      <c r="BR314" s="259"/>
      <c r="BS314" s="259"/>
      <c r="BT314" s="261"/>
      <c r="BU314" s="259"/>
      <c r="BV314" s="259"/>
      <c r="BW314" s="259"/>
      <c r="BX314" s="259"/>
      <c r="BY314" s="261"/>
      <c r="BZ314" s="261"/>
      <c r="CA314" s="261"/>
      <c r="CB314" s="261"/>
      <c r="CC314" s="50"/>
    </row>
    <row r="315" s="51" customFormat="true" ht="15" hidden="true" customHeight="true" outlineLevel="1" collapsed="true">
      <c r="A315" s="226" t="s">
        <v>401</v>
      </c>
      <c r="B315" s="257"/>
      <c r="C315" s="403" t="n">
        <f aca="false">SUM(C313:C314)</f>
        <v>20.625</v>
      </c>
      <c r="D315" s="403" t="n">
        <f aca="false">SUM(D313:D314)</f>
        <v>-220.703</v>
      </c>
      <c r="E315" s="403" t="n">
        <f aca="false">SUM(E313:E314)</f>
        <v>-181.675</v>
      </c>
      <c r="F315" s="403" t="n">
        <f aca="false">SUM(F313:F314)</f>
        <v>-4.262</v>
      </c>
      <c r="G315" s="403" t="n">
        <f aca="false">SUM(G313:G314)</f>
        <v>-7.987</v>
      </c>
      <c r="H315" s="265" t="n">
        <v>-14</v>
      </c>
      <c r="I315" s="265" t="n">
        <v>-25.3</v>
      </c>
      <c r="J315" s="265" t="n">
        <v>-15.4</v>
      </c>
      <c r="K315" s="265" t="n">
        <v>-22.3</v>
      </c>
      <c r="L315" s="403" t="n">
        <f aca="false">SUM(L313:L314)</f>
        <v>-76.995</v>
      </c>
      <c r="M315" s="265" t="n">
        <v>-49.5</v>
      </c>
      <c r="N315" s="265" t="n">
        <v>-45</v>
      </c>
      <c r="O315" s="265" t="n">
        <v>-45.8</v>
      </c>
      <c r="P315" s="265" t="n">
        <v>-21.1</v>
      </c>
      <c r="Q315" s="403" t="n">
        <f aca="false">SUM(Q313:Q314)</f>
        <v>-161.446</v>
      </c>
      <c r="R315" s="265" t="n">
        <v>-26.4</v>
      </c>
      <c r="S315" s="265" t="n">
        <v>-46.8</v>
      </c>
      <c r="T315" s="265" t="n">
        <v>-65.8</v>
      </c>
      <c r="U315" s="265" t="n">
        <v>-80.5</v>
      </c>
      <c r="V315" s="403" t="n">
        <f aca="false">SUM(V313:V314)</f>
        <v>-219.5</v>
      </c>
      <c r="W315" s="265" t="n">
        <v>-68.6</v>
      </c>
      <c r="X315" s="265" t="n">
        <v>-78.7</v>
      </c>
      <c r="Y315" s="265" t="n">
        <v>-86</v>
      </c>
      <c r="Z315" s="265" t="n">
        <v>-77.4</v>
      </c>
      <c r="AA315" s="403" t="n">
        <f aca="false">SUM(AA313:AA314)</f>
        <v>-310.7</v>
      </c>
      <c r="AB315" s="265" t="n">
        <v>-74.4</v>
      </c>
      <c r="AC315" s="265" t="n">
        <v>-107.5</v>
      </c>
      <c r="AD315" s="265" t="n">
        <v>-129.6</v>
      </c>
      <c r="AE315" s="391" t="n">
        <f aca="false">AF315-SUM(AB315,AC315,AD315)</f>
        <v>-40.1</v>
      </c>
      <c r="AF315" s="403" t="n">
        <f aca="false">SUM(AF313:AF314)</f>
        <v>-351.6</v>
      </c>
      <c r="AG315" s="265" t="n">
        <v>17</v>
      </c>
      <c r="AH315" s="265" t="n">
        <v>-19.1</v>
      </c>
      <c r="AI315" s="265" t="n">
        <v>-65</v>
      </c>
      <c r="AJ315" s="391" t="n">
        <f aca="false">AK315-SUM(AG315,AH315,AI315)</f>
        <v>-124.6</v>
      </c>
      <c r="AK315" s="403" t="n">
        <f aca="false">SUM(AK313:AK314)</f>
        <v>-191.7</v>
      </c>
      <c r="AL315" s="265" t="n">
        <v>-48.5</v>
      </c>
      <c r="AM315" s="265" t="n">
        <v>-166.4</v>
      </c>
      <c r="AN315" s="265" t="n">
        <v>-166.5</v>
      </c>
      <c r="AO315" s="391" t="n">
        <f aca="false">AP315-SUM(AL315,AM315,AN315)</f>
        <v>-170.1</v>
      </c>
      <c r="AP315" s="403" t="n">
        <f aca="false">SUM(AP313:AP314)</f>
        <v>-551.5</v>
      </c>
      <c r="AQ315" s="265" t="n">
        <v>-230.3</v>
      </c>
      <c r="AR315" s="265" t="n">
        <v>-204.2</v>
      </c>
      <c r="AS315" s="265" t="n">
        <v>-270.9</v>
      </c>
      <c r="AT315" s="391" t="n">
        <f aca="false">AU315-SUM(AQ315,AR315,AS315)</f>
        <v>-316</v>
      </c>
      <c r="AU315" s="403" t="n">
        <f aca="false">SUM(AU313:AU314)</f>
        <v>-1021.4</v>
      </c>
      <c r="AV315" s="265" t="n">
        <v>-114.4</v>
      </c>
      <c r="AW315" s="265" t="n">
        <v>-246.2</v>
      </c>
      <c r="AX315" s="265" t="n">
        <v>-252</v>
      </c>
      <c r="AY315" s="391" t="n">
        <f aca="false">AZ315-SUM(AV315,AW315,AX315)</f>
        <v>-357.3</v>
      </c>
      <c r="AZ315" s="403" t="n">
        <f aca="false">SUM(AZ313:AZ314)</f>
        <v>-969.9</v>
      </c>
      <c r="BA315" s="265" t="n">
        <v>-302.6</v>
      </c>
      <c r="BB315" s="265" t="n">
        <v>-403.9</v>
      </c>
      <c r="BC315" s="265" t="n">
        <v>-343.7</v>
      </c>
      <c r="BD315" s="391" t="n">
        <f aca="false">BE315-SUM(BA315,BB315,BC315)</f>
        <v>-385.6</v>
      </c>
      <c r="BE315" s="261" t="n">
        <f aca="false">SUM(BE313:BE314)</f>
        <v>-1435.8</v>
      </c>
      <c r="BF315" s="265" t="n">
        <v>-224</v>
      </c>
      <c r="BG315" s="265" t="n">
        <v>-291.6</v>
      </c>
      <c r="BH315" s="265" t="n">
        <v>-441.2</v>
      </c>
      <c r="BI315" s="391" t="n">
        <f aca="false">BJ315-SUM(BF315,BG315,BH315)</f>
        <v>-723.8</v>
      </c>
      <c r="BJ315" s="261" t="n">
        <f aca="false">SUM(BJ313:BJ314)</f>
        <v>-1680.6</v>
      </c>
      <c r="BK315" s="265" t="n">
        <v>-465.1</v>
      </c>
      <c r="BL315" s="265" t="n">
        <v>-487.4</v>
      </c>
      <c r="BM315" s="265" t="n">
        <v>-442.2</v>
      </c>
      <c r="BN315" s="391" t="n">
        <f aca="false">BO315-SUM(BK315,BL315,BM315)</f>
        <v>-618.7</v>
      </c>
      <c r="BO315" s="392" t="n">
        <v>-2013.4</v>
      </c>
      <c r="BP315" s="259"/>
      <c r="BQ315" s="259"/>
      <c r="BR315" s="259"/>
      <c r="BS315" s="259"/>
      <c r="BT315" s="261"/>
      <c r="BU315" s="259"/>
      <c r="BV315" s="259"/>
      <c r="BW315" s="259"/>
      <c r="BX315" s="259"/>
      <c r="BY315" s="261"/>
      <c r="BZ315" s="261"/>
      <c r="CA315" s="261"/>
      <c r="CB315" s="261"/>
      <c r="CC315" s="50"/>
    </row>
    <row r="316" s="157" customFormat="true" ht="15" hidden="true" customHeight="true" outlineLevel="1" collapsed="false">
      <c r="A316" s="244" t="s">
        <v>402</v>
      </c>
      <c r="B316" s="393"/>
      <c r="C316" s="357" t="n">
        <f aca="false">C312+C315</f>
        <v>-150.925</v>
      </c>
      <c r="D316" s="357" t="n">
        <f aca="false">D312+D315</f>
        <v>1021.82</v>
      </c>
      <c r="E316" s="357" t="n">
        <f aca="false">E312+E315</f>
        <v>1466.96</v>
      </c>
      <c r="F316" s="357" t="n">
        <f aca="false">F312+F315</f>
        <v>1146.316</v>
      </c>
      <c r="G316" s="357" t="n">
        <f aca="false">G312+G315</f>
        <v>1015.49</v>
      </c>
      <c r="H316" s="394" t="n">
        <f aca="false">H312+H315</f>
        <v>249.1</v>
      </c>
      <c r="I316" s="394" t="n">
        <f aca="false">I312+I315</f>
        <v>398.7</v>
      </c>
      <c r="J316" s="394" t="n">
        <f aca="false">J312+J315</f>
        <v>244</v>
      </c>
      <c r="K316" s="394" t="n">
        <f aca="false">K312+K315</f>
        <v>304.8</v>
      </c>
      <c r="L316" s="357" t="n">
        <f aca="false">L312+L315</f>
        <v>1196.64</v>
      </c>
      <c r="M316" s="394" t="n">
        <f aca="false">M312+M315</f>
        <v>402.7</v>
      </c>
      <c r="N316" s="394" t="n">
        <f aca="false">N312+N315</f>
        <v>369.7</v>
      </c>
      <c r="O316" s="394" t="n">
        <f aca="false">O312+O315</f>
        <v>322.4</v>
      </c>
      <c r="P316" s="394" t="n">
        <f aca="false">P312+P315</f>
        <v>292.4</v>
      </c>
      <c r="Q316" s="357" t="n">
        <f aca="false">Q312+Q315</f>
        <v>1387.174</v>
      </c>
      <c r="R316" s="394" t="n">
        <f aca="false">R312+R315</f>
        <v>198</v>
      </c>
      <c r="S316" s="394" t="n">
        <f aca="false">S312+S315</f>
        <v>353.8</v>
      </c>
      <c r="T316" s="394" t="n">
        <f aca="false">T312+T315</f>
        <v>395.9</v>
      </c>
      <c r="U316" s="394" t="n">
        <f aca="false">U312+U315</f>
        <v>524.2</v>
      </c>
      <c r="V316" s="357" t="n">
        <f aca="false">V312+V315</f>
        <v>1471.9</v>
      </c>
      <c r="W316" s="394" t="n">
        <f aca="false">W312+W315</f>
        <v>452.1</v>
      </c>
      <c r="X316" s="394" t="n">
        <f aca="false">X312+X315</f>
        <v>466.3</v>
      </c>
      <c r="Y316" s="394" t="n">
        <f aca="false">Y312+Y315</f>
        <v>557.1</v>
      </c>
      <c r="Z316" s="394" t="n">
        <f aca="false">Z312+Z315</f>
        <v>659.7</v>
      </c>
      <c r="AA316" s="357" t="n">
        <f aca="false">AA312+AA315</f>
        <v>2135.2</v>
      </c>
      <c r="AB316" s="394" t="n">
        <f aca="false">AB312+AB315</f>
        <v>557.3</v>
      </c>
      <c r="AC316" s="394" t="n">
        <f aca="false">AC312+AC315</f>
        <v>579.7</v>
      </c>
      <c r="AD316" s="394" t="n">
        <f aca="false">AD312+AD315</f>
        <v>680.1</v>
      </c>
      <c r="AE316" s="394" t="n">
        <f aca="false">AE312+AE315</f>
        <v>768.300000000001</v>
      </c>
      <c r="AF316" s="357" t="n">
        <f aca="false">AF312+AF315</f>
        <v>2585.4</v>
      </c>
      <c r="AG316" s="394" t="n">
        <f aca="false">AG312+AG315</f>
        <v>343.4</v>
      </c>
      <c r="AH316" s="394" t="n">
        <f aca="false">AH312+AH315</f>
        <v>468.3</v>
      </c>
      <c r="AI316" s="394" t="n">
        <f aca="false">AI312+AI315</f>
        <v>615.2</v>
      </c>
      <c r="AJ316" s="394" t="n">
        <f aca="false">AJ312+AJ315</f>
        <v>1147.2</v>
      </c>
      <c r="AK316" s="357" t="n">
        <f aca="false">AK312+AK315</f>
        <v>2574.1</v>
      </c>
      <c r="AL316" s="394" t="n">
        <f aca="false">AL312+AL315</f>
        <v>366.8</v>
      </c>
      <c r="AM316" s="394" t="n">
        <f aca="false">AM312+AM315</f>
        <v>731.6</v>
      </c>
      <c r="AN316" s="394" t="n">
        <f aca="false">AN312+AN315</f>
        <v>1041</v>
      </c>
      <c r="AO316" s="394" t="n">
        <f aca="false">AO312+AO315</f>
        <v>1325.7</v>
      </c>
      <c r="AP316" s="357" t="n">
        <f aca="false">AP312+AP315</f>
        <v>3465.1</v>
      </c>
      <c r="AQ316" s="394" t="n">
        <f aca="false">AQ312+AQ315</f>
        <v>1318.2</v>
      </c>
      <c r="AR316" s="394" t="n">
        <f aca="false">AR312+AR315</f>
        <v>1025</v>
      </c>
      <c r="AS316" s="394" t="n">
        <f aca="false">AS312+AS315</f>
        <v>1637.9</v>
      </c>
      <c r="AT316" s="394" t="n">
        <f aca="false">AT312+AT315</f>
        <v>1703</v>
      </c>
      <c r="AU316" s="357" t="n">
        <f aca="false">AU312+AU315</f>
        <v>5684.1</v>
      </c>
      <c r="AV316" s="394" t="n">
        <f aca="false">AV312+AV315</f>
        <v>654.6</v>
      </c>
      <c r="AW316" s="394" t="n">
        <f aca="false">AW312+AW315</f>
        <v>1396.4</v>
      </c>
      <c r="AX316" s="394" t="n">
        <f aca="false">AX312+AX315</f>
        <v>1671.4</v>
      </c>
      <c r="AY316" s="394" t="n">
        <f aca="false">AY312+AY315</f>
        <v>1763.8</v>
      </c>
      <c r="AZ316" s="357" t="n">
        <f aca="false">AZ312+AZ315</f>
        <v>5486.2</v>
      </c>
      <c r="BA316" s="394" t="n">
        <f aca="false">BA312+BA315</f>
        <v>1914.6</v>
      </c>
      <c r="BB316" s="394" t="n">
        <f aca="false">BB312+BB315</f>
        <v>1875.8</v>
      </c>
      <c r="BC316" s="394" t="n">
        <f aca="false">BC312+BC315</f>
        <v>1845.8</v>
      </c>
      <c r="BD316" s="394" t="n">
        <f aca="false">BD312+BD315</f>
        <v>2011.5</v>
      </c>
      <c r="BE316" s="357" t="n">
        <f aca="false">BE312+BE315</f>
        <v>7647.7</v>
      </c>
      <c r="BF316" s="394" t="n">
        <f aca="false">BF312+BF315</f>
        <v>1193.6</v>
      </c>
      <c r="BG316" s="394" t="n">
        <f aca="false">BG312+BG315</f>
        <v>1531.1</v>
      </c>
      <c r="BH316" s="394" t="n">
        <f aca="false">BH312+BH315</f>
        <v>1999.2</v>
      </c>
      <c r="BI316" s="394" t="n">
        <f aca="false">BI312+BI315</f>
        <v>2637.9</v>
      </c>
      <c r="BJ316" s="357" t="n">
        <f aca="false">BJ312+BJ315</f>
        <v>7361.8</v>
      </c>
      <c r="BK316" s="394" t="n">
        <f aca="false">BK312+BK315</f>
        <v>2322</v>
      </c>
      <c r="BL316" s="394" t="n">
        <f aca="false">BL312+BL315</f>
        <v>2201.5</v>
      </c>
      <c r="BM316" s="394" t="n">
        <f aca="false">BM312+BM315</f>
        <v>2045.6</v>
      </c>
      <c r="BN316" s="394" t="n">
        <f aca="false">BN312+BN315</f>
        <v>2823.6</v>
      </c>
      <c r="BO316" s="395" t="n">
        <f aca="false">BO312+BO315</f>
        <v>9392.7</v>
      </c>
      <c r="BP316" s="163"/>
      <c r="BQ316" s="163"/>
      <c r="BR316" s="163"/>
      <c r="BS316" s="163"/>
      <c r="BT316" s="162"/>
      <c r="BU316" s="163"/>
      <c r="BV316" s="163"/>
      <c r="BW316" s="163"/>
      <c r="BX316" s="163"/>
      <c r="BY316" s="162"/>
      <c r="BZ316" s="162"/>
      <c r="CA316" s="162"/>
      <c r="CB316" s="162"/>
      <c r="CC316" s="156"/>
    </row>
    <row r="317" s="51" customFormat="true" ht="15" hidden="true" customHeight="true" outlineLevel="1" collapsed="false">
      <c r="A317" s="226" t="s">
        <v>403</v>
      </c>
      <c r="B317" s="257"/>
      <c r="C317" s="261"/>
      <c r="D317" s="261"/>
      <c r="E317" s="261"/>
      <c r="F317" s="261"/>
      <c r="G317" s="261"/>
      <c r="H317" s="259"/>
      <c r="I317" s="259"/>
      <c r="J317" s="259"/>
      <c r="K317" s="259"/>
      <c r="L317" s="261"/>
      <c r="M317" s="259"/>
      <c r="N317" s="259"/>
      <c r="O317" s="259"/>
      <c r="P317" s="259"/>
      <c r="Q317" s="261"/>
      <c r="R317" s="259"/>
      <c r="S317" s="259"/>
      <c r="T317" s="259"/>
      <c r="U317" s="259"/>
      <c r="V317" s="261"/>
      <c r="W317" s="259"/>
      <c r="X317" s="259"/>
      <c r="Y317" s="259"/>
      <c r="Z317" s="265" t="n">
        <v>-16.7</v>
      </c>
      <c r="AA317" s="258" t="n">
        <v>-16.7</v>
      </c>
      <c r="AB317" s="265" t="n">
        <v>-17.6</v>
      </c>
      <c r="AC317" s="265" t="n">
        <v>4.3</v>
      </c>
      <c r="AD317" s="265" t="n">
        <v>0.3</v>
      </c>
      <c r="AE317" s="391" t="n">
        <f aca="false">AF317-SUM(AB317,AC317,AD317)</f>
        <v>19.2</v>
      </c>
      <c r="AF317" s="258" t="n">
        <v>6.2</v>
      </c>
      <c r="AG317" s="265" t="n">
        <v>12</v>
      </c>
      <c r="AH317" s="265" t="n">
        <v>7.7</v>
      </c>
      <c r="AI317" s="265" t="n">
        <v>11.6</v>
      </c>
      <c r="AJ317" s="391" t="n">
        <f aca="false">AK317-SUM(AG317,AH317,AI317)</f>
        <v>-13.1</v>
      </c>
      <c r="AK317" s="258" t="n">
        <v>18.2</v>
      </c>
      <c r="AL317" s="265" t="n">
        <v>23.8</v>
      </c>
      <c r="AM317" s="265" t="n">
        <v>19.4</v>
      </c>
      <c r="AN317" s="265" t="n">
        <v>20.5</v>
      </c>
      <c r="AO317" s="391" t="n">
        <f aca="false">AP317-SUM(AL317,AM317,AN317)</f>
        <v>24.9</v>
      </c>
      <c r="AP317" s="258" t="n">
        <v>88.6</v>
      </c>
      <c r="AQ317" s="265" t="n">
        <v>13.2</v>
      </c>
      <c r="AR317" s="265" t="n">
        <v>13.2</v>
      </c>
      <c r="AS317" s="265" t="n">
        <v>102.3</v>
      </c>
      <c r="AT317" s="391" t="n">
        <f aca="false">AU317-SUM(AQ317,AR317,AS317)</f>
        <v>70.4</v>
      </c>
      <c r="AU317" s="258" t="n">
        <v>199.1</v>
      </c>
      <c r="AV317" s="265" t="n">
        <v>40.7</v>
      </c>
      <c r="AW317" s="265" t="n">
        <v>14.5</v>
      </c>
      <c r="AX317" s="265" t="n">
        <v>30.1</v>
      </c>
      <c r="AY317" s="391" t="n">
        <f aca="false">AZ317-SUM(AV317,AW317,AX317)</f>
        <v>52.7</v>
      </c>
      <c r="AZ317" s="258" t="n">
        <v>138</v>
      </c>
      <c r="BA317" s="265" t="n">
        <v>41.2</v>
      </c>
      <c r="BB317" s="265" t="n">
        <v>65.9</v>
      </c>
      <c r="BC317" s="265" t="n">
        <v>47.6</v>
      </c>
      <c r="BD317" s="391" t="n">
        <f aca="false">BE317-SUM(BA317,BB317,BC317)</f>
        <v>36.6</v>
      </c>
      <c r="BE317" s="258" t="n">
        <v>191.3</v>
      </c>
      <c r="BF317" s="265" t="n">
        <v>30.2</v>
      </c>
      <c r="BG317" s="265" t="n">
        <v>46.8</v>
      </c>
      <c r="BH317" s="265" t="n">
        <v>77.3</v>
      </c>
      <c r="BI317" s="391" t="n">
        <f aca="false">BJ317-SUM(BF317,BG317,BH317)</f>
        <v>55.5</v>
      </c>
      <c r="BJ317" s="258" t="n">
        <v>209.8</v>
      </c>
      <c r="BK317" s="265" t="n">
        <v>33</v>
      </c>
      <c r="BL317" s="265" t="n">
        <v>88.8</v>
      </c>
      <c r="BM317" s="265" t="n">
        <v>78.9</v>
      </c>
      <c r="BN317" s="391" t="n">
        <f aca="false">BO317-SUM(BK317,BL317,BM317)</f>
        <v>16</v>
      </c>
      <c r="BO317" s="392" t="n">
        <v>216.7</v>
      </c>
      <c r="BP317" s="259"/>
      <c r="BQ317" s="259"/>
      <c r="BR317" s="259"/>
      <c r="BS317" s="259"/>
      <c r="BT317" s="261"/>
      <c r="BU317" s="259"/>
      <c r="BV317" s="259"/>
      <c r="BW317" s="259"/>
      <c r="BX317" s="259"/>
      <c r="BY317" s="261"/>
      <c r="BZ317" s="261"/>
      <c r="CA317" s="261"/>
      <c r="CB317" s="261"/>
      <c r="CC317" s="50"/>
    </row>
    <row r="318" s="157" customFormat="true" ht="15" hidden="true" customHeight="true" outlineLevel="1" collapsed="false">
      <c r="A318" s="405" t="s">
        <v>404</v>
      </c>
      <c r="B318" s="406"/>
      <c r="C318" s="407" t="n">
        <f aca="false">SUM(C316:C317)</f>
        <v>-150.925</v>
      </c>
      <c r="D318" s="407" t="n">
        <f aca="false">SUM(D316:D317)</f>
        <v>1021.82</v>
      </c>
      <c r="E318" s="407" t="n">
        <f aca="false">SUM(E316:E317)</f>
        <v>1466.96</v>
      </c>
      <c r="F318" s="407" t="n">
        <f aca="false">SUM(F316:F317)</f>
        <v>1146.316</v>
      </c>
      <c r="G318" s="407" t="n">
        <f aca="false">SUM(G316:G317)</f>
        <v>1015.49</v>
      </c>
      <c r="H318" s="408" t="n">
        <f aca="false">SUM(H316:H317)</f>
        <v>249.1</v>
      </c>
      <c r="I318" s="408" t="n">
        <f aca="false">SUM(I316:I317)</f>
        <v>398.7</v>
      </c>
      <c r="J318" s="408" t="n">
        <f aca="false">SUM(J316:J317)</f>
        <v>244</v>
      </c>
      <c r="K318" s="408" t="n">
        <f aca="false">SUM(K316:K317)</f>
        <v>304.8</v>
      </c>
      <c r="L318" s="407" t="n">
        <f aca="false">SUM(L316:L317)</f>
        <v>1196.64</v>
      </c>
      <c r="M318" s="408" t="n">
        <f aca="false">SUM(M316:M317)</f>
        <v>402.7</v>
      </c>
      <c r="N318" s="408" t="n">
        <f aca="false">SUM(N316:N317)</f>
        <v>369.7</v>
      </c>
      <c r="O318" s="408" t="n">
        <f aca="false">SUM(O316:O317)</f>
        <v>322.4</v>
      </c>
      <c r="P318" s="408" t="n">
        <f aca="false">SUM(P316:P317)</f>
        <v>292.4</v>
      </c>
      <c r="Q318" s="407" t="n">
        <f aca="false">SUM(Q316:Q317)</f>
        <v>1387.174</v>
      </c>
      <c r="R318" s="408" t="n">
        <f aca="false">SUM(R316:R317)</f>
        <v>198</v>
      </c>
      <c r="S318" s="408" t="n">
        <f aca="false">SUM(S316:S317)</f>
        <v>353.8</v>
      </c>
      <c r="T318" s="408" t="n">
        <f aca="false">SUM(T316:T317)</f>
        <v>395.9</v>
      </c>
      <c r="U318" s="408" t="n">
        <f aca="false">SUM(U316:U317)</f>
        <v>524.2</v>
      </c>
      <c r="V318" s="407" t="n">
        <f aca="false">SUM(V316:V317)</f>
        <v>1471.9</v>
      </c>
      <c r="W318" s="408" t="n">
        <f aca="false">SUM(W316:W317)</f>
        <v>452.1</v>
      </c>
      <c r="X318" s="408" t="n">
        <f aca="false">SUM(X316:X317)</f>
        <v>466.3</v>
      </c>
      <c r="Y318" s="408" t="n">
        <f aca="false">SUM(Y316:Y317)</f>
        <v>557.1</v>
      </c>
      <c r="Z318" s="408" t="n">
        <f aca="false">SUM(Z316:Z317)</f>
        <v>643</v>
      </c>
      <c r="AA318" s="407" t="n">
        <f aca="false">SUM(AA316:AA317)</f>
        <v>2118.5</v>
      </c>
      <c r="AB318" s="408" t="n">
        <f aca="false">SUM(AB316:AB317)</f>
        <v>539.7</v>
      </c>
      <c r="AC318" s="408" t="n">
        <f aca="false">SUM(AC316:AC317)</f>
        <v>584</v>
      </c>
      <c r="AD318" s="408" t="n">
        <f aca="false">SUM(AD316:AD317)</f>
        <v>680.4</v>
      </c>
      <c r="AE318" s="408" t="n">
        <f aca="false">SUM(AE316:AE317)</f>
        <v>787.500000000001</v>
      </c>
      <c r="AF318" s="407" t="n">
        <f aca="false">SUM(AF316:AF317)</f>
        <v>2591.6</v>
      </c>
      <c r="AG318" s="408" t="n">
        <f aca="false">SUM(AG316:AG317)</f>
        <v>355.4</v>
      </c>
      <c r="AH318" s="408" t="n">
        <f aca="false">SUM(AH316:AH317)</f>
        <v>476</v>
      </c>
      <c r="AI318" s="408" t="n">
        <f aca="false">SUM(AI316:AI317)</f>
        <v>626.8</v>
      </c>
      <c r="AJ318" s="408" t="n">
        <f aca="false">SUM(AJ316:AJ317)</f>
        <v>1134.1</v>
      </c>
      <c r="AK318" s="407" t="n">
        <f aca="false">SUM(AK316:AK317)</f>
        <v>2592.3</v>
      </c>
      <c r="AL318" s="408" t="n">
        <f aca="false">SUM(AL316:AL317)</f>
        <v>390.6</v>
      </c>
      <c r="AM318" s="408" t="n">
        <f aca="false">SUM(AM316:AM317)</f>
        <v>751</v>
      </c>
      <c r="AN318" s="408" t="n">
        <f aca="false">SUM(AN316:AN317)</f>
        <v>1061.5</v>
      </c>
      <c r="AO318" s="408" t="n">
        <f aca="false">SUM(AO316:AO317)</f>
        <v>1350.6</v>
      </c>
      <c r="AP318" s="407" t="n">
        <f aca="false">SUM(AP316:AP317)</f>
        <v>3553.7</v>
      </c>
      <c r="AQ318" s="408" t="n">
        <f aca="false">SUM(AQ316:AQ317)</f>
        <v>1331.4</v>
      </c>
      <c r="AR318" s="408" t="n">
        <f aca="false">SUM(AR316:AR317)</f>
        <v>1038.2</v>
      </c>
      <c r="AS318" s="408" t="n">
        <f aca="false">SUM(AS316:AS317)</f>
        <v>1740.2</v>
      </c>
      <c r="AT318" s="408" t="n">
        <f aca="false">SUM(AT316:AT317)</f>
        <v>1773.4</v>
      </c>
      <c r="AU318" s="407" t="n">
        <f aca="false">SUM(AU316:AU317)</f>
        <v>5883.2</v>
      </c>
      <c r="AV318" s="408" t="n">
        <f aca="false">SUM(AV316:AV317)</f>
        <v>695.3</v>
      </c>
      <c r="AW318" s="408" t="n">
        <f aca="false">SUM(AW316:AW317)</f>
        <v>1410.9</v>
      </c>
      <c r="AX318" s="408" t="n">
        <f aca="false">SUM(AX316:AX317)</f>
        <v>1701.5</v>
      </c>
      <c r="AY318" s="408" t="n">
        <f aca="false">SUM(AY316:AY317)</f>
        <v>1816.5</v>
      </c>
      <c r="AZ318" s="407" t="n">
        <f aca="false">SUM(AZ316:AZ317)</f>
        <v>5624.2</v>
      </c>
      <c r="BA318" s="408" t="n">
        <f aca="false">SUM(BA316:BA317)</f>
        <v>1955.8</v>
      </c>
      <c r="BB318" s="408" t="n">
        <f aca="false">SUM(BB316:BB317)</f>
        <v>1941.7</v>
      </c>
      <c r="BC318" s="408" t="n">
        <f aca="false">SUM(BC316:BC317)</f>
        <v>1893.4</v>
      </c>
      <c r="BD318" s="408" t="n">
        <f aca="false">SUM(BD316:BD317)</f>
        <v>2048.1</v>
      </c>
      <c r="BE318" s="407" t="n">
        <f aca="false">SUM(BE316:BE317)</f>
        <v>7839</v>
      </c>
      <c r="BF318" s="408" t="n">
        <f aca="false">SUM(BF316:BF317)</f>
        <v>1223.8</v>
      </c>
      <c r="BG318" s="408" t="n">
        <f aca="false">SUM(BG316:BG317)</f>
        <v>1577.9</v>
      </c>
      <c r="BH318" s="408" t="n">
        <f aca="false">SUM(BH316:BH317)</f>
        <v>2076.5</v>
      </c>
      <c r="BI318" s="408" t="n">
        <f aca="false">SUM(BI316:BI317)</f>
        <v>2693.4</v>
      </c>
      <c r="BJ318" s="407" t="n">
        <f aca="false">SUM(BJ316:BJ317)</f>
        <v>7571.6</v>
      </c>
      <c r="BK318" s="408" t="n">
        <f aca="false">SUM(BK316:BK317)</f>
        <v>2355</v>
      </c>
      <c r="BL318" s="408" t="n">
        <f aca="false">SUM(BL316:BL317)</f>
        <v>2290.3</v>
      </c>
      <c r="BM318" s="408" t="n">
        <f aca="false">SUM(BM316:BM317)</f>
        <v>2124.5</v>
      </c>
      <c r="BN318" s="408" t="n">
        <f aca="false">SUM(BN316:BN317)</f>
        <v>2839.6</v>
      </c>
      <c r="BO318" s="409" t="n">
        <f aca="false">SUM(BO316:BO317)</f>
        <v>9609.4</v>
      </c>
      <c r="BP318" s="410"/>
      <c r="BQ318" s="410"/>
      <c r="BR318" s="410"/>
      <c r="BS318" s="410"/>
      <c r="BT318" s="411"/>
      <c r="BU318" s="410"/>
      <c r="BV318" s="410"/>
      <c r="BW318" s="410"/>
      <c r="BX318" s="410"/>
      <c r="BY318" s="411"/>
      <c r="BZ318" s="411"/>
      <c r="CA318" s="411"/>
      <c r="CB318" s="411"/>
      <c r="CC318" s="156"/>
    </row>
    <row r="319" s="157" customFormat="true" ht="15" hidden="true" customHeight="true" outlineLevel="1" collapsed="false">
      <c r="A319" s="412"/>
      <c r="B319" s="393"/>
      <c r="C319" s="413"/>
      <c r="D319" s="413"/>
      <c r="E319" s="413"/>
      <c r="F319" s="413"/>
      <c r="G319" s="413"/>
      <c r="H319" s="414"/>
      <c r="I319" s="414"/>
      <c r="J319" s="414"/>
      <c r="K319" s="414"/>
      <c r="L319" s="413"/>
      <c r="M319" s="414"/>
      <c r="N319" s="414"/>
      <c r="O319" s="414"/>
      <c r="P319" s="414"/>
      <c r="Q319" s="413"/>
      <c r="R319" s="414"/>
      <c r="S319" s="163"/>
      <c r="T319" s="414"/>
      <c r="U319" s="414"/>
      <c r="V319" s="413"/>
      <c r="W319" s="414"/>
      <c r="X319" s="163"/>
      <c r="Y319" s="414"/>
      <c r="Z319" s="414"/>
      <c r="AA319" s="413"/>
      <c r="AB319" s="414"/>
      <c r="AC319" s="163"/>
      <c r="AD319" s="414"/>
      <c r="AE319" s="414"/>
      <c r="AF319" s="413"/>
      <c r="AG319" s="414"/>
      <c r="AH319" s="163"/>
      <c r="AI319" s="414"/>
      <c r="AJ319" s="414"/>
      <c r="AK319" s="413"/>
      <c r="AL319" s="414"/>
      <c r="AM319" s="163"/>
      <c r="AN319" s="414"/>
      <c r="AO319" s="414"/>
      <c r="AP319" s="413"/>
      <c r="AQ319" s="414"/>
      <c r="AR319" s="163"/>
      <c r="AS319" s="414"/>
      <c r="AT319" s="414"/>
      <c r="AU319" s="413"/>
      <c r="AV319" s="414"/>
      <c r="AW319" s="163"/>
      <c r="AX319" s="414"/>
      <c r="AY319" s="414"/>
      <c r="AZ319" s="413"/>
      <c r="BA319" s="414"/>
      <c r="BB319" s="163"/>
      <c r="BC319" s="414"/>
      <c r="BD319" s="414"/>
      <c r="BE319" s="413"/>
      <c r="BF319" s="414"/>
      <c r="BG319" s="163"/>
      <c r="BH319" s="414"/>
      <c r="BI319" s="414"/>
      <c r="BJ319" s="413"/>
      <c r="BK319" s="414"/>
      <c r="BL319" s="163"/>
      <c r="BM319" s="414"/>
      <c r="BN319" s="414"/>
      <c r="BO319" s="415"/>
      <c r="BP319" s="163"/>
      <c r="BQ319" s="163"/>
      <c r="BR319" s="163"/>
      <c r="BS319" s="163"/>
      <c r="BT319" s="162"/>
      <c r="BU319" s="163"/>
      <c r="BV319" s="163"/>
      <c r="BW319" s="163"/>
      <c r="BX319" s="163"/>
      <c r="BY319" s="162"/>
      <c r="BZ319" s="162"/>
      <c r="CA319" s="162"/>
      <c r="CB319" s="162"/>
      <c r="CC319" s="156"/>
    </row>
    <row r="320" s="51" customFormat="true" ht="15" hidden="true" customHeight="true" outlineLevel="1" collapsed="false">
      <c r="A320" s="416" t="s">
        <v>405</v>
      </c>
      <c r="B320" s="416"/>
      <c r="C320" s="417" t="n">
        <f aca="false">IF(ISBLANK(INDEX(MO_IS_FirstRow,0,COLUMN())),0,ROUND(C318-C526,6))</f>
        <v>0</v>
      </c>
      <c r="D320" s="417" t="n">
        <f aca="false">IF(ISBLANK(INDEX(MO_IS_FirstRow,0,COLUMN())),0,ROUND(D318-D526,6))</f>
        <v>0</v>
      </c>
      <c r="E320" s="417" t="n">
        <f aca="false">IF(ISBLANK(INDEX(MO_IS_FirstRow,0,COLUMN())),0,ROUND(E318-E526,6))</f>
        <v>0</v>
      </c>
      <c r="F320" s="417" t="n">
        <f aca="false">IF(ISBLANK(INDEX(MO_IS_FirstRow,0,COLUMN())),0,ROUND(F318-F526,6))</f>
        <v>0</v>
      </c>
      <c r="G320" s="417" t="n">
        <f aca="false">IF(ISBLANK(INDEX(MO_IS_FirstRow,0,COLUMN())),0,ROUND(G318-G526,6))</f>
        <v>0</v>
      </c>
      <c r="H320" s="417" t="n">
        <f aca="false">IF(ISBLANK(INDEX(MO_IS_FirstRow,0,COLUMN())),0,ROUND(H318-H526,6))</f>
        <v>0</v>
      </c>
      <c r="I320" s="417" t="n">
        <f aca="false">IF(ISBLANK(INDEX(MO_IS_FirstRow,0,COLUMN())),0,ROUND(I318-I526,6))</f>
        <v>0</v>
      </c>
      <c r="J320" s="417" t="n">
        <f aca="false">IF(ISBLANK(INDEX(MO_IS_FirstRow,0,COLUMN())),0,ROUND(J318-J526,6))</f>
        <v>0</v>
      </c>
      <c r="K320" s="417" t="n">
        <f aca="false">IF(ISBLANK(INDEX(MO_IS_FirstRow,0,COLUMN())),0,ROUND(K318-K526,6))</f>
        <v>-0.04</v>
      </c>
      <c r="L320" s="417" t="n">
        <f aca="false">IF(ISBLANK(INDEX(MO_IS_FirstRow,0,COLUMN())),0,ROUND(L318-L526,6))</f>
        <v>0</v>
      </c>
      <c r="M320" s="417" t="n">
        <f aca="false">IF(ISBLANK(INDEX(MO_IS_FirstRow,0,COLUMN())),0,ROUND(M318-M526,6))</f>
        <v>0</v>
      </c>
      <c r="N320" s="417" t="n">
        <f aca="false">IF(ISBLANK(INDEX(MO_IS_FirstRow,0,COLUMN())),0,ROUND(N318-N526,6))</f>
        <v>0</v>
      </c>
      <c r="O320" s="417" t="n">
        <f aca="false">IF(ISBLANK(INDEX(MO_IS_FirstRow,0,COLUMN())),0,ROUND(O318-O526,6))</f>
        <v>0</v>
      </c>
      <c r="P320" s="417" t="n">
        <f aca="false">IF(ISBLANK(INDEX(MO_IS_FirstRow,0,COLUMN())),0,ROUND(P318-P526,6))</f>
        <v>0.026</v>
      </c>
      <c r="Q320" s="417" t="n">
        <f aca="false">IF(ISBLANK(INDEX(MO_IS_FirstRow,0,COLUMN())),0,ROUND(Q318-Q526,6))</f>
        <v>0</v>
      </c>
      <c r="R320" s="417" t="n">
        <f aca="false">IF(ISBLANK(INDEX(MO_IS_FirstRow,0,COLUMN())),0,ROUND(R318-R526,6))</f>
        <v>0</v>
      </c>
      <c r="S320" s="417" t="n">
        <f aca="false">IF(ISBLANK(INDEX(MO_IS_FirstRow,0,COLUMN())),0,ROUND(S318-S526,6))</f>
        <v>0</v>
      </c>
      <c r="T320" s="417" t="n">
        <f aca="false">IF(ISBLANK(INDEX(MO_IS_FirstRow,0,COLUMN())),0,ROUND(T318-T526,6))</f>
        <v>0</v>
      </c>
      <c r="U320" s="417" t="n">
        <f aca="false">IF(ISBLANK(INDEX(MO_IS_FirstRow,0,COLUMN())),0,ROUND(U318-U526,6))</f>
        <v>0</v>
      </c>
      <c r="V320" s="417" t="n">
        <f aca="false">IF(ISBLANK(INDEX(MO_IS_FirstRow,0,COLUMN())),0,ROUND(V318-V526,6))</f>
        <v>0</v>
      </c>
      <c r="W320" s="417" t="n">
        <f aca="false">IF(ISBLANK(INDEX(MO_IS_FirstRow,0,COLUMN())),0,ROUND(W318-W526,6))</f>
        <v>0</v>
      </c>
      <c r="X320" s="417" t="n">
        <f aca="false">IF(ISBLANK(INDEX(MO_IS_FirstRow,0,COLUMN())),0,ROUND(X318-X526,6))</f>
        <v>0</v>
      </c>
      <c r="Y320" s="417" t="n">
        <f aca="false">IF(ISBLANK(INDEX(MO_IS_FirstRow,0,COLUMN())),0,ROUND(Y318-Y526,6))</f>
        <v>0</v>
      </c>
      <c r="Z320" s="417" t="n">
        <f aca="false">IF(ISBLANK(INDEX(MO_IS_FirstRow,0,COLUMN())),0,ROUND(Z318-Z526,6))</f>
        <v>0</v>
      </c>
      <c r="AA320" s="417" t="n">
        <f aca="false">IF(ISBLANK(INDEX(MO_IS_FirstRow,0,COLUMN())),0,ROUND(AA318-AA526,6))</f>
        <v>0</v>
      </c>
      <c r="AB320" s="417" t="n">
        <f aca="false">IF(ISBLANK(INDEX(MO_IS_FirstRow,0,COLUMN())),0,ROUND(AB318-AB526,6))</f>
        <v>0</v>
      </c>
      <c r="AC320" s="417" t="n">
        <f aca="false">IF(ISBLANK(INDEX(MO_IS_FirstRow,0,COLUMN())),0,ROUND(AC318-AC526,6))</f>
        <v>0</v>
      </c>
      <c r="AD320" s="417" t="n">
        <f aca="false">IF(ISBLANK(INDEX(MO_IS_FirstRow,0,COLUMN())),0,ROUND(AD318-AD526,6))</f>
        <v>0</v>
      </c>
      <c r="AE320" s="417" t="n">
        <f aca="false">IF(ISBLANK(INDEX(MO_IS_FirstRow,0,COLUMN())),0,ROUND(AE318-AE526,6))</f>
        <v>0</v>
      </c>
      <c r="AF320" s="417" t="n">
        <f aca="false">IF(ISBLANK(INDEX(MO_IS_FirstRow,0,COLUMN())),0,ROUND(AF318-AF526,6))</f>
        <v>0</v>
      </c>
      <c r="AG320" s="417" t="n">
        <f aca="false">IF(ISBLANK(INDEX(MO_IS_FirstRow,0,COLUMN())),0,ROUND(AG318-AG526,6))</f>
        <v>0</v>
      </c>
      <c r="AH320" s="417" t="n">
        <f aca="false">IF(ISBLANK(INDEX(MO_IS_FirstRow,0,COLUMN())),0,ROUND(AH318-AH526,6))</f>
        <v>0</v>
      </c>
      <c r="AI320" s="417" t="n">
        <f aca="false">IF(ISBLANK(INDEX(MO_IS_FirstRow,0,COLUMN())),0,ROUND(AI318-AI526,6))</f>
        <v>0</v>
      </c>
      <c r="AJ320" s="417" t="n">
        <f aca="false">IF(ISBLANK(INDEX(MO_IS_FirstRow,0,COLUMN())),0,ROUND(AJ318-AJ526,6))</f>
        <v>0</v>
      </c>
      <c r="AK320" s="417" t="n">
        <f aca="false">IF(ISBLANK(INDEX(MO_IS_FirstRow,0,COLUMN())),0,ROUND(AK318-AK526,6))</f>
        <v>0</v>
      </c>
      <c r="AL320" s="417" t="n">
        <f aca="false">IF(ISBLANK(INDEX(MO_IS_FirstRow,0,COLUMN())),0,ROUND(AL318-AL526,6))</f>
        <v>0</v>
      </c>
      <c r="AM320" s="417" t="n">
        <f aca="false">IF(ISBLANK(INDEX(MO_IS_FirstRow,0,COLUMN())),0,ROUND(AM318-AM526,6))</f>
        <v>0</v>
      </c>
      <c r="AN320" s="417" t="n">
        <f aca="false">IF(ISBLANK(INDEX(MO_IS_FirstRow,0,COLUMN())),0,ROUND(AN318-AN526,6))</f>
        <v>0</v>
      </c>
      <c r="AO320" s="417" t="n">
        <f aca="false">IF(ISBLANK(INDEX(MO_IS_FirstRow,0,COLUMN())),0,ROUND(AO318-AO526,6))</f>
        <v>0</v>
      </c>
      <c r="AP320" s="417" t="n">
        <f aca="false">IF(ISBLANK(INDEX(MO_IS_FirstRow,0,COLUMN())),0,ROUND(AP318-AP526,6))</f>
        <v>0</v>
      </c>
      <c r="AQ320" s="417" t="n">
        <f aca="false">IF(ISBLANK(INDEX(MO_IS_FirstRow,0,COLUMN())),0,ROUND(AQ318-AQ526,6))</f>
        <v>0</v>
      </c>
      <c r="AR320" s="417" t="n">
        <f aca="false">IF(ISBLANK(INDEX(MO_IS_FirstRow,0,COLUMN())),0,ROUND(AR318-AR526,6))</f>
        <v>0</v>
      </c>
      <c r="AS320" s="417" t="n">
        <f aca="false">IF(ISBLANK(INDEX(MO_IS_FirstRow,0,COLUMN())),0,ROUND(AS318-AS526,6))</f>
        <v>0</v>
      </c>
      <c r="AT320" s="417" t="n">
        <f aca="false">IF(ISBLANK(INDEX(MO_IS_FirstRow,0,COLUMN())),0,ROUND(AT318-AT526,6))</f>
        <v>0</v>
      </c>
      <c r="AU320" s="417" t="n">
        <f aca="false">IF(ISBLANK(INDEX(MO_IS_FirstRow,0,COLUMN())),0,ROUND(AU318-AU526,6))</f>
        <v>0</v>
      </c>
      <c r="AV320" s="417" t="n">
        <f aca="false">IF(ISBLANK(INDEX(MO_IS_FirstRow,0,COLUMN())),0,ROUND(AV318-AV526,6))</f>
        <v>0</v>
      </c>
      <c r="AW320" s="417" t="n">
        <f aca="false">IF(ISBLANK(INDEX(MO_IS_FirstRow,0,COLUMN())),0,ROUND(AW318-AW526,6))</f>
        <v>0</v>
      </c>
      <c r="AX320" s="417" t="n">
        <f aca="false">IF(ISBLANK(INDEX(MO_IS_FirstRow,0,COLUMN())),0,ROUND(AX318-AX526,6))</f>
        <v>0</v>
      </c>
      <c r="AY320" s="417" t="n">
        <f aca="false">IF(ISBLANK(INDEX(MO_IS_FirstRow,0,COLUMN())),0,ROUND(AY318-AY526,6))</f>
        <v>0</v>
      </c>
      <c r="AZ320" s="417" t="n">
        <f aca="false">IF(ISBLANK(INDEX(MO_IS_FirstRow,0,COLUMN())),0,ROUND(AZ318-AZ526,6))</f>
        <v>0</v>
      </c>
      <c r="BA320" s="417" t="n">
        <f aca="false">IF(ISBLANK(INDEX(MO_IS_FirstRow,0,COLUMN())),0,ROUND(BA318-BA526,6))</f>
        <v>0</v>
      </c>
      <c r="BB320" s="417" t="n">
        <f aca="false">IF(ISBLANK(INDEX(MO_IS_FirstRow,0,COLUMN())),0,ROUND(BB318-BB526,6))</f>
        <v>0</v>
      </c>
      <c r="BC320" s="417" t="n">
        <f aca="false">IF(ISBLANK(INDEX(MO_IS_FirstRow,0,COLUMN())),0,ROUND(BC318-BC526,6))</f>
        <v>0</v>
      </c>
      <c r="BD320" s="417" t="n">
        <f aca="false">IF(ISBLANK(INDEX(MO_IS_FirstRow,0,COLUMN())),0,ROUND(BD318-BD526,6))</f>
        <v>0</v>
      </c>
      <c r="BE320" s="417" t="n">
        <f aca="false">IF(ISBLANK(INDEX(MO_IS_FirstRow,0,COLUMN())),0,ROUND(BE318-BE526,6))</f>
        <v>0</v>
      </c>
      <c r="BF320" s="417" t="n">
        <f aca="false">IF(ISBLANK(INDEX(MO_IS_FirstRow,0,COLUMN())),0,ROUND(BF318-BF526,6))</f>
        <v>0</v>
      </c>
      <c r="BG320" s="417" t="n">
        <f aca="false">IF(ISBLANK(INDEX(MO_IS_FirstRow,0,COLUMN())),0,ROUND(BG318-BG526,6))</f>
        <v>0</v>
      </c>
      <c r="BH320" s="417" t="n">
        <f aca="false">IF(ISBLANK(INDEX(MO_IS_FirstRow,0,COLUMN())),0,ROUND(BH318-BH526,6))</f>
        <v>0</v>
      </c>
      <c r="BI320" s="417" t="n">
        <f aca="false">IF(ISBLANK(INDEX(MO_IS_FirstRow,0,COLUMN())),0,ROUND(BI318-BI526,6))</f>
        <v>0</v>
      </c>
      <c r="BJ320" s="417" t="n">
        <f aca="false">IF(ISBLANK(INDEX(MO_IS_FirstRow,0,COLUMN())),0,ROUND(BJ318-BJ526,6))</f>
        <v>0</v>
      </c>
      <c r="BK320" s="417" t="n">
        <f aca="false">IF(ISBLANK(INDEX(MO_IS_FirstRow,0,COLUMN())),0,ROUND(BK318-BK526,6))</f>
        <v>0</v>
      </c>
      <c r="BL320" s="417" t="n">
        <f aca="false">IF(ISBLANK(INDEX(MO_IS_FirstRow,0,COLUMN())),0,ROUND(BL318-BL526,6))</f>
        <v>0</v>
      </c>
      <c r="BM320" s="417" t="n">
        <f aca="false">IF(ISBLANK(INDEX(MO_IS_FirstRow,0,COLUMN())),0,ROUND(BM318-BM526,6))</f>
        <v>0</v>
      </c>
      <c r="BN320" s="417" t="n">
        <f aca="false">IF(ISBLANK(INDEX(MO_IS_FirstRow,0,COLUMN())),0,ROUND(BN318-BN526,6))</f>
        <v>0</v>
      </c>
      <c r="BO320" s="418" t="n">
        <f aca="false">IF(ISBLANK(INDEX(MO_IS_FirstRow,0,COLUMN())),0,ROUND(BO318-BO526,6))</f>
        <v>0</v>
      </c>
      <c r="BP320" s="417" t="n">
        <f aca="false">IF(ISBLANK(INDEX(MO_IS_FirstRow,0,COLUMN())),0,ROUND(BP318-BP526,6))</f>
        <v>0</v>
      </c>
      <c r="BQ320" s="417" t="n">
        <f aca="false">IF(ISBLANK(INDEX(MO_IS_FirstRow,0,COLUMN())),0,ROUND(BQ318-BQ526,6))</f>
        <v>0</v>
      </c>
      <c r="BR320" s="417" t="n">
        <f aca="false">IF(ISBLANK(INDEX(MO_IS_FirstRow,0,COLUMN())),0,ROUND(BR318-BR526,6))</f>
        <v>0</v>
      </c>
      <c r="BS320" s="417" t="n">
        <f aca="false">IF(ISBLANK(INDEX(MO_IS_FirstRow,0,COLUMN())),0,ROUND(BS318-BS526,6))</f>
        <v>0</v>
      </c>
      <c r="BT320" s="417" t="n">
        <f aca="false">IF(ISBLANK(INDEX(MO_IS_FirstRow,0,COLUMN())),0,ROUND(BT318-BT526,6))</f>
        <v>0</v>
      </c>
      <c r="BU320" s="417" t="n">
        <f aca="false">IF(ISBLANK(INDEX(MO_IS_FirstRow,0,COLUMN())),0,ROUND(BU318-BU526,6))</f>
        <v>0</v>
      </c>
      <c r="BV320" s="417" t="n">
        <f aca="false">IF(ISBLANK(INDEX(MO_IS_FirstRow,0,COLUMN())),0,ROUND(BV318-BV526,6))</f>
        <v>0</v>
      </c>
      <c r="BW320" s="417" t="n">
        <f aca="false">IF(ISBLANK(INDEX(MO_IS_FirstRow,0,COLUMN())),0,ROUND(BW318-BW526,6))</f>
        <v>0</v>
      </c>
      <c r="BX320" s="417" t="n">
        <f aca="false">IF(ISBLANK(INDEX(MO_IS_FirstRow,0,COLUMN())),0,ROUND(BX318-BX526,6))</f>
        <v>0</v>
      </c>
      <c r="BY320" s="417" t="n">
        <f aca="false">IF(ISBLANK(INDEX(MO_IS_FirstRow,0,COLUMN())),0,ROUND(BY318-BY526,6))</f>
        <v>0</v>
      </c>
      <c r="BZ320" s="417" t="n">
        <f aca="false">IF(ISBLANK(INDEX(MO_IS_FirstRow,0,COLUMN())),0,ROUND(BZ318-BZ526,6))</f>
        <v>0</v>
      </c>
      <c r="CA320" s="417" t="n">
        <f aca="false">IF(ISBLANK(INDEX(MO_IS_FirstRow,0,COLUMN())),0,ROUND(CA318-CA526,6))</f>
        <v>0</v>
      </c>
      <c r="CB320" s="417" t="n">
        <f aca="false">IF(ISBLANK(INDEX(MO_IS_FirstRow,0,COLUMN())),0,ROUND(CB318-CB526,6))</f>
        <v>0</v>
      </c>
      <c r="CC320" s="50"/>
    </row>
    <row r="321" s="157" customFormat="true" ht="15" hidden="false" customHeight="true" outlineLevel="0" collapsed="false">
      <c r="A321" s="145"/>
      <c r="B321" s="266"/>
      <c r="C321" s="159"/>
      <c r="D321" s="159"/>
      <c r="E321" s="159"/>
      <c r="F321" s="159"/>
      <c r="G321" s="159"/>
      <c r="H321" s="48"/>
      <c r="I321" s="48"/>
      <c r="J321" s="48"/>
      <c r="K321" s="48"/>
      <c r="L321" s="159"/>
      <c r="M321" s="48"/>
      <c r="N321" s="48"/>
      <c r="O321" s="48"/>
      <c r="P321" s="48"/>
      <c r="Q321" s="159"/>
      <c r="R321" s="48"/>
      <c r="S321" s="268"/>
      <c r="T321" s="48"/>
      <c r="U321" s="48"/>
      <c r="V321" s="159"/>
      <c r="W321" s="48"/>
      <c r="X321" s="268"/>
      <c r="Y321" s="48"/>
      <c r="Z321" s="48"/>
      <c r="AA321" s="159"/>
      <c r="AB321" s="48"/>
      <c r="AC321" s="268"/>
      <c r="AD321" s="48"/>
      <c r="AE321" s="48"/>
      <c r="AF321" s="159"/>
      <c r="AG321" s="48"/>
      <c r="AH321" s="268"/>
      <c r="AI321" s="48"/>
      <c r="AJ321" s="48"/>
      <c r="AK321" s="159"/>
      <c r="AL321" s="48"/>
      <c r="AM321" s="268"/>
      <c r="AN321" s="48"/>
      <c r="AO321" s="48"/>
      <c r="AP321" s="159"/>
      <c r="AQ321" s="48"/>
      <c r="AR321" s="268"/>
      <c r="AS321" s="48"/>
      <c r="AT321" s="48"/>
      <c r="AU321" s="159"/>
      <c r="AV321" s="48"/>
      <c r="AW321" s="268"/>
      <c r="AX321" s="48"/>
      <c r="AY321" s="48"/>
      <c r="AZ321" s="159"/>
      <c r="BA321" s="48"/>
      <c r="BB321" s="268"/>
      <c r="BC321" s="48"/>
      <c r="BD321" s="48"/>
      <c r="BE321" s="159"/>
      <c r="BF321" s="48"/>
      <c r="BG321" s="268"/>
      <c r="BH321" s="48"/>
      <c r="BI321" s="48"/>
      <c r="BJ321" s="159"/>
      <c r="BK321" s="48"/>
      <c r="BL321" s="268"/>
      <c r="BM321" s="48"/>
      <c r="BN321" s="48"/>
      <c r="BO321" s="160"/>
      <c r="BP321" s="268"/>
      <c r="BQ321" s="268"/>
      <c r="BR321" s="268"/>
      <c r="BS321" s="268"/>
      <c r="BT321" s="267"/>
      <c r="BU321" s="268"/>
      <c r="BV321" s="268"/>
      <c r="BW321" s="268"/>
      <c r="BX321" s="268"/>
      <c r="BY321" s="267"/>
      <c r="BZ321" s="267"/>
      <c r="CA321" s="267"/>
      <c r="CB321" s="267"/>
      <c r="CC321" s="156"/>
    </row>
    <row r="322" s="157" customFormat="true" ht="15" hidden="false" customHeight="true" outlineLevel="0" collapsed="false">
      <c r="A322" s="219" t="s">
        <v>406</v>
      </c>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c r="AA322" s="219"/>
      <c r="AB322" s="219"/>
      <c r="AC322" s="219"/>
      <c r="AD322" s="219"/>
      <c r="AE322" s="219"/>
      <c r="AF322" s="219"/>
      <c r="AG322" s="219"/>
      <c r="AH322" s="219"/>
      <c r="AI322" s="219"/>
      <c r="AJ322" s="219"/>
      <c r="AK322" s="219"/>
      <c r="AL322" s="219"/>
      <c r="AM322" s="219"/>
      <c r="AN322" s="219"/>
      <c r="AO322" s="219"/>
      <c r="AP322" s="219"/>
      <c r="AQ322" s="219"/>
      <c r="AR322" s="219"/>
      <c r="AS322" s="219"/>
      <c r="AT322" s="219"/>
      <c r="AU322" s="219"/>
      <c r="AV322" s="219"/>
      <c r="AW322" s="219"/>
      <c r="AX322" s="219"/>
      <c r="AY322" s="219"/>
      <c r="AZ322" s="219"/>
      <c r="BA322" s="219"/>
      <c r="BB322" s="219"/>
      <c r="BC322" s="219"/>
      <c r="BD322" s="219"/>
      <c r="BE322" s="219"/>
      <c r="BF322" s="219"/>
      <c r="BG322" s="219"/>
      <c r="BH322" s="219"/>
      <c r="BI322" s="219"/>
      <c r="BJ322" s="219"/>
      <c r="BK322" s="219"/>
      <c r="BL322" s="219"/>
      <c r="BM322" s="219"/>
      <c r="BN322" s="219"/>
      <c r="BO322" s="220"/>
      <c r="BP322" s="219"/>
      <c r="BQ322" s="219"/>
      <c r="BR322" s="219"/>
      <c r="BS322" s="219"/>
      <c r="BT322" s="219"/>
      <c r="BU322" s="219"/>
      <c r="BV322" s="219"/>
      <c r="BW322" s="219"/>
      <c r="BX322" s="219"/>
      <c r="BY322" s="219"/>
      <c r="BZ322" s="219"/>
      <c r="CA322" s="219"/>
      <c r="CB322" s="219"/>
      <c r="CC322" s="156"/>
    </row>
    <row r="323" s="157" customFormat="true" ht="15" hidden="true" customHeight="true" outlineLevel="1" collapsed="false">
      <c r="A323" s="252" t="s">
        <v>407</v>
      </c>
      <c r="B323" s="266"/>
      <c r="C323" s="267" t="n">
        <f aca="false">C546</f>
        <v>99.194</v>
      </c>
      <c r="D323" s="267" t="n">
        <f aca="false">D546</f>
        <v>940.048</v>
      </c>
      <c r="E323" s="267" t="n">
        <f aca="false">E546</f>
        <v>2070.44</v>
      </c>
      <c r="F323" s="267" t="n">
        <f aca="false">F546</f>
        <v>703.478</v>
      </c>
      <c r="G323" s="267" t="n">
        <f aca="false">G546</f>
        <v>1054.173</v>
      </c>
      <c r="H323" s="268" t="n">
        <f aca="false">H546</f>
        <v>203.4</v>
      </c>
      <c r="I323" s="268" t="n">
        <f aca="false">I546</f>
        <v>198.4</v>
      </c>
      <c r="J323" s="268" t="n">
        <f aca="false">J546</f>
        <v>214.2</v>
      </c>
      <c r="K323" s="268" t="n">
        <f aca="false">K546</f>
        <v>409.206</v>
      </c>
      <c r="L323" s="267" t="n">
        <f aca="false">L546</f>
        <v>1025.206</v>
      </c>
      <c r="M323" s="268" t="n">
        <f aca="false">M546</f>
        <v>337.2</v>
      </c>
      <c r="N323" s="268" t="n">
        <f aca="false">N546</f>
        <v>283.8</v>
      </c>
      <c r="O323" s="268" t="n">
        <f aca="false">O546</f>
        <v>419.8</v>
      </c>
      <c r="P323" s="268" t="n">
        <f aca="false">P546</f>
        <v>984.78</v>
      </c>
      <c r="Q323" s="267" t="n">
        <f aca="false">Q546</f>
        <v>2025.58</v>
      </c>
      <c r="R323" s="268" t="n">
        <f aca="false">R546</f>
        <v>-5.80000000000001</v>
      </c>
      <c r="S323" s="268" t="n">
        <f aca="false">S546</f>
        <v>481.1</v>
      </c>
      <c r="T323" s="268" t="n">
        <f aca="false">T546</f>
        <v>-2.69999999999993</v>
      </c>
      <c r="U323" s="268" t="n">
        <f aca="false">U546</f>
        <v>1193.3</v>
      </c>
      <c r="V323" s="267" t="n">
        <f aca="false">V546</f>
        <v>1665.9</v>
      </c>
      <c r="W323" s="268" t="n">
        <f aca="false">W546</f>
        <v>-168.4</v>
      </c>
      <c r="X323" s="268" t="n">
        <f aca="false">X546</f>
        <v>530.3</v>
      </c>
      <c r="Y323" s="268" t="n">
        <f aca="false">Y546</f>
        <v>400</v>
      </c>
      <c r="Z323" s="268" t="n">
        <f aca="false">Z546</f>
        <v>1036.7</v>
      </c>
      <c r="AA323" s="267" t="n">
        <f aca="false">AA546</f>
        <v>1798.6</v>
      </c>
      <c r="AB323" s="268" t="n">
        <f aca="false">AB546</f>
        <v>191</v>
      </c>
      <c r="AC323" s="268" t="n">
        <f aca="false">AC546</f>
        <v>759.1</v>
      </c>
      <c r="AD323" s="268" t="n">
        <f aca="false">AD546</f>
        <v>492.2</v>
      </c>
      <c r="AE323" s="268" t="n">
        <f aca="false">AE546</f>
        <v>1630.4</v>
      </c>
      <c r="AF323" s="267" t="n">
        <f aca="false">AF546</f>
        <v>3072.7</v>
      </c>
      <c r="AG323" s="268" t="n">
        <f aca="false">AG546</f>
        <v>-480.8</v>
      </c>
      <c r="AH323" s="268" t="n">
        <f aca="false">AH546</f>
        <v>99.5</v>
      </c>
      <c r="AI323" s="268" t="n">
        <f aca="false">AI546</f>
        <v>69.4</v>
      </c>
      <c r="AJ323" s="268" t="n">
        <f aca="false">AJ546</f>
        <v>3588.3</v>
      </c>
      <c r="AK323" s="267" t="n">
        <f aca="false">AK546</f>
        <v>3276.4</v>
      </c>
      <c r="AL323" s="268" t="n">
        <f aca="false">AL546</f>
        <v>-605.8</v>
      </c>
      <c r="AM323" s="268" t="n">
        <f aca="false">AM546</f>
        <v>371.9</v>
      </c>
      <c r="AN323" s="268" t="n">
        <f aca="false">AN546</f>
        <v>191.1</v>
      </c>
      <c r="AO323" s="268" t="n">
        <f aca="false">AO546</f>
        <v>4670.4</v>
      </c>
      <c r="AP323" s="267" t="n">
        <f aca="false">AP546</f>
        <v>4627.6</v>
      </c>
      <c r="AQ323" s="268" t="n">
        <f aca="false">AQ546</f>
        <v>-941.7</v>
      </c>
      <c r="AR323" s="268" t="n">
        <f aca="false">AR546</f>
        <v>3568.9</v>
      </c>
      <c r="AS323" s="268" t="n">
        <f aca="false">AS546</f>
        <v>1801.6</v>
      </c>
      <c r="AT323" s="268" t="n">
        <f aca="false">AT546</f>
        <v>6417</v>
      </c>
      <c r="AU323" s="267" t="n">
        <f aca="false">AU546</f>
        <v>10845.8</v>
      </c>
      <c r="AV323" s="268" t="n">
        <f aca="false">AV546</f>
        <v>-586.1</v>
      </c>
      <c r="AW323" s="268" t="n">
        <f aca="false">AW546</f>
        <v>2552.9</v>
      </c>
      <c r="AX323" s="268" t="n">
        <f aca="false">AX546</f>
        <v>1169.5</v>
      </c>
      <c r="AY323" s="268" t="n">
        <f aca="false">AY546</f>
        <v>5350.5</v>
      </c>
      <c r="AZ323" s="267" t="n">
        <f aca="false">AZ546</f>
        <v>8486.8</v>
      </c>
      <c r="BA323" s="268" t="n">
        <f aca="false">BA546</f>
        <v>733.6</v>
      </c>
      <c r="BB323" s="268" t="n">
        <f aca="false">BB546</f>
        <v>384.7</v>
      </c>
      <c r="BC323" s="268" t="n">
        <f aca="false">BC546</f>
        <v>1128.1</v>
      </c>
      <c r="BD323" s="268" t="n">
        <f aca="false">BD546</f>
        <v>3197</v>
      </c>
      <c r="BE323" s="267" t="n">
        <f aca="false">BE546</f>
        <v>5443.4</v>
      </c>
      <c r="BF323" s="268" t="n">
        <f aca="false">BF546</f>
        <v>-251.9</v>
      </c>
      <c r="BG323" s="268" t="n">
        <f aca="false">BG546</f>
        <v>923.4</v>
      </c>
      <c r="BH323" s="268" t="n">
        <f aca="false">BH546</f>
        <v>949.9</v>
      </c>
      <c r="BI323" s="268" t="n">
        <f aca="false">BI546</f>
        <v>9544.8</v>
      </c>
      <c r="BJ323" s="267" t="n">
        <f aca="false">BJ546</f>
        <v>11166.2</v>
      </c>
      <c r="BK323" s="268" t="n">
        <f aca="false">BK546</f>
        <v>-58.6000000000004</v>
      </c>
      <c r="BL323" s="268" t="n">
        <f aca="false">BL546</f>
        <v>747.700000000001</v>
      </c>
      <c r="BM323" s="268" t="n">
        <f aca="false">BM546</f>
        <v>559.1</v>
      </c>
      <c r="BN323" s="268" t="n">
        <f aca="false">BN546</f>
        <v>11410.3</v>
      </c>
      <c r="BO323" s="269" t="n">
        <f aca="false">BO546</f>
        <v>12658.5</v>
      </c>
      <c r="BP323" s="268"/>
      <c r="BQ323" s="268"/>
      <c r="BR323" s="268"/>
      <c r="BS323" s="268"/>
      <c r="BT323" s="267"/>
      <c r="BU323" s="268"/>
      <c r="BV323" s="268"/>
      <c r="BW323" s="268"/>
      <c r="BX323" s="268"/>
      <c r="BY323" s="267"/>
      <c r="BZ323" s="267"/>
      <c r="CA323" s="267"/>
      <c r="CB323" s="267"/>
      <c r="CC323" s="156"/>
    </row>
    <row r="324" s="51" customFormat="true" ht="15" hidden="true" customHeight="true" outlineLevel="1" collapsed="false">
      <c r="A324" s="145" t="str">
        <f aca="false">A549</f>
        <v>Purchase of property, plant and equipment</v>
      </c>
      <c r="B324" s="254"/>
      <c r="C324" s="159" t="n">
        <f aca="false">C549</f>
        <v>-104.959</v>
      </c>
      <c r="D324" s="159" t="n">
        <f aca="false">D549</f>
        <v>-128.728</v>
      </c>
      <c r="E324" s="159" t="n">
        <f aca="false">E549</f>
        <v>-300.898</v>
      </c>
      <c r="F324" s="159" t="n">
        <f aca="false">F549</f>
        <v>-171.878</v>
      </c>
      <c r="G324" s="159" t="n">
        <f aca="false">G549</f>
        <v>-210.804</v>
      </c>
      <c r="H324" s="48" t="n">
        <f aca="false">H549</f>
        <v>-75.5</v>
      </c>
      <c r="I324" s="48" t="n">
        <f aca="false">I549</f>
        <v>-70.7</v>
      </c>
      <c r="J324" s="48" t="n">
        <f aca="false">J549</f>
        <v>-84.2</v>
      </c>
      <c r="K324" s="48" t="n">
        <f aca="false">K549</f>
        <v>-127.88</v>
      </c>
      <c r="L324" s="159" t="n">
        <f aca="false">L549</f>
        <v>-358.28</v>
      </c>
      <c r="M324" s="48" t="n">
        <f aca="false">M549</f>
        <v>-85.6</v>
      </c>
      <c r="N324" s="48" t="n">
        <f aca="false">N549</f>
        <v>-79.2</v>
      </c>
      <c r="O324" s="48" t="n">
        <f aca="false">O549</f>
        <v>-86.5</v>
      </c>
      <c r="P324" s="48" t="n">
        <f aca="false">P549</f>
        <v>-120.47</v>
      </c>
      <c r="Q324" s="159" t="n">
        <f aca="false">Q549</f>
        <v>-371.77</v>
      </c>
      <c r="R324" s="48" t="n">
        <f aca="false">R549</f>
        <v>-55.2</v>
      </c>
      <c r="S324" s="48" t="n">
        <f aca="false">S549</f>
        <v>-98.9</v>
      </c>
      <c r="T324" s="48" t="n">
        <f aca="false">T549</f>
        <v>-66.3</v>
      </c>
      <c r="U324" s="48" t="n">
        <f aca="false">U549</f>
        <v>-95.9</v>
      </c>
      <c r="V324" s="159" t="n">
        <f aca="false">V549</f>
        <v>-316.3</v>
      </c>
      <c r="W324" s="48" t="n">
        <f aca="false">W549</f>
        <v>-38.6</v>
      </c>
      <c r="X324" s="48" t="n">
        <f aca="false">X549</f>
        <v>-56.3</v>
      </c>
      <c r="Y324" s="48" t="n">
        <f aca="false">Y549</f>
        <v>-95.7</v>
      </c>
      <c r="Z324" s="48" t="n">
        <f aca="false">Z549</f>
        <v>-148.3</v>
      </c>
      <c r="AA324" s="159" t="n">
        <f aca="false">AA549</f>
        <v>-338.9</v>
      </c>
      <c r="AB324" s="48" t="n">
        <f aca="false">AB549</f>
        <v>-129.2</v>
      </c>
      <c r="AC324" s="48" t="n">
        <f aca="false">AC549</f>
        <v>-125.6</v>
      </c>
      <c r="AD324" s="48" t="n">
        <f aca="false">AD549</f>
        <v>-129.1</v>
      </c>
      <c r="AE324" s="48" t="n">
        <f aca="false">AE549</f>
        <v>-190.1</v>
      </c>
      <c r="AF324" s="159" t="n">
        <f aca="false">AF549</f>
        <v>-574</v>
      </c>
      <c r="AG324" s="48" t="n">
        <f aca="false">AG549</f>
        <v>-147</v>
      </c>
      <c r="AH324" s="48" t="n">
        <f aca="false">AH549</f>
        <v>-128.3</v>
      </c>
      <c r="AI324" s="48" t="n">
        <f aca="false">AI549</f>
        <v>-185.8</v>
      </c>
      <c r="AJ324" s="48" t="n">
        <f aca="false">AJ549</f>
        <v>-305.5</v>
      </c>
      <c r="AK324" s="159" t="n">
        <f aca="false">AK549</f>
        <v>-766.6</v>
      </c>
      <c r="AL324" s="48" t="n">
        <f aca="false">AL549</f>
        <v>-231.5</v>
      </c>
      <c r="AM324" s="48" t="n">
        <f aca="false">AM549</f>
        <v>-225.1</v>
      </c>
      <c r="AN324" s="48" t="n">
        <f aca="false">AN549</f>
        <v>-212.5</v>
      </c>
      <c r="AO324" s="48" t="n">
        <f aca="false">AO549</f>
        <v>-292.9</v>
      </c>
      <c r="AP324" s="159" t="n">
        <f aca="false">AP549</f>
        <v>-962</v>
      </c>
      <c r="AQ324" s="48" t="n">
        <f aca="false">AQ549</f>
        <v>-189.4</v>
      </c>
      <c r="AR324" s="48" t="n">
        <f aca="false">AR549</f>
        <v>-241.1</v>
      </c>
      <c r="AS324" s="48" t="n">
        <f aca="false">AS549</f>
        <v>-197</v>
      </c>
      <c r="AT324" s="48" t="n">
        <f aca="false">AT549</f>
        <v>-273.2</v>
      </c>
      <c r="AU324" s="159" t="n">
        <f aca="false">AU549</f>
        <v>-900.7</v>
      </c>
      <c r="AV324" s="48" t="n">
        <f aca="false">AV549</f>
        <v>-240.1</v>
      </c>
      <c r="AW324" s="48" t="n">
        <f aca="false">AW549</f>
        <v>-231.5</v>
      </c>
      <c r="AX324" s="48" t="n">
        <f aca="false">AX549</f>
        <v>-356.6</v>
      </c>
      <c r="AY324" s="48" t="n">
        <f aca="false">AY549</f>
        <v>-453.6</v>
      </c>
      <c r="AZ324" s="159" t="n">
        <f aca="false">AZ549</f>
        <v>-1281.8</v>
      </c>
      <c r="BA324" s="48" t="n">
        <f aca="false">BA549</f>
        <v>-532</v>
      </c>
      <c r="BB324" s="48" t="n">
        <f aca="false">BB549</f>
        <v>-537.8</v>
      </c>
      <c r="BC324" s="48" t="n">
        <f aca="false">BC549</f>
        <v>-501.8</v>
      </c>
      <c r="BD324" s="48" t="n">
        <f aca="false">BD549</f>
        <v>-584</v>
      </c>
      <c r="BE324" s="159" t="n">
        <f aca="false">BE549</f>
        <v>-2155.6</v>
      </c>
      <c r="BF324" s="48" t="n">
        <f aca="false">BF549</f>
        <v>-417.3</v>
      </c>
      <c r="BG324" s="48" t="n">
        <f aca="false">BG549</f>
        <v>-531</v>
      </c>
      <c r="BH324" s="48" t="n">
        <f aca="false">BH549</f>
        <v>-414.9</v>
      </c>
      <c r="BI324" s="48" t="n">
        <f aca="false">BI549</f>
        <v>-704</v>
      </c>
      <c r="BJ324" s="159" t="n">
        <f aca="false">BJ549</f>
        <v>-2067.2</v>
      </c>
      <c r="BK324" s="48" t="n">
        <f aca="false">BK549</f>
        <v>-415</v>
      </c>
      <c r="BL324" s="48" t="n">
        <f aca="false">BL549</f>
        <v>-414.8</v>
      </c>
      <c r="BM324" s="48" t="n">
        <f aca="false">BM549</f>
        <v>-295.9</v>
      </c>
      <c r="BN324" s="48" t="n">
        <f aca="false">BN549</f>
        <v>-447.9</v>
      </c>
      <c r="BO324" s="160" t="n">
        <f aca="false">BO549</f>
        <v>-1573.6</v>
      </c>
      <c r="BP324" s="48"/>
      <c r="BQ324" s="48"/>
      <c r="BR324" s="48"/>
      <c r="BS324" s="48"/>
      <c r="BT324" s="159"/>
      <c r="BU324" s="48"/>
      <c r="BV324" s="48"/>
      <c r="BW324" s="48"/>
      <c r="BX324" s="48"/>
      <c r="BY324" s="159"/>
      <c r="BZ324" s="159"/>
      <c r="CA324" s="159"/>
      <c r="CB324" s="159"/>
      <c r="CC324" s="50"/>
    </row>
    <row r="325" s="51" customFormat="true" ht="15" hidden="true" customHeight="true" outlineLevel="1" collapsed="false">
      <c r="A325" s="251" t="str">
        <f aca="false">A550</f>
        <v>Purchase of intangible assets</v>
      </c>
      <c r="B325" s="257"/>
      <c r="C325" s="261" t="n">
        <f aca="false">C550</f>
        <v>0</v>
      </c>
      <c r="D325" s="261" t="n">
        <f aca="false">D550</f>
        <v>0</v>
      </c>
      <c r="E325" s="261" t="n">
        <f aca="false">E550</f>
        <v>0</v>
      </c>
      <c r="F325" s="261" t="n">
        <f aca="false">F550</f>
        <v>-7.658</v>
      </c>
      <c r="G325" s="261" t="n">
        <f aca="false">G550</f>
        <v>-4</v>
      </c>
      <c r="H325" s="259" t="n">
        <f aca="false">H550</f>
        <v>0</v>
      </c>
      <c r="I325" s="259" t="n">
        <f aca="false">I550</f>
        <v>-3</v>
      </c>
      <c r="J325" s="259" t="n">
        <f aca="false">J550</f>
        <v>0</v>
      </c>
      <c r="K325" s="259" t="n">
        <f aca="false">K550</f>
        <v>0.048</v>
      </c>
      <c r="L325" s="261" t="n">
        <f aca="false">L550</f>
        <v>-2.952</v>
      </c>
      <c r="M325" s="259" t="n">
        <f aca="false">M550</f>
        <v>-1.1</v>
      </c>
      <c r="N325" s="259" t="n">
        <f aca="false">N550</f>
        <v>0</v>
      </c>
      <c r="O325" s="259" t="n">
        <f aca="false">O550</f>
        <v>0</v>
      </c>
      <c r="P325" s="259" t="n">
        <f aca="false">P550</f>
        <v>-0.00800000000000001</v>
      </c>
      <c r="Q325" s="261" t="n">
        <f aca="false">Q550</f>
        <v>-1.108</v>
      </c>
      <c r="R325" s="259" t="n">
        <f aca="false">R550</f>
        <v>-3.6</v>
      </c>
      <c r="S325" s="259" t="n">
        <f aca="false">S550</f>
        <v>-1.3</v>
      </c>
      <c r="T325" s="259" t="n">
        <f aca="false">T550</f>
        <v>-2.6</v>
      </c>
      <c r="U325" s="259" t="n">
        <f aca="false">U550</f>
        <v>-0.9</v>
      </c>
      <c r="V325" s="261" t="n">
        <f aca="false">V550</f>
        <v>-8.4</v>
      </c>
      <c r="W325" s="259" t="n">
        <f aca="false">W550</f>
        <v>-5.2</v>
      </c>
      <c r="X325" s="259" t="n">
        <f aca="false">X550</f>
        <v>-5</v>
      </c>
      <c r="Y325" s="259" t="n">
        <f aca="false">Y550</f>
        <v>-2.1</v>
      </c>
      <c r="Z325" s="259" t="n">
        <f aca="false">Z550</f>
        <v>-6.8</v>
      </c>
      <c r="AA325" s="261" t="n">
        <f aca="false">AA550</f>
        <v>-19.1</v>
      </c>
      <c r="AB325" s="259" t="n">
        <f aca="false">AB550</f>
        <v>-6.1</v>
      </c>
      <c r="AC325" s="259" t="n">
        <f aca="false">AC550</f>
        <v>-9.8</v>
      </c>
      <c r="AD325" s="259" t="n">
        <f aca="false">AD550</f>
        <v>-5.2</v>
      </c>
      <c r="AE325" s="259" t="n">
        <f aca="false">AE550</f>
        <v>-14.4</v>
      </c>
      <c r="AF325" s="261" t="n">
        <f aca="false">AF550</f>
        <v>-35.5</v>
      </c>
      <c r="AG325" s="259" t="n">
        <f aca="false">AG550</f>
        <v>-86.7</v>
      </c>
      <c r="AH325" s="259" t="n">
        <f aca="false">AH550</f>
        <v>-11.7</v>
      </c>
      <c r="AI325" s="259" t="n">
        <f aca="false">AI550</f>
        <v>-11.2</v>
      </c>
      <c r="AJ325" s="259" t="n">
        <f aca="false">AJ550</f>
        <v>-9.7</v>
      </c>
      <c r="AK325" s="261" t="n">
        <f aca="false">AK550</f>
        <v>-119.3</v>
      </c>
      <c r="AL325" s="259" t="n">
        <f aca="false">AL550</f>
        <v>-10.8</v>
      </c>
      <c r="AM325" s="259" t="n">
        <f aca="false">AM550</f>
        <v>-6.7</v>
      </c>
      <c r="AN325" s="259" t="n">
        <f aca="false">AN550</f>
        <v>-9.1</v>
      </c>
      <c r="AO325" s="259" t="n">
        <f aca="false">AO550</f>
        <v>-12.2</v>
      </c>
      <c r="AP325" s="261" t="n">
        <f aca="false">AP550</f>
        <v>-38.8</v>
      </c>
      <c r="AQ325" s="259" t="n">
        <f aca="false">AQ550</f>
        <v>-7.9</v>
      </c>
      <c r="AR325" s="259" t="n">
        <f aca="false">AR550</f>
        <v>-6.3</v>
      </c>
      <c r="AS325" s="259" t="n">
        <f aca="false">AS550</f>
        <v>-8</v>
      </c>
      <c r="AT325" s="259" t="n">
        <f aca="false">AT550</f>
        <v>-17.4</v>
      </c>
      <c r="AU325" s="261" t="n">
        <f aca="false">AU550</f>
        <v>-39.6</v>
      </c>
      <c r="AV325" s="259" t="n">
        <f aca="false">AV550</f>
        <v>-11.5</v>
      </c>
      <c r="AW325" s="259" t="n">
        <f aca="false">AW550</f>
        <v>-6</v>
      </c>
      <c r="AX325" s="259" t="n">
        <f aca="false">AX550</f>
        <v>-7.7</v>
      </c>
      <c r="AY325" s="259" t="n">
        <f aca="false">AY550</f>
        <v>-12.3</v>
      </c>
      <c r="AZ325" s="261" t="n">
        <f aca="false">AZ550</f>
        <v>-37.5</v>
      </c>
      <c r="BA325" s="259" t="n">
        <f aca="false">BA550</f>
        <v>-7.4</v>
      </c>
      <c r="BB325" s="259" t="n">
        <f aca="false">BB550</f>
        <v>-6.6</v>
      </c>
      <c r="BC325" s="259" t="n">
        <f aca="false">BC550</f>
        <v>-8.3</v>
      </c>
      <c r="BD325" s="259" t="n">
        <f aca="false">BD550</f>
        <v>-18.3</v>
      </c>
      <c r="BE325" s="261" t="n">
        <f aca="false">BE550</f>
        <v>-40.6</v>
      </c>
      <c r="BF325" s="259" t="n">
        <f aca="false">BF550</f>
        <v>-6.5</v>
      </c>
      <c r="BG325" s="259" t="n">
        <f aca="false">BG550</f>
        <v>-7</v>
      </c>
      <c r="BH325" s="259" t="n">
        <f aca="false">BH550</f>
        <v>-0.9</v>
      </c>
      <c r="BI325" s="259" t="n">
        <f aca="false">BI550</f>
        <v>-1.5</v>
      </c>
      <c r="BJ325" s="261" t="n">
        <f aca="false">BJ550</f>
        <v>-15.9</v>
      </c>
      <c r="BK325" s="259" t="n">
        <f aca="false">BK550</f>
        <v>-1.5</v>
      </c>
      <c r="BL325" s="259" t="n">
        <f aca="false">BL550</f>
        <v>-14.1</v>
      </c>
      <c r="BM325" s="259" t="n">
        <f aca="false">BM550</f>
        <v>-19.5</v>
      </c>
      <c r="BN325" s="259" t="n">
        <f aca="false">BN550</f>
        <v>-22.5</v>
      </c>
      <c r="BO325" s="260" t="n">
        <f aca="false">BO550</f>
        <v>-57.6</v>
      </c>
      <c r="BP325" s="259"/>
      <c r="BQ325" s="259"/>
      <c r="BR325" s="259"/>
      <c r="BS325" s="259"/>
      <c r="BT325" s="261"/>
      <c r="BU325" s="259"/>
      <c r="BV325" s="259"/>
      <c r="BW325" s="259"/>
      <c r="BX325" s="259"/>
      <c r="BY325" s="261"/>
      <c r="BZ325" s="261"/>
      <c r="CA325" s="261"/>
      <c r="CB325" s="261"/>
      <c r="CC325" s="50"/>
    </row>
    <row r="326" s="157" customFormat="true" ht="15" hidden="true" customHeight="true" outlineLevel="1" collapsed="false">
      <c r="A326" s="252" t="s">
        <v>408</v>
      </c>
      <c r="B326" s="266"/>
      <c r="C326" s="267" t="n">
        <f aca="false">SUM(C323:C325)</f>
        <v>-5.76500000000004</v>
      </c>
      <c r="D326" s="267" t="n">
        <f aca="false">SUM(D323:D325)</f>
        <v>811.32</v>
      </c>
      <c r="E326" s="267" t="n">
        <f aca="false">SUM(E323:E325)</f>
        <v>1769.542</v>
      </c>
      <c r="F326" s="267" t="n">
        <f aca="false">SUM(F323:F325)</f>
        <v>523.942</v>
      </c>
      <c r="G326" s="267" t="n">
        <f aca="false">SUM(G323:G325)</f>
        <v>839.369</v>
      </c>
      <c r="H326" s="268" t="n">
        <f aca="false">SUM(H323:H325)</f>
        <v>127.9</v>
      </c>
      <c r="I326" s="268" t="n">
        <f aca="false">SUM(I323:I325)</f>
        <v>124.7</v>
      </c>
      <c r="J326" s="268" t="n">
        <f aca="false">SUM(J323:J325)</f>
        <v>130</v>
      </c>
      <c r="K326" s="268" t="n">
        <f aca="false">SUM(K323:K325)</f>
        <v>281.374</v>
      </c>
      <c r="L326" s="267" t="n">
        <f aca="false">SUM(L323:L325)</f>
        <v>663.974</v>
      </c>
      <c r="M326" s="268" t="n">
        <f aca="false">SUM(M323:M325)</f>
        <v>250.5</v>
      </c>
      <c r="N326" s="268" t="n">
        <f aca="false">SUM(N323:N325)</f>
        <v>204.6</v>
      </c>
      <c r="O326" s="268" t="n">
        <f aca="false">SUM(O323:O325)</f>
        <v>333.3</v>
      </c>
      <c r="P326" s="268" t="n">
        <f aca="false">SUM(P323:P325)</f>
        <v>864.302</v>
      </c>
      <c r="Q326" s="267" t="n">
        <f aca="false">SUM(Q323:Q325)</f>
        <v>1652.702</v>
      </c>
      <c r="R326" s="268" t="n">
        <f aca="false">SUM(R323:R325)</f>
        <v>-64.6</v>
      </c>
      <c r="S326" s="268" t="n">
        <f aca="false">SUM(S323:S325)</f>
        <v>380.9</v>
      </c>
      <c r="T326" s="268" t="n">
        <f aca="false">SUM(T323:T325)</f>
        <v>-71.5999999999999</v>
      </c>
      <c r="U326" s="268" t="n">
        <f aca="false">SUM(U323:U325)</f>
        <v>1096.5</v>
      </c>
      <c r="V326" s="267" t="n">
        <f aca="false">SUM(V323:V325)</f>
        <v>1341.2</v>
      </c>
      <c r="W326" s="268" t="n">
        <f aca="false">SUM(W323:W325)</f>
        <v>-212.2</v>
      </c>
      <c r="X326" s="268" t="n">
        <f aca="false">SUM(X323:X325)</f>
        <v>469</v>
      </c>
      <c r="Y326" s="268" t="n">
        <f aca="false">SUM(Y323:Y325)</f>
        <v>302.2</v>
      </c>
      <c r="Z326" s="268" t="n">
        <f aca="false">SUM(Z323:Z325)</f>
        <v>881.6</v>
      </c>
      <c r="AA326" s="267" t="n">
        <f aca="false">SUM(AA323:AA325)</f>
        <v>1440.6</v>
      </c>
      <c r="AB326" s="268" t="n">
        <f aca="false">SUM(AB323:AB325)</f>
        <v>55.7</v>
      </c>
      <c r="AC326" s="268" t="n">
        <f aca="false">SUM(AC323:AC325)</f>
        <v>623.7</v>
      </c>
      <c r="AD326" s="268" t="n">
        <f aca="false">SUM(AD323:AD325)</f>
        <v>357.9</v>
      </c>
      <c r="AE326" s="268" t="n">
        <f aca="false">SUM(AE323:AE325)</f>
        <v>1425.9</v>
      </c>
      <c r="AF326" s="267" t="n">
        <f aca="false">SUM(AF323:AF325)</f>
        <v>2463.2</v>
      </c>
      <c r="AG326" s="268" t="n">
        <f aca="false">SUM(AG323:AG325)</f>
        <v>-714.5</v>
      </c>
      <c r="AH326" s="268" t="n">
        <f aca="false">SUM(AH323:AH325)</f>
        <v>-40.5</v>
      </c>
      <c r="AI326" s="268" t="n">
        <f aca="false">SUM(AI323:AI325)</f>
        <v>-127.6</v>
      </c>
      <c r="AJ326" s="268" t="n">
        <f aca="false">SUM(AJ323:AJ325)</f>
        <v>3273.1</v>
      </c>
      <c r="AK326" s="267" t="n">
        <f aca="false">SUM(AK323:AK325)</f>
        <v>2390.5</v>
      </c>
      <c r="AL326" s="268" t="n">
        <f aca="false">SUM(AL323:AL325)</f>
        <v>-848.1</v>
      </c>
      <c r="AM326" s="268" t="n">
        <f aca="false">SUM(AM323:AM325)</f>
        <v>140.1</v>
      </c>
      <c r="AN326" s="268" t="n">
        <f aca="false">SUM(AN323:AN325)</f>
        <v>-30.4999999999999</v>
      </c>
      <c r="AO326" s="268" t="n">
        <f aca="false">SUM(AO323:AO325)</f>
        <v>4365.3</v>
      </c>
      <c r="AP326" s="267" t="n">
        <f aca="false">SUM(AP323:AP325)</f>
        <v>3626.8</v>
      </c>
      <c r="AQ326" s="268" t="n">
        <f aca="false">SUM(AQ323:AQ325)</f>
        <v>-1139</v>
      </c>
      <c r="AR326" s="268" t="n">
        <f aca="false">SUM(AR323:AR325)</f>
        <v>3321.5</v>
      </c>
      <c r="AS326" s="268" t="n">
        <f aca="false">SUM(AS323:AS325)</f>
        <v>1596.6</v>
      </c>
      <c r="AT326" s="268" t="n">
        <f aca="false">SUM(AT323:AT325)</f>
        <v>6126.4</v>
      </c>
      <c r="AU326" s="267" t="n">
        <f aca="false">SUM(AU323:AU325)</f>
        <v>9905.5</v>
      </c>
      <c r="AV326" s="268" t="n">
        <f aca="false">SUM(AV323:AV325)</f>
        <v>-837.7</v>
      </c>
      <c r="AW326" s="268" t="n">
        <f aca="false">SUM(AW323:AW325)</f>
        <v>2315.4</v>
      </c>
      <c r="AX326" s="268" t="n">
        <f aca="false">SUM(AX323:AX325)</f>
        <v>805.2</v>
      </c>
      <c r="AY326" s="268" t="n">
        <f aca="false">SUM(AY323:AY325)</f>
        <v>4884.6</v>
      </c>
      <c r="AZ326" s="267" t="n">
        <f aca="false">SUM(AZ323:AZ325)</f>
        <v>7167.5</v>
      </c>
      <c r="BA326" s="268" t="n">
        <f aca="false">SUM(BA323:BA325)</f>
        <v>194.2</v>
      </c>
      <c r="BB326" s="268" t="n">
        <f aca="false">SUM(BB323:BB325)</f>
        <v>-159.7</v>
      </c>
      <c r="BC326" s="268" t="n">
        <f aca="false">SUM(BC323:BC325)</f>
        <v>618</v>
      </c>
      <c r="BD326" s="268" t="n">
        <f aca="false">SUM(BD323:BD325)</f>
        <v>2594.7</v>
      </c>
      <c r="BE326" s="267" t="n">
        <f aca="false">SUM(BE323:BE325)</f>
        <v>3247.2</v>
      </c>
      <c r="BF326" s="268" t="n">
        <f aca="false">SUM(BF323:BF325)</f>
        <v>-675.7</v>
      </c>
      <c r="BG326" s="268" t="n">
        <f aca="false">SUM(BG323:BG325)</f>
        <v>385.4</v>
      </c>
      <c r="BH326" s="268" t="n">
        <f aca="false">SUM(BH323:BH325)</f>
        <v>534.1</v>
      </c>
      <c r="BI326" s="268" t="n">
        <f aca="false">SUM(BI323:BI325)</f>
        <v>8839.3</v>
      </c>
      <c r="BJ326" s="267" t="n">
        <f aca="false">SUM(BJ323:BJ325)</f>
        <v>9083.1</v>
      </c>
      <c r="BK326" s="268" t="n">
        <f aca="false">SUM(BK323:BK325)</f>
        <v>-475.1</v>
      </c>
      <c r="BL326" s="268" t="n">
        <f aca="false">SUM(BL323:BL325)</f>
        <v>318.800000000001</v>
      </c>
      <c r="BM326" s="268" t="n">
        <f aca="false">SUM(BM323:BM325)</f>
        <v>243.7</v>
      </c>
      <c r="BN326" s="268" t="n">
        <f aca="false">SUM(BN323:BN325)</f>
        <v>10939.9</v>
      </c>
      <c r="BO326" s="269" t="n">
        <f aca="false">SUM(BO323:BO325)</f>
        <v>11027.3</v>
      </c>
      <c r="BP326" s="268"/>
      <c r="BQ326" s="268"/>
      <c r="BR326" s="268"/>
      <c r="BS326" s="268"/>
      <c r="BT326" s="267"/>
      <c r="BU326" s="268"/>
      <c r="BV326" s="268"/>
      <c r="BW326" s="268"/>
      <c r="BX326" s="268"/>
      <c r="BY326" s="267"/>
      <c r="BZ326" s="267"/>
      <c r="CA326" s="267"/>
      <c r="CB326" s="267"/>
      <c r="CC326" s="156"/>
    </row>
    <row r="327" s="157" customFormat="true" ht="15" hidden="false" customHeight="true" outlineLevel="0" collapsed="false">
      <c r="A327" s="145"/>
      <c r="B327" s="266"/>
      <c r="C327" s="159"/>
      <c r="D327" s="159"/>
      <c r="E327" s="159"/>
      <c r="F327" s="159"/>
      <c r="G327" s="159"/>
      <c r="H327" s="48"/>
      <c r="I327" s="48"/>
      <c r="J327" s="48"/>
      <c r="K327" s="48"/>
      <c r="L327" s="159"/>
      <c r="M327" s="48"/>
      <c r="N327" s="48"/>
      <c r="O327" s="48"/>
      <c r="P327" s="48"/>
      <c r="Q327" s="159"/>
      <c r="R327" s="48"/>
      <c r="S327" s="268"/>
      <c r="T327" s="48"/>
      <c r="U327" s="48"/>
      <c r="V327" s="159"/>
      <c r="W327" s="48"/>
      <c r="X327" s="268"/>
      <c r="Y327" s="48"/>
      <c r="Z327" s="48"/>
      <c r="AA327" s="159"/>
      <c r="AB327" s="48"/>
      <c r="AC327" s="268"/>
      <c r="AD327" s="48"/>
      <c r="AE327" s="48"/>
      <c r="AF327" s="159"/>
      <c r="AG327" s="48"/>
      <c r="AH327" s="268"/>
      <c r="AI327" s="48"/>
      <c r="AJ327" s="48"/>
      <c r="AK327" s="159"/>
      <c r="AL327" s="48"/>
      <c r="AM327" s="268"/>
      <c r="AN327" s="48"/>
      <c r="AO327" s="48"/>
      <c r="AP327" s="159"/>
      <c r="AQ327" s="48"/>
      <c r="AR327" s="268"/>
      <c r="AS327" s="48"/>
      <c r="AT327" s="48"/>
      <c r="AU327" s="159"/>
      <c r="AV327" s="48"/>
      <c r="AW327" s="268"/>
      <c r="AX327" s="48"/>
      <c r="AY327" s="48"/>
      <c r="AZ327" s="159"/>
      <c r="BA327" s="48"/>
      <c r="BB327" s="268"/>
      <c r="BC327" s="48"/>
      <c r="BD327" s="48"/>
      <c r="BE327" s="159"/>
      <c r="BF327" s="48"/>
      <c r="BG327" s="268"/>
      <c r="BH327" s="48"/>
      <c r="BI327" s="48"/>
      <c r="BJ327" s="159"/>
      <c r="BK327" s="48"/>
      <c r="BL327" s="268"/>
      <c r="BM327" s="48"/>
      <c r="BN327" s="48"/>
      <c r="BO327" s="160"/>
      <c r="BP327" s="268"/>
      <c r="BQ327" s="268"/>
      <c r="BR327" s="268"/>
      <c r="BS327" s="268"/>
      <c r="BT327" s="267"/>
      <c r="BU327" s="268"/>
      <c r="BV327" s="268"/>
      <c r="BW327" s="268"/>
      <c r="BX327" s="268"/>
      <c r="BY327" s="267"/>
      <c r="BZ327" s="267"/>
      <c r="CA327" s="267"/>
      <c r="CB327" s="267"/>
      <c r="CC327" s="156"/>
    </row>
    <row r="328" s="157" customFormat="true" ht="15" hidden="false" customHeight="true" outlineLevel="0" collapsed="false">
      <c r="A328" s="219" t="s">
        <v>409</v>
      </c>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219"/>
      <c r="AH328" s="219"/>
      <c r="AI328" s="219"/>
      <c r="AJ328" s="219"/>
      <c r="AK328" s="219"/>
      <c r="AL328" s="219"/>
      <c r="AM328" s="219"/>
      <c r="AN328" s="219"/>
      <c r="AO328" s="219"/>
      <c r="AP328" s="219"/>
      <c r="AQ328" s="219"/>
      <c r="AR328" s="219"/>
      <c r="AS328" s="219"/>
      <c r="AT328" s="219"/>
      <c r="AU328" s="219"/>
      <c r="AV328" s="219"/>
      <c r="AW328" s="219"/>
      <c r="AX328" s="219"/>
      <c r="AY328" s="219"/>
      <c r="AZ328" s="219"/>
      <c r="BA328" s="219"/>
      <c r="BB328" s="219"/>
      <c r="BC328" s="219"/>
      <c r="BD328" s="219"/>
      <c r="BE328" s="219"/>
      <c r="BF328" s="219"/>
      <c r="BG328" s="219"/>
      <c r="BH328" s="219"/>
      <c r="BI328" s="219"/>
      <c r="BJ328" s="219"/>
      <c r="BK328" s="219"/>
      <c r="BL328" s="219"/>
      <c r="BM328" s="219"/>
      <c r="BN328" s="219"/>
      <c r="BO328" s="220"/>
      <c r="BP328" s="219"/>
      <c r="BQ328" s="219"/>
      <c r="BR328" s="219"/>
      <c r="BS328" s="219"/>
      <c r="BT328" s="219"/>
      <c r="BU328" s="219"/>
      <c r="BV328" s="219"/>
      <c r="BW328" s="219"/>
      <c r="BX328" s="219"/>
      <c r="BY328" s="219"/>
      <c r="BZ328" s="219"/>
      <c r="CA328" s="219"/>
      <c r="CB328" s="219"/>
      <c r="CC328" s="156"/>
    </row>
    <row r="329" s="157" customFormat="true" ht="15" hidden="false" customHeight="true" outlineLevel="0" collapsed="false">
      <c r="A329" s="252" t="s">
        <v>410</v>
      </c>
      <c r="B329" s="266"/>
      <c r="C329" s="267" t="n">
        <f aca="false">C300</f>
        <v>1596.063</v>
      </c>
      <c r="D329" s="267" t="n">
        <f aca="false">D300</f>
        <v>4507.938</v>
      </c>
      <c r="E329" s="267" t="n">
        <f aca="false">E300</f>
        <v>5651.035</v>
      </c>
      <c r="F329" s="267" t="n">
        <f aca="false">F300</f>
        <v>4731.555</v>
      </c>
      <c r="G329" s="267" t="n">
        <f aca="false">G300</f>
        <v>5245.326</v>
      </c>
      <c r="H329" s="268" t="n">
        <f aca="false">H300</f>
        <v>1396.5</v>
      </c>
      <c r="I329" s="268" t="n">
        <f aca="false">I300</f>
        <v>1643.6</v>
      </c>
      <c r="J329" s="268" t="n">
        <f aca="false">J300</f>
        <v>1322.2</v>
      </c>
      <c r="K329" s="268" t="n">
        <f aca="false">K300</f>
        <v>1494</v>
      </c>
      <c r="L329" s="267" t="n">
        <f aca="false">L300</f>
        <v>5856.277</v>
      </c>
      <c r="M329" s="268" t="n">
        <f aca="false">M300</f>
        <v>1649.9</v>
      </c>
      <c r="N329" s="268" t="n">
        <f aca="false">N300</f>
        <v>1654.1</v>
      </c>
      <c r="O329" s="268" t="n">
        <f aca="false">O300</f>
        <v>1549.2</v>
      </c>
      <c r="P329" s="268" t="n">
        <f aca="false">P300</f>
        <v>1434.2</v>
      </c>
      <c r="Q329" s="267" t="n">
        <f aca="false">Q300</f>
        <v>6287.375</v>
      </c>
      <c r="R329" s="268" t="n">
        <f aca="false">R300</f>
        <v>1333.2</v>
      </c>
      <c r="S329" s="268" t="n">
        <f aca="false">S300</f>
        <v>1739.6</v>
      </c>
      <c r="T329" s="268" t="n">
        <f aca="false">T300</f>
        <v>1814.6</v>
      </c>
      <c r="U329" s="268" t="n">
        <f aca="false">U300</f>
        <v>1907.4</v>
      </c>
      <c r="V329" s="267" t="n">
        <f aca="false">V300</f>
        <v>6794.8</v>
      </c>
      <c r="W329" s="268" t="n">
        <f aca="false">W300</f>
        <v>1943.6</v>
      </c>
      <c r="X329" s="268" t="n">
        <f aca="false">X300</f>
        <v>2101.4</v>
      </c>
      <c r="Y329" s="268" t="n">
        <f aca="false">Y300</f>
        <v>2447.4</v>
      </c>
      <c r="Z329" s="268" t="n">
        <f aca="false">Z300</f>
        <v>2560.4</v>
      </c>
      <c r="AA329" s="267" t="n">
        <f aca="false">AA300</f>
        <v>9052.8</v>
      </c>
      <c r="AB329" s="268" t="n">
        <f aca="false">AB300</f>
        <v>2285</v>
      </c>
      <c r="AC329" s="268" t="n">
        <f aca="false">AC300</f>
        <v>2740.4</v>
      </c>
      <c r="AD329" s="268" t="n">
        <f aca="false">AD300</f>
        <v>2776.1</v>
      </c>
      <c r="AE329" s="268" t="n">
        <f aca="false">AE300</f>
        <v>3142.5</v>
      </c>
      <c r="AF329" s="267" t="n">
        <f aca="false">AF300</f>
        <v>10944</v>
      </c>
      <c r="AG329" s="268" t="n">
        <f aca="false">AG300</f>
        <v>2229.1</v>
      </c>
      <c r="AH329" s="268" t="n">
        <f aca="false">AH300</f>
        <v>2567.9</v>
      </c>
      <c r="AI329" s="268" t="n">
        <f aca="false">AI300</f>
        <v>2986.5</v>
      </c>
      <c r="AJ329" s="268" t="n">
        <f aca="false">AJ300</f>
        <v>4036.5</v>
      </c>
      <c r="AK329" s="267" t="n">
        <f aca="false">AK300</f>
        <v>11820</v>
      </c>
      <c r="AL329" s="268" t="n">
        <f aca="false">AL300</f>
        <v>2440.6</v>
      </c>
      <c r="AM329" s="268" t="n">
        <f aca="false">AM300</f>
        <v>3325.7</v>
      </c>
      <c r="AN329" s="268" t="n">
        <f aca="false">AN300</f>
        <v>3958</v>
      </c>
      <c r="AO329" s="268" t="n">
        <f aca="false">AO300</f>
        <v>4254.2</v>
      </c>
      <c r="AP329" s="267" t="n">
        <f aca="false">AP300</f>
        <v>13978.5</v>
      </c>
      <c r="AQ329" s="268" t="n">
        <f aca="false">AQ300</f>
        <v>4363.9</v>
      </c>
      <c r="AR329" s="268" t="n">
        <f aca="false">AR300</f>
        <v>4020.2</v>
      </c>
      <c r="AS329" s="268" t="n">
        <f aca="false">AS300</f>
        <v>5241.3</v>
      </c>
      <c r="AT329" s="268" t="n">
        <f aca="false">AT300</f>
        <v>4985.6</v>
      </c>
      <c r="AU329" s="267" t="n">
        <f aca="false">AU300</f>
        <v>18611</v>
      </c>
      <c r="AV329" s="268" t="n">
        <f aca="false">AV300</f>
        <v>3534.4</v>
      </c>
      <c r="AW329" s="268" t="n">
        <f aca="false">AW300</f>
        <v>5430.5</v>
      </c>
      <c r="AX329" s="268" t="n">
        <f aca="false">AX300</f>
        <v>5778.3</v>
      </c>
      <c r="AY329" s="268" t="n">
        <f aca="false">AY300</f>
        <v>6430.2</v>
      </c>
      <c r="AZ329" s="267" t="n">
        <f aca="false">AZ300</f>
        <v>21173.4</v>
      </c>
      <c r="BA329" s="268" t="n">
        <f aca="false">BA300</f>
        <v>6746.2</v>
      </c>
      <c r="BB329" s="268" t="n">
        <f aca="false">BB300</f>
        <v>6902.3</v>
      </c>
      <c r="BC329" s="268" t="n">
        <f aca="false">BC300</f>
        <v>6673</v>
      </c>
      <c r="BD329" s="268" t="n">
        <f aca="false">BD300</f>
        <v>7237</v>
      </c>
      <c r="BE329" s="267" t="n">
        <f aca="false">BE300</f>
        <v>27558.5</v>
      </c>
      <c r="BF329" s="268" t="n">
        <f aca="false">BF300</f>
        <v>5290</v>
      </c>
      <c r="BG329" s="268" t="n">
        <f aca="false">BG300</f>
        <v>6242.8</v>
      </c>
      <c r="BH329" s="268" t="n">
        <f aca="false">BH300</f>
        <v>7467.3</v>
      </c>
      <c r="BI329" s="268" t="n">
        <f aca="false">BI300</f>
        <v>9262.8</v>
      </c>
      <c r="BJ329" s="267" t="n">
        <f aca="false">BJ300</f>
        <v>28262.9</v>
      </c>
      <c r="BK329" s="268" t="n">
        <f aca="false">BK300</f>
        <v>7741.5</v>
      </c>
      <c r="BL329" s="268" t="n">
        <f aca="false">BL300</f>
        <v>7691.7</v>
      </c>
      <c r="BM329" s="268" t="n">
        <f aca="false">BM300</f>
        <v>7516</v>
      </c>
      <c r="BN329" s="268" t="n">
        <f aca="false">BN300</f>
        <v>9718.1</v>
      </c>
      <c r="BO329" s="269" t="n">
        <f aca="false">BO300</f>
        <v>32667.3</v>
      </c>
      <c r="BP329" s="268" t="n">
        <f aca="false">BP41</f>
        <v>8589.53007589744</v>
      </c>
      <c r="BQ329" s="268" t="n">
        <f aca="false">BQ41</f>
        <v>8863.45644835917</v>
      </c>
      <c r="BR329" s="268" t="n">
        <f aca="false">BR41</f>
        <v>9379.07929524721</v>
      </c>
      <c r="BS329" s="268" t="n">
        <f aca="false">BS41</f>
        <v>10082.5114586246</v>
      </c>
      <c r="BT329" s="267" t="n">
        <f aca="false">BT41</f>
        <v>36914.5772781284</v>
      </c>
      <c r="BU329" s="268" t="n">
        <f aca="false">BU41</f>
        <v>8892.68862461538</v>
      </c>
      <c r="BV329" s="268" t="n">
        <f aca="false">BV41</f>
        <v>9036.84528756221</v>
      </c>
      <c r="BW329" s="268" t="n">
        <f aca="false">BW41</f>
        <v>9955.66498697608</v>
      </c>
      <c r="BX329" s="268" t="n">
        <f aca="false">BX41</f>
        <v>10718.9941563606</v>
      </c>
      <c r="BY329" s="267" t="n">
        <f aca="false">BY41</f>
        <v>38604.1930555143</v>
      </c>
      <c r="BZ329" s="267" t="n">
        <f aca="false">BZ41</f>
        <v>46543.9565046616</v>
      </c>
      <c r="CA329" s="267" t="n">
        <f aca="false">CA41</f>
        <v>48909.0345116615</v>
      </c>
      <c r="CB329" s="267" t="n">
        <f aca="false">CB41</f>
        <v>51418.3491290759</v>
      </c>
      <c r="CC329" s="156"/>
    </row>
    <row r="330" s="423" customFormat="true" ht="15" hidden="false" customHeight="true" outlineLevel="0" collapsed="false">
      <c r="A330" s="210" t="str">
        <f aca="false">CONCATENATE("Consensus Estimates - ",IFERROR(LEFT(A329,FIND("(",A329)-1),A329))</f>
        <v>Consensus Estimates - Net Revenue</v>
      </c>
      <c r="B330" s="419"/>
      <c r="C330" s="420"/>
      <c r="D330" s="420"/>
      <c r="E330" s="420"/>
      <c r="F330" s="420"/>
      <c r="G330" s="420"/>
      <c r="H330" s="421"/>
      <c r="I330" s="421"/>
      <c r="J330" s="421"/>
      <c r="K330" s="421"/>
      <c r="L330" s="420"/>
      <c r="M330" s="421"/>
      <c r="N330" s="421"/>
      <c r="O330" s="421"/>
      <c r="P330" s="421"/>
      <c r="Q330" s="420"/>
      <c r="R330" s="421"/>
      <c r="S330" s="421"/>
      <c r="T330" s="421"/>
      <c r="U330" s="421"/>
      <c r="V330" s="420"/>
      <c r="W330" s="421"/>
      <c r="X330" s="421"/>
      <c r="Y330" s="421"/>
      <c r="Z330" s="421"/>
      <c r="AA330" s="420"/>
      <c r="AB330" s="421"/>
      <c r="AC330" s="421"/>
      <c r="AD330" s="421"/>
      <c r="AE330" s="421"/>
      <c r="AF330" s="420"/>
      <c r="AG330" s="421"/>
      <c r="AH330" s="421"/>
      <c r="AI330" s="421"/>
      <c r="AJ330" s="421"/>
      <c r="AK330" s="420"/>
      <c r="AL330" s="421"/>
      <c r="AM330" s="421"/>
      <c r="AN330" s="421"/>
      <c r="AO330" s="421"/>
      <c r="AP330" s="420"/>
      <c r="AQ330" s="421"/>
      <c r="AR330" s="421"/>
      <c r="AS330" s="421"/>
      <c r="AT330" s="421"/>
      <c r="AU330" s="420"/>
      <c r="AV330" s="421"/>
      <c r="AW330" s="421"/>
      <c r="AX330" s="421"/>
      <c r="AY330" s="421"/>
      <c r="AZ330" s="420"/>
      <c r="BA330" s="421"/>
      <c r="BB330" s="421"/>
      <c r="BC330" s="421"/>
      <c r="BD330" s="421"/>
      <c r="BE330" s="420"/>
      <c r="BF330" s="421"/>
      <c r="BG330" s="421"/>
      <c r="BH330" s="421"/>
      <c r="BI330" s="421"/>
      <c r="BJ330" s="420"/>
      <c r="BK330" s="421"/>
      <c r="BL330" s="421"/>
      <c r="BM330" s="421"/>
      <c r="BN330" s="421"/>
      <c r="BO330" s="422"/>
      <c r="BP330" s="247" t="str">
        <f aca="true">IFERROR(VLOOKUP($A330,tb_ConsensusEstimate,MATCH(BP$5,OFFSET(tb_ConsensusEstimate,0,0,1,COLUMNS(tb_ConsensusEstimate)),0),FALSE()),"-")</f>
        <v>N/A</v>
      </c>
      <c r="BQ330" s="247" t="str">
        <f aca="true">IFERROR(VLOOKUP($A330,tb_ConsensusEstimate,MATCH(BQ$5,OFFSET(tb_ConsensusEstimate,0,0,1,COLUMNS(tb_ConsensusEstimate)),0),FALSE()),"-")</f>
        <v>N/A</v>
      </c>
      <c r="BR330" s="247" t="str">
        <f aca="true">IFERROR(VLOOKUP($A330,tb_ConsensusEstimate,MATCH(BR$5,OFFSET(tb_ConsensusEstimate,0,0,1,COLUMNS(tb_ConsensusEstimate)),0),FALSE()),"-")</f>
        <v>N/A</v>
      </c>
      <c r="BS330" s="247" t="str">
        <f aca="true">IFERROR(VLOOKUP($A330,tb_ConsensusEstimate,MATCH(BS$5,OFFSET(tb_ConsensusEstimate,0,0,1,COLUMNS(tb_ConsensusEstimate)),0),FALSE()),"-")</f>
        <v>N/A</v>
      </c>
      <c r="BT330" s="246" t="str">
        <f aca="true">IFERROR(VLOOKUP($A330,tb_ConsensusEstimate,MATCH(BT$5,OFFSET(tb_ConsensusEstimate,0,0,1,COLUMNS(tb_ConsensusEstimate)),0),FALSE()),"-")</f>
        <v>N/A</v>
      </c>
      <c r="BU330" s="247" t="str">
        <f aca="true">IFERROR(VLOOKUP($A330,tb_ConsensusEstimate,MATCH(BU$5,OFFSET(tb_ConsensusEstimate,0,0,1,COLUMNS(tb_ConsensusEstimate)),0),FALSE()),"-")</f>
        <v>N/A</v>
      </c>
      <c r="BV330" s="247" t="str">
        <f aca="true">IFERROR(VLOOKUP($A330,tb_ConsensusEstimate,MATCH(BV$5,OFFSET(tb_ConsensusEstimate,0,0,1,COLUMNS(tb_ConsensusEstimate)),0),FALSE()),"-")</f>
        <v>N/A</v>
      </c>
      <c r="BW330" s="247" t="str">
        <f aca="true">IFERROR(VLOOKUP($A330,tb_ConsensusEstimate,MATCH(BW$5,OFFSET(tb_ConsensusEstimate,0,0,1,COLUMNS(tb_ConsensusEstimate)),0),FALSE()),"-")</f>
        <v>N/A</v>
      </c>
      <c r="BX330" s="247" t="str">
        <f aca="true">IFERROR(VLOOKUP($A330,tb_ConsensusEstimate,MATCH(BX$5,OFFSET(tb_ConsensusEstimate,0,0,1,COLUMNS(tb_ConsensusEstimate)),0),FALSE()),"-")</f>
        <v>N/A</v>
      </c>
      <c r="BY330" s="246" t="str">
        <f aca="true">IFERROR(VLOOKUP($A330,tb_ConsensusEstimate,MATCH(BY$5,OFFSET(tb_ConsensusEstimate,0,0,1,COLUMNS(tb_ConsensusEstimate)),0),FALSE()),"-")</f>
        <v>N/A</v>
      </c>
      <c r="BZ330" s="246" t="str">
        <f aca="true">IFERROR(VLOOKUP($A330,tb_ConsensusEstimate,MATCH(BZ$5,OFFSET(tb_ConsensusEstimate,0,0,1,COLUMNS(tb_ConsensusEstimate)),0),FALSE()),"-")</f>
        <v>N/A</v>
      </c>
      <c r="CA330" s="246" t="str">
        <f aca="true">IFERROR(VLOOKUP($A330,tb_ConsensusEstimate,MATCH(CA$5,OFFSET(tb_ConsensusEstimate,0,0,1,COLUMNS(tb_ConsensusEstimate)),0),FALSE()),"-")</f>
        <v>N/A</v>
      </c>
      <c r="CB330" s="246" t="str">
        <f aca="true">IFERROR(VLOOKUP($A330,tb_ConsensusEstimate,MATCH(CB$5,OFFSET(tb_ConsensusEstimate,0,0,1,COLUMNS(tb_ConsensusEstimate)),0),FALSE()),"-")</f>
        <v>N/A</v>
      </c>
      <c r="CC330" s="421"/>
    </row>
    <row r="331" s="157" customFormat="true" ht="15" hidden="false" customHeight="true" outlineLevel="0" collapsed="false">
      <c r="A331" s="252"/>
      <c r="B331" s="266"/>
      <c r="C331" s="267"/>
      <c r="D331" s="267"/>
      <c r="E331" s="267"/>
      <c r="F331" s="267"/>
      <c r="G331" s="267"/>
      <c r="H331" s="268"/>
      <c r="I331" s="268"/>
      <c r="J331" s="268"/>
      <c r="K331" s="268"/>
      <c r="L331" s="267"/>
      <c r="M331" s="268"/>
      <c r="N331" s="268"/>
      <c r="O331" s="268"/>
      <c r="P331" s="268"/>
      <c r="Q331" s="267"/>
      <c r="R331" s="268"/>
      <c r="S331" s="268"/>
      <c r="T331" s="268"/>
      <c r="U331" s="268"/>
      <c r="V331" s="267"/>
      <c r="W331" s="268"/>
      <c r="X331" s="268"/>
      <c r="Y331" s="268"/>
      <c r="Z331" s="268"/>
      <c r="AA331" s="267"/>
      <c r="AB331" s="268"/>
      <c r="AC331" s="268"/>
      <c r="AD331" s="268"/>
      <c r="AE331" s="268"/>
      <c r="AF331" s="267"/>
      <c r="AG331" s="268"/>
      <c r="AH331" s="268"/>
      <c r="AI331" s="268"/>
      <c r="AJ331" s="268"/>
      <c r="AK331" s="267"/>
      <c r="AL331" s="268"/>
      <c r="AM331" s="268"/>
      <c r="AN331" s="268"/>
      <c r="AO331" s="268"/>
      <c r="AP331" s="267"/>
      <c r="AQ331" s="268"/>
      <c r="AR331" s="268"/>
      <c r="AS331" s="268"/>
      <c r="AT331" s="268"/>
      <c r="AU331" s="267"/>
      <c r="AV331" s="268"/>
      <c r="AW331" s="268"/>
      <c r="AX331" s="268"/>
      <c r="AY331" s="268"/>
      <c r="AZ331" s="267"/>
      <c r="BA331" s="268"/>
      <c r="BB331" s="268"/>
      <c r="BC331" s="268"/>
      <c r="BD331" s="268"/>
      <c r="BE331" s="267"/>
      <c r="BF331" s="268"/>
      <c r="BG331" s="268"/>
      <c r="BH331" s="268"/>
      <c r="BI331" s="268"/>
      <c r="BJ331" s="267"/>
      <c r="BK331" s="268"/>
      <c r="BL331" s="268"/>
      <c r="BM331" s="268"/>
      <c r="BN331" s="268"/>
      <c r="BO331" s="269"/>
      <c r="BP331" s="268"/>
      <c r="BQ331" s="268"/>
      <c r="BR331" s="268"/>
      <c r="BS331" s="268"/>
      <c r="BT331" s="267"/>
      <c r="BU331" s="268"/>
      <c r="BV331" s="268"/>
      <c r="BW331" s="268"/>
      <c r="BX331" s="268"/>
      <c r="BY331" s="267"/>
      <c r="BZ331" s="267"/>
      <c r="CA331" s="267"/>
      <c r="CB331" s="267"/>
      <c r="CC331" s="156"/>
    </row>
    <row r="332" s="51" customFormat="true" ht="15" hidden="false" customHeight="true" outlineLevel="0" collapsed="false">
      <c r="A332" s="251" t="s">
        <v>411</v>
      </c>
      <c r="B332" s="257"/>
      <c r="C332" s="261" t="n">
        <f aca="false">-C303</f>
        <v>1137.671</v>
      </c>
      <c r="D332" s="261" t="n">
        <f aca="false">-D303</f>
        <v>2552.768</v>
      </c>
      <c r="E332" s="261" t="n">
        <f aca="false">-E303</f>
        <v>3201.645</v>
      </c>
      <c r="F332" s="261" t="n">
        <f aca="false">-F303</f>
        <v>2726.298</v>
      </c>
      <c r="G332" s="261" t="n">
        <f aca="false">-G303</f>
        <v>3068.064</v>
      </c>
      <c r="H332" s="259" t="n">
        <f aca="false">-H303</f>
        <v>787</v>
      </c>
      <c r="I332" s="259" t="n">
        <f aca="false">-I303</f>
        <v>891.7</v>
      </c>
      <c r="J332" s="259" t="n">
        <f aca="false">-J303</f>
        <v>744.1</v>
      </c>
      <c r="K332" s="259" t="n">
        <f aca="false">-K303</f>
        <v>837.1</v>
      </c>
      <c r="L332" s="261" t="n">
        <f aca="false">-L303</f>
        <v>3259.903</v>
      </c>
      <c r="M332" s="259" t="n">
        <f aca="false">-M303</f>
        <v>871.3</v>
      </c>
      <c r="N332" s="259" t="n">
        <f aca="false">-N303</f>
        <v>900.3</v>
      </c>
      <c r="O332" s="259" t="n">
        <f aca="false">-O303</f>
        <v>845.7</v>
      </c>
      <c r="P332" s="259" t="n">
        <f aca="false">-P303</f>
        <v>774.4</v>
      </c>
      <c r="Q332" s="261" t="n">
        <f aca="false">-Q303</f>
        <v>3391.631</v>
      </c>
      <c r="R332" s="259" t="n">
        <f aca="false">-R303</f>
        <v>765.1</v>
      </c>
      <c r="S332" s="259" t="n">
        <f aca="false">-S303</f>
        <v>998.2</v>
      </c>
      <c r="T332" s="259" t="n">
        <f aca="false">-T303</f>
        <v>980.2</v>
      </c>
      <c r="U332" s="259" t="n">
        <f aca="false">-U303</f>
        <v>1006.8</v>
      </c>
      <c r="V332" s="261" t="n">
        <f aca="false">-V303</f>
        <v>3750.3</v>
      </c>
      <c r="W332" s="259" t="n">
        <f aca="false">-W303</f>
        <v>1019</v>
      </c>
      <c r="X332" s="259" t="n">
        <f aca="false">-X303</f>
        <v>1154.9</v>
      </c>
      <c r="Y332" s="259" t="n">
        <f aca="false">-Y303</f>
        <v>1397.9</v>
      </c>
      <c r="Z332" s="259" t="n">
        <f aca="false">-Z303</f>
        <v>1404.3</v>
      </c>
      <c r="AA332" s="261" t="n">
        <f aca="false">-AA303</f>
        <v>4976.1</v>
      </c>
      <c r="AB332" s="259" t="n">
        <f aca="false">-AB303</f>
        <v>1171.5</v>
      </c>
      <c r="AC332" s="259" t="n">
        <f aca="false">-AC303</f>
        <v>1553.5</v>
      </c>
      <c r="AD332" s="259" t="n">
        <f aca="false">-AD303</f>
        <v>1440.2</v>
      </c>
      <c r="AE332" s="259" t="n">
        <f aca="false">-AE303</f>
        <v>1749.6</v>
      </c>
      <c r="AF332" s="261" t="n">
        <f aca="false">-AF303</f>
        <v>5914.8</v>
      </c>
      <c r="AG332" s="259" t="n">
        <f aca="false">-AG303</f>
        <v>1301.1</v>
      </c>
      <c r="AH332" s="259" t="n">
        <f aca="false">-AH303</f>
        <v>1462.7</v>
      </c>
      <c r="AI332" s="259" t="n">
        <f aca="false">-AI303</f>
        <v>1680.1</v>
      </c>
      <c r="AJ332" s="259" t="n">
        <f aca="false">-AJ303</f>
        <v>2096.3</v>
      </c>
      <c r="AK332" s="261" t="n">
        <f aca="false">-AK303</f>
        <v>6540.2</v>
      </c>
      <c r="AL332" s="259" t="n">
        <f aca="false">-AL303</f>
        <v>1339.2</v>
      </c>
      <c r="AM332" s="259" t="n">
        <f aca="false">-AM303</f>
        <v>1722.5</v>
      </c>
      <c r="AN332" s="259" t="n">
        <f aca="false">-AN303</f>
        <v>2076.6</v>
      </c>
      <c r="AO332" s="259" t="n">
        <f aca="false">-AO303</f>
        <v>2043</v>
      </c>
      <c r="AP332" s="261" t="n">
        <f aca="false">-AP303</f>
        <v>7181.3</v>
      </c>
      <c r="AQ332" s="259" t="n">
        <f aca="false">-AQ303</f>
        <v>2011.5</v>
      </c>
      <c r="AR332" s="259" t="n">
        <f aca="false">-AR303</f>
        <v>1975.6</v>
      </c>
      <c r="AS332" s="259" t="n">
        <f aca="false">-AS303</f>
        <v>2529.9</v>
      </c>
      <c r="AT332" s="259" t="n">
        <f aca="false">-AT303</f>
        <v>2285</v>
      </c>
      <c r="AU332" s="261" t="n">
        <f aca="false">-AU303</f>
        <v>8802</v>
      </c>
      <c r="AV332" s="259" t="n">
        <f aca="false">-AV303</f>
        <v>1803.4</v>
      </c>
      <c r="AW332" s="259" t="n">
        <f aca="false">-AW303</f>
        <v>2766</v>
      </c>
      <c r="AX332" s="259" t="n">
        <f aca="false">-AX303</f>
        <v>2784.6</v>
      </c>
      <c r="AY332" s="259" t="n">
        <f aca="false">-AY303</f>
        <v>3119.3</v>
      </c>
      <c r="AZ332" s="261" t="n">
        <f aca="false">-AZ303</f>
        <v>10473.3</v>
      </c>
      <c r="BA332" s="259" t="n">
        <f aca="false">-BA303</f>
        <v>3333</v>
      </c>
      <c r="BB332" s="259" t="n">
        <f aca="false">-BB303</f>
        <v>3358.3</v>
      </c>
      <c r="BC332" s="259" t="n">
        <f aca="false">-BC303</f>
        <v>3211.4</v>
      </c>
      <c r="BD332" s="259" t="n">
        <f aca="false">-BD303</f>
        <v>3519.7</v>
      </c>
      <c r="BE332" s="261" t="n">
        <f aca="false">-BE303</f>
        <v>13422.4</v>
      </c>
      <c r="BF332" s="259" t="n">
        <f aca="false">-BF303</f>
        <v>2593.4</v>
      </c>
      <c r="BG332" s="259" t="n">
        <f aca="false">-BG303</f>
        <v>3030.6</v>
      </c>
      <c r="BH332" s="259" t="n">
        <f aca="false">-BH303</f>
        <v>3673.9</v>
      </c>
      <c r="BI332" s="259" t="n">
        <f aca="false">-BI303</f>
        <v>4473</v>
      </c>
      <c r="BJ332" s="261" t="n">
        <f aca="false">-BJ303</f>
        <v>13770.9</v>
      </c>
      <c r="BK332" s="259" t="n">
        <f aca="false">-BK303</f>
        <v>3561.8</v>
      </c>
      <c r="BL332" s="259" t="n">
        <f aca="false">-BL303</f>
        <v>3562.2</v>
      </c>
      <c r="BM332" s="259" t="n">
        <f aca="false">-BM303</f>
        <v>3635.7</v>
      </c>
      <c r="BN332" s="259" t="n">
        <f aca="false">-BN303</f>
        <v>4649.6</v>
      </c>
      <c r="BO332" s="260" t="n">
        <f aca="false">-BO303</f>
        <v>15409.3</v>
      </c>
      <c r="BP332" s="259" t="n">
        <f aca="false">BP329-BP333</f>
        <v>4123.76221223054</v>
      </c>
      <c r="BQ332" s="259" t="n">
        <f aca="false">BQ329-BQ333</f>
        <v>4087.13996443144</v>
      </c>
      <c r="BR332" s="259" t="n">
        <f aca="false">BR329-BR333</f>
        <v>4518.16554999523</v>
      </c>
      <c r="BS332" s="259" t="n">
        <f aca="false">BS329-BS333</f>
        <v>4803.78670406858</v>
      </c>
      <c r="BT332" s="261" t="n">
        <f aca="false">SUM(BP332,BQ332,BR332,BS332)</f>
        <v>17532.8544307258</v>
      </c>
      <c r="BU332" s="259" t="n">
        <f aca="false">BU329-BU333</f>
        <v>4251.52074209512</v>
      </c>
      <c r="BV332" s="259" t="n">
        <f aca="false">BV329-BV333</f>
        <v>3941.17234227789</v>
      </c>
      <c r="BW332" s="259" t="n">
        <f aca="false">BW329-BW333</f>
        <v>4547.03142442947</v>
      </c>
      <c r="BX332" s="259" t="n">
        <f aca="false">BX329-BX333</f>
        <v>5085.59926333036</v>
      </c>
      <c r="BY332" s="261" t="n">
        <f aca="false">SUM(BU332,BV332,BW332,BX332)</f>
        <v>17825.3237721328</v>
      </c>
      <c r="BZ332" s="261" t="n">
        <f aca="false">BZ329-BZ333</f>
        <v>21398.3882367078</v>
      </c>
      <c r="CA332" s="261" t="n">
        <f aca="false">CA329-CA333</f>
        <v>22387.9048337612</v>
      </c>
      <c r="CB332" s="261" t="n">
        <f aca="false">CB329-CB333</f>
        <v>23433.6963473162</v>
      </c>
      <c r="CC332" s="50"/>
    </row>
    <row r="333" s="157" customFormat="true" ht="15" hidden="false" customHeight="true" outlineLevel="0" collapsed="false">
      <c r="A333" s="244" t="s">
        <v>412</v>
      </c>
      <c r="B333" s="393"/>
      <c r="C333" s="357" t="n">
        <f aca="false">C329-C332</f>
        <v>458.392</v>
      </c>
      <c r="D333" s="357" t="n">
        <f aca="false">D329-D332</f>
        <v>1955.17</v>
      </c>
      <c r="E333" s="357" t="n">
        <f aca="false">E329-E332</f>
        <v>2449.39</v>
      </c>
      <c r="F333" s="357" t="n">
        <f aca="false">F329-F332</f>
        <v>2005.257</v>
      </c>
      <c r="G333" s="357" t="n">
        <f aca="false">G329-G332</f>
        <v>2177.262</v>
      </c>
      <c r="H333" s="394" t="n">
        <f aca="false">H329-H332</f>
        <v>609.5</v>
      </c>
      <c r="I333" s="394" t="n">
        <f aca="false">I329-I332</f>
        <v>751.9</v>
      </c>
      <c r="J333" s="394" t="n">
        <f aca="false">J329-J332</f>
        <v>578.1</v>
      </c>
      <c r="K333" s="394" t="n">
        <f aca="false">K329-K332</f>
        <v>656.9</v>
      </c>
      <c r="L333" s="357" t="n">
        <f aca="false">L329-L332</f>
        <v>2596.374</v>
      </c>
      <c r="M333" s="394" t="n">
        <f aca="false">M329-M332</f>
        <v>778.6</v>
      </c>
      <c r="N333" s="394" t="n">
        <f aca="false">N329-N332</f>
        <v>753.8</v>
      </c>
      <c r="O333" s="394" t="n">
        <f aca="false">O329-O332</f>
        <v>703.5</v>
      </c>
      <c r="P333" s="394" t="n">
        <f aca="false">P329-P332</f>
        <v>659.8</v>
      </c>
      <c r="Q333" s="357" t="n">
        <f aca="false">Q329-Q332</f>
        <v>2895.744</v>
      </c>
      <c r="R333" s="394" t="n">
        <f aca="false">R329-R332</f>
        <v>568.1</v>
      </c>
      <c r="S333" s="394" t="n">
        <f aca="false">S329-S332</f>
        <v>741.4</v>
      </c>
      <c r="T333" s="394" t="n">
        <f aca="false">T329-T332</f>
        <v>834.4</v>
      </c>
      <c r="U333" s="394" t="n">
        <f aca="false">U329-U332</f>
        <v>900.6</v>
      </c>
      <c r="V333" s="357" t="n">
        <f aca="false">V329-V332</f>
        <v>3044.5</v>
      </c>
      <c r="W333" s="394" t="n">
        <f aca="false">W329-W332</f>
        <v>924.6</v>
      </c>
      <c r="X333" s="394" t="n">
        <f aca="false">X329-X332</f>
        <v>946.5</v>
      </c>
      <c r="Y333" s="394" t="n">
        <f aca="false">Y329-Y332</f>
        <v>1049.5</v>
      </c>
      <c r="Z333" s="394" t="n">
        <f aca="false">Z329-Z332</f>
        <v>1156.1</v>
      </c>
      <c r="AA333" s="357" t="n">
        <f aca="false">AA329-AA332</f>
        <v>4076.7</v>
      </c>
      <c r="AB333" s="394" t="n">
        <f aca="false">AB329-AB332</f>
        <v>1113.5</v>
      </c>
      <c r="AC333" s="394" t="n">
        <f aca="false">AC329-AC332</f>
        <v>1186.9</v>
      </c>
      <c r="AD333" s="394" t="n">
        <f aca="false">AD329-AD332</f>
        <v>1335.9</v>
      </c>
      <c r="AE333" s="394" t="n">
        <f aca="false">AE329-AE332</f>
        <v>1392.9</v>
      </c>
      <c r="AF333" s="357" t="n">
        <f aca="false">AF329-AF332</f>
        <v>5029.2</v>
      </c>
      <c r="AG333" s="394" t="n">
        <f aca="false">AG329-AG332</f>
        <v>928</v>
      </c>
      <c r="AH333" s="394" t="n">
        <f aca="false">AH329-AH332</f>
        <v>1105.2</v>
      </c>
      <c r="AI333" s="394" t="n">
        <f aca="false">AI329-AI332</f>
        <v>1306.4</v>
      </c>
      <c r="AJ333" s="394" t="n">
        <f aca="false">AJ329-AJ332</f>
        <v>1940.2</v>
      </c>
      <c r="AK333" s="357" t="n">
        <f aca="false">AK329-AK332</f>
        <v>5279.8</v>
      </c>
      <c r="AL333" s="394" t="n">
        <f aca="false">AL329-AL332</f>
        <v>1101.4</v>
      </c>
      <c r="AM333" s="394" t="n">
        <f aca="false">AM329-AM332</f>
        <v>1603.2</v>
      </c>
      <c r="AN333" s="394" t="n">
        <f aca="false">AN329-AN332</f>
        <v>1881.4</v>
      </c>
      <c r="AO333" s="394" t="n">
        <f aca="false">AO329-AO332</f>
        <v>2211.2</v>
      </c>
      <c r="AP333" s="357" t="n">
        <f aca="false">AP329-AP332</f>
        <v>6797.2</v>
      </c>
      <c r="AQ333" s="394" t="n">
        <f aca="false">AQ329-AQ332</f>
        <v>2352.4</v>
      </c>
      <c r="AR333" s="394" t="n">
        <f aca="false">AR329-AR332</f>
        <v>2044.6</v>
      </c>
      <c r="AS333" s="394" t="n">
        <f aca="false">AS329-AS332</f>
        <v>2711.4</v>
      </c>
      <c r="AT333" s="394" t="n">
        <f aca="false">AT329-AT332</f>
        <v>2700.6</v>
      </c>
      <c r="AU333" s="357" t="n">
        <f aca="false">AU329-AU332</f>
        <v>9809</v>
      </c>
      <c r="AV333" s="394" t="n">
        <f aca="false">AV329-AV332</f>
        <v>1731</v>
      </c>
      <c r="AW333" s="394" t="n">
        <f aca="false">AW329-AW332</f>
        <v>2664.5</v>
      </c>
      <c r="AX333" s="394" t="n">
        <f aca="false">AX329-AX332</f>
        <v>2993.7</v>
      </c>
      <c r="AY333" s="394" t="n">
        <f aca="false">AY329-AY332</f>
        <v>3310.9</v>
      </c>
      <c r="AZ333" s="357" t="n">
        <f aca="false">AZ329-AZ332</f>
        <v>10700.1</v>
      </c>
      <c r="BA333" s="394" t="n">
        <f aca="false">BA329-BA332</f>
        <v>3413.2</v>
      </c>
      <c r="BB333" s="394" t="n">
        <f aca="false">BB329-BB332</f>
        <v>3544</v>
      </c>
      <c r="BC333" s="394" t="n">
        <f aca="false">BC329-BC332</f>
        <v>3461.6</v>
      </c>
      <c r="BD333" s="394" t="n">
        <f aca="false">BD329-BD332</f>
        <v>3717.3</v>
      </c>
      <c r="BE333" s="357" t="n">
        <f aca="false">BE329-BE332</f>
        <v>14136.1</v>
      </c>
      <c r="BF333" s="394" t="n">
        <f aca="false">BF329-BF332</f>
        <v>2696.6</v>
      </c>
      <c r="BG333" s="394" t="n">
        <f aca="false">BG329-BG332</f>
        <v>3212.2</v>
      </c>
      <c r="BH333" s="394" t="n">
        <f aca="false">BH329-BH332</f>
        <v>3793.4</v>
      </c>
      <c r="BI333" s="394" t="n">
        <f aca="false">BI329-BI332</f>
        <v>4789.8</v>
      </c>
      <c r="BJ333" s="357" t="n">
        <f aca="false">BJ329-BJ332</f>
        <v>14492</v>
      </c>
      <c r="BK333" s="394" t="n">
        <f aca="false">BK329-BK332</f>
        <v>4179.7</v>
      </c>
      <c r="BL333" s="394" t="n">
        <f aca="false">BL329-BL332</f>
        <v>4129.5</v>
      </c>
      <c r="BM333" s="394" t="n">
        <f aca="false">BM329-BM332</f>
        <v>3880.3</v>
      </c>
      <c r="BN333" s="394" t="n">
        <f aca="false">BN329-BN332</f>
        <v>5068.5</v>
      </c>
      <c r="BO333" s="395" t="n">
        <f aca="false">BO329-BO332</f>
        <v>17258</v>
      </c>
      <c r="BP333" s="163" t="n">
        <f aca="false">BP72</f>
        <v>4465.7678636669</v>
      </c>
      <c r="BQ333" s="163" t="n">
        <f aca="false">BQ72</f>
        <v>4776.31648392773</v>
      </c>
      <c r="BR333" s="163" t="n">
        <f aca="false">BR72</f>
        <v>4860.91374525198</v>
      </c>
      <c r="BS333" s="163" t="n">
        <f aca="false">BS72</f>
        <v>5278.72475455603</v>
      </c>
      <c r="BT333" s="162" t="n">
        <f aca="false">BT329-BT332</f>
        <v>19381.7228474026</v>
      </c>
      <c r="BU333" s="163" t="n">
        <f aca="false">BU72</f>
        <v>4641.16788252027</v>
      </c>
      <c r="BV333" s="163" t="n">
        <f aca="false">BV72</f>
        <v>5095.67294528432</v>
      </c>
      <c r="BW333" s="163" t="n">
        <f aca="false">BW72</f>
        <v>5408.63356254661</v>
      </c>
      <c r="BX333" s="163" t="n">
        <f aca="false">BX72</f>
        <v>5633.39489303029</v>
      </c>
      <c r="BY333" s="162" t="n">
        <f aca="false">BY329-BY332</f>
        <v>20778.8692833815</v>
      </c>
      <c r="BZ333" s="162" t="n">
        <f aca="false">BZ72</f>
        <v>25145.5682679538</v>
      </c>
      <c r="CA333" s="162" t="n">
        <f aca="false">CA72</f>
        <v>26521.1296779004</v>
      </c>
      <c r="CB333" s="162" t="n">
        <f aca="false">CB72</f>
        <v>27984.6527817598</v>
      </c>
      <c r="CC333" s="156"/>
    </row>
    <row r="334" s="157" customFormat="true" ht="15" hidden="false" customHeight="true" outlineLevel="0" collapsed="false">
      <c r="A334" s="252"/>
      <c r="B334" s="266"/>
      <c r="C334" s="267"/>
      <c r="D334" s="267"/>
      <c r="E334" s="267"/>
      <c r="F334" s="267"/>
      <c r="G334" s="267"/>
      <c r="H334" s="268"/>
      <c r="I334" s="268"/>
      <c r="J334" s="268"/>
      <c r="K334" s="268"/>
      <c r="L334" s="267"/>
      <c r="M334" s="268"/>
      <c r="N334" s="268"/>
      <c r="O334" s="268"/>
      <c r="P334" s="268"/>
      <c r="Q334" s="267"/>
      <c r="R334" s="268"/>
      <c r="S334" s="268"/>
      <c r="T334" s="268"/>
      <c r="U334" s="268"/>
      <c r="V334" s="267"/>
      <c r="W334" s="268"/>
      <c r="X334" s="268"/>
      <c r="Y334" s="268"/>
      <c r="Z334" s="268"/>
      <c r="AA334" s="267"/>
      <c r="AB334" s="268"/>
      <c r="AC334" s="268"/>
      <c r="AD334" s="268"/>
      <c r="AE334" s="268"/>
      <c r="AF334" s="267"/>
      <c r="AG334" s="268"/>
      <c r="AH334" s="268"/>
      <c r="AI334" s="268"/>
      <c r="AJ334" s="268"/>
      <c r="AK334" s="267"/>
      <c r="AL334" s="268"/>
      <c r="AM334" s="268"/>
      <c r="AN334" s="268"/>
      <c r="AO334" s="268"/>
      <c r="AP334" s="267"/>
      <c r="AQ334" s="268"/>
      <c r="AR334" s="268"/>
      <c r="AS334" s="268"/>
      <c r="AT334" s="268"/>
      <c r="AU334" s="267"/>
      <c r="AV334" s="268"/>
      <c r="AW334" s="268"/>
      <c r="AX334" s="268"/>
      <c r="AY334" s="268"/>
      <c r="AZ334" s="267"/>
      <c r="BA334" s="268"/>
      <c r="BB334" s="268"/>
      <c r="BC334" s="268"/>
      <c r="BD334" s="268"/>
      <c r="BE334" s="267"/>
      <c r="BF334" s="268"/>
      <c r="BG334" s="268"/>
      <c r="BH334" s="268"/>
      <c r="BI334" s="268"/>
      <c r="BJ334" s="267"/>
      <c r="BK334" s="268"/>
      <c r="BL334" s="268"/>
      <c r="BM334" s="268"/>
      <c r="BN334" s="268"/>
      <c r="BO334" s="269"/>
      <c r="BP334" s="268"/>
      <c r="BQ334" s="268"/>
      <c r="BR334" s="268"/>
      <c r="BS334" s="268"/>
      <c r="BT334" s="267"/>
      <c r="BU334" s="268"/>
      <c r="BV334" s="268"/>
      <c r="BW334" s="268"/>
      <c r="BX334" s="268"/>
      <c r="BY334" s="267"/>
      <c r="BZ334" s="267"/>
      <c r="CA334" s="267"/>
      <c r="CB334" s="267"/>
      <c r="CC334" s="156"/>
    </row>
    <row r="335" s="51" customFormat="true" ht="15" hidden="false" customHeight="true" outlineLevel="0" collapsed="false">
      <c r="A335" s="270" t="s">
        <v>413</v>
      </c>
      <c r="B335" s="254"/>
      <c r="C335" s="262" t="n">
        <f aca="false">-C306</f>
        <v>466.761</v>
      </c>
      <c r="D335" s="262" t="n">
        <f aca="false">-D306</f>
        <v>523.426</v>
      </c>
      <c r="E335" s="262" t="n">
        <f aca="false">-E306</f>
        <v>590.27</v>
      </c>
      <c r="F335" s="262" t="n">
        <f aca="false">-F306</f>
        <v>589.182</v>
      </c>
      <c r="G335" s="262" t="n">
        <f aca="false">-G306</f>
        <v>882.029</v>
      </c>
      <c r="H335" s="50" t="n">
        <f aca="false">-H306</f>
        <v>279.1</v>
      </c>
      <c r="I335" s="50" t="n">
        <f aca="false">-I306</f>
        <v>266.9</v>
      </c>
      <c r="J335" s="50" t="n">
        <f aca="false">-J306</f>
        <v>260.1</v>
      </c>
      <c r="K335" s="50" t="n">
        <f aca="false">-K306</f>
        <v>268</v>
      </c>
      <c r="L335" s="262" t="n">
        <f aca="false">-L306</f>
        <v>1074.035</v>
      </c>
      <c r="M335" s="50" t="n">
        <f aca="false">-M306</f>
        <v>261.4</v>
      </c>
      <c r="N335" s="50" t="n">
        <f aca="false">-N306</f>
        <v>267.4</v>
      </c>
      <c r="O335" s="50" t="n">
        <f aca="false">-O306</f>
        <v>266.3</v>
      </c>
      <c r="P335" s="50" t="n">
        <f aca="false">-P306</f>
        <v>273</v>
      </c>
      <c r="Q335" s="262" t="n">
        <f aca="false">-Q306</f>
        <v>1068.077</v>
      </c>
      <c r="R335" s="50" t="n">
        <f aca="false">-R306</f>
        <v>274.7</v>
      </c>
      <c r="S335" s="50" t="n">
        <f aca="false">-S306</f>
        <v>270.3</v>
      </c>
      <c r="T335" s="50" t="n">
        <f aca="false">-T306</f>
        <v>273.4</v>
      </c>
      <c r="U335" s="50" t="n">
        <f aca="false">-U306</f>
        <v>287.4</v>
      </c>
      <c r="V335" s="262" t="n">
        <f aca="false">-V306</f>
        <v>1105.8</v>
      </c>
      <c r="W335" s="50" t="n">
        <f aca="false">-W306</f>
        <v>315.1</v>
      </c>
      <c r="X335" s="50" t="n">
        <f aca="false">-X306</f>
        <v>312.7</v>
      </c>
      <c r="Y335" s="50" t="n">
        <f aca="false">-Y306</f>
        <v>314.5</v>
      </c>
      <c r="Z335" s="50" t="n">
        <f aca="false">-Z306</f>
        <v>317.4</v>
      </c>
      <c r="AA335" s="262" t="n">
        <f aca="false">-AA306</f>
        <v>1259.7</v>
      </c>
      <c r="AB335" s="50" t="n">
        <f aca="false">-AB306</f>
        <v>357.1</v>
      </c>
      <c r="AC335" s="50" t="n">
        <f aca="false">-AC306</f>
        <v>380.1</v>
      </c>
      <c r="AD335" s="50" t="n">
        <f aca="false">-AD306</f>
        <v>396.3</v>
      </c>
      <c r="AE335" s="50" t="n">
        <f aca="false">-AE306</f>
        <v>442.4</v>
      </c>
      <c r="AF335" s="262" t="n">
        <f aca="false">-AF306</f>
        <v>1575.9</v>
      </c>
      <c r="AG335" s="50" t="n">
        <f aca="false">-AG306</f>
        <v>472.7</v>
      </c>
      <c r="AH335" s="50" t="n">
        <f aca="false">-AH306</f>
        <v>487.4</v>
      </c>
      <c r="AI335" s="50" t="n">
        <f aca="false">-AI306</f>
        <v>492.3</v>
      </c>
      <c r="AJ335" s="50" t="n">
        <f aca="false">-AJ306</f>
        <v>516.1</v>
      </c>
      <c r="AK335" s="262" t="n">
        <f aca="false">-AK306</f>
        <v>1968.5</v>
      </c>
      <c r="AL335" s="50" t="n">
        <f aca="false">-AL306</f>
        <v>544</v>
      </c>
      <c r="AM335" s="50" t="n">
        <f aca="false">-AM306</f>
        <v>566.9</v>
      </c>
      <c r="AN335" s="50" t="n">
        <f aca="false">-AN306</f>
        <v>534</v>
      </c>
      <c r="AO335" s="50" t="n">
        <f aca="false">-AO306</f>
        <v>555.9</v>
      </c>
      <c r="AP335" s="262" t="n">
        <f aca="false">-AP306</f>
        <v>2200.8</v>
      </c>
      <c r="AQ335" s="50" t="n">
        <f aca="false">-AQ306</f>
        <v>623.4</v>
      </c>
      <c r="AR335" s="50" t="n">
        <f aca="false">-AR306</f>
        <v>633.8</v>
      </c>
      <c r="AS335" s="50" t="n">
        <f aca="false">-AS306</f>
        <v>609.2</v>
      </c>
      <c r="AT335" s="50" t="n">
        <f aca="false">-AT306</f>
        <v>680.6</v>
      </c>
      <c r="AU335" s="262" t="n">
        <f aca="false">-AU306</f>
        <v>2547</v>
      </c>
      <c r="AV335" s="50" t="n">
        <f aca="false">-AV306</f>
        <v>738.7</v>
      </c>
      <c r="AW335" s="50" t="n">
        <f aca="false">-AW306</f>
        <v>789.1</v>
      </c>
      <c r="AX335" s="50" t="n">
        <f aca="false">-AX306</f>
        <v>819.4</v>
      </c>
      <c r="AY335" s="50" t="n">
        <f aca="false">-AY306</f>
        <v>906.3</v>
      </c>
      <c r="AZ335" s="262" t="n">
        <f aca="false">-AZ306</f>
        <v>3253.5</v>
      </c>
      <c r="BA335" s="50" t="n">
        <f aca="false">-BA306</f>
        <v>947.9</v>
      </c>
      <c r="BB335" s="50" t="n">
        <f aca="false">-BB306</f>
        <v>999.9</v>
      </c>
      <c r="BC335" s="50" t="n">
        <f aca="false">-BC306</f>
        <v>991.4</v>
      </c>
      <c r="BD335" s="50" t="n">
        <f aca="false">-BD306</f>
        <v>1041.4</v>
      </c>
      <c r="BE335" s="262" t="n">
        <f aca="false">-BE306</f>
        <v>3980.6</v>
      </c>
      <c r="BF335" s="50" t="n">
        <f aca="false">-BF306</f>
        <v>1031.9</v>
      </c>
      <c r="BG335" s="50" t="n">
        <f aca="false">-BG306</f>
        <v>1100.6</v>
      </c>
      <c r="BH335" s="50" t="n">
        <f aca="false">-BH306</f>
        <v>1055.2</v>
      </c>
      <c r="BI335" s="50" t="n">
        <f aca="false">-BI306</f>
        <v>1116</v>
      </c>
      <c r="BJ335" s="262" t="n">
        <f aca="false">-BJ306</f>
        <v>4303.7</v>
      </c>
      <c r="BK335" s="50" t="n">
        <f aca="false">-BK306</f>
        <v>1161.1</v>
      </c>
      <c r="BL335" s="50" t="n">
        <f aca="false">-BL306</f>
        <v>1166.7</v>
      </c>
      <c r="BM335" s="50" t="n">
        <f aca="false">-BM306</f>
        <v>1108.7</v>
      </c>
      <c r="BN335" s="50" t="n">
        <f aca="false">-BN306</f>
        <v>1262.3</v>
      </c>
      <c r="BO335" s="264" t="n">
        <f aca="false">-BO306</f>
        <v>4698.8</v>
      </c>
      <c r="BP335" s="48" t="n">
        <f aca="false">BP78</f>
        <v>1202.39551770315</v>
      </c>
      <c r="BQ335" s="48" t="n">
        <f aca="false">BQ78</f>
        <v>954.443429656838</v>
      </c>
      <c r="BR335" s="48" t="n">
        <f aca="false">BR78</f>
        <v>1242.8403159785</v>
      </c>
      <c r="BS335" s="48" t="n">
        <f aca="false">BS78</f>
        <v>1289.46898107755</v>
      </c>
      <c r="BT335" s="159" t="n">
        <f aca="false">SUM(BP335,BQ335,BR335,BS335)</f>
        <v>4689.14824441603</v>
      </c>
      <c r="BU335" s="48" t="n">
        <f aca="false">BU78</f>
        <v>1227.04744225168</v>
      </c>
      <c r="BV335" s="48" t="n">
        <f aca="false">BV78</f>
        <v>575.493264420702</v>
      </c>
      <c r="BW335" s="48" t="n">
        <f aca="false">BW78</f>
        <v>1169.90984962706</v>
      </c>
      <c r="BX335" s="48" t="n">
        <f aca="false">BX78</f>
        <v>1349.43181230182</v>
      </c>
      <c r="BY335" s="159" t="n">
        <f aca="false">SUM(BU335,BV335,BW335,BX335)</f>
        <v>4321.88236860127</v>
      </c>
      <c r="BZ335" s="159" t="n">
        <f aca="false">BZ78</f>
        <v>5117.68037563665</v>
      </c>
      <c r="CA335" s="159" t="n">
        <f aca="false">CA78</f>
        <v>5279.91139165537</v>
      </c>
      <c r="CB335" s="159" t="n">
        <f aca="false">CB78</f>
        <v>5447.96449864525</v>
      </c>
      <c r="CC335" s="50"/>
    </row>
    <row r="336" s="51" customFormat="true" ht="15" hidden="false" customHeight="true" outlineLevel="0" collapsed="false">
      <c r="A336" s="270" t="s">
        <v>414</v>
      </c>
      <c r="B336" s="254"/>
      <c r="C336" s="262" t="n">
        <f aca="false">-C307</f>
        <v>154.756</v>
      </c>
      <c r="D336" s="262" t="n">
        <f aca="false">-D307</f>
        <v>181.045</v>
      </c>
      <c r="E336" s="262" t="n">
        <f aca="false">-E307</f>
        <v>217.904</v>
      </c>
      <c r="F336" s="262" t="n">
        <f aca="false">-F307</f>
        <v>259.301</v>
      </c>
      <c r="G336" s="262" t="n">
        <f aca="false">-G307</f>
        <v>311.741</v>
      </c>
      <c r="H336" s="50" t="n">
        <f aca="false">-H307</f>
        <v>84.9</v>
      </c>
      <c r="I336" s="50" t="n">
        <f aca="false">-I307</f>
        <v>79.9</v>
      </c>
      <c r="J336" s="50" t="n">
        <f aca="false">-J307</f>
        <v>76.9</v>
      </c>
      <c r="K336" s="50" t="n">
        <f aca="false">-K307</f>
        <v>79.4</v>
      </c>
      <c r="L336" s="262" t="n">
        <f aca="false">-L307</f>
        <v>321.11</v>
      </c>
      <c r="M336" s="50" t="n">
        <f aca="false">-M307</f>
        <v>82.3</v>
      </c>
      <c r="N336" s="50" t="n">
        <f aca="false">-N307</f>
        <v>88.3</v>
      </c>
      <c r="O336" s="50" t="n">
        <f aca="false">-O307</f>
        <v>85.6</v>
      </c>
      <c r="P336" s="50" t="n">
        <f aca="false">-P307</f>
        <v>89.5</v>
      </c>
      <c r="Q336" s="262" t="n">
        <f aca="false">-Q307</f>
        <v>345.732</v>
      </c>
      <c r="R336" s="50" t="n">
        <f aca="false">-R307</f>
        <v>88.8</v>
      </c>
      <c r="S336" s="50" t="n">
        <f aca="false">-S307</f>
        <v>90.4</v>
      </c>
      <c r="T336" s="50" t="n">
        <f aca="false">-T307</f>
        <v>88.8</v>
      </c>
      <c r="U336" s="50" t="n">
        <f aca="false">-U307</f>
        <v>106.8</v>
      </c>
      <c r="V336" s="262" t="n">
        <f aca="false">-V307</f>
        <v>374.8</v>
      </c>
      <c r="W336" s="50" t="n">
        <f aca="false">-W307</f>
        <v>98.6</v>
      </c>
      <c r="X336" s="50" t="n">
        <f aca="false">-X307</f>
        <v>102</v>
      </c>
      <c r="Y336" s="50" t="n">
        <f aca="false">-Y307</f>
        <v>103.3</v>
      </c>
      <c r="Z336" s="50" t="n">
        <f aca="false">-Z307</f>
        <v>112.7</v>
      </c>
      <c r="AA336" s="262" t="n">
        <f aca="false">-AA307</f>
        <v>416.6</v>
      </c>
      <c r="AB336" s="50" t="n">
        <f aca="false">-AB307</f>
        <v>114.2</v>
      </c>
      <c r="AC336" s="50" t="n">
        <f aca="false">-AC307</f>
        <v>117.4</v>
      </c>
      <c r="AD336" s="50" t="n">
        <f aca="false">-AD307</f>
        <v>121.8</v>
      </c>
      <c r="AE336" s="50" t="n">
        <f aca="false">-AE307</f>
        <v>134.6</v>
      </c>
      <c r="AF336" s="262" t="n">
        <f aca="false">-AF307</f>
        <v>488</v>
      </c>
      <c r="AG336" s="50" t="n">
        <f aca="false">-AG307</f>
        <v>121</v>
      </c>
      <c r="AH336" s="50" t="n">
        <f aca="false">-AH307</f>
        <v>123.5</v>
      </c>
      <c r="AI336" s="50" t="n">
        <f aca="false">-AI307</f>
        <v>128.5</v>
      </c>
      <c r="AJ336" s="50" t="n">
        <f aca="false">-AJ307</f>
        <v>147.5</v>
      </c>
      <c r="AK336" s="262" t="n">
        <f aca="false">-AK307</f>
        <v>520.5</v>
      </c>
      <c r="AL336" s="50" t="n">
        <f aca="false">-AL307</f>
        <v>130.7</v>
      </c>
      <c r="AM336" s="50" t="n">
        <f aca="false">-AM307</f>
        <v>131.2</v>
      </c>
      <c r="AN336" s="50" t="n">
        <f aca="false">-AN307</f>
        <v>131.5</v>
      </c>
      <c r="AO336" s="50" t="n">
        <f aca="false">-AO307</f>
        <v>151.5</v>
      </c>
      <c r="AP336" s="262" t="n">
        <f aca="false">-AP307</f>
        <v>544.9</v>
      </c>
      <c r="AQ336" s="50" t="n">
        <f aca="false">-AQ307</f>
        <v>168.4</v>
      </c>
      <c r="AR336" s="50" t="n">
        <f aca="false">-AR307</f>
        <v>171.8</v>
      </c>
      <c r="AS336" s="50" t="n">
        <f aca="false">-AS307</f>
        <v>182.9</v>
      </c>
      <c r="AT336" s="50" t="n">
        <f aca="false">-AT307</f>
        <v>202.5</v>
      </c>
      <c r="AU336" s="262" t="n">
        <f aca="false">-AU307</f>
        <v>725.6</v>
      </c>
      <c r="AV336" s="50" t="n">
        <f aca="false">-AV307</f>
        <v>207.7</v>
      </c>
      <c r="AW336" s="50" t="n">
        <f aca="false">-AW307</f>
        <v>222</v>
      </c>
      <c r="AX336" s="50" t="n">
        <f aca="false">-AX307</f>
        <v>235.8</v>
      </c>
      <c r="AY336" s="50" t="n">
        <f aca="false">-AY307</f>
        <v>280.4</v>
      </c>
      <c r="AZ336" s="262" t="n">
        <f aca="false">-AZ307</f>
        <v>945.9</v>
      </c>
      <c r="BA336" s="50" t="n">
        <f aca="false">-BA307</f>
        <v>260.3</v>
      </c>
      <c r="BB336" s="50" t="n">
        <f aca="false">-BB307</f>
        <v>281.1</v>
      </c>
      <c r="BC336" s="50" t="n">
        <f aca="false">-BC307</f>
        <v>287.8</v>
      </c>
      <c r="BD336" s="50" t="n">
        <f aca="false">-BD307</f>
        <v>284</v>
      </c>
      <c r="BE336" s="262" t="n">
        <f aca="false">-BE307</f>
        <v>1113.2</v>
      </c>
      <c r="BF336" s="50" t="n">
        <f aca="false">-BF307</f>
        <v>273.3</v>
      </c>
      <c r="BG336" s="50" t="n">
        <f aca="false">-BG307</f>
        <v>277</v>
      </c>
      <c r="BH336" s="50" t="n">
        <f aca="false">-BH307</f>
        <v>297</v>
      </c>
      <c r="BI336" s="50" t="n">
        <f aca="false">-BI307</f>
        <v>318.4</v>
      </c>
      <c r="BJ336" s="262" t="n">
        <f aca="false">-BJ307</f>
        <v>1165.7</v>
      </c>
      <c r="BK336" s="50" t="n">
        <f aca="false">-BK307</f>
        <v>280.7</v>
      </c>
      <c r="BL336" s="50" t="n">
        <f aca="false">-BL307</f>
        <v>298.7</v>
      </c>
      <c r="BM336" s="50" t="n">
        <f aca="false">-BM307</f>
        <v>303.2</v>
      </c>
      <c r="BN336" s="50" t="n">
        <f aca="false">-BN307</f>
        <v>375.2</v>
      </c>
      <c r="BO336" s="264" t="n">
        <f aca="false">-BO307</f>
        <v>1257.8</v>
      </c>
      <c r="BP336" s="48" t="n">
        <f aca="false">BP83</f>
        <v>302.859296676594</v>
      </c>
      <c r="BQ336" s="48" t="n">
        <f aca="false">BQ83</f>
        <v>326.477156571004</v>
      </c>
      <c r="BR336" s="48" t="n">
        <f aca="false">BR83</f>
        <v>359.599590520596</v>
      </c>
      <c r="BS336" s="48" t="n">
        <f aca="false">BS83</f>
        <v>369.104309490933</v>
      </c>
      <c r="BT336" s="159" t="n">
        <f aca="false">SUM(BP336,BQ336,BR336,BS336)</f>
        <v>1358.04035325913</v>
      </c>
      <c r="BU336" s="48" t="n">
        <f aca="false">BU83</f>
        <v>295.763023957522</v>
      </c>
      <c r="BV336" s="48" t="n">
        <f aca="false">BV83</f>
        <v>314.79008227069</v>
      </c>
      <c r="BW336" s="48" t="n">
        <f aca="false">BW83</f>
        <v>361.794905785351</v>
      </c>
      <c r="BX336" s="48" t="n">
        <f aca="false">BX83</f>
        <v>370.96691524298</v>
      </c>
      <c r="BY336" s="159" t="n">
        <f aca="false">SUM(BU336,BV336,BW336,BX336)</f>
        <v>1343.31492725654</v>
      </c>
      <c r="BZ336" s="159" t="n">
        <f aca="false">BZ83</f>
        <v>1526.50795463076</v>
      </c>
      <c r="CA336" s="159" t="n">
        <f aca="false">CA83</f>
        <v>1506.25764439147</v>
      </c>
      <c r="CB336" s="159" t="n">
        <f aca="false">CB83</f>
        <v>1480.70062180883</v>
      </c>
      <c r="CC336" s="50"/>
    </row>
    <row r="337" s="51" customFormat="true" ht="15" hidden="false" customHeight="true" outlineLevel="0" collapsed="false">
      <c r="A337" s="270" t="s">
        <v>415</v>
      </c>
      <c r="B337" s="254"/>
      <c r="C337" s="262" t="n">
        <f aca="false">-C305</f>
        <v>-0</v>
      </c>
      <c r="D337" s="262" t="n">
        <f aca="false">-D305</f>
        <v>-0</v>
      </c>
      <c r="E337" s="262" t="n">
        <f aca="false">-E305</f>
        <v>-0</v>
      </c>
      <c r="F337" s="262" t="n">
        <f aca="false">-F305</f>
        <v>-0</v>
      </c>
      <c r="G337" s="262" t="n">
        <f aca="false">-G305</f>
        <v>-64.456</v>
      </c>
      <c r="H337" s="50" t="n">
        <f aca="false">-H305</f>
        <v>-20.2</v>
      </c>
      <c r="I337" s="50" t="n">
        <f aca="false">-I305</f>
        <v>-20.3</v>
      </c>
      <c r="J337" s="50" t="n">
        <f aca="false">-J305</f>
        <v>-20.3</v>
      </c>
      <c r="K337" s="50" t="n">
        <f aca="false">-K305</f>
        <v>-20.2</v>
      </c>
      <c r="L337" s="262" t="n">
        <f aca="false">-L305</f>
        <v>-81.006</v>
      </c>
      <c r="M337" s="50" t="n">
        <f aca="false">-M305</f>
        <v>-20.8</v>
      </c>
      <c r="N337" s="50" t="n">
        <f aca="false">-N305</f>
        <v>-20.8</v>
      </c>
      <c r="O337" s="50" t="n">
        <f aca="false">-O305</f>
        <v>-20.8</v>
      </c>
      <c r="P337" s="50" t="n">
        <f aca="false">-P305</f>
        <v>-20.8</v>
      </c>
      <c r="Q337" s="262" t="n">
        <f aca="false">-Q305</f>
        <v>-83.2</v>
      </c>
      <c r="R337" s="50" t="n">
        <f aca="false">-R305</f>
        <v>-23.4</v>
      </c>
      <c r="S337" s="50" t="n">
        <f aca="false">-S305</f>
        <v>-23.5</v>
      </c>
      <c r="T337" s="50" t="n">
        <f aca="false">-T305</f>
        <v>-23.4</v>
      </c>
      <c r="U337" s="50" t="n">
        <f aca="false">-U305</f>
        <v>-23.5</v>
      </c>
      <c r="V337" s="262" t="n">
        <f aca="false">-V305</f>
        <v>-93.8</v>
      </c>
      <c r="W337" s="50" t="n">
        <f aca="false">-W305</f>
        <v>-23.9</v>
      </c>
      <c r="X337" s="50" t="n">
        <f aca="false">-X305</f>
        <v>-24</v>
      </c>
      <c r="Y337" s="50" t="n">
        <f aca="false">-Y305</f>
        <v>-23.9</v>
      </c>
      <c r="Z337" s="50" t="n">
        <f aca="false">-Z305</f>
        <v>-24</v>
      </c>
      <c r="AA337" s="262" t="n">
        <f aca="false">-AA305</f>
        <v>-95.8</v>
      </c>
      <c r="AB337" s="50" t="n">
        <f aca="false">-AB305</f>
        <v>-0</v>
      </c>
      <c r="AC337" s="50" t="n">
        <f aca="false">-AC305</f>
        <v>-0</v>
      </c>
      <c r="AD337" s="50" t="n">
        <f aca="false">-AD305</f>
        <v>-0</v>
      </c>
      <c r="AE337" s="50" t="n">
        <f aca="false">-AE305</f>
        <v>-0</v>
      </c>
      <c r="AF337" s="262" t="n">
        <f aca="false">-AF305</f>
        <v>-0</v>
      </c>
      <c r="AG337" s="50" t="n">
        <f aca="false">-AG305</f>
        <v>-0</v>
      </c>
      <c r="AH337" s="50" t="n">
        <f aca="false">-AH305</f>
        <v>-0</v>
      </c>
      <c r="AI337" s="50" t="n">
        <f aca="false">-AI305</f>
        <v>-0</v>
      </c>
      <c r="AJ337" s="50" t="n">
        <f aca="false">-AJ305</f>
        <v>-0</v>
      </c>
      <c r="AK337" s="262" t="n">
        <f aca="false">-AK305</f>
        <v>-0</v>
      </c>
      <c r="AL337" s="50" t="n">
        <f aca="false">-AL305</f>
        <v>-0</v>
      </c>
      <c r="AM337" s="50" t="n">
        <f aca="false">-AM305</f>
        <v>-0</v>
      </c>
      <c r="AN337" s="50" t="n">
        <f aca="false">-AN305</f>
        <v>-0</v>
      </c>
      <c r="AO337" s="50" t="n">
        <f aca="false">-AO305</f>
        <v>-0</v>
      </c>
      <c r="AP337" s="262" t="n">
        <f aca="false">-AP305</f>
        <v>-0</v>
      </c>
      <c r="AQ337" s="50" t="n">
        <f aca="false">-AQ305</f>
        <v>-0</v>
      </c>
      <c r="AR337" s="50" t="n">
        <f aca="false">-AR305</f>
        <v>-0</v>
      </c>
      <c r="AS337" s="50" t="n">
        <f aca="false">-AS305</f>
        <v>-0</v>
      </c>
      <c r="AT337" s="50" t="n">
        <f aca="false">-AT305</f>
        <v>-213.7</v>
      </c>
      <c r="AU337" s="262" t="n">
        <f aca="false">-AU305</f>
        <v>-213.7</v>
      </c>
      <c r="AV337" s="50" t="n">
        <f aca="false">-AV305</f>
        <v>-0</v>
      </c>
      <c r="AW337" s="50" t="n">
        <f aca="false">-AW305</f>
        <v>-0</v>
      </c>
      <c r="AX337" s="50" t="n">
        <f aca="false">-AX305</f>
        <v>-0</v>
      </c>
      <c r="AY337" s="50" t="n">
        <f aca="false">-AY305</f>
        <v>-0</v>
      </c>
      <c r="AZ337" s="262" t="n">
        <f aca="false">-AZ305</f>
        <v>-0</v>
      </c>
      <c r="BA337" s="50" t="n">
        <f aca="false">-BA305</f>
        <v>-0</v>
      </c>
      <c r="BB337" s="50" t="n">
        <f aca="false">-BB305</f>
        <v>-0</v>
      </c>
      <c r="BC337" s="50" t="n">
        <f aca="false">-BC305</f>
        <v>-0</v>
      </c>
      <c r="BD337" s="50" t="n">
        <f aca="false">-BD305</f>
        <v>-0</v>
      </c>
      <c r="BE337" s="262" t="n">
        <f aca="false">-BE305</f>
        <v>-0</v>
      </c>
      <c r="BF337" s="50" t="n">
        <f aca="false">-BF305</f>
        <v>-0</v>
      </c>
      <c r="BG337" s="50" t="n">
        <f aca="false">-BG305</f>
        <v>-0</v>
      </c>
      <c r="BH337" s="50" t="n">
        <f aca="false">-BH305</f>
        <v>-0</v>
      </c>
      <c r="BI337" s="50" t="n">
        <f aca="false">-BI305</f>
        <v>-0</v>
      </c>
      <c r="BJ337" s="262" t="n">
        <f aca="false">-BJ305</f>
        <v>-0</v>
      </c>
      <c r="BK337" s="50" t="n">
        <f aca="false">-BK305</f>
        <v>-0</v>
      </c>
      <c r="BL337" s="50" t="n">
        <f aca="false">-BL305</f>
        <v>-0</v>
      </c>
      <c r="BM337" s="50" t="n">
        <f aca="false">-BM305</f>
        <v>-0</v>
      </c>
      <c r="BN337" s="50" t="n">
        <f aca="false">-BN305</f>
        <v>-0</v>
      </c>
      <c r="BO337" s="264" t="n">
        <f aca="false">-BO305</f>
        <v>-0</v>
      </c>
      <c r="BP337" s="48" t="n">
        <f aca="false">BP88</f>
        <v>0</v>
      </c>
      <c r="BQ337" s="48" t="n">
        <f aca="false">BQ88</f>
        <v>0</v>
      </c>
      <c r="BR337" s="48" t="n">
        <f aca="false">BR88</f>
        <v>0</v>
      </c>
      <c r="BS337" s="48" t="n">
        <f aca="false">BS88</f>
        <v>0</v>
      </c>
      <c r="BT337" s="159" t="n">
        <f aca="false">SUM(BP337,BQ337,BR337,BS337)</f>
        <v>0</v>
      </c>
      <c r="BU337" s="48" t="n">
        <f aca="false">BU88</f>
        <v>0</v>
      </c>
      <c r="BV337" s="48" t="n">
        <f aca="false">BV88</f>
        <v>0</v>
      </c>
      <c r="BW337" s="48" t="n">
        <f aca="false">BW88</f>
        <v>0</v>
      </c>
      <c r="BX337" s="48" t="n">
        <f aca="false">BX88</f>
        <v>0</v>
      </c>
      <c r="BY337" s="159" t="n">
        <f aca="false">SUM(BU337,BV337,BW337,BX337)</f>
        <v>0</v>
      </c>
      <c r="BZ337" s="159" t="n">
        <f aca="false">BZ88</f>
        <v>0</v>
      </c>
      <c r="CA337" s="159" t="n">
        <f aca="false">CA88</f>
        <v>0</v>
      </c>
      <c r="CB337" s="159" t="n">
        <f aca="false">CB88</f>
        <v>0</v>
      </c>
      <c r="CC337" s="50"/>
    </row>
    <row r="338" s="157" customFormat="true" ht="15" hidden="false" customHeight="true" outlineLevel="0" collapsed="false">
      <c r="A338" s="244" t="s">
        <v>112</v>
      </c>
      <c r="B338" s="393"/>
      <c r="C338" s="357" t="n">
        <f aca="false">C333-SUM(C335:C337)</f>
        <v>-163.125</v>
      </c>
      <c r="D338" s="357" t="n">
        <f aca="false">D333-SUM(D335:D337)</f>
        <v>1250.699</v>
      </c>
      <c r="E338" s="357" t="n">
        <f aca="false">E333-SUM(E335:E337)</f>
        <v>1641.216</v>
      </c>
      <c r="F338" s="357" t="n">
        <f aca="false">F333-SUM(F335:F337)</f>
        <v>1156.774</v>
      </c>
      <c r="G338" s="357" t="n">
        <f aca="false">G333-SUM(G335:G337)</f>
        <v>1047.948</v>
      </c>
      <c r="H338" s="394" t="n">
        <f aca="false">H333-SUM(H335:H337)</f>
        <v>265.7</v>
      </c>
      <c r="I338" s="394" t="n">
        <f aca="false">I333-SUM(I335:I337)</f>
        <v>425.4</v>
      </c>
      <c r="J338" s="394" t="n">
        <f aca="false">J333-SUM(J335:J337)</f>
        <v>261.4</v>
      </c>
      <c r="K338" s="394" t="n">
        <f aca="false">K333-SUM(K335:K337)</f>
        <v>329.7</v>
      </c>
      <c r="L338" s="357" t="n">
        <f aca="false">L333-SUM(L335:L337)</f>
        <v>1282.235</v>
      </c>
      <c r="M338" s="394" t="n">
        <f aca="false">M333-SUM(M335:M337)</f>
        <v>455.7</v>
      </c>
      <c r="N338" s="394" t="n">
        <f aca="false">N333-SUM(N335:N337)</f>
        <v>418.9</v>
      </c>
      <c r="O338" s="394" t="n">
        <f aca="false">O333-SUM(O335:O337)</f>
        <v>372.4</v>
      </c>
      <c r="P338" s="394" t="n">
        <f aca="false">P333-SUM(P335:P337)</f>
        <v>318.1</v>
      </c>
      <c r="Q338" s="357" t="n">
        <f aca="false">Q333-SUM(Q335:Q337)</f>
        <v>1565.135</v>
      </c>
      <c r="R338" s="394" t="n">
        <f aca="false">R333-SUM(R335:R337)</f>
        <v>228</v>
      </c>
      <c r="S338" s="394" t="n">
        <f aca="false">S333-SUM(S335:S337)</f>
        <v>404.2</v>
      </c>
      <c r="T338" s="394" t="n">
        <f aca="false">T333-SUM(T335:T337)</f>
        <v>495.6</v>
      </c>
      <c r="U338" s="394" t="n">
        <f aca="false">U333-SUM(U335:U337)</f>
        <v>529.9</v>
      </c>
      <c r="V338" s="357" t="n">
        <f aca="false">V333-SUM(V335:V337)</f>
        <v>1657.7</v>
      </c>
      <c r="W338" s="394" t="n">
        <f aca="false">W333-SUM(W335:W337)</f>
        <v>534.8</v>
      </c>
      <c r="X338" s="394" t="n">
        <f aca="false">X333-SUM(X335:X337)</f>
        <v>555.8</v>
      </c>
      <c r="Y338" s="394" t="n">
        <f aca="false">Y333-SUM(Y335:Y337)</f>
        <v>655.6</v>
      </c>
      <c r="Z338" s="394" t="n">
        <f aca="false">Z333-SUM(Z335:Z337)</f>
        <v>750</v>
      </c>
      <c r="AA338" s="357" t="n">
        <f aca="false">AA333-SUM(AA335:AA337)</f>
        <v>2496.2</v>
      </c>
      <c r="AB338" s="394" t="n">
        <f aca="false">AB333-SUM(AB335:AB337)</f>
        <v>642.2</v>
      </c>
      <c r="AC338" s="394" t="n">
        <f aca="false">AC333-SUM(AC335:AC337)</f>
        <v>689.4</v>
      </c>
      <c r="AD338" s="394" t="n">
        <f aca="false">AD333-SUM(AD335:AD337)</f>
        <v>817.8</v>
      </c>
      <c r="AE338" s="394" t="n">
        <f aca="false">AE333-SUM(AE335:AE337)</f>
        <v>815.900000000001</v>
      </c>
      <c r="AF338" s="357" t="n">
        <f aca="false">AF333-SUM(AF335:AF337)</f>
        <v>2965.3</v>
      </c>
      <c r="AG338" s="394" t="n">
        <f aca="false">AG333-SUM(AG335:AG337)</f>
        <v>334.3</v>
      </c>
      <c r="AH338" s="394" t="n">
        <f aca="false">AH333-SUM(AH335:AH337)</f>
        <v>494.3</v>
      </c>
      <c r="AI338" s="394" t="n">
        <f aca="false">AI333-SUM(AI335:AI337)</f>
        <v>685.6</v>
      </c>
      <c r="AJ338" s="394" t="n">
        <f aca="false">AJ333-SUM(AJ335:AJ337)</f>
        <v>1276.6</v>
      </c>
      <c r="AK338" s="357" t="n">
        <f aca="false">AK333-SUM(AK335:AK337)</f>
        <v>2790.8</v>
      </c>
      <c r="AL338" s="394" t="n">
        <f aca="false">AL333-SUM(AL335:AL337)</f>
        <v>426.7</v>
      </c>
      <c r="AM338" s="394" t="n">
        <f aca="false">AM333-SUM(AM335:AM337)</f>
        <v>905.1</v>
      </c>
      <c r="AN338" s="394" t="n">
        <f aca="false">AN333-SUM(AN335:AN337)</f>
        <v>1215.9</v>
      </c>
      <c r="AO338" s="394" t="n">
        <f aca="false">AO333-SUM(AO335:AO337)</f>
        <v>1503.8</v>
      </c>
      <c r="AP338" s="357" t="n">
        <f aca="false">AP333-SUM(AP335:AP337)</f>
        <v>4051.5</v>
      </c>
      <c r="AQ338" s="394" t="n">
        <f aca="false">AQ333-SUM(AQ335:AQ337)</f>
        <v>1560.6</v>
      </c>
      <c r="AR338" s="394" t="n">
        <f aca="false">AR333-SUM(AR335:AR337)</f>
        <v>1239</v>
      </c>
      <c r="AS338" s="394" t="n">
        <f aca="false">AS333-SUM(AS335:AS337)</f>
        <v>1919.3</v>
      </c>
      <c r="AT338" s="394" t="n">
        <f aca="false">AT333-SUM(AT335:AT337)</f>
        <v>2031.2</v>
      </c>
      <c r="AU338" s="357" t="n">
        <f aca="false">AU333-SUM(AU335:AU337)</f>
        <v>6750.1</v>
      </c>
      <c r="AV338" s="394" t="n">
        <f aca="false">AV333-SUM(AV335:AV337)</f>
        <v>784.6</v>
      </c>
      <c r="AW338" s="394" t="n">
        <f aca="false">AW333-SUM(AW335:AW337)</f>
        <v>1653.4</v>
      </c>
      <c r="AX338" s="394" t="n">
        <f aca="false">AX333-SUM(AX335:AX337)</f>
        <v>1938.5</v>
      </c>
      <c r="AY338" s="394" t="n">
        <f aca="false">AY333-SUM(AY335:AY337)</f>
        <v>2124.2</v>
      </c>
      <c r="AZ338" s="357" t="n">
        <f aca="false">AZ333-SUM(AZ335:AZ337)</f>
        <v>6500.7</v>
      </c>
      <c r="BA338" s="394" t="n">
        <f aca="false">BA333-SUM(BA335:BA337)</f>
        <v>2205</v>
      </c>
      <c r="BB338" s="394" t="n">
        <f aca="false">BB333-SUM(BB335:BB337)</f>
        <v>2263</v>
      </c>
      <c r="BC338" s="394" t="n">
        <f aca="false">BC333-SUM(BC335:BC337)</f>
        <v>2182.4</v>
      </c>
      <c r="BD338" s="394" t="n">
        <f aca="false">BD333-SUM(BD335:BD337)</f>
        <v>2391.9</v>
      </c>
      <c r="BE338" s="357" t="n">
        <f aca="false">BE333-SUM(BE335:BE337)</f>
        <v>9042.3</v>
      </c>
      <c r="BF338" s="394" t="n">
        <f aca="false">BF333-SUM(BF335:BF337)</f>
        <v>1391.4</v>
      </c>
      <c r="BG338" s="394" t="n">
        <f aca="false">BG333-SUM(BG335:BG337)</f>
        <v>1834.6</v>
      </c>
      <c r="BH338" s="394" t="n">
        <f aca="false">BH333-SUM(BH335:BH337)</f>
        <v>2441.2</v>
      </c>
      <c r="BI338" s="394" t="n">
        <f aca="false">BI333-SUM(BI335:BI337)</f>
        <v>3355.4</v>
      </c>
      <c r="BJ338" s="357" t="n">
        <f aca="false">BJ333-SUM(BJ335:BJ337)</f>
        <v>9022.6</v>
      </c>
      <c r="BK338" s="394" t="n">
        <f aca="false">BK333-SUM(BK335:BK337)</f>
        <v>2737.9</v>
      </c>
      <c r="BL338" s="394" t="n">
        <f aca="false">BL333-SUM(BL335:BL337)</f>
        <v>2664.1</v>
      </c>
      <c r="BM338" s="394" t="n">
        <f aca="false">BM333-SUM(BM335:BM337)</f>
        <v>2468.4</v>
      </c>
      <c r="BN338" s="394" t="n">
        <f aca="false">BN333-SUM(BN335:BN337)</f>
        <v>3431</v>
      </c>
      <c r="BO338" s="395" t="n">
        <f aca="false">BO333-SUM(BO335:BO337)</f>
        <v>11301.4</v>
      </c>
      <c r="BP338" s="163" t="n">
        <f aca="false">BP333-SUM(BP335:BP337)</f>
        <v>2960.51304928716</v>
      </c>
      <c r="BQ338" s="163" t="n">
        <f aca="false">BQ333-SUM(BQ335:BQ337)</f>
        <v>3495.39589769988</v>
      </c>
      <c r="BR338" s="163" t="n">
        <f aca="false">BR333-SUM(BR335:BR337)</f>
        <v>3258.47383875289</v>
      </c>
      <c r="BS338" s="163" t="n">
        <f aca="false">BS333-SUM(BS335:BS337)</f>
        <v>3620.15146398755</v>
      </c>
      <c r="BT338" s="162" t="n">
        <f aca="false">BT333-SUM(BT335:BT337)</f>
        <v>13334.5342497275</v>
      </c>
      <c r="BU338" s="163" t="n">
        <f aca="false">BU333-SUM(BU335:BU337)</f>
        <v>3118.35741631106</v>
      </c>
      <c r="BV338" s="163" t="n">
        <f aca="false">BV333-SUM(BV335:BV337)</f>
        <v>4205.38959859293</v>
      </c>
      <c r="BW338" s="163" t="n">
        <f aca="false">BW333-SUM(BW335:BW337)</f>
        <v>3876.92880713419</v>
      </c>
      <c r="BX338" s="163" t="n">
        <f aca="false">BX333-SUM(BX335:BX337)</f>
        <v>3912.99616548549</v>
      </c>
      <c r="BY338" s="162" t="n">
        <f aca="false">BY333-SUM(BY335:BY337)</f>
        <v>15113.6719875237</v>
      </c>
      <c r="BZ338" s="162" t="n">
        <f aca="false">BZ333-SUM(BZ335:BZ337)</f>
        <v>18501.3799376864</v>
      </c>
      <c r="CA338" s="162" t="n">
        <f aca="false">CA333-SUM(CA335:CA337)</f>
        <v>19734.9606418536</v>
      </c>
      <c r="CB338" s="162" t="n">
        <f aca="false">CB333-SUM(CB335:CB337)</f>
        <v>21055.9876613057</v>
      </c>
      <c r="CC338" s="156"/>
    </row>
    <row r="339" s="157" customFormat="true" ht="15" hidden="false" customHeight="true" outlineLevel="0" collapsed="false">
      <c r="A339" s="221" t="str">
        <f aca="false">CONCATENATE("Adjusted ",A338,IF(AND(ROUND(SUM(C338:CC338)-SUM(C339:CC339),6)=0)," (No Adjustments)",""))</f>
        <v>Adjusted EBIT (No Adjustments)</v>
      </c>
      <c r="B339" s="266"/>
      <c r="C339" s="399" t="n">
        <f aca="false">C338</f>
        <v>-163.125</v>
      </c>
      <c r="D339" s="399" t="n">
        <f aca="false">D338</f>
        <v>1250.699</v>
      </c>
      <c r="E339" s="399" t="n">
        <f aca="false">E338</f>
        <v>1641.216</v>
      </c>
      <c r="F339" s="399" t="n">
        <f aca="false">F338</f>
        <v>1156.774</v>
      </c>
      <c r="G339" s="399" t="n">
        <f aca="false">G338</f>
        <v>1047.948</v>
      </c>
      <c r="H339" s="156" t="n">
        <f aca="false">H338</f>
        <v>265.7</v>
      </c>
      <c r="I339" s="156" t="n">
        <f aca="false">I338</f>
        <v>425.4</v>
      </c>
      <c r="J339" s="156" t="n">
        <f aca="false">J338</f>
        <v>261.4</v>
      </c>
      <c r="K339" s="156" t="n">
        <f aca="false">K338</f>
        <v>329.7</v>
      </c>
      <c r="L339" s="399" t="n">
        <f aca="false">L338</f>
        <v>1282.235</v>
      </c>
      <c r="M339" s="156" t="n">
        <f aca="false">M338</f>
        <v>455.7</v>
      </c>
      <c r="N339" s="156" t="n">
        <f aca="false">N338</f>
        <v>418.9</v>
      </c>
      <c r="O339" s="156" t="n">
        <f aca="false">O338</f>
        <v>372.4</v>
      </c>
      <c r="P339" s="156" t="n">
        <f aca="false">P338</f>
        <v>318.1</v>
      </c>
      <c r="Q339" s="399" t="n">
        <f aca="false">Q338</f>
        <v>1565.135</v>
      </c>
      <c r="R339" s="156" t="n">
        <f aca="false">R338</f>
        <v>228</v>
      </c>
      <c r="S339" s="156" t="n">
        <f aca="false">S338</f>
        <v>404.2</v>
      </c>
      <c r="T339" s="156" t="n">
        <f aca="false">T338</f>
        <v>495.6</v>
      </c>
      <c r="U339" s="156" t="n">
        <f aca="false">U338</f>
        <v>529.9</v>
      </c>
      <c r="V339" s="399" t="n">
        <f aca="false">V338</f>
        <v>1657.7</v>
      </c>
      <c r="W339" s="156" t="n">
        <f aca="false">W338</f>
        <v>534.8</v>
      </c>
      <c r="X339" s="156" t="n">
        <f aca="false">X338</f>
        <v>555.8</v>
      </c>
      <c r="Y339" s="156" t="n">
        <f aca="false">Y338</f>
        <v>655.6</v>
      </c>
      <c r="Z339" s="156" t="n">
        <f aca="false">Z338</f>
        <v>750</v>
      </c>
      <c r="AA339" s="399" t="n">
        <f aca="false">AA338</f>
        <v>2496.2</v>
      </c>
      <c r="AB339" s="156" t="n">
        <f aca="false">AB338</f>
        <v>642.2</v>
      </c>
      <c r="AC339" s="156" t="n">
        <f aca="false">AC338</f>
        <v>689.4</v>
      </c>
      <c r="AD339" s="156" t="n">
        <f aca="false">AD338</f>
        <v>817.8</v>
      </c>
      <c r="AE339" s="156" t="n">
        <f aca="false">AE338</f>
        <v>815.900000000001</v>
      </c>
      <c r="AF339" s="399" t="n">
        <f aca="false">AF338</f>
        <v>2965.3</v>
      </c>
      <c r="AG339" s="156" t="n">
        <f aca="false">AG338</f>
        <v>334.3</v>
      </c>
      <c r="AH339" s="156" t="n">
        <f aca="false">AH338</f>
        <v>494.3</v>
      </c>
      <c r="AI339" s="156" t="n">
        <f aca="false">AI338</f>
        <v>685.6</v>
      </c>
      <c r="AJ339" s="156" t="n">
        <f aca="false">AJ338</f>
        <v>1276.6</v>
      </c>
      <c r="AK339" s="399" t="n">
        <f aca="false">AK338</f>
        <v>2790.8</v>
      </c>
      <c r="AL339" s="156" t="n">
        <f aca="false">AL338</f>
        <v>426.7</v>
      </c>
      <c r="AM339" s="156" t="n">
        <f aca="false">AM338</f>
        <v>905.1</v>
      </c>
      <c r="AN339" s="156" t="n">
        <f aca="false">AN338</f>
        <v>1215.9</v>
      </c>
      <c r="AO339" s="156" t="n">
        <f aca="false">AO338</f>
        <v>1503.8</v>
      </c>
      <c r="AP339" s="399" t="n">
        <f aca="false">AP338</f>
        <v>4051.5</v>
      </c>
      <c r="AQ339" s="156" t="n">
        <f aca="false">AQ338</f>
        <v>1560.6</v>
      </c>
      <c r="AR339" s="156" t="n">
        <f aca="false">AR338</f>
        <v>1239</v>
      </c>
      <c r="AS339" s="156" t="n">
        <f aca="false">AS338</f>
        <v>1919.3</v>
      </c>
      <c r="AT339" s="156" t="n">
        <f aca="false">AT338</f>
        <v>2031.2</v>
      </c>
      <c r="AU339" s="399" t="n">
        <f aca="false">AU338</f>
        <v>6750.1</v>
      </c>
      <c r="AV339" s="156" t="n">
        <f aca="false">AV338</f>
        <v>784.6</v>
      </c>
      <c r="AW339" s="156" t="n">
        <f aca="false">AW338</f>
        <v>1653.4</v>
      </c>
      <c r="AX339" s="156" t="n">
        <f aca="false">AX338</f>
        <v>1938.5</v>
      </c>
      <c r="AY339" s="156" t="n">
        <f aca="false">AY338</f>
        <v>2124.2</v>
      </c>
      <c r="AZ339" s="399" t="n">
        <f aca="false">AZ338</f>
        <v>6500.7</v>
      </c>
      <c r="BA339" s="156" t="n">
        <f aca="false">BA338</f>
        <v>2205</v>
      </c>
      <c r="BB339" s="156" t="n">
        <f aca="false">BB338</f>
        <v>2263</v>
      </c>
      <c r="BC339" s="156" t="n">
        <f aca="false">BC338</f>
        <v>2182.4</v>
      </c>
      <c r="BD339" s="156" t="n">
        <f aca="false">BD338</f>
        <v>2391.9</v>
      </c>
      <c r="BE339" s="399" t="n">
        <f aca="false">BE338</f>
        <v>9042.3</v>
      </c>
      <c r="BF339" s="156" t="n">
        <f aca="false">BF338</f>
        <v>1391.4</v>
      </c>
      <c r="BG339" s="156" t="n">
        <f aca="false">BG338</f>
        <v>1834.6</v>
      </c>
      <c r="BH339" s="156" t="n">
        <f aca="false">BH338</f>
        <v>2441.2</v>
      </c>
      <c r="BI339" s="156" t="n">
        <f aca="false">BI338</f>
        <v>3355.4</v>
      </c>
      <c r="BJ339" s="399" t="n">
        <f aca="false">BJ338</f>
        <v>9022.6</v>
      </c>
      <c r="BK339" s="156" t="n">
        <f aca="false">BK338</f>
        <v>2737.9</v>
      </c>
      <c r="BL339" s="156" t="n">
        <f aca="false">BL338</f>
        <v>2664.1</v>
      </c>
      <c r="BM339" s="156" t="n">
        <f aca="false">BM338</f>
        <v>2468.4</v>
      </c>
      <c r="BN339" s="156" t="n">
        <f aca="false">BN338</f>
        <v>3431</v>
      </c>
      <c r="BO339" s="400" t="n">
        <f aca="false">BO338</f>
        <v>11301.4</v>
      </c>
      <c r="BP339" s="268" t="n">
        <f aca="false">BP338</f>
        <v>2960.51304928716</v>
      </c>
      <c r="BQ339" s="268" t="n">
        <f aca="false">BQ338</f>
        <v>3495.39589769988</v>
      </c>
      <c r="BR339" s="268" t="n">
        <f aca="false">BR338</f>
        <v>3258.47383875289</v>
      </c>
      <c r="BS339" s="268" t="n">
        <f aca="false">BS338</f>
        <v>3620.15146398755</v>
      </c>
      <c r="BT339" s="267" t="n">
        <f aca="false">BT338</f>
        <v>13334.5342497275</v>
      </c>
      <c r="BU339" s="268" t="n">
        <f aca="false">BU338</f>
        <v>3118.35741631106</v>
      </c>
      <c r="BV339" s="268" t="n">
        <f aca="false">BV338</f>
        <v>4205.38959859293</v>
      </c>
      <c r="BW339" s="268" t="n">
        <f aca="false">BW338</f>
        <v>3876.92880713419</v>
      </c>
      <c r="BX339" s="268" t="n">
        <f aca="false">BX338</f>
        <v>3912.99616548549</v>
      </c>
      <c r="BY339" s="267" t="n">
        <f aca="false">BY338</f>
        <v>15113.6719875237</v>
      </c>
      <c r="BZ339" s="267" t="n">
        <f aca="false">BZ338</f>
        <v>18501.3799376864</v>
      </c>
      <c r="CA339" s="267" t="n">
        <f aca="false">CA338</f>
        <v>19734.9606418536</v>
      </c>
      <c r="CB339" s="267" t="n">
        <f aca="false">CB338</f>
        <v>21055.9876613057</v>
      </c>
      <c r="CC339" s="156"/>
    </row>
    <row r="340" s="157" customFormat="true" ht="15" hidden="false" customHeight="true" outlineLevel="0" collapsed="false">
      <c r="A340" s="245" t="s">
        <v>416</v>
      </c>
      <c r="B340" s="419"/>
      <c r="C340" s="420"/>
      <c r="D340" s="420"/>
      <c r="E340" s="420"/>
      <c r="F340" s="420"/>
      <c r="G340" s="420"/>
      <c r="H340" s="421"/>
      <c r="I340" s="421"/>
      <c r="J340" s="421"/>
      <c r="K340" s="421"/>
      <c r="L340" s="420"/>
      <c r="M340" s="421"/>
      <c r="N340" s="421"/>
      <c r="O340" s="421"/>
      <c r="P340" s="421"/>
      <c r="Q340" s="420"/>
      <c r="R340" s="421"/>
      <c r="S340" s="421"/>
      <c r="T340" s="421"/>
      <c r="U340" s="421"/>
      <c r="V340" s="420"/>
      <c r="W340" s="421"/>
      <c r="X340" s="421"/>
      <c r="Y340" s="421"/>
      <c r="Z340" s="421"/>
      <c r="AA340" s="420"/>
      <c r="AB340" s="421"/>
      <c r="AC340" s="421"/>
      <c r="AD340" s="421"/>
      <c r="AE340" s="421"/>
      <c r="AF340" s="420"/>
      <c r="AG340" s="421"/>
      <c r="AH340" s="421"/>
      <c r="AI340" s="421"/>
      <c r="AJ340" s="421"/>
      <c r="AK340" s="420"/>
      <c r="AL340" s="421"/>
      <c r="AM340" s="421"/>
      <c r="AN340" s="421"/>
      <c r="AO340" s="421"/>
      <c r="AP340" s="420"/>
      <c r="AQ340" s="421"/>
      <c r="AR340" s="421"/>
      <c r="AS340" s="421"/>
      <c r="AT340" s="421"/>
      <c r="AU340" s="420"/>
      <c r="AV340" s="421"/>
      <c r="AW340" s="421"/>
      <c r="AX340" s="421"/>
      <c r="AY340" s="421"/>
      <c r="AZ340" s="420"/>
      <c r="BA340" s="421"/>
      <c r="BB340" s="421"/>
      <c r="BC340" s="421"/>
      <c r="BD340" s="421"/>
      <c r="BE340" s="420"/>
      <c r="BF340" s="421"/>
      <c r="BG340" s="421"/>
      <c r="BH340" s="421"/>
      <c r="BI340" s="421"/>
      <c r="BJ340" s="420"/>
      <c r="BK340" s="421"/>
      <c r="BL340" s="421"/>
      <c r="BM340" s="421"/>
      <c r="BN340" s="421"/>
      <c r="BO340" s="422"/>
      <c r="BP340" s="247" t="str">
        <f aca="true">IFERROR(VLOOKUP($A340,tb_ConsensusEstimate,MATCH(BP$5,OFFSET(tb_ConsensusEstimate,0,0,1,COLUMNS(tb_ConsensusEstimate)),0),FALSE()),"-")</f>
        <v>N/A</v>
      </c>
      <c r="BQ340" s="247" t="str">
        <f aca="true">IFERROR(VLOOKUP($A340,tb_ConsensusEstimate,MATCH(BQ$5,OFFSET(tb_ConsensusEstimate,0,0,1,COLUMNS(tb_ConsensusEstimate)),0),FALSE()),"-")</f>
        <v>N/A</v>
      </c>
      <c r="BR340" s="247" t="str">
        <f aca="true">IFERROR(VLOOKUP($A340,tb_ConsensusEstimate,MATCH(BR$5,OFFSET(tb_ConsensusEstimate,0,0,1,COLUMNS(tb_ConsensusEstimate)),0),FALSE()),"-")</f>
        <v>N/A</v>
      </c>
      <c r="BS340" s="247" t="str">
        <f aca="true">IFERROR(VLOOKUP($A340,tb_ConsensusEstimate,MATCH(BS$5,OFFSET(tb_ConsensusEstimate,0,0,1,COLUMNS(tb_ConsensusEstimate)),0),FALSE()),"-")</f>
        <v>N/A</v>
      </c>
      <c r="BT340" s="246" t="str">
        <f aca="true">IFERROR(VLOOKUP($A340,tb_ConsensusEstimate,MATCH(BT$5,OFFSET(tb_ConsensusEstimate,0,0,1,COLUMNS(tb_ConsensusEstimate)),0),FALSE()),"-")</f>
        <v>N/A</v>
      </c>
      <c r="BU340" s="247" t="str">
        <f aca="true">IFERROR(VLOOKUP($A340,tb_ConsensusEstimate,MATCH(BU$5,OFFSET(tb_ConsensusEstimate,0,0,1,COLUMNS(tb_ConsensusEstimate)),0),FALSE()),"-")</f>
        <v>N/A</v>
      </c>
      <c r="BV340" s="247" t="str">
        <f aca="true">IFERROR(VLOOKUP($A340,tb_ConsensusEstimate,MATCH(BV$5,OFFSET(tb_ConsensusEstimate,0,0,1,COLUMNS(tb_ConsensusEstimate)),0),FALSE()),"-")</f>
        <v>N/A</v>
      </c>
      <c r="BW340" s="247" t="str">
        <f aca="true">IFERROR(VLOOKUP($A340,tb_ConsensusEstimate,MATCH(BW$5,OFFSET(tb_ConsensusEstimate,0,0,1,COLUMNS(tb_ConsensusEstimate)),0),FALSE()),"-")</f>
        <v>N/A</v>
      </c>
      <c r="BX340" s="247" t="str">
        <f aca="true">IFERROR(VLOOKUP($A340,tb_ConsensusEstimate,MATCH(BX$5,OFFSET(tb_ConsensusEstimate,0,0,1,COLUMNS(tb_ConsensusEstimate)),0),FALSE()),"-")</f>
        <v>N/A</v>
      </c>
      <c r="BY340" s="246" t="str">
        <f aca="true">IFERROR(VLOOKUP($A340,tb_ConsensusEstimate,MATCH(BY$5,OFFSET(tb_ConsensusEstimate,0,0,1,COLUMNS(tb_ConsensusEstimate)),0),FALSE()),"-")</f>
        <v>N/A</v>
      </c>
      <c r="BZ340" s="246" t="str">
        <f aca="true">IFERROR(VLOOKUP($A340,tb_ConsensusEstimate,MATCH(BZ$5,OFFSET(tb_ConsensusEstimate,0,0,1,COLUMNS(tb_ConsensusEstimate)),0),FALSE()),"-")</f>
        <v>N/A</v>
      </c>
      <c r="CA340" s="246" t="str">
        <f aca="true">IFERROR(VLOOKUP($A340,tb_ConsensusEstimate,MATCH(CA$5,OFFSET(tb_ConsensusEstimate,0,0,1,COLUMNS(tb_ConsensusEstimate)),0),FALSE()),"-")</f>
        <v>N/A</v>
      </c>
      <c r="CB340" s="246" t="str">
        <f aca="true">IFERROR(VLOOKUP($A340,tb_ConsensusEstimate,MATCH(CB$5,OFFSET(tb_ConsensusEstimate,0,0,1,COLUMNS(tb_ConsensusEstimate)),0),FALSE()),"-")</f>
        <v>N/A</v>
      </c>
      <c r="CC340" s="156"/>
    </row>
    <row r="341" s="51" customFormat="true" ht="15" hidden="false" customHeight="true" outlineLevel="0" collapsed="false">
      <c r="A341" s="145"/>
      <c r="B341" s="254"/>
      <c r="C341" s="159"/>
      <c r="D341" s="159"/>
      <c r="E341" s="159"/>
      <c r="F341" s="159"/>
      <c r="G341" s="159"/>
      <c r="H341" s="48"/>
      <c r="I341" s="48"/>
      <c r="J341" s="48"/>
      <c r="K341" s="48"/>
      <c r="L341" s="159"/>
      <c r="M341" s="48"/>
      <c r="N341" s="48"/>
      <c r="O341" s="48"/>
      <c r="P341" s="48"/>
      <c r="Q341" s="159"/>
      <c r="R341" s="48"/>
      <c r="S341" s="48"/>
      <c r="T341" s="48"/>
      <c r="U341" s="48"/>
      <c r="V341" s="159"/>
      <c r="W341" s="48"/>
      <c r="X341" s="48"/>
      <c r="Y341" s="48"/>
      <c r="Z341" s="48"/>
      <c r="AA341" s="159"/>
      <c r="AB341" s="48"/>
      <c r="AC341" s="48"/>
      <c r="AD341" s="48"/>
      <c r="AE341" s="48"/>
      <c r="AF341" s="159"/>
      <c r="AG341" s="48"/>
      <c r="AH341" s="48"/>
      <c r="AI341" s="48"/>
      <c r="AJ341" s="48"/>
      <c r="AK341" s="159"/>
      <c r="AL341" s="48"/>
      <c r="AM341" s="48"/>
      <c r="AN341" s="48"/>
      <c r="AO341" s="48"/>
      <c r="AP341" s="159"/>
      <c r="AQ341" s="48"/>
      <c r="AR341" s="48"/>
      <c r="AS341" s="48"/>
      <c r="AT341" s="48"/>
      <c r="AU341" s="159"/>
      <c r="AV341" s="48"/>
      <c r="AW341" s="48"/>
      <c r="AX341" s="48"/>
      <c r="AY341" s="48"/>
      <c r="AZ341" s="159"/>
      <c r="BA341" s="48"/>
      <c r="BB341" s="48"/>
      <c r="BC341" s="48"/>
      <c r="BD341" s="48"/>
      <c r="BE341" s="159"/>
      <c r="BF341" s="48"/>
      <c r="BG341" s="48"/>
      <c r="BH341" s="48"/>
      <c r="BI341" s="48"/>
      <c r="BJ341" s="159"/>
      <c r="BK341" s="48"/>
      <c r="BL341" s="48"/>
      <c r="BM341" s="48"/>
      <c r="BN341" s="48"/>
      <c r="BO341" s="160"/>
      <c r="BP341" s="48"/>
      <c r="BQ341" s="48"/>
      <c r="BR341" s="48"/>
      <c r="BS341" s="48"/>
      <c r="BT341" s="159"/>
      <c r="BU341" s="48"/>
      <c r="BV341" s="48"/>
      <c r="BW341" s="48"/>
      <c r="BX341" s="48"/>
      <c r="BY341" s="159"/>
      <c r="BZ341" s="159"/>
      <c r="CA341" s="159"/>
      <c r="CB341" s="159"/>
      <c r="CC341" s="50"/>
    </row>
    <row r="342" s="51" customFormat="true" ht="15" hidden="false" customHeight="true" outlineLevel="0" collapsed="false">
      <c r="A342" s="145" t="s">
        <v>417</v>
      </c>
      <c r="B342" s="254"/>
      <c r="C342" s="159" t="n">
        <f aca="false">C527</f>
        <v>141.631</v>
      </c>
      <c r="D342" s="159" t="n">
        <f aca="false">D527</f>
        <v>151.444</v>
      </c>
      <c r="E342" s="159" t="n">
        <f aca="false">E527</f>
        <v>165.185</v>
      </c>
      <c r="F342" s="159" t="n">
        <f aca="false">F527</f>
        <v>186.62</v>
      </c>
      <c r="G342" s="159" t="n">
        <f aca="false">G527</f>
        <v>228.775</v>
      </c>
      <c r="H342" s="48" t="n">
        <f aca="false">H527</f>
        <v>64.7</v>
      </c>
      <c r="I342" s="48" t="n">
        <f aca="false">I527</f>
        <v>67</v>
      </c>
      <c r="J342" s="48" t="n">
        <f aca="false">J527</f>
        <v>60.4</v>
      </c>
      <c r="K342" s="48" t="n">
        <f aca="false">K527</f>
        <v>62.544</v>
      </c>
      <c r="L342" s="159" t="n">
        <f aca="false">L527</f>
        <v>254.644</v>
      </c>
      <c r="M342" s="48" t="n">
        <f aca="false">M527</f>
        <v>66.1</v>
      </c>
      <c r="N342" s="48" t="n">
        <f aca="false">N527</f>
        <v>72.8</v>
      </c>
      <c r="O342" s="48" t="n">
        <f aca="false">O527</f>
        <v>77.5</v>
      </c>
      <c r="P342" s="48" t="n">
        <f aca="false">P527</f>
        <v>80.484</v>
      </c>
      <c r="Q342" s="159" t="n">
        <f aca="false">Q527</f>
        <v>296.884</v>
      </c>
      <c r="R342" s="48" t="n">
        <f aca="false">R527</f>
        <v>82</v>
      </c>
      <c r="S342" s="48" t="n">
        <f aca="false">S527</f>
        <v>84.1</v>
      </c>
      <c r="T342" s="48" t="n">
        <f aca="false">T527</f>
        <v>87.7</v>
      </c>
      <c r="U342" s="48" t="n">
        <f aca="false">U527</f>
        <v>103.1</v>
      </c>
      <c r="V342" s="159" t="n">
        <f aca="false">V527</f>
        <v>356.9</v>
      </c>
      <c r="W342" s="48" t="n">
        <f aca="false">W527</f>
        <v>110.1</v>
      </c>
      <c r="X342" s="48" t="n">
        <f aca="false">X527</f>
        <v>103.9</v>
      </c>
      <c r="Y342" s="48" t="n">
        <f aca="false">Y527</f>
        <v>101.2</v>
      </c>
      <c r="Z342" s="48" t="n">
        <f aca="false">Z527</f>
        <v>102.3</v>
      </c>
      <c r="AA342" s="159" t="n">
        <f aca="false">AA527</f>
        <v>417.5</v>
      </c>
      <c r="AB342" s="48" t="n">
        <f aca="false">AB527</f>
        <v>102.6</v>
      </c>
      <c r="AC342" s="48" t="n">
        <f aca="false">AC527</f>
        <v>99.7</v>
      </c>
      <c r="AD342" s="48" t="n">
        <f aca="false">AD527</f>
        <v>110</v>
      </c>
      <c r="AE342" s="48" t="n">
        <f aca="false">AE527</f>
        <v>110.4</v>
      </c>
      <c r="AF342" s="159" t="n">
        <f aca="false">AF527</f>
        <v>422.7</v>
      </c>
      <c r="AG342" s="48" t="n">
        <f aca="false">AG527</f>
        <v>104.8</v>
      </c>
      <c r="AH342" s="48" t="n">
        <f aca="false">AH527</f>
        <v>108.4</v>
      </c>
      <c r="AI342" s="48" t="n">
        <f aca="false">AI527</f>
        <v>112.4</v>
      </c>
      <c r="AJ342" s="48" t="n">
        <f aca="false">AJ527</f>
        <v>122.9</v>
      </c>
      <c r="AK342" s="159" t="n">
        <f aca="false">AK527</f>
        <v>448.5</v>
      </c>
      <c r="AL342" s="48" t="n">
        <f aca="false">AL527</f>
        <v>118.3</v>
      </c>
      <c r="AM342" s="48" t="n">
        <f aca="false">AM527</f>
        <v>125.1</v>
      </c>
      <c r="AN342" s="48" t="n">
        <f aca="false">AN527</f>
        <v>122</v>
      </c>
      <c r="AO342" s="48" t="n">
        <f aca="false">AO527</f>
        <v>125.4</v>
      </c>
      <c r="AP342" s="159" t="n">
        <f aca="false">AP527</f>
        <v>490.8</v>
      </c>
      <c r="AQ342" s="48" t="n">
        <f aca="false">AQ527</f>
        <v>117.9</v>
      </c>
      <c r="AR342" s="48" t="n">
        <f aca="false">AR527</f>
        <v>112.7</v>
      </c>
      <c r="AS342" s="48" t="n">
        <f aca="false">AS527</f>
        <v>116.2</v>
      </c>
      <c r="AT342" s="48" t="n">
        <f aca="false">AT527</f>
        <v>124.2</v>
      </c>
      <c r="AU342" s="159" t="n">
        <f aca="false">AU527</f>
        <v>471</v>
      </c>
      <c r="AV342" s="48" t="n">
        <f aca="false">AV527</f>
        <v>131</v>
      </c>
      <c r="AW342" s="48" t="n">
        <f aca="false">AW527</f>
        <v>131.5</v>
      </c>
      <c r="AX342" s="48" t="n">
        <f aca="false">AX527</f>
        <v>137.9</v>
      </c>
      <c r="AY342" s="48" t="n">
        <f aca="false">AY527</f>
        <v>183.2</v>
      </c>
      <c r="AZ342" s="159" t="n">
        <f aca="false">AZ527</f>
        <v>583.6</v>
      </c>
      <c r="BA342" s="48" t="n">
        <f aca="false">BA527</f>
        <v>170.3</v>
      </c>
      <c r="BB342" s="48" t="n">
        <f aca="false">BB527</f>
        <v>181.2</v>
      </c>
      <c r="BC342" s="48" t="n">
        <f aca="false">BC527</f>
        <v>176.2</v>
      </c>
      <c r="BD342" s="48" t="n">
        <f aca="false">BD527</f>
        <v>212.1</v>
      </c>
      <c r="BE342" s="159" t="n">
        <f aca="false">BE527</f>
        <v>739.8</v>
      </c>
      <c r="BF342" s="48" t="n">
        <f aca="false">BF527</f>
        <v>214.4</v>
      </c>
      <c r="BG342" s="48" t="n">
        <f aca="false">BG527</f>
        <v>227.5</v>
      </c>
      <c r="BH342" s="48" t="n">
        <f aca="false">BH527</f>
        <v>235.7</v>
      </c>
      <c r="BI342" s="48" t="n">
        <f aca="false">BI527</f>
        <v>241</v>
      </c>
      <c r="BJ342" s="159" t="n">
        <f aca="false">BJ527</f>
        <v>918.6</v>
      </c>
      <c r="BK342" s="48" t="n">
        <f aca="false">BK527</f>
        <v>241.3</v>
      </c>
      <c r="BL342" s="48" t="n">
        <f aca="false">BL527</f>
        <v>254.9</v>
      </c>
      <c r="BM342" s="48" t="n">
        <f aca="false">BM527</f>
        <v>274.6</v>
      </c>
      <c r="BN342" s="48" t="n">
        <f aca="false">BN527</f>
        <v>255.1</v>
      </c>
      <c r="BO342" s="160" t="n">
        <f aca="false">BO527</f>
        <v>1025.9</v>
      </c>
      <c r="BP342" s="48" t="n">
        <f aca="false">BP113</f>
        <v>293.974602739726</v>
      </c>
      <c r="BQ342" s="48" t="n">
        <f aca="false">BQ113</f>
        <v>291.483826785889</v>
      </c>
      <c r="BR342" s="48" t="n">
        <f aca="false">BR113</f>
        <v>288.955856862727</v>
      </c>
      <c r="BS342" s="48" t="n">
        <f aca="false">BS113</f>
        <v>283.331529943619</v>
      </c>
      <c r="BT342" s="159" t="n">
        <f aca="false">SUM(BP342,BQ342,BR342,BS342)</f>
        <v>1157.74581633196</v>
      </c>
      <c r="BU342" s="48" t="n">
        <f aca="false">BU113</f>
        <v>271.898392482231</v>
      </c>
      <c r="BV342" s="48" t="n">
        <f aca="false">BV113</f>
        <v>269.939025253942</v>
      </c>
      <c r="BW342" s="48" t="n">
        <f aca="false">BW113</f>
        <v>267.94061878581</v>
      </c>
      <c r="BX342" s="48" t="n">
        <f aca="false">BX113</f>
        <v>263.063761967524</v>
      </c>
      <c r="BY342" s="159" t="n">
        <f aca="false">SUM(BU342,BV342,BW342,BX342)</f>
        <v>1072.84179848951</v>
      </c>
      <c r="BZ342" s="159" t="n">
        <f aca="false">BZ113</f>
        <v>1025.06551328855</v>
      </c>
      <c r="CA342" s="159" t="n">
        <f aca="false">CA113</f>
        <v>965.052074523622</v>
      </c>
      <c r="CB342" s="159" t="n">
        <f aca="false">CB113</f>
        <v>913.516157221461</v>
      </c>
      <c r="CC342" s="50"/>
    </row>
    <row r="343" s="51" customFormat="true" ht="15" hidden="false" customHeight="true" outlineLevel="0" collapsed="false">
      <c r="A343" s="251" t="s">
        <v>418</v>
      </c>
      <c r="B343" s="257"/>
      <c r="C343" s="261" t="n">
        <f aca="false">C530</f>
        <v>13.394</v>
      </c>
      <c r="D343" s="261" t="n">
        <f aca="false">D530</f>
        <v>12.109</v>
      </c>
      <c r="E343" s="261" t="n">
        <f aca="false">E530</f>
        <v>12.43</v>
      </c>
      <c r="F343" s="261" t="n">
        <f aca="false">F530</f>
        <v>18.714</v>
      </c>
      <c r="G343" s="261" t="n">
        <f aca="false">G530</f>
        <v>52.371</v>
      </c>
      <c r="H343" s="259" t="n">
        <f aca="false">H530</f>
        <v>23.1</v>
      </c>
      <c r="I343" s="259" t="n">
        <f aca="false">I530</f>
        <v>13.5</v>
      </c>
      <c r="J343" s="259" t="n">
        <f aca="false">J530</f>
        <v>13.7</v>
      </c>
      <c r="K343" s="259" t="n">
        <f aca="false">K530</f>
        <v>13.08</v>
      </c>
      <c r="L343" s="261" t="n">
        <f aca="false">L530</f>
        <v>63.38</v>
      </c>
      <c r="M343" s="259" t="n">
        <f aca="false">M530</f>
        <v>14.6</v>
      </c>
      <c r="N343" s="259" t="n">
        <f aca="false">N530</f>
        <v>15</v>
      </c>
      <c r="O343" s="259" t="n">
        <f aca="false">O530</f>
        <v>14.8</v>
      </c>
      <c r="P343" s="259" t="n">
        <f aca="false">P530</f>
        <v>14.67</v>
      </c>
      <c r="Q343" s="261" t="n">
        <f aca="false">Q530</f>
        <v>59.07</v>
      </c>
      <c r="R343" s="259" t="n">
        <f aca="false">R530</f>
        <v>13.2</v>
      </c>
      <c r="S343" s="259" t="n">
        <f aca="false">S530</f>
        <v>10.9</v>
      </c>
      <c r="T343" s="259" t="n">
        <f aca="false">T530</f>
        <v>11.6</v>
      </c>
      <c r="U343" s="259" t="n">
        <f aca="false">U530</f>
        <v>12</v>
      </c>
      <c r="V343" s="261" t="n">
        <f aca="false">V530</f>
        <v>47.7</v>
      </c>
      <c r="W343" s="259" t="n">
        <f aca="false">W530</f>
        <v>13.5</v>
      </c>
      <c r="X343" s="259" t="n">
        <f aca="false">X530</f>
        <v>10.1</v>
      </c>
      <c r="Y343" s="259" t="n">
        <f aca="false">Y530</f>
        <v>14.8</v>
      </c>
      <c r="Z343" s="259" t="n">
        <f aca="false">Z530</f>
        <v>14.7</v>
      </c>
      <c r="AA343" s="261" t="n">
        <f aca="false">AA530</f>
        <v>53.1</v>
      </c>
      <c r="AB343" s="259" t="n">
        <f aca="false">AB530</f>
        <v>12.2</v>
      </c>
      <c r="AC343" s="259" t="n">
        <f aca="false">AC530</f>
        <v>9.2</v>
      </c>
      <c r="AD343" s="259" t="n">
        <f aca="false">AD530</f>
        <v>16.6</v>
      </c>
      <c r="AE343" s="259" t="n">
        <f aca="false">AE530</f>
        <v>8.3</v>
      </c>
      <c r="AF343" s="261" t="n">
        <f aca="false">AF530</f>
        <v>46.3</v>
      </c>
      <c r="AG343" s="259" t="n">
        <f aca="false">AG530</f>
        <v>14.9</v>
      </c>
      <c r="AH343" s="259" t="n">
        <f aca="false">AH530</f>
        <v>12.5</v>
      </c>
      <c r="AI343" s="259" t="n">
        <f aca="false">AI530</f>
        <v>18</v>
      </c>
      <c r="AJ343" s="259" t="n">
        <f aca="false">AJ530</f>
        <v>29.2</v>
      </c>
      <c r="AK343" s="261" t="n">
        <f aca="false">AK530</f>
        <v>74.6</v>
      </c>
      <c r="AL343" s="259" t="n">
        <f aca="false">AL530</f>
        <v>14.9</v>
      </c>
      <c r="AM343" s="259" t="n">
        <f aca="false">AM530</f>
        <v>10.3</v>
      </c>
      <c r="AN343" s="259" t="n">
        <f aca="false">AN530</f>
        <v>22.5</v>
      </c>
      <c r="AO343" s="259" t="n">
        <f aca="false">AO530</f>
        <v>6.2</v>
      </c>
      <c r="AP343" s="261" t="n">
        <f aca="false">AP530</f>
        <v>53.9</v>
      </c>
      <c r="AQ343" s="259" t="n">
        <f aca="false">AQ530</f>
        <v>21</v>
      </c>
      <c r="AR343" s="259" t="n">
        <f aca="false">AR530</f>
        <v>29</v>
      </c>
      <c r="AS343" s="259" t="n">
        <f aca="false">AS530</f>
        <v>34</v>
      </c>
      <c r="AT343" s="259" t="n">
        <f aca="false">AT530</f>
        <v>33.5</v>
      </c>
      <c r="AU343" s="261" t="n">
        <f aca="false">AU530</f>
        <v>117.5</v>
      </c>
      <c r="AV343" s="259" t="n">
        <f aca="false">AV530</f>
        <v>11.5</v>
      </c>
      <c r="AW343" s="259" t="n">
        <f aca="false">AW530</f>
        <v>13.9</v>
      </c>
      <c r="AX343" s="259" t="n">
        <f aca="false">AX530</f>
        <v>22.5</v>
      </c>
      <c r="AY343" s="259" t="n">
        <f aca="false">AY530</f>
        <v>21</v>
      </c>
      <c r="AZ343" s="261" t="n">
        <f aca="false">AZ530</f>
        <v>68.9</v>
      </c>
      <c r="BA343" s="259" t="n">
        <f aca="false">BA530</f>
        <v>18.3</v>
      </c>
      <c r="BB343" s="259" t="n">
        <f aca="false">BB530</f>
        <v>33.4</v>
      </c>
      <c r="BC343" s="259" t="n">
        <f aca="false">BC530</f>
        <v>41.5</v>
      </c>
      <c r="BD343" s="259" t="n">
        <f aca="false">BD530</f>
        <v>41.6</v>
      </c>
      <c r="BE343" s="261" t="n">
        <f aca="false">BE530</f>
        <v>134.8</v>
      </c>
      <c r="BF343" s="259" t="n">
        <f aca="false">BF530</f>
        <v>19.8</v>
      </c>
      <c r="BG343" s="259" t="n">
        <f aca="false">BG530</f>
        <v>46.5</v>
      </c>
      <c r="BH343" s="259" t="n">
        <f aca="false">BH530</f>
        <v>53.3</v>
      </c>
      <c r="BI343" s="259" t="n">
        <f aca="false">BI530</f>
        <v>53</v>
      </c>
      <c r="BJ343" s="261" t="n">
        <f aca="false">BJ530</f>
        <v>172.6</v>
      </c>
      <c r="BK343" s="259" t="n">
        <f aca="false">BK530</f>
        <v>40</v>
      </c>
      <c r="BL343" s="259" t="n">
        <f aca="false">BL530</f>
        <v>49</v>
      </c>
      <c r="BM343" s="259" t="n">
        <f aca="false">BM530</f>
        <v>57.7</v>
      </c>
      <c r="BN343" s="259" t="n">
        <f aca="false">BN530</f>
        <v>55.6</v>
      </c>
      <c r="BO343" s="260" t="n">
        <f aca="false">BO530</f>
        <v>202.3</v>
      </c>
      <c r="BP343" s="259" t="n">
        <f aca="false">BP97</f>
        <v>25.7685902276923</v>
      </c>
      <c r="BQ343" s="259" t="n">
        <f aca="false">BQ97</f>
        <v>26.5903693450775</v>
      </c>
      <c r="BR343" s="259" t="n">
        <f aca="false">BR97</f>
        <v>28.1372378857416</v>
      </c>
      <c r="BS343" s="259" t="n">
        <f aca="false">BS97</f>
        <v>30.2475343758738</v>
      </c>
      <c r="BT343" s="261" t="n">
        <f aca="false">SUM(BP343,BQ343,BR343,BS343)</f>
        <v>110.743731834385</v>
      </c>
      <c r="BU343" s="259" t="n">
        <f aca="false">BU97</f>
        <v>26.6780658738462</v>
      </c>
      <c r="BV343" s="259" t="n">
        <f aca="false">BV97</f>
        <v>27.1105358626866</v>
      </c>
      <c r="BW343" s="259" t="n">
        <f aca="false">BW97</f>
        <v>29.8669949609282</v>
      </c>
      <c r="BX343" s="259" t="n">
        <f aca="false">BX97</f>
        <v>32.1569824690819</v>
      </c>
      <c r="BY343" s="261" t="n">
        <f aca="false">SUM(BU343,BV343,BW343,BX343)</f>
        <v>115.812579166543</v>
      </c>
      <c r="BZ343" s="261" t="n">
        <f aca="false">BZ97</f>
        <v>139.631869513985</v>
      </c>
      <c r="CA343" s="261" t="n">
        <f aca="false">CA97</f>
        <v>146.727103534985</v>
      </c>
      <c r="CB343" s="261" t="n">
        <f aca="false">CB97</f>
        <v>154.255047387228</v>
      </c>
      <c r="CC343" s="50"/>
    </row>
    <row r="344" s="157" customFormat="true" ht="15" hidden="false" customHeight="true" outlineLevel="0" collapsed="false">
      <c r="A344" s="244" t="s">
        <v>419</v>
      </c>
      <c r="B344" s="393"/>
      <c r="C344" s="357" t="n">
        <f aca="false">C338+SUM(C342:C343)</f>
        <v>-8.10000000000022</v>
      </c>
      <c r="D344" s="357" t="n">
        <f aca="false">D338+SUM(D342:D343)</f>
        <v>1414.252</v>
      </c>
      <c r="E344" s="357" t="n">
        <f aca="false">E338+SUM(E342:E343)</f>
        <v>1818.831</v>
      </c>
      <c r="F344" s="357" t="n">
        <f aca="false">F338+SUM(F342:F343)</f>
        <v>1362.108</v>
      </c>
      <c r="G344" s="357" t="n">
        <f aca="false">G338+SUM(G342:G343)</f>
        <v>1329.094</v>
      </c>
      <c r="H344" s="394" t="n">
        <f aca="false">H338+SUM(H342:H343)</f>
        <v>353.5</v>
      </c>
      <c r="I344" s="394" t="n">
        <f aca="false">I338+SUM(I342:I343)</f>
        <v>505.9</v>
      </c>
      <c r="J344" s="394" t="n">
        <f aca="false">J338+SUM(J342:J343)</f>
        <v>335.5</v>
      </c>
      <c r="K344" s="394" t="n">
        <f aca="false">K338+SUM(K342:K343)</f>
        <v>405.324</v>
      </c>
      <c r="L344" s="357" t="n">
        <f aca="false">L338+SUM(L342:L343)</f>
        <v>1600.259</v>
      </c>
      <c r="M344" s="394" t="n">
        <f aca="false">M338+SUM(M342:M343)</f>
        <v>536.4</v>
      </c>
      <c r="N344" s="394" t="n">
        <f aca="false">N338+SUM(N342:N343)</f>
        <v>506.7</v>
      </c>
      <c r="O344" s="394" t="n">
        <f aca="false">O338+SUM(O342:O343)</f>
        <v>464.7</v>
      </c>
      <c r="P344" s="394" t="n">
        <f aca="false">P338+SUM(P342:P343)</f>
        <v>413.254</v>
      </c>
      <c r="Q344" s="357" t="n">
        <f aca="false">Q338+SUM(Q342:Q343)</f>
        <v>1921.089</v>
      </c>
      <c r="R344" s="394" t="n">
        <f aca="false">R338+SUM(R342:R343)</f>
        <v>323.2</v>
      </c>
      <c r="S344" s="394" t="n">
        <f aca="false">S338+SUM(S342:S343)</f>
        <v>499.2</v>
      </c>
      <c r="T344" s="394" t="n">
        <f aca="false">T338+SUM(T342:T343)</f>
        <v>594.9</v>
      </c>
      <c r="U344" s="394" t="n">
        <f aca="false">U338+SUM(U342:U343)</f>
        <v>645</v>
      </c>
      <c r="V344" s="357" t="n">
        <f aca="false">V338+SUM(V342:V343)</f>
        <v>2062.3</v>
      </c>
      <c r="W344" s="394" t="n">
        <f aca="false">W338+SUM(W342:W343)</f>
        <v>658.4</v>
      </c>
      <c r="X344" s="394" t="n">
        <f aca="false">X338+SUM(X342:X343)</f>
        <v>669.8</v>
      </c>
      <c r="Y344" s="394" t="n">
        <f aca="false">Y338+SUM(Y342:Y343)</f>
        <v>771.6</v>
      </c>
      <c r="Z344" s="394" t="n">
        <f aca="false">Z338+SUM(Z342:Z343)</f>
        <v>867</v>
      </c>
      <c r="AA344" s="357" t="n">
        <f aca="false">AA338+SUM(AA342:AA343)</f>
        <v>2966.8</v>
      </c>
      <c r="AB344" s="394" t="n">
        <f aca="false">AB338+SUM(AB342:AB343)</f>
        <v>757</v>
      </c>
      <c r="AC344" s="394" t="n">
        <f aca="false">AC338+SUM(AC342:AC343)</f>
        <v>798.3</v>
      </c>
      <c r="AD344" s="394" t="n">
        <f aca="false">AD338+SUM(AD342:AD343)</f>
        <v>944.4</v>
      </c>
      <c r="AE344" s="394" t="n">
        <f aca="false">AE338+SUM(AE342:AE343)</f>
        <v>934.600000000001</v>
      </c>
      <c r="AF344" s="357" t="n">
        <f aca="false">AF338+SUM(AF342:AF343)</f>
        <v>3434.3</v>
      </c>
      <c r="AG344" s="394" t="n">
        <f aca="false">AG338+SUM(AG342:AG343)</f>
        <v>454</v>
      </c>
      <c r="AH344" s="394" t="n">
        <f aca="false">AH338+SUM(AH342:AH343)</f>
        <v>615.2</v>
      </c>
      <c r="AI344" s="394" t="n">
        <f aca="false">AI338+SUM(AI342:AI343)</f>
        <v>816</v>
      </c>
      <c r="AJ344" s="394" t="n">
        <f aca="false">AJ338+SUM(AJ342:AJ343)</f>
        <v>1428.7</v>
      </c>
      <c r="AK344" s="357" t="n">
        <f aca="false">AK338+SUM(AK342:AK343)</f>
        <v>3313.9</v>
      </c>
      <c r="AL344" s="394" t="n">
        <f aca="false">AL338+SUM(AL342:AL343)</f>
        <v>559.9</v>
      </c>
      <c r="AM344" s="394" t="n">
        <f aca="false">AM338+SUM(AM342:AM343)</f>
        <v>1040.5</v>
      </c>
      <c r="AN344" s="394" t="n">
        <f aca="false">AN338+SUM(AN342:AN343)</f>
        <v>1360.4</v>
      </c>
      <c r="AO344" s="394" t="n">
        <f aca="false">AO338+SUM(AO342:AO343)</f>
        <v>1635.4</v>
      </c>
      <c r="AP344" s="357" t="n">
        <f aca="false">AP338+SUM(AP342:AP343)</f>
        <v>4596.2</v>
      </c>
      <c r="AQ344" s="394" t="n">
        <f aca="false">AQ338+SUM(AQ342:AQ343)</f>
        <v>1699.5</v>
      </c>
      <c r="AR344" s="394" t="n">
        <f aca="false">AR338+SUM(AR342:AR343)</f>
        <v>1380.7</v>
      </c>
      <c r="AS344" s="394" t="n">
        <f aca="false">AS338+SUM(AS342:AS343)</f>
        <v>2069.5</v>
      </c>
      <c r="AT344" s="394" t="n">
        <f aca="false">AT338+SUM(AT342:AT343)</f>
        <v>2188.9</v>
      </c>
      <c r="AU344" s="357" t="n">
        <f aca="false">AU338+SUM(AU342:AU343)</f>
        <v>7338.6</v>
      </c>
      <c r="AV344" s="394" t="n">
        <f aca="false">AV338+SUM(AV342:AV343)</f>
        <v>927.1</v>
      </c>
      <c r="AW344" s="394" t="n">
        <f aca="false">AW338+SUM(AW342:AW343)</f>
        <v>1798.8</v>
      </c>
      <c r="AX344" s="394" t="n">
        <f aca="false">AX338+SUM(AX342:AX343)</f>
        <v>2098.9</v>
      </c>
      <c r="AY344" s="394" t="n">
        <f aca="false">AY338+SUM(AY342:AY343)</f>
        <v>2328.4</v>
      </c>
      <c r="AZ344" s="357" t="n">
        <f aca="false">AZ338+SUM(AZ342:AZ343)</f>
        <v>7153.2</v>
      </c>
      <c r="BA344" s="394" t="n">
        <f aca="false">BA338+SUM(BA342:BA343)</f>
        <v>2393.6</v>
      </c>
      <c r="BB344" s="394" t="n">
        <f aca="false">BB338+SUM(BB342:BB343)</f>
        <v>2477.6</v>
      </c>
      <c r="BC344" s="394" t="n">
        <f aca="false">BC338+SUM(BC342:BC343)</f>
        <v>2400.1</v>
      </c>
      <c r="BD344" s="394" t="n">
        <f aca="false">BD338+SUM(BD342:BD343)</f>
        <v>2645.6</v>
      </c>
      <c r="BE344" s="357" t="n">
        <f aca="false">BE338+SUM(BE342:BE343)</f>
        <v>9916.9</v>
      </c>
      <c r="BF344" s="394" t="n">
        <f aca="false">BF338+SUM(BF342:BF343)</f>
        <v>1625.6</v>
      </c>
      <c r="BG344" s="394" t="n">
        <f aca="false">BG338+SUM(BG342:BG343)</f>
        <v>2108.6</v>
      </c>
      <c r="BH344" s="394" t="n">
        <f aca="false">BH338+SUM(BH342:BH343)</f>
        <v>2730.2</v>
      </c>
      <c r="BI344" s="394" t="n">
        <f aca="false">BI338+SUM(BI342:BI343)</f>
        <v>3649.4</v>
      </c>
      <c r="BJ344" s="357" t="n">
        <f aca="false">BJ338+SUM(BJ342:BJ343)</f>
        <v>10113.8</v>
      </c>
      <c r="BK344" s="394" t="n">
        <f aca="false">BK338+SUM(BK342:BK343)</f>
        <v>3019.2</v>
      </c>
      <c r="BL344" s="394" t="n">
        <f aca="false">BL338+SUM(BL342:BL343)</f>
        <v>2968</v>
      </c>
      <c r="BM344" s="394" t="n">
        <f aca="false">BM338+SUM(BM342:BM343)</f>
        <v>2800.7</v>
      </c>
      <c r="BN344" s="394" t="n">
        <f aca="false">BN338+SUM(BN342:BN343)</f>
        <v>3741.7</v>
      </c>
      <c r="BO344" s="395" t="n">
        <f aca="false">BO338+SUM(BO342:BO343)</f>
        <v>12529.6</v>
      </c>
      <c r="BP344" s="163" t="n">
        <f aca="false">BP338+SUM(BP342:BP343)</f>
        <v>3280.25624225458</v>
      </c>
      <c r="BQ344" s="163" t="n">
        <f aca="false">BQ338+SUM(BQ342:BQ343)</f>
        <v>3813.47009383085</v>
      </c>
      <c r="BR344" s="163" t="n">
        <f aca="false">BR338+SUM(BR342:BR343)</f>
        <v>3575.56693350136</v>
      </c>
      <c r="BS344" s="163" t="n">
        <f aca="false">BS338+SUM(BS342:BS343)</f>
        <v>3933.73052830704</v>
      </c>
      <c r="BT344" s="162" t="n">
        <f aca="false">BT338+SUM(BT342:BT343)</f>
        <v>14603.0237978938</v>
      </c>
      <c r="BU344" s="163" t="n">
        <f aca="false">BU338+SUM(BU342:BU343)</f>
        <v>3416.93387466714</v>
      </c>
      <c r="BV344" s="163" t="n">
        <f aca="false">BV338+SUM(BV342:BV343)</f>
        <v>4502.43915970956</v>
      </c>
      <c r="BW344" s="163" t="n">
        <f aca="false">BW338+SUM(BW342:BW343)</f>
        <v>4174.73642088093</v>
      </c>
      <c r="BX344" s="163" t="n">
        <f aca="false">BX338+SUM(BX342:BX343)</f>
        <v>4208.2169099221</v>
      </c>
      <c r="BY344" s="162" t="n">
        <f aca="false">BY338+SUM(BY342:BY343)</f>
        <v>16302.3263651797</v>
      </c>
      <c r="BZ344" s="162" t="n">
        <f aca="false">BZ338+SUM(BZ342:BZ343)</f>
        <v>19666.0773204889</v>
      </c>
      <c r="CA344" s="162" t="n">
        <f aca="false">CA338+SUM(CA342:CA343)</f>
        <v>20846.7398199122</v>
      </c>
      <c r="CB344" s="162" t="n">
        <f aca="false">CB338+SUM(CB342:CB343)</f>
        <v>22123.7588659144</v>
      </c>
      <c r="CC344" s="156"/>
    </row>
    <row r="345" s="157" customFormat="true" ht="15" hidden="false" customHeight="true" outlineLevel="0" collapsed="false">
      <c r="A345" s="221" t="str">
        <f aca="false">CONCATENATE("Adjusted ",A344,IF(AND(ROUND(SUM(C344:CC344)-SUM(C345:CC345),6)=0)," (No Adjustments)",""))</f>
        <v>Adjusted EBITDA (No Adjustments)</v>
      </c>
      <c r="B345" s="266"/>
      <c r="C345" s="399" t="n">
        <f aca="false">C344</f>
        <v>-8.10000000000022</v>
      </c>
      <c r="D345" s="399" t="n">
        <f aca="false">D344</f>
        <v>1414.252</v>
      </c>
      <c r="E345" s="399" t="n">
        <f aca="false">E344</f>
        <v>1818.831</v>
      </c>
      <c r="F345" s="399" t="n">
        <f aca="false">F344</f>
        <v>1362.108</v>
      </c>
      <c r="G345" s="399" t="n">
        <f aca="false">G344</f>
        <v>1329.094</v>
      </c>
      <c r="H345" s="156" t="n">
        <f aca="false">H344</f>
        <v>353.5</v>
      </c>
      <c r="I345" s="156" t="n">
        <f aca="false">I344</f>
        <v>505.9</v>
      </c>
      <c r="J345" s="156" t="n">
        <f aca="false">J344</f>
        <v>335.5</v>
      </c>
      <c r="K345" s="156" t="n">
        <f aca="false">K344</f>
        <v>405.324</v>
      </c>
      <c r="L345" s="399" t="n">
        <f aca="false">L344</f>
        <v>1600.259</v>
      </c>
      <c r="M345" s="156" t="n">
        <f aca="false">M344</f>
        <v>536.4</v>
      </c>
      <c r="N345" s="156" t="n">
        <f aca="false">N344</f>
        <v>506.7</v>
      </c>
      <c r="O345" s="156" t="n">
        <f aca="false">O344</f>
        <v>464.7</v>
      </c>
      <c r="P345" s="156" t="n">
        <f aca="false">P344</f>
        <v>413.254</v>
      </c>
      <c r="Q345" s="399" t="n">
        <f aca="false">Q344</f>
        <v>1921.089</v>
      </c>
      <c r="R345" s="156" t="n">
        <f aca="false">R344</f>
        <v>323.2</v>
      </c>
      <c r="S345" s="156" t="n">
        <f aca="false">S344</f>
        <v>499.2</v>
      </c>
      <c r="T345" s="156" t="n">
        <f aca="false">T344</f>
        <v>594.9</v>
      </c>
      <c r="U345" s="156" t="n">
        <f aca="false">U344</f>
        <v>645</v>
      </c>
      <c r="V345" s="399" t="n">
        <f aca="false">V344</f>
        <v>2062.3</v>
      </c>
      <c r="W345" s="156" t="n">
        <f aca="false">W344</f>
        <v>658.4</v>
      </c>
      <c r="X345" s="156" t="n">
        <f aca="false">X344</f>
        <v>669.8</v>
      </c>
      <c r="Y345" s="156" t="n">
        <f aca="false">Y344</f>
        <v>771.6</v>
      </c>
      <c r="Z345" s="156" t="n">
        <f aca="false">Z344</f>
        <v>867</v>
      </c>
      <c r="AA345" s="399" t="n">
        <f aca="false">AA344</f>
        <v>2966.8</v>
      </c>
      <c r="AB345" s="156" t="n">
        <f aca="false">AB344</f>
        <v>757</v>
      </c>
      <c r="AC345" s="156" t="n">
        <f aca="false">AC344</f>
        <v>798.3</v>
      </c>
      <c r="AD345" s="156" t="n">
        <f aca="false">AD344</f>
        <v>944.4</v>
      </c>
      <c r="AE345" s="156" t="n">
        <f aca="false">AE344</f>
        <v>934.600000000001</v>
      </c>
      <c r="AF345" s="399" t="n">
        <f aca="false">AF344</f>
        <v>3434.3</v>
      </c>
      <c r="AG345" s="156" t="n">
        <f aca="false">AG344</f>
        <v>454</v>
      </c>
      <c r="AH345" s="156" t="n">
        <f aca="false">AH344</f>
        <v>615.2</v>
      </c>
      <c r="AI345" s="156" t="n">
        <f aca="false">AI344</f>
        <v>816</v>
      </c>
      <c r="AJ345" s="156" t="n">
        <f aca="false">AJ344</f>
        <v>1428.7</v>
      </c>
      <c r="AK345" s="399" t="n">
        <f aca="false">AK344</f>
        <v>3313.9</v>
      </c>
      <c r="AL345" s="156" t="n">
        <f aca="false">AL344</f>
        <v>559.9</v>
      </c>
      <c r="AM345" s="156" t="n">
        <f aca="false">AM344</f>
        <v>1040.5</v>
      </c>
      <c r="AN345" s="156" t="n">
        <f aca="false">AN344</f>
        <v>1360.4</v>
      </c>
      <c r="AO345" s="156" t="n">
        <f aca="false">AO344</f>
        <v>1635.4</v>
      </c>
      <c r="AP345" s="399" t="n">
        <f aca="false">AP344</f>
        <v>4596.2</v>
      </c>
      <c r="AQ345" s="156" t="n">
        <f aca="false">AQ344</f>
        <v>1699.5</v>
      </c>
      <c r="AR345" s="156" t="n">
        <f aca="false">AR344</f>
        <v>1380.7</v>
      </c>
      <c r="AS345" s="156" t="n">
        <f aca="false">AS344</f>
        <v>2069.5</v>
      </c>
      <c r="AT345" s="156" t="n">
        <f aca="false">AT344</f>
        <v>2188.9</v>
      </c>
      <c r="AU345" s="399" t="n">
        <f aca="false">AU344</f>
        <v>7338.6</v>
      </c>
      <c r="AV345" s="156" t="n">
        <f aca="false">AV344</f>
        <v>927.1</v>
      </c>
      <c r="AW345" s="156" t="n">
        <f aca="false">AW344</f>
        <v>1798.8</v>
      </c>
      <c r="AX345" s="156" t="n">
        <f aca="false">AX344</f>
        <v>2098.9</v>
      </c>
      <c r="AY345" s="156" t="n">
        <f aca="false">AY344</f>
        <v>2328.4</v>
      </c>
      <c r="AZ345" s="399" t="n">
        <f aca="false">AZ344</f>
        <v>7153.2</v>
      </c>
      <c r="BA345" s="156" t="n">
        <f aca="false">BA344</f>
        <v>2393.6</v>
      </c>
      <c r="BB345" s="156" t="n">
        <f aca="false">BB344</f>
        <v>2477.6</v>
      </c>
      <c r="BC345" s="156" t="n">
        <f aca="false">BC344</f>
        <v>2400.1</v>
      </c>
      <c r="BD345" s="156" t="n">
        <f aca="false">BD344</f>
        <v>2645.6</v>
      </c>
      <c r="BE345" s="399" t="n">
        <f aca="false">BE344</f>
        <v>9916.9</v>
      </c>
      <c r="BF345" s="156" t="n">
        <f aca="false">BF344</f>
        <v>1625.6</v>
      </c>
      <c r="BG345" s="156" t="n">
        <f aca="false">BG344</f>
        <v>2108.6</v>
      </c>
      <c r="BH345" s="156" t="n">
        <f aca="false">BH344</f>
        <v>2730.2</v>
      </c>
      <c r="BI345" s="156" t="n">
        <f aca="false">BI344</f>
        <v>3649.4</v>
      </c>
      <c r="BJ345" s="399" t="n">
        <f aca="false">BJ344</f>
        <v>10113.8</v>
      </c>
      <c r="BK345" s="156" t="n">
        <f aca="false">BK344</f>
        <v>3019.2</v>
      </c>
      <c r="BL345" s="156" t="n">
        <f aca="false">BL344</f>
        <v>2968</v>
      </c>
      <c r="BM345" s="156" t="n">
        <f aca="false">BM344</f>
        <v>2800.7</v>
      </c>
      <c r="BN345" s="156" t="n">
        <f aca="false">BN344</f>
        <v>3741.7</v>
      </c>
      <c r="BO345" s="400" t="n">
        <f aca="false">BO344</f>
        <v>12529.6</v>
      </c>
      <c r="BP345" s="268" t="n">
        <f aca="false">BP344</f>
        <v>3280.25624225458</v>
      </c>
      <c r="BQ345" s="268" t="n">
        <f aca="false">BQ344</f>
        <v>3813.47009383085</v>
      </c>
      <c r="BR345" s="268" t="n">
        <f aca="false">BR344</f>
        <v>3575.56693350136</v>
      </c>
      <c r="BS345" s="268" t="n">
        <f aca="false">BS344</f>
        <v>3933.73052830704</v>
      </c>
      <c r="BT345" s="267" t="n">
        <f aca="false">SUM(BP345,BQ345,BR345,BS345)</f>
        <v>14603.0237978938</v>
      </c>
      <c r="BU345" s="268" t="n">
        <f aca="false">BU344</f>
        <v>3416.93387466714</v>
      </c>
      <c r="BV345" s="268" t="n">
        <f aca="false">BV344</f>
        <v>4502.43915970956</v>
      </c>
      <c r="BW345" s="268" t="n">
        <f aca="false">BW344</f>
        <v>4174.73642088093</v>
      </c>
      <c r="BX345" s="268" t="n">
        <f aca="false">BX344</f>
        <v>4208.2169099221</v>
      </c>
      <c r="BY345" s="267" t="n">
        <f aca="false">SUM(BU345,BV345,BW345,BX345)</f>
        <v>16302.3263651797</v>
      </c>
      <c r="BZ345" s="267" t="n">
        <f aca="false">BZ344</f>
        <v>19666.0773204889</v>
      </c>
      <c r="CA345" s="267" t="n">
        <f aca="false">CA344</f>
        <v>20846.7398199122</v>
      </c>
      <c r="CB345" s="267" t="n">
        <f aca="false">CB344</f>
        <v>22123.7588659144</v>
      </c>
      <c r="CC345" s="156"/>
    </row>
    <row r="346" s="423" customFormat="true" ht="15" hidden="false" customHeight="true" outlineLevel="0" collapsed="false">
      <c r="A346" s="210" t="str">
        <f aca="false">CONCATENATE("Consensus Estimates - ",IFERROR(LEFT(A345,FIND("(",A345)-1),A345))</f>
        <v>Consensus Estimates - Adjusted EBITDA </v>
      </c>
      <c r="B346" s="419"/>
      <c r="C346" s="420"/>
      <c r="D346" s="420"/>
      <c r="E346" s="420"/>
      <c r="F346" s="420"/>
      <c r="G346" s="420"/>
      <c r="H346" s="421"/>
      <c r="I346" s="421"/>
      <c r="J346" s="421"/>
      <c r="K346" s="421"/>
      <c r="L346" s="420"/>
      <c r="M346" s="421"/>
      <c r="N346" s="421"/>
      <c r="O346" s="421"/>
      <c r="P346" s="421"/>
      <c r="Q346" s="420"/>
      <c r="R346" s="421"/>
      <c r="S346" s="421"/>
      <c r="T346" s="421"/>
      <c r="U346" s="421"/>
      <c r="V346" s="420"/>
      <c r="W346" s="421"/>
      <c r="X346" s="421"/>
      <c r="Y346" s="421"/>
      <c r="Z346" s="421"/>
      <c r="AA346" s="420"/>
      <c r="AB346" s="421"/>
      <c r="AC346" s="421"/>
      <c r="AD346" s="421"/>
      <c r="AE346" s="421"/>
      <c r="AF346" s="420"/>
      <c r="AG346" s="421"/>
      <c r="AH346" s="421"/>
      <c r="AI346" s="421"/>
      <c r="AJ346" s="421"/>
      <c r="AK346" s="420"/>
      <c r="AL346" s="421"/>
      <c r="AM346" s="421"/>
      <c r="AN346" s="421"/>
      <c r="AO346" s="421"/>
      <c r="AP346" s="420"/>
      <c r="AQ346" s="421"/>
      <c r="AR346" s="421"/>
      <c r="AS346" s="421"/>
      <c r="AT346" s="421"/>
      <c r="AU346" s="420"/>
      <c r="AV346" s="421"/>
      <c r="AW346" s="421"/>
      <c r="AX346" s="421"/>
      <c r="AY346" s="421"/>
      <c r="AZ346" s="420"/>
      <c r="BA346" s="421"/>
      <c r="BB346" s="421"/>
      <c r="BC346" s="421"/>
      <c r="BD346" s="421"/>
      <c r="BE346" s="420"/>
      <c r="BF346" s="421"/>
      <c r="BG346" s="421"/>
      <c r="BH346" s="421"/>
      <c r="BI346" s="421"/>
      <c r="BJ346" s="420"/>
      <c r="BK346" s="421"/>
      <c r="BL346" s="421"/>
      <c r="BM346" s="421"/>
      <c r="BN346" s="421"/>
      <c r="BO346" s="422"/>
      <c r="BP346" s="247" t="str">
        <f aca="true">IFERROR(VLOOKUP($A346,tb_ConsensusEstimate,MATCH(BP$5,OFFSET(tb_ConsensusEstimate,0,0,1,COLUMNS(tb_ConsensusEstimate)),0),FALSE()),"-")</f>
        <v>N/A</v>
      </c>
      <c r="BQ346" s="247" t="str">
        <f aca="true">IFERROR(VLOOKUP($A346,tb_ConsensusEstimate,MATCH(BQ$5,OFFSET(tb_ConsensusEstimate,0,0,1,COLUMNS(tb_ConsensusEstimate)),0),FALSE()),"-")</f>
        <v>N/A</v>
      </c>
      <c r="BR346" s="247" t="str">
        <f aca="true">IFERROR(VLOOKUP($A346,tb_ConsensusEstimate,MATCH(BR$5,OFFSET(tb_ConsensusEstimate,0,0,1,COLUMNS(tb_ConsensusEstimate)),0),FALSE()),"-")</f>
        <v>N/A</v>
      </c>
      <c r="BS346" s="247" t="str">
        <f aca="true">IFERROR(VLOOKUP($A346,tb_ConsensusEstimate,MATCH(BS$5,OFFSET(tb_ConsensusEstimate,0,0,1,COLUMNS(tb_ConsensusEstimate)),0),FALSE()),"-")</f>
        <v>N/A</v>
      </c>
      <c r="BT346" s="246" t="str">
        <f aca="true">IFERROR(VLOOKUP($A346,tb_ConsensusEstimate,MATCH(BT$5,OFFSET(tb_ConsensusEstimate,0,0,1,COLUMNS(tb_ConsensusEstimate)),0),FALSE()),"-")</f>
        <v>N/A</v>
      </c>
      <c r="BU346" s="247" t="str">
        <f aca="true">IFERROR(VLOOKUP($A346,tb_ConsensusEstimate,MATCH(BU$5,OFFSET(tb_ConsensusEstimate,0,0,1,COLUMNS(tb_ConsensusEstimate)),0),FALSE()),"-")</f>
        <v>N/A</v>
      </c>
      <c r="BV346" s="247" t="str">
        <f aca="true">IFERROR(VLOOKUP($A346,tb_ConsensusEstimate,MATCH(BV$5,OFFSET(tb_ConsensusEstimate,0,0,1,COLUMNS(tb_ConsensusEstimate)),0),FALSE()),"-")</f>
        <v>N/A</v>
      </c>
      <c r="BW346" s="247" t="str">
        <f aca="true">IFERROR(VLOOKUP($A346,tb_ConsensusEstimate,MATCH(BW$5,OFFSET(tb_ConsensusEstimate,0,0,1,COLUMNS(tb_ConsensusEstimate)),0),FALSE()),"-")</f>
        <v>N/A</v>
      </c>
      <c r="BX346" s="247" t="str">
        <f aca="true">IFERROR(VLOOKUP($A346,tb_ConsensusEstimate,MATCH(BX$5,OFFSET(tb_ConsensusEstimate,0,0,1,COLUMNS(tb_ConsensusEstimate)),0),FALSE()),"-")</f>
        <v>N/A</v>
      </c>
      <c r="BY346" s="246" t="str">
        <f aca="true">IFERROR(VLOOKUP($A346,tb_ConsensusEstimate,MATCH(BY$5,OFFSET(tb_ConsensusEstimate,0,0,1,COLUMNS(tb_ConsensusEstimate)),0),FALSE()),"-")</f>
        <v>N/A</v>
      </c>
      <c r="BZ346" s="246" t="str">
        <f aca="true">IFERROR(VLOOKUP($A346,tb_ConsensusEstimate,MATCH(BZ$5,OFFSET(tb_ConsensusEstimate,0,0,1,COLUMNS(tb_ConsensusEstimate)),0),FALSE()),"-")</f>
        <v>N/A</v>
      </c>
      <c r="CA346" s="246" t="str">
        <f aca="true">IFERROR(VLOOKUP($A346,tb_ConsensusEstimate,MATCH(CA$5,OFFSET(tb_ConsensusEstimate,0,0,1,COLUMNS(tb_ConsensusEstimate)),0),FALSE()),"-")</f>
        <v>N/A</v>
      </c>
      <c r="CB346" s="246" t="str">
        <f aca="true">IFERROR(VLOOKUP($A346,tb_ConsensusEstimate,MATCH(CB$5,OFFSET(tb_ConsensusEstimate,0,0,1,COLUMNS(tb_ConsensusEstimate)),0),FALSE()),"-")</f>
        <v>N/A</v>
      </c>
      <c r="CC346" s="421"/>
    </row>
    <row r="347" s="51" customFormat="true" ht="15" hidden="false" customHeight="true" outlineLevel="0" collapsed="false">
      <c r="A347" s="210"/>
      <c r="B347" s="254"/>
      <c r="C347" s="159"/>
      <c r="D347" s="159"/>
      <c r="E347" s="159"/>
      <c r="F347" s="159"/>
      <c r="G347" s="159"/>
      <c r="H347" s="48"/>
      <c r="I347" s="48"/>
      <c r="J347" s="48"/>
      <c r="K347" s="48"/>
      <c r="L347" s="159"/>
      <c r="M347" s="48"/>
      <c r="N347" s="48"/>
      <c r="O347" s="48"/>
      <c r="P347" s="48"/>
      <c r="Q347" s="159"/>
      <c r="R347" s="48"/>
      <c r="S347" s="421"/>
      <c r="T347" s="48"/>
      <c r="U347" s="48"/>
      <c r="V347" s="159"/>
      <c r="W347" s="48"/>
      <c r="X347" s="421"/>
      <c r="Y347" s="48"/>
      <c r="Z347" s="48"/>
      <c r="AA347" s="159"/>
      <c r="AB347" s="48"/>
      <c r="AC347" s="421"/>
      <c r="AD347" s="48"/>
      <c r="AE347" s="48"/>
      <c r="AF347" s="159"/>
      <c r="AG347" s="48"/>
      <c r="AH347" s="421"/>
      <c r="AI347" s="48"/>
      <c r="AJ347" s="48"/>
      <c r="AK347" s="159"/>
      <c r="AL347" s="48"/>
      <c r="AM347" s="421"/>
      <c r="AN347" s="48"/>
      <c r="AO347" s="48"/>
      <c r="AP347" s="159"/>
      <c r="AQ347" s="48"/>
      <c r="AR347" s="421"/>
      <c r="AS347" s="48"/>
      <c r="AT347" s="48"/>
      <c r="AU347" s="159"/>
      <c r="AV347" s="48"/>
      <c r="AW347" s="421"/>
      <c r="AX347" s="48"/>
      <c r="AY347" s="48"/>
      <c r="AZ347" s="159"/>
      <c r="BA347" s="48"/>
      <c r="BB347" s="421"/>
      <c r="BC347" s="48"/>
      <c r="BD347" s="48"/>
      <c r="BE347" s="159"/>
      <c r="BF347" s="48"/>
      <c r="BG347" s="421"/>
      <c r="BH347" s="48"/>
      <c r="BI347" s="48"/>
      <c r="BJ347" s="159"/>
      <c r="BK347" s="48"/>
      <c r="BL347" s="421"/>
      <c r="BM347" s="48"/>
      <c r="BN347" s="48"/>
      <c r="BO347" s="160"/>
      <c r="BP347" s="421"/>
      <c r="BQ347" s="421"/>
      <c r="BR347" s="421"/>
      <c r="BS347" s="421"/>
      <c r="BT347" s="420"/>
      <c r="BU347" s="421"/>
      <c r="BV347" s="421"/>
      <c r="BW347" s="421"/>
      <c r="BX347" s="421"/>
      <c r="BY347" s="420"/>
      <c r="BZ347" s="420"/>
      <c r="CA347" s="420"/>
      <c r="CB347" s="420"/>
      <c r="CC347" s="50"/>
    </row>
    <row r="348" s="51" customFormat="true" ht="15" hidden="false" customHeight="true" outlineLevel="0" collapsed="false">
      <c r="A348" s="145" t="s">
        <v>420</v>
      </c>
      <c r="B348" s="254"/>
      <c r="C348" s="159" t="n">
        <f aca="false">-C311</f>
        <v>8.425</v>
      </c>
      <c r="D348" s="159" t="n">
        <f aca="false">-D311</f>
        <v>8.176</v>
      </c>
      <c r="E348" s="159" t="n">
        <f aca="false">-E311</f>
        <v>-7.419</v>
      </c>
      <c r="F348" s="159" t="n">
        <f aca="false">-F311</f>
        <v>6.196</v>
      </c>
      <c r="G348" s="159" t="n">
        <f aca="false">-G311</f>
        <v>24.471</v>
      </c>
      <c r="H348" s="48" t="n">
        <f aca="false">-H311</f>
        <v>2.6</v>
      </c>
      <c r="I348" s="48" t="n">
        <f aca="false">-I311</f>
        <v>1.4</v>
      </c>
      <c r="J348" s="48" t="n">
        <f aca="false">-J311</f>
        <v>2</v>
      </c>
      <c r="K348" s="48" t="n">
        <f aca="false">-K311</f>
        <v>2.6</v>
      </c>
      <c r="L348" s="159" t="n">
        <f aca="false">-L311</f>
        <v>8.6</v>
      </c>
      <c r="M348" s="48" t="n">
        <f aca="false">-M311</f>
        <v>3.5</v>
      </c>
      <c r="N348" s="48" t="n">
        <f aca="false">-N311</f>
        <v>4.2</v>
      </c>
      <c r="O348" s="48" t="n">
        <f aca="false">-O311</f>
        <v>4.2</v>
      </c>
      <c r="P348" s="48" t="n">
        <f aca="false">-P311</f>
        <v>4.6</v>
      </c>
      <c r="Q348" s="159" t="n">
        <f aca="false">-Q311</f>
        <v>16.515</v>
      </c>
      <c r="R348" s="48" t="n">
        <f aca="false">-R311</f>
        <v>3.6</v>
      </c>
      <c r="S348" s="48" t="n">
        <f aca="false">-S311</f>
        <v>3.6</v>
      </c>
      <c r="T348" s="48" t="n">
        <f aca="false">-T311</f>
        <v>33.9</v>
      </c>
      <c r="U348" s="48" t="n">
        <f aca="false">-U311</f>
        <v>-74.8</v>
      </c>
      <c r="V348" s="159" t="n">
        <f aca="false">-V311</f>
        <v>-33.7</v>
      </c>
      <c r="W348" s="48" t="n">
        <f aca="false">-W311</f>
        <v>14.1</v>
      </c>
      <c r="X348" s="48" t="n">
        <f aca="false">-X311</f>
        <v>10.8</v>
      </c>
      <c r="Y348" s="48" t="n">
        <f aca="false">-Y311</f>
        <v>12.5</v>
      </c>
      <c r="Z348" s="48" t="n">
        <f aca="false">-Z311</f>
        <v>12.9</v>
      </c>
      <c r="AA348" s="159" t="n">
        <f aca="false">-AA311</f>
        <v>50.3</v>
      </c>
      <c r="AB348" s="48" t="n">
        <f aca="false">-AB311</f>
        <v>10.5</v>
      </c>
      <c r="AC348" s="48" t="n">
        <f aca="false">-AC311</f>
        <v>2.2</v>
      </c>
      <c r="AD348" s="48" t="n">
        <f aca="false">-AD311</f>
        <v>8.1</v>
      </c>
      <c r="AE348" s="48" t="n">
        <f aca="false">-AE311</f>
        <v>7.5</v>
      </c>
      <c r="AF348" s="159" t="n">
        <f aca="false">-AF311</f>
        <v>28.3</v>
      </c>
      <c r="AG348" s="48" t="n">
        <f aca="false">-AG311</f>
        <v>7.9</v>
      </c>
      <c r="AH348" s="48" t="n">
        <f aca="false">-AH311</f>
        <v>6.9</v>
      </c>
      <c r="AI348" s="48" t="n">
        <f aca="false">-AI311</f>
        <v>5.4</v>
      </c>
      <c r="AJ348" s="48" t="n">
        <f aca="false">-AJ311</f>
        <v>4.8</v>
      </c>
      <c r="AK348" s="159" t="n">
        <f aca="false">-AK311</f>
        <v>25</v>
      </c>
      <c r="AL348" s="48" t="n">
        <f aca="false">-AL311</f>
        <v>11.4</v>
      </c>
      <c r="AM348" s="48" t="n">
        <f aca="false">-AM311</f>
        <v>7.1</v>
      </c>
      <c r="AN348" s="48" t="n">
        <f aca="false">-AN311</f>
        <v>8.4</v>
      </c>
      <c r="AO348" s="48" t="n">
        <f aca="false">-AO311</f>
        <v>8</v>
      </c>
      <c r="AP348" s="159" t="n">
        <f aca="false">-AP311</f>
        <v>34.9</v>
      </c>
      <c r="AQ348" s="48" t="n">
        <f aca="false">-AQ311</f>
        <v>12.1</v>
      </c>
      <c r="AR348" s="48" t="n">
        <f aca="false">-AR311</f>
        <v>9.8</v>
      </c>
      <c r="AS348" s="48" t="n">
        <f aca="false">-AS311</f>
        <v>10.5</v>
      </c>
      <c r="AT348" s="48" t="n">
        <f aca="false">-AT311</f>
        <v>12.2</v>
      </c>
      <c r="AU348" s="159" t="n">
        <f aca="false">-AU311</f>
        <v>44.6</v>
      </c>
      <c r="AV348" s="48" t="n">
        <f aca="false">-AV311</f>
        <v>15.6</v>
      </c>
      <c r="AW348" s="48" t="n">
        <f aca="false">-AW311</f>
        <v>10.8</v>
      </c>
      <c r="AX348" s="48" t="n">
        <f aca="false">-AX311</f>
        <v>15.1</v>
      </c>
      <c r="AY348" s="48" t="n">
        <f aca="false">-AY311</f>
        <v>3.1</v>
      </c>
      <c r="AZ348" s="159" t="n">
        <f aca="false">-AZ311</f>
        <v>44.6</v>
      </c>
      <c r="BA348" s="48" t="n">
        <f aca="false">-BA311</f>
        <v>-12.2</v>
      </c>
      <c r="BB348" s="48" t="n">
        <f aca="false">-BB311</f>
        <v>-16.7</v>
      </c>
      <c r="BC348" s="48" t="n">
        <f aca="false">-BC311</f>
        <v>-7.1</v>
      </c>
      <c r="BD348" s="48" t="n">
        <f aca="false">-BD311</f>
        <v>-5.2</v>
      </c>
      <c r="BE348" s="159" t="n">
        <f aca="false">-BE311</f>
        <v>-41.2</v>
      </c>
      <c r="BF348" s="48" t="n">
        <f aca="false">-BF311</f>
        <v>-26.2</v>
      </c>
      <c r="BG348" s="48" t="n">
        <f aca="false">-BG311</f>
        <v>11.9</v>
      </c>
      <c r="BH348" s="48" t="n">
        <f aca="false">-BH311</f>
        <v>0.8</v>
      </c>
      <c r="BI348" s="48" t="n">
        <f aca="false">-BI311</f>
        <v>-6.3</v>
      </c>
      <c r="BJ348" s="159" t="n">
        <f aca="false">-BJ311</f>
        <v>-19.8</v>
      </c>
      <c r="BK348" s="48" t="n">
        <f aca="false">-BK311</f>
        <v>-49.2</v>
      </c>
      <c r="BL348" s="48" t="n">
        <f aca="false">-BL311</f>
        <v>-24.8</v>
      </c>
      <c r="BM348" s="48" t="n">
        <f aca="false">-BM311</f>
        <v>-19.4</v>
      </c>
      <c r="BN348" s="48" t="n">
        <f aca="false">-BN311</f>
        <v>-11.3</v>
      </c>
      <c r="BO348" s="160" t="n">
        <f aca="false">-BO311</f>
        <v>-104.7</v>
      </c>
      <c r="BP348" s="48" t="n">
        <f aca="false">BP433</f>
        <v>35.2045676712329</v>
      </c>
      <c r="BQ348" s="48" t="n">
        <f aca="false">BQ433</f>
        <v>35.5957295342466</v>
      </c>
      <c r="BR348" s="48" t="n">
        <f aca="false">BR433</f>
        <v>35.9868913972603</v>
      </c>
      <c r="BS348" s="48" t="n">
        <f aca="false">BS433</f>
        <v>35.9868913972603</v>
      </c>
      <c r="BT348" s="159" t="n">
        <f aca="false">SUM(BP348,BQ348,BR348,BS348)</f>
        <v>142.77408</v>
      </c>
      <c r="BU348" s="48" t="n">
        <f aca="false">BU433</f>
        <v>35.2045676712329</v>
      </c>
      <c r="BV348" s="48" t="n">
        <f aca="false">BV433</f>
        <v>35.5957295342466</v>
      </c>
      <c r="BW348" s="48" t="n">
        <f aca="false">BW433</f>
        <v>35.9868913972603</v>
      </c>
      <c r="BX348" s="48" t="n">
        <f aca="false">BX433</f>
        <v>35.9868913972603</v>
      </c>
      <c r="BY348" s="159" t="n">
        <f aca="false">SUM(BU348,BV348,BW348,BX348)</f>
        <v>142.77408</v>
      </c>
      <c r="BZ348" s="159" t="n">
        <f aca="false">BZ433</f>
        <v>142.77408</v>
      </c>
      <c r="CA348" s="159" t="n">
        <f aca="false">CA433</f>
        <v>142.77408</v>
      </c>
      <c r="CB348" s="159" t="n">
        <f aca="false">CB433</f>
        <v>142.77408</v>
      </c>
      <c r="CC348" s="50"/>
    </row>
    <row r="349" s="51" customFormat="true" ht="15" hidden="false" customHeight="true" outlineLevel="0" collapsed="false">
      <c r="A349" s="145" t="s">
        <v>421</v>
      </c>
      <c r="B349" s="254"/>
      <c r="C349" s="159" t="n">
        <f aca="false">-C317</f>
        <v>-0</v>
      </c>
      <c r="D349" s="159" t="n">
        <f aca="false">-D317</f>
        <v>-0</v>
      </c>
      <c r="E349" s="159" t="n">
        <f aca="false">-E317</f>
        <v>-0</v>
      </c>
      <c r="F349" s="159" t="n">
        <f aca="false">-F317</f>
        <v>-0</v>
      </c>
      <c r="G349" s="159" t="n">
        <f aca="false">-G317</f>
        <v>-0</v>
      </c>
      <c r="H349" s="48" t="n">
        <f aca="false">-H317</f>
        <v>-0</v>
      </c>
      <c r="I349" s="48" t="n">
        <f aca="false">-I317</f>
        <v>-0</v>
      </c>
      <c r="J349" s="48" t="n">
        <f aca="false">-J317</f>
        <v>-0</v>
      </c>
      <c r="K349" s="48" t="n">
        <f aca="false">-K317</f>
        <v>-0</v>
      </c>
      <c r="L349" s="159" t="n">
        <f aca="false">-L317</f>
        <v>-0</v>
      </c>
      <c r="M349" s="48" t="n">
        <f aca="false">-M317</f>
        <v>-0</v>
      </c>
      <c r="N349" s="48" t="n">
        <f aca="false">-N317</f>
        <v>-0</v>
      </c>
      <c r="O349" s="48" t="n">
        <f aca="false">-O317</f>
        <v>-0</v>
      </c>
      <c r="P349" s="48" t="n">
        <f aca="false">-P317</f>
        <v>-0</v>
      </c>
      <c r="Q349" s="159" t="n">
        <f aca="false">-Q317</f>
        <v>-0</v>
      </c>
      <c r="R349" s="48" t="n">
        <f aca="false">-R317</f>
        <v>-0</v>
      </c>
      <c r="S349" s="48" t="n">
        <f aca="false">-S317</f>
        <v>-0</v>
      </c>
      <c r="T349" s="48" t="n">
        <f aca="false">-T317</f>
        <v>-0</v>
      </c>
      <c r="U349" s="48" t="n">
        <f aca="false">-U317</f>
        <v>-0</v>
      </c>
      <c r="V349" s="159" t="n">
        <f aca="false">-V317</f>
        <v>-0</v>
      </c>
      <c r="W349" s="48" t="n">
        <f aca="false">-W317</f>
        <v>-0</v>
      </c>
      <c r="X349" s="48" t="n">
        <f aca="false">-X317</f>
        <v>-0</v>
      </c>
      <c r="Y349" s="48" t="n">
        <f aca="false">-Y317</f>
        <v>-0</v>
      </c>
      <c r="Z349" s="48" t="n">
        <f aca="false">-Z317</f>
        <v>16.7</v>
      </c>
      <c r="AA349" s="159" t="n">
        <f aca="false">-AA317</f>
        <v>16.7</v>
      </c>
      <c r="AB349" s="48" t="n">
        <f aca="false">-AB317</f>
        <v>17.6</v>
      </c>
      <c r="AC349" s="48" t="n">
        <f aca="false">-AC317</f>
        <v>-4.3</v>
      </c>
      <c r="AD349" s="48" t="n">
        <f aca="false">-AD317</f>
        <v>-0.3</v>
      </c>
      <c r="AE349" s="48" t="n">
        <f aca="false">-AE317</f>
        <v>-19.2</v>
      </c>
      <c r="AF349" s="159" t="n">
        <f aca="false">-AF317</f>
        <v>-6.2</v>
      </c>
      <c r="AG349" s="48" t="n">
        <f aca="false">-AG317</f>
        <v>-12</v>
      </c>
      <c r="AH349" s="48" t="n">
        <f aca="false">-AH317</f>
        <v>-7.7</v>
      </c>
      <c r="AI349" s="48" t="n">
        <f aca="false">-AI317</f>
        <v>-11.6</v>
      </c>
      <c r="AJ349" s="48" t="n">
        <f aca="false">-AJ317</f>
        <v>13.1</v>
      </c>
      <c r="AK349" s="159" t="n">
        <f aca="false">-AK317</f>
        <v>-18.2</v>
      </c>
      <c r="AL349" s="48" t="n">
        <f aca="false">-AL317</f>
        <v>-23.8</v>
      </c>
      <c r="AM349" s="48" t="n">
        <f aca="false">-AM317</f>
        <v>-19.4</v>
      </c>
      <c r="AN349" s="48" t="n">
        <f aca="false">-AN317</f>
        <v>-20.5</v>
      </c>
      <c r="AO349" s="48" t="n">
        <f aca="false">-AO317</f>
        <v>-24.9</v>
      </c>
      <c r="AP349" s="159" t="n">
        <f aca="false">-AP317</f>
        <v>-88.6</v>
      </c>
      <c r="AQ349" s="48" t="n">
        <f aca="false">-AQ317</f>
        <v>-13.2</v>
      </c>
      <c r="AR349" s="48" t="n">
        <f aca="false">-AR317</f>
        <v>-13.2</v>
      </c>
      <c r="AS349" s="48" t="n">
        <f aca="false">-AS317</f>
        <v>-102.3</v>
      </c>
      <c r="AT349" s="48" t="n">
        <f aca="false">-AT317</f>
        <v>-70.4</v>
      </c>
      <c r="AU349" s="159" t="n">
        <f aca="false">-AU317</f>
        <v>-199.1</v>
      </c>
      <c r="AV349" s="48" t="n">
        <f aca="false">-AV317</f>
        <v>-40.7</v>
      </c>
      <c r="AW349" s="48" t="n">
        <f aca="false">-AW317</f>
        <v>-14.5</v>
      </c>
      <c r="AX349" s="48" t="n">
        <f aca="false">-AX317</f>
        <v>-30.1</v>
      </c>
      <c r="AY349" s="48" t="n">
        <f aca="false">-AY317</f>
        <v>-52.7</v>
      </c>
      <c r="AZ349" s="159" t="n">
        <f aca="false">-AZ317</f>
        <v>-138</v>
      </c>
      <c r="BA349" s="48" t="n">
        <f aca="false">-BA317</f>
        <v>-41.2</v>
      </c>
      <c r="BB349" s="48" t="n">
        <f aca="false">-BB317</f>
        <v>-65.9</v>
      </c>
      <c r="BC349" s="48" t="n">
        <f aca="false">-BC317</f>
        <v>-47.6</v>
      </c>
      <c r="BD349" s="48" t="n">
        <f aca="false">-BD317</f>
        <v>-36.6</v>
      </c>
      <c r="BE349" s="159" t="n">
        <f aca="false">-BE317</f>
        <v>-191.3</v>
      </c>
      <c r="BF349" s="48" t="n">
        <f aca="false">-BF317</f>
        <v>-30.2</v>
      </c>
      <c r="BG349" s="48" t="n">
        <f aca="false">-BG317</f>
        <v>-46.8</v>
      </c>
      <c r="BH349" s="48" t="n">
        <f aca="false">-BH317</f>
        <v>-77.3</v>
      </c>
      <c r="BI349" s="48" t="n">
        <f aca="false">-BI317</f>
        <v>-55.5</v>
      </c>
      <c r="BJ349" s="159" t="n">
        <f aca="false">-BJ317</f>
        <v>-209.8</v>
      </c>
      <c r="BK349" s="48" t="n">
        <f aca="false">-BK317</f>
        <v>-33</v>
      </c>
      <c r="BL349" s="48" t="n">
        <f aca="false">-BL317</f>
        <v>-88.8</v>
      </c>
      <c r="BM349" s="48" t="n">
        <f aca="false">-BM317</f>
        <v>-78.9</v>
      </c>
      <c r="BN349" s="48" t="n">
        <f aca="false">-BN317</f>
        <v>-16</v>
      </c>
      <c r="BO349" s="160" t="n">
        <f aca="false">-BO317</f>
        <v>-216.7</v>
      </c>
      <c r="BP349" s="263" t="n">
        <v>-20</v>
      </c>
      <c r="BQ349" s="263" t="n">
        <v>-20</v>
      </c>
      <c r="BR349" s="263" t="n">
        <v>-20</v>
      </c>
      <c r="BS349" s="263" t="n">
        <v>-20</v>
      </c>
      <c r="BT349" s="159" t="n">
        <f aca="false">SUM(BP349,BQ349,BR349,BS349)</f>
        <v>-80</v>
      </c>
      <c r="BU349" s="263" t="n">
        <v>-20</v>
      </c>
      <c r="BV349" s="263" t="n">
        <v>-20</v>
      </c>
      <c r="BW349" s="263" t="n">
        <v>-20</v>
      </c>
      <c r="BX349" s="263" t="n">
        <v>-20</v>
      </c>
      <c r="BY349" s="159" t="n">
        <f aca="false">SUM(BU349,BV349,BW349,BX349)</f>
        <v>-80</v>
      </c>
      <c r="BZ349" s="255" t="n">
        <v>-80</v>
      </c>
      <c r="CA349" s="255" t="n">
        <v>-80</v>
      </c>
      <c r="CB349" s="255" t="n">
        <v>-80</v>
      </c>
      <c r="CC349" s="50"/>
    </row>
    <row r="350" s="51" customFormat="true" ht="15" hidden="false" customHeight="true" outlineLevel="0" collapsed="false">
      <c r="A350" s="145" t="s">
        <v>422</v>
      </c>
      <c r="B350" s="254"/>
      <c r="C350" s="159"/>
      <c r="D350" s="159"/>
      <c r="E350" s="159"/>
      <c r="F350" s="159"/>
      <c r="G350" s="159"/>
      <c r="H350" s="48"/>
      <c r="I350" s="48"/>
      <c r="J350" s="48"/>
      <c r="K350" s="48"/>
      <c r="L350" s="159"/>
      <c r="M350" s="48"/>
      <c r="N350" s="48"/>
      <c r="O350" s="48"/>
      <c r="P350" s="48"/>
      <c r="Q350" s="159"/>
      <c r="R350" s="48"/>
      <c r="S350" s="48"/>
      <c r="T350" s="48"/>
      <c r="U350" s="48"/>
      <c r="V350" s="159"/>
      <c r="W350" s="48"/>
      <c r="X350" s="48"/>
      <c r="Y350" s="48"/>
      <c r="Z350" s="48"/>
      <c r="AA350" s="159"/>
      <c r="AB350" s="48"/>
      <c r="AC350" s="48"/>
      <c r="AD350" s="48"/>
      <c r="AE350" s="48"/>
      <c r="AF350" s="159"/>
      <c r="AG350" s="48"/>
      <c r="AH350" s="48"/>
      <c r="AI350" s="48"/>
      <c r="AJ350" s="48"/>
      <c r="AK350" s="159"/>
      <c r="AL350" s="48"/>
      <c r="AM350" s="48"/>
      <c r="AN350" s="48"/>
      <c r="AO350" s="48"/>
      <c r="AP350" s="159"/>
      <c r="AQ350" s="48"/>
      <c r="AR350" s="48"/>
      <c r="AS350" s="48"/>
      <c r="AT350" s="48"/>
      <c r="AU350" s="159"/>
      <c r="AV350" s="48"/>
      <c r="AW350" s="48"/>
      <c r="AX350" s="48"/>
      <c r="AY350" s="48"/>
      <c r="AZ350" s="159"/>
      <c r="BA350" s="48"/>
      <c r="BB350" s="48"/>
      <c r="BC350" s="48"/>
      <c r="BD350" s="48"/>
      <c r="BE350" s="159"/>
      <c r="BF350" s="48"/>
      <c r="BG350" s="48"/>
      <c r="BH350" s="48"/>
      <c r="BI350" s="48"/>
      <c r="BJ350" s="159"/>
      <c r="BK350" s="48"/>
      <c r="BL350" s="48"/>
      <c r="BM350" s="48"/>
      <c r="BN350" s="48"/>
      <c r="BO350" s="160"/>
      <c r="BP350" s="263" t="n">
        <v>0</v>
      </c>
      <c r="BQ350" s="263" t="n">
        <v>0</v>
      </c>
      <c r="BR350" s="263" t="n">
        <v>0</v>
      </c>
      <c r="BS350" s="263" t="n">
        <v>0</v>
      </c>
      <c r="BT350" s="159" t="n">
        <f aca="false">SUM(BP350,BQ350,BR350,BS350)</f>
        <v>0</v>
      </c>
      <c r="BU350" s="263" t="n">
        <v>0</v>
      </c>
      <c r="BV350" s="263" t="n">
        <v>0</v>
      </c>
      <c r="BW350" s="263" t="n">
        <v>0</v>
      </c>
      <c r="BX350" s="263" t="n">
        <v>0</v>
      </c>
      <c r="BY350" s="159" t="n">
        <f aca="false">SUM(BU350,BV350,BW350,BX350)</f>
        <v>0</v>
      </c>
      <c r="BZ350" s="255" t="n">
        <v>0</v>
      </c>
      <c r="CA350" s="255" t="n">
        <v>0</v>
      </c>
      <c r="CB350" s="255" t="n">
        <v>0</v>
      </c>
      <c r="CC350" s="50"/>
    </row>
    <row r="351" s="51" customFormat="true" ht="15" hidden="false" customHeight="true" outlineLevel="0" collapsed="false">
      <c r="A351" s="251" t="s">
        <v>423</v>
      </c>
      <c r="B351" s="257"/>
      <c r="C351" s="261"/>
      <c r="D351" s="261"/>
      <c r="E351" s="261"/>
      <c r="F351" s="261"/>
      <c r="G351" s="261"/>
      <c r="H351" s="259"/>
      <c r="I351" s="259"/>
      <c r="J351" s="259"/>
      <c r="K351" s="259"/>
      <c r="L351" s="261"/>
      <c r="M351" s="259"/>
      <c r="N351" s="259"/>
      <c r="O351" s="259"/>
      <c r="P351" s="259"/>
      <c r="Q351" s="261"/>
      <c r="R351" s="259"/>
      <c r="S351" s="259"/>
      <c r="T351" s="259"/>
      <c r="U351" s="259"/>
      <c r="V351" s="261"/>
      <c r="W351" s="259"/>
      <c r="X351" s="259"/>
      <c r="Y351" s="259"/>
      <c r="Z351" s="259"/>
      <c r="AA351" s="261"/>
      <c r="AB351" s="259"/>
      <c r="AC351" s="259"/>
      <c r="AD351" s="259"/>
      <c r="AE351" s="259"/>
      <c r="AF351" s="261"/>
      <c r="AG351" s="259"/>
      <c r="AH351" s="259"/>
      <c r="AI351" s="259"/>
      <c r="AJ351" s="259"/>
      <c r="AK351" s="261"/>
      <c r="AL351" s="259"/>
      <c r="AM351" s="259"/>
      <c r="AN351" s="259"/>
      <c r="AO351" s="259"/>
      <c r="AP351" s="261"/>
      <c r="AQ351" s="259"/>
      <c r="AR351" s="259"/>
      <c r="AS351" s="259"/>
      <c r="AT351" s="259"/>
      <c r="AU351" s="261"/>
      <c r="AV351" s="259"/>
      <c r="AW351" s="259"/>
      <c r="AX351" s="259"/>
      <c r="AY351" s="259"/>
      <c r="AZ351" s="261"/>
      <c r="BA351" s="259"/>
      <c r="BB351" s="259"/>
      <c r="BC351" s="259"/>
      <c r="BD351" s="259"/>
      <c r="BE351" s="261"/>
      <c r="BF351" s="259"/>
      <c r="BG351" s="259"/>
      <c r="BH351" s="259"/>
      <c r="BI351" s="259"/>
      <c r="BJ351" s="261"/>
      <c r="BK351" s="259"/>
      <c r="BL351" s="259"/>
      <c r="BM351" s="259"/>
      <c r="BN351" s="259"/>
      <c r="BO351" s="260"/>
      <c r="BP351" s="259"/>
      <c r="BQ351" s="259"/>
      <c r="BR351" s="259"/>
      <c r="BS351" s="259"/>
      <c r="BT351" s="261" t="n">
        <f aca="false">SUM(BP351,BQ351,BR351,BS351)</f>
        <v>0</v>
      </c>
      <c r="BU351" s="259"/>
      <c r="BV351" s="259"/>
      <c r="BW351" s="259"/>
      <c r="BX351" s="259"/>
      <c r="BY351" s="261" t="n">
        <f aca="false">SUM(BU351,BV351,BW351,BX351)</f>
        <v>0</v>
      </c>
      <c r="BZ351" s="261"/>
      <c r="CA351" s="261"/>
      <c r="CB351" s="261"/>
      <c r="CC351" s="50"/>
    </row>
    <row r="352" s="157" customFormat="true" ht="15" hidden="false" customHeight="true" outlineLevel="0" collapsed="false">
      <c r="A352" s="244" t="s">
        <v>424</v>
      </c>
      <c r="B352" s="393"/>
      <c r="C352" s="357" t="n">
        <f aca="false">C338-SUM(C348:C351)</f>
        <v>-171.55</v>
      </c>
      <c r="D352" s="357" t="n">
        <f aca="false">D338-SUM(D348:D351)</f>
        <v>1242.523</v>
      </c>
      <c r="E352" s="357" t="n">
        <f aca="false">E338-SUM(E348:E351)</f>
        <v>1648.635</v>
      </c>
      <c r="F352" s="357" t="n">
        <f aca="false">F338-SUM(F348:F351)</f>
        <v>1150.578</v>
      </c>
      <c r="G352" s="357" t="n">
        <f aca="false">G338-SUM(G348:G351)</f>
        <v>1023.477</v>
      </c>
      <c r="H352" s="394" t="n">
        <f aca="false">H338-SUM(H348:H351)</f>
        <v>263.1</v>
      </c>
      <c r="I352" s="394" t="n">
        <f aca="false">I338-SUM(I348:I351)</f>
        <v>424</v>
      </c>
      <c r="J352" s="394" t="n">
        <f aca="false">J338-SUM(J348:J351)</f>
        <v>259.4</v>
      </c>
      <c r="K352" s="394" t="n">
        <f aca="false">K338-SUM(K348:K351)</f>
        <v>327.1</v>
      </c>
      <c r="L352" s="357" t="n">
        <f aca="false">L338-SUM(L348:L351)</f>
        <v>1273.635</v>
      </c>
      <c r="M352" s="394" t="n">
        <f aca="false">M338-SUM(M348:M351)</f>
        <v>452.2</v>
      </c>
      <c r="N352" s="394" t="n">
        <f aca="false">N338-SUM(N348:N351)</f>
        <v>414.7</v>
      </c>
      <c r="O352" s="394" t="n">
        <f aca="false">O338-SUM(O348:O351)</f>
        <v>368.2</v>
      </c>
      <c r="P352" s="394" t="n">
        <f aca="false">P338-SUM(P348:P351)</f>
        <v>313.5</v>
      </c>
      <c r="Q352" s="357" t="n">
        <f aca="false">Q338-SUM(Q348:Q351)</f>
        <v>1548.62</v>
      </c>
      <c r="R352" s="394" t="n">
        <f aca="false">R338-SUM(R348:R351)</f>
        <v>224.4</v>
      </c>
      <c r="S352" s="394" t="n">
        <f aca="false">S338-SUM(S348:S351)</f>
        <v>400.6</v>
      </c>
      <c r="T352" s="394" t="n">
        <f aca="false">T338-SUM(T348:T351)</f>
        <v>461.7</v>
      </c>
      <c r="U352" s="394" t="n">
        <f aca="false">U338-SUM(U348:U351)</f>
        <v>604.7</v>
      </c>
      <c r="V352" s="357" t="n">
        <f aca="false">V338-SUM(V348:V351)</f>
        <v>1691.4</v>
      </c>
      <c r="W352" s="394" t="n">
        <f aca="false">W338-SUM(W348:W351)</f>
        <v>520.7</v>
      </c>
      <c r="X352" s="394" t="n">
        <f aca="false">X338-SUM(X348:X351)</f>
        <v>545</v>
      </c>
      <c r="Y352" s="394" t="n">
        <f aca="false">Y338-SUM(Y348:Y351)</f>
        <v>643.1</v>
      </c>
      <c r="Z352" s="394" t="n">
        <f aca="false">Z338-SUM(Z348:Z351)</f>
        <v>720.4</v>
      </c>
      <c r="AA352" s="357" t="n">
        <f aca="false">AA338-SUM(AA348:AA351)</f>
        <v>2429.2</v>
      </c>
      <c r="AB352" s="394" t="n">
        <f aca="false">AB338-SUM(AB348:AB351)</f>
        <v>614.1</v>
      </c>
      <c r="AC352" s="394" t="n">
        <f aca="false">AC338-SUM(AC348:AC351)</f>
        <v>691.5</v>
      </c>
      <c r="AD352" s="394" t="n">
        <f aca="false">AD338-SUM(AD348:AD351)</f>
        <v>810</v>
      </c>
      <c r="AE352" s="394" t="n">
        <f aca="false">AE338-SUM(AE348:AE351)</f>
        <v>827.600000000001</v>
      </c>
      <c r="AF352" s="357" t="n">
        <f aca="false">AF338-SUM(AF348:AF351)</f>
        <v>2943.2</v>
      </c>
      <c r="AG352" s="394" t="n">
        <f aca="false">AG338-SUM(AG348:AG351)</f>
        <v>338.4</v>
      </c>
      <c r="AH352" s="394" t="n">
        <f aca="false">AH338-SUM(AH348:AH351)</f>
        <v>495.1</v>
      </c>
      <c r="AI352" s="394" t="n">
        <f aca="false">AI338-SUM(AI348:AI351)</f>
        <v>691.8</v>
      </c>
      <c r="AJ352" s="394" t="n">
        <f aca="false">AJ338-SUM(AJ348:AJ351)</f>
        <v>1258.7</v>
      </c>
      <c r="AK352" s="357" t="n">
        <f aca="false">AK338-SUM(AK348:AK351)</f>
        <v>2784</v>
      </c>
      <c r="AL352" s="394" t="n">
        <f aca="false">AL338-SUM(AL348:AL351)</f>
        <v>439.1</v>
      </c>
      <c r="AM352" s="394" t="n">
        <f aca="false">AM338-SUM(AM348:AM351)</f>
        <v>917.4</v>
      </c>
      <c r="AN352" s="394" t="n">
        <f aca="false">AN338-SUM(AN348:AN351)</f>
        <v>1228</v>
      </c>
      <c r="AO352" s="394" t="n">
        <f aca="false">AO338-SUM(AO348:AO351)</f>
        <v>1520.7</v>
      </c>
      <c r="AP352" s="357" t="n">
        <f aca="false">AP338-SUM(AP348:AP351)</f>
        <v>4105.2</v>
      </c>
      <c r="AQ352" s="394" t="n">
        <f aca="false">AQ338-SUM(AQ348:AQ351)</f>
        <v>1561.7</v>
      </c>
      <c r="AR352" s="394" t="n">
        <f aca="false">AR338-SUM(AR348:AR351)</f>
        <v>1242.4</v>
      </c>
      <c r="AS352" s="394" t="n">
        <f aca="false">AS338-SUM(AS348:AS351)</f>
        <v>2011.1</v>
      </c>
      <c r="AT352" s="394" t="n">
        <f aca="false">AT338-SUM(AT348:AT351)</f>
        <v>2089.4</v>
      </c>
      <c r="AU352" s="357" t="n">
        <f aca="false">AU338-SUM(AU348:AU351)</f>
        <v>6904.6</v>
      </c>
      <c r="AV352" s="394" t="n">
        <f aca="false">AV338-SUM(AV348:AV351)</f>
        <v>809.7</v>
      </c>
      <c r="AW352" s="394" t="n">
        <f aca="false">AW338-SUM(AW348:AW351)</f>
        <v>1657.1</v>
      </c>
      <c r="AX352" s="394" t="n">
        <f aca="false">AX338-SUM(AX348:AX351)</f>
        <v>1953.5</v>
      </c>
      <c r="AY352" s="394" t="n">
        <f aca="false">AY338-SUM(AY348:AY351)</f>
        <v>2173.8</v>
      </c>
      <c r="AZ352" s="357" t="n">
        <f aca="false">AZ338-SUM(AZ348:AZ351)</f>
        <v>6594.1</v>
      </c>
      <c r="BA352" s="394" t="n">
        <f aca="false">BA338-SUM(BA348:BA351)</f>
        <v>2258.4</v>
      </c>
      <c r="BB352" s="394" t="n">
        <f aca="false">BB338-SUM(BB348:BB351)</f>
        <v>2345.6</v>
      </c>
      <c r="BC352" s="394" t="n">
        <f aca="false">BC338-SUM(BC348:BC351)</f>
        <v>2237.1</v>
      </c>
      <c r="BD352" s="394" t="n">
        <f aca="false">BD338-SUM(BD348:BD351)</f>
        <v>2433.7</v>
      </c>
      <c r="BE352" s="357" t="n">
        <f aca="false">BE338-SUM(BE348:BE351)</f>
        <v>9274.8</v>
      </c>
      <c r="BF352" s="394" t="n">
        <f aca="false">BF338-SUM(BF348:BF351)</f>
        <v>1447.8</v>
      </c>
      <c r="BG352" s="394" t="n">
        <f aca="false">BG338-SUM(BG348:BG351)</f>
        <v>1869.5</v>
      </c>
      <c r="BH352" s="394" t="n">
        <f aca="false">BH338-SUM(BH348:BH351)</f>
        <v>2517.7</v>
      </c>
      <c r="BI352" s="394" t="n">
        <f aca="false">BI338-SUM(BI348:BI351)</f>
        <v>3417.2</v>
      </c>
      <c r="BJ352" s="357" t="n">
        <f aca="false">BJ338-SUM(BJ348:BJ351)</f>
        <v>9252.2</v>
      </c>
      <c r="BK352" s="394" t="n">
        <f aca="false">BK338-SUM(BK348:BK351)</f>
        <v>2820.1</v>
      </c>
      <c r="BL352" s="394" t="n">
        <f aca="false">BL338-SUM(BL348:BL351)</f>
        <v>2777.7</v>
      </c>
      <c r="BM352" s="394" t="n">
        <f aca="false">BM338-SUM(BM348:BM351)</f>
        <v>2566.7</v>
      </c>
      <c r="BN352" s="394" t="n">
        <f aca="false">BN338-SUM(BN348:BN351)</f>
        <v>3458.3</v>
      </c>
      <c r="BO352" s="395" t="n">
        <f aca="false">BO338-SUM(BO348:BO351)</f>
        <v>11622.8</v>
      </c>
      <c r="BP352" s="163" t="n">
        <f aca="false">BP338-SUM(BP348:BP351)</f>
        <v>2945.30848161593</v>
      </c>
      <c r="BQ352" s="163" t="n">
        <f aca="false">BQ338-SUM(BQ348:BQ351)</f>
        <v>3479.80016816564</v>
      </c>
      <c r="BR352" s="163" t="n">
        <f aca="false">BR338-SUM(BR348:BR351)</f>
        <v>3242.48694735563</v>
      </c>
      <c r="BS352" s="163" t="n">
        <f aca="false">BS338-SUM(BS348:BS351)</f>
        <v>3604.16457259029</v>
      </c>
      <c r="BT352" s="162" t="n">
        <f aca="false">BT338-SUM(BT348:BT351)</f>
        <v>13271.7601697275</v>
      </c>
      <c r="BU352" s="163" t="n">
        <f aca="false">BU338-SUM(BU348:BU351)</f>
        <v>3103.15284863983</v>
      </c>
      <c r="BV352" s="163" t="n">
        <f aca="false">BV338-SUM(BV348:BV351)</f>
        <v>4189.79386905868</v>
      </c>
      <c r="BW352" s="163" t="n">
        <f aca="false">BW338-SUM(BW348:BW351)</f>
        <v>3860.94191573693</v>
      </c>
      <c r="BX352" s="163" t="n">
        <f aca="false">BX338-SUM(BX348:BX351)</f>
        <v>3897.00927408823</v>
      </c>
      <c r="BY352" s="162" t="n">
        <f aca="false">BY338-SUM(BY348:BY351)</f>
        <v>15050.8979075237</v>
      </c>
      <c r="BZ352" s="162" t="n">
        <f aca="false">BZ338-SUM(BZ348:BZ351)</f>
        <v>18438.6058576864</v>
      </c>
      <c r="CA352" s="162" t="n">
        <f aca="false">CA338-SUM(CA348:CA351)</f>
        <v>19672.1865618536</v>
      </c>
      <c r="CB352" s="162" t="n">
        <f aca="false">CB338-SUM(CB348:CB351)</f>
        <v>20993.2135813057</v>
      </c>
      <c r="CC352" s="156"/>
    </row>
    <row r="353" s="157" customFormat="true" ht="15" hidden="false" customHeight="true" outlineLevel="0" collapsed="false">
      <c r="A353" s="424"/>
      <c r="B353" s="266"/>
      <c r="C353" s="267"/>
      <c r="D353" s="267"/>
      <c r="E353" s="267"/>
      <c r="F353" s="267"/>
      <c r="G353" s="267"/>
      <c r="H353" s="268"/>
      <c r="I353" s="268"/>
      <c r="J353" s="268"/>
      <c r="K353" s="268"/>
      <c r="L353" s="267"/>
      <c r="M353" s="268"/>
      <c r="N353" s="268"/>
      <c r="O353" s="268"/>
      <c r="P353" s="268"/>
      <c r="Q353" s="267"/>
      <c r="R353" s="268"/>
      <c r="S353" s="268"/>
      <c r="T353" s="268"/>
      <c r="U353" s="268"/>
      <c r="V353" s="267"/>
      <c r="W353" s="268"/>
      <c r="X353" s="268"/>
      <c r="Y353" s="268"/>
      <c r="Z353" s="268"/>
      <c r="AA353" s="267"/>
      <c r="AB353" s="268"/>
      <c r="AC353" s="268"/>
      <c r="AD353" s="268"/>
      <c r="AE353" s="268"/>
      <c r="AF353" s="267"/>
      <c r="AG353" s="268"/>
      <c r="AH353" s="268"/>
      <c r="AI353" s="268"/>
      <c r="AJ353" s="268"/>
      <c r="AK353" s="267"/>
      <c r="AL353" s="268"/>
      <c r="AM353" s="268"/>
      <c r="AN353" s="268"/>
      <c r="AO353" s="268"/>
      <c r="AP353" s="267"/>
      <c r="AQ353" s="268"/>
      <c r="AR353" s="268"/>
      <c r="AS353" s="268"/>
      <c r="AT353" s="268"/>
      <c r="AU353" s="267"/>
      <c r="AV353" s="268"/>
      <c r="AW353" s="268"/>
      <c r="AX353" s="268"/>
      <c r="AY353" s="268"/>
      <c r="AZ353" s="267"/>
      <c r="BA353" s="268"/>
      <c r="BB353" s="268"/>
      <c r="BC353" s="268"/>
      <c r="BD353" s="268"/>
      <c r="BE353" s="267"/>
      <c r="BF353" s="268"/>
      <c r="BG353" s="268"/>
      <c r="BH353" s="268"/>
      <c r="BI353" s="268"/>
      <c r="BJ353" s="267"/>
      <c r="BK353" s="268"/>
      <c r="BL353" s="268"/>
      <c r="BM353" s="268"/>
      <c r="BN353" s="268"/>
      <c r="BO353" s="269"/>
      <c r="BP353" s="268"/>
      <c r="BQ353" s="268"/>
      <c r="BR353" s="268"/>
      <c r="BS353" s="268"/>
      <c r="BT353" s="267"/>
      <c r="BU353" s="268"/>
      <c r="BV353" s="268"/>
      <c r="BW353" s="268"/>
      <c r="BX353" s="268"/>
      <c r="BY353" s="267"/>
      <c r="BZ353" s="267"/>
      <c r="CA353" s="267"/>
      <c r="CB353" s="267"/>
      <c r="CC353" s="156"/>
    </row>
    <row r="354" s="51" customFormat="true" ht="15" hidden="false" customHeight="true" outlineLevel="0" collapsed="false">
      <c r="A354" s="270" t="s">
        <v>425</v>
      </c>
      <c r="B354" s="254"/>
      <c r="C354" s="262" t="n">
        <f aca="false">-C315-C355</f>
        <v>28.798</v>
      </c>
      <c r="D354" s="262" t="n">
        <f aca="false">-D315-D355</f>
        <v>192.65</v>
      </c>
      <c r="E354" s="262" t="n">
        <f aca="false">-E315-E355</f>
        <v>118.425</v>
      </c>
      <c r="F354" s="262" t="n">
        <f aca="false">-F315-F355</f>
        <v>76.636</v>
      </c>
      <c r="G354" s="262" t="n">
        <f aca="false">-G315-G355</f>
        <v>30.645</v>
      </c>
      <c r="H354" s="50" t="n">
        <f aca="false">-H315-H355</f>
        <v>43.9</v>
      </c>
      <c r="I354" s="50" t="n">
        <f aca="false">-I315-I355</f>
        <v>14.3</v>
      </c>
      <c r="J354" s="50" t="n">
        <f aca="false">-J315-J355</f>
        <v>54.4</v>
      </c>
      <c r="K354" s="50" t="n">
        <f aca="false">-K315-K355</f>
        <v>23.45</v>
      </c>
      <c r="L354" s="262" t="n">
        <f aca="false">-L315-L355</f>
        <v>136.045</v>
      </c>
      <c r="M354" s="50" t="n">
        <f aca="false">-M315-M355</f>
        <v>33</v>
      </c>
      <c r="N354" s="50" t="n">
        <f aca="false">-N315-N355</f>
        <v>54.4</v>
      </c>
      <c r="O354" s="50" t="n">
        <f aca="false">-O315-O355</f>
        <v>4.8</v>
      </c>
      <c r="P354" s="50" t="n">
        <f aca="false">-P315-P355</f>
        <v>23.851</v>
      </c>
      <c r="Q354" s="262" t="n">
        <f aca="false">-Q315-Q355</f>
        <v>116.097</v>
      </c>
      <c r="R354" s="50" t="n">
        <f aca="false">-R315-R355</f>
        <v>30.9</v>
      </c>
      <c r="S354" s="50" t="n">
        <f aca="false">-S315-S355</f>
        <v>53.4</v>
      </c>
      <c r="T354" s="50" t="n">
        <f aca="false">-T315-T355</f>
        <v>28.6</v>
      </c>
      <c r="U354" s="50" t="n">
        <f aca="false">-U315-U355</f>
        <v>107.2</v>
      </c>
      <c r="V354" s="262" t="n">
        <f aca="false">-V315-V355</f>
        <v>220.1</v>
      </c>
      <c r="W354" s="50" t="n">
        <f aca="false">-W315-W355</f>
        <v>52.3</v>
      </c>
      <c r="X354" s="50" t="n">
        <f aca="false">-X315-X355</f>
        <v>80.2</v>
      </c>
      <c r="Y354" s="50" t="n">
        <f aca="false">-Y315-Y355</f>
        <v>92.5</v>
      </c>
      <c r="Z354" s="50" t="n">
        <f aca="false">-Z315-Z355</f>
        <v>93.3</v>
      </c>
      <c r="AA354" s="262" t="n">
        <f aca="false">-AA315-AA355</f>
        <v>318.3</v>
      </c>
      <c r="AB354" s="50" t="n">
        <f aca="false">-AB315-AB355</f>
        <v>65.8</v>
      </c>
      <c r="AC354" s="50" t="n">
        <f aca="false">-AC315-AC355</f>
        <v>77.5</v>
      </c>
      <c r="AD354" s="50" t="n">
        <f aca="false">-AD315-AD355</f>
        <v>169.8</v>
      </c>
      <c r="AE354" s="50" t="n">
        <f aca="false">-AE315-AE355</f>
        <v>277</v>
      </c>
      <c r="AF354" s="262" t="n">
        <f aca="false">-AF315-AF355</f>
        <v>590.1</v>
      </c>
      <c r="AG354" s="50" t="n">
        <f aca="false">-AG315-AG355</f>
        <v>59.5</v>
      </c>
      <c r="AH354" s="50" t="n">
        <f aca="false">-AH315-AH355</f>
        <v>84.2</v>
      </c>
      <c r="AI354" s="50" t="n">
        <f aca="false">-AI315-AI355</f>
        <v>42.5</v>
      </c>
      <c r="AJ354" s="50" t="n">
        <f aca="false">-AJ315-AJ355</f>
        <v>242.3</v>
      </c>
      <c r="AK354" s="262" t="n">
        <f aca="false">-AK315-AK355</f>
        <v>428.5</v>
      </c>
      <c r="AL354" s="50" t="n">
        <f aca="false">-AL315-AL355</f>
        <v>73.1</v>
      </c>
      <c r="AM354" s="50" t="n">
        <f aca="false">-AM315-AM355</f>
        <v>181.8</v>
      </c>
      <c r="AN354" s="50" t="n">
        <f aca="false">-AN315-AN355</f>
        <v>277.1</v>
      </c>
      <c r="AO354" s="50" t="n">
        <f aca="false">-AO315-AO355</f>
        <v>230.8</v>
      </c>
      <c r="AP354" s="262" t="n">
        <f aca="false">-AP315-AP355</f>
        <v>762.8</v>
      </c>
      <c r="AQ354" s="50" t="n">
        <f aca="false">-AQ315-AQ355</f>
        <v>266.1</v>
      </c>
      <c r="AR354" s="50" t="n">
        <f aca="false">-AR315-AR355</f>
        <v>211.7</v>
      </c>
      <c r="AS354" s="50" t="n">
        <f aca="false">-AS315-AS355</f>
        <v>541</v>
      </c>
      <c r="AT354" s="50" t="n">
        <f aca="false">-AT315-AT355</f>
        <v>422.2</v>
      </c>
      <c r="AU354" s="262" t="n">
        <f aca="false">-AU315-AU355</f>
        <v>1441</v>
      </c>
      <c r="AV354" s="50" t="n">
        <f aca="false">-AV315-AV355</f>
        <v>154.1</v>
      </c>
      <c r="AW354" s="50" t="n">
        <f aca="false">-AW315-AW355</f>
        <v>340.9</v>
      </c>
      <c r="AX354" s="50" t="n">
        <f aca="false">-AX315-AX355</f>
        <v>592.8</v>
      </c>
      <c r="AY354" s="50" t="n">
        <f aca="false">-AY315-AY355</f>
        <v>446.3</v>
      </c>
      <c r="AZ354" s="262" t="n">
        <f aca="false">-AZ315-AZ355</f>
        <v>1534.1</v>
      </c>
      <c r="BA354" s="50" t="n">
        <f aca="false">-BA315-BA355</f>
        <v>289.9</v>
      </c>
      <c r="BB354" s="50" t="n">
        <f aca="false">-BB315-BB355</f>
        <v>362.4</v>
      </c>
      <c r="BC354" s="50" t="n">
        <f aca="false">-BC315-BC355</f>
        <v>482.6</v>
      </c>
      <c r="BD354" s="50" t="n">
        <f aca="false">-BD315-BD355</f>
        <v>434.5</v>
      </c>
      <c r="BE354" s="262" t="n">
        <f aca="false">-BE315-BE355</f>
        <v>1569.4</v>
      </c>
      <c r="BF354" s="50" t="n">
        <f aca="false">-BF315-BF355</f>
        <v>226.7</v>
      </c>
      <c r="BG354" s="50" t="n">
        <f aca="false">-BG315-BG355</f>
        <v>290.8</v>
      </c>
      <c r="BH354" s="50" t="n">
        <f aca="false">-BH315-BH355</f>
        <v>555.8</v>
      </c>
      <c r="BI354" s="50" t="n">
        <f aca="false">-BI315-BI355</f>
        <v>752.1</v>
      </c>
      <c r="BJ354" s="262" t="n">
        <f aca="false">-BJ315-BJ355</f>
        <v>1825.4</v>
      </c>
      <c r="BK354" s="50" t="n">
        <f aca="false">-BK315-BK355</f>
        <v>386</v>
      </c>
      <c r="BL354" s="50" t="n">
        <f aca="false">-BL315-BL355</f>
        <v>449.3</v>
      </c>
      <c r="BM354" s="50" t="n">
        <f aca="false">-BM315-BM355</f>
        <v>497.5</v>
      </c>
      <c r="BN354" s="50" t="n">
        <f aca="false">-BN315-BN355</f>
        <v>499.9</v>
      </c>
      <c r="BO354" s="264" t="n">
        <f aca="false">-BO315-BO355</f>
        <v>1832.7</v>
      </c>
      <c r="BP354" s="48" t="n">
        <f aca="false">BP367*BP$352</f>
        <v>618.514781139345</v>
      </c>
      <c r="BQ354" s="48" t="n">
        <f aca="false">BQ367*BQ$352</f>
        <v>730.758035314784</v>
      </c>
      <c r="BR354" s="48" t="n">
        <f aca="false">BR367*BR$352</f>
        <v>648.497389471125</v>
      </c>
      <c r="BS354" s="48" t="n">
        <f aca="false">BS367*BS$352</f>
        <v>720.832914518058</v>
      </c>
      <c r="BT354" s="159" t="n">
        <f aca="false">SUM(BP354,BQ354,BR354,BS354)</f>
        <v>2718.60312044331</v>
      </c>
      <c r="BU354" s="48" t="n">
        <f aca="false">BU367*BU$352</f>
        <v>651.662098214364</v>
      </c>
      <c r="BV354" s="48" t="n">
        <f aca="false">BV367*BV$352</f>
        <v>879.856712502323</v>
      </c>
      <c r="BW354" s="48" t="n">
        <f aca="false">BW367*BW$352</f>
        <v>772.188383147387</v>
      </c>
      <c r="BX354" s="48" t="n">
        <f aca="false">BX367*BX$352</f>
        <v>662.491576594999</v>
      </c>
      <c r="BY354" s="159" t="n">
        <f aca="false">SUM(BU354,BV354,BW354,BX354)</f>
        <v>2966.19877045907</v>
      </c>
      <c r="BZ354" s="159" t="n">
        <f aca="false">BZ367*BZ352</f>
        <v>3872.10723011414</v>
      </c>
      <c r="CA354" s="159" t="n">
        <f aca="false">CA367*CA352</f>
        <v>4131.15917798925</v>
      </c>
      <c r="CB354" s="159" t="n">
        <f aca="false">CB367*CB352</f>
        <v>4408.57485207419</v>
      </c>
      <c r="CC354" s="50"/>
    </row>
    <row r="355" s="51" customFormat="true" ht="15" hidden="false" customHeight="true" outlineLevel="0" collapsed="false">
      <c r="A355" s="226" t="s">
        <v>426</v>
      </c>
      <c r="B355" s="257"/>
      <c r="C355" s="403" t="n">
        <f aca="false">C534</f>
        <v>-49.423</v>
      </c>
      <c r="D355" s="403" t="n">
        <f aca="false">D534</f>
        <v>28.053</v>
      </c>
      <c r="E355" s="403" t="n">
        <f aca="false">E534</f>
        <v>63.25</v>
      </c>
      <c r="F355" s="403" t="n">
        <f aca="false">F534</f>
        <v>-72.374</v>
      </c>
      <c r="G355" s="403" t="n">
        <f aca="false">G534</f>
        <v>-22.658</v>
      </c>
      <c r="H355" s="391" t="n">
        <f aca="false">H534</f>
        <v>-29.9</v>
      </c>
      <c r="I355" s="391" t="n">
        <f aca="false">I534</f>
        <v>11</v>
      </c>
      <c r="J355" s="391" t="n">
        <f aca="false">J534</f>
        <v>-39</v>
      </c>
      <c r="K355" s="391" t="n">
        <f aca="false">K534</f>
        <v>-1.15</v>
      </c>
      <c r="L355" s="403" t="n">
        <f aca="false">L534</f>
        <v>-59.05</v>
      </c>
      <c r="M355" s="391" t="n">
        <f aca="false">M534</f>
        <v>16.5</v>
      </c>
      <c r="N355" s="391" t="n">
        <f aca="false">N534</f>
        <v>-9.4</v>
      </c>
      <c r="O355" s="391" t="n">
        <f aca="false">O534</f>
        <v>41</v>
      </c>
      <c r="P355" s="391" t="n">
        <f aca="false">P534</f>
        <v>-2.751</v>
      </c>
      <c r="Q355" s="403" t="n">
        <f aca="false">Q534</f>
        <v>45.349</v>
      </c>
      <c r="R355" s="391" t="n">
        <f aca="false">R534</f>
        <v>-4.5</v>
      </c>
      <c r="S355" s="391" t="n">
        <f aca="false">S534</f>
        <v>-6.6</v>
      </c>
      <c r="T355" s="391" t="n">
        <f aca="false">T534</f>
        <v>37.2</v>
      </c>
      <c r="U355" s="391" t="n">
        <f aca="false">U534</f>
        <v>-26.7</v>
      </c>
      <c r="V355" s="403" t="n">
        <f aca="false">V534</f>
        <v>-0.6</v>
      </c>
      <c r="W355" s="391" t="n">
        <f aca="false">W534</f>
        <v>16.3</v>
      </c>
      <c r="X355" s="391" t="n">
        <f aca="false">X534</f>
        <v>-1.5</v>
      </c>
      <c r="Y355" s="391" t="n">
        <f aca="false">Y534</f>
        <v>-6.5</v>
      </c>
      <c r="Z355" s="391" t="n">
        <f aca="false">Z534</f>
        <v>-15.9</v>
      </c>
      <c r="AA355" s="403" t="n">
        <f aca="false">AA534</f>
        <v>-7.6</v>
      </c>
      <c r="AB355" s="391" t="n">
        <f aca="false">AB534</f>
        <v>8.6</v>
      </c>
      <c r="AC355" s="391" t="n">
        <f aca="false">AC534</f>
        <v>30</v>
      </c>
      <c r="AD355" s="391" t="n">
        <f aca="false">AD534</f>
        <v>-40.2</v>
      </c>
      <c r="AE355" s="391" t="n">
        <f aca="false">AE534</f>
        <v>-236.9</v>
      </c>
      <c r="AF355" s="403" t="n">
        <f aca="false">AF534</f>
        <v>-238.5</v>
      </c>
      <c r="AG355" s="391" t="n">
        <f aca="false">AG534</f>
        <v>-76.5</v>
      </c>
      <c r="AH355" s="391" t="n">
        <f aca="false">AH534</f>
        <v>-65.1</v>
      </c>
      <c r="AI355" s="391" t="n">
        <f aca="false">AI534</f>
        <v>22.5</v>
      </c>
      <c r="AJ355" s="391" t="n">
        <f aca="false">AJ534</f>
        <v>-117.7</v>
      </c>
      <c r="AK355" s="403" t="n">
        <f aca="false">AK534</f>
        <v>-236.8</v>
      </c>
      <c r="AL355" s="391" t="n">
        <f aca="false">AL534</f>
        <v>-24.6</v>
      </c>
      <c r="AM355" s="391" t="n">
        <f aca="false">AM534</f>
        <v>-15.4</v>
      </c>
      <c r="AN355" s="391" t="n">
        <f aca="false">AN534</f>
        <v>-110.6</v>
      </c>
      <c r="AO355" s="391" t="n">
        <f aca="false">AO534</f>
        <v>-60.7</v>
      </c>
      <c r="AP355" s="403" t="n">
        <f aca="false">AP534</f>
        <v>-211.3</v>
      </c>
      <c r="AQ355" s="391" t="n">
        <f aca="false">AQ534</f>
        <v>-35.8</v>
      </c>
      <c r="AR355" s="391" t="n">
        <f aca="false">AR534</f>
        <v>-7.5</v>
      </c>
      <c r="AS355" s="391" t="n">
        <f aca="false">AS534</f>
        <v>-270.1</v>
      </c>
      <c r="AT355" s="391" t="n">
        <f aca="false">AT534</f>
        <v>-106.2</v>
      </c>
      <c r="AU355" s="403" t="n">
        <f aca="false">AU534</f>
        <v>-419.6</v>
      </c>
      <c r="AV355" s="391" t="n">
        <f aca="false">AV534</f>
        <v>-39.7</v>
      </c>
      <c r="AW355" s="391" t="n">
        <f aca="false">AW534</f>
        <v>-94.7</v>
      </c>
      <c r="AX355" s="391" t="n">
        <f aca="false">AX534</f>
        <v>-340.8</v>
      </c>
      <c r="AY355" s="391" t="n">
        <f aca="false">AY534</f>
        <v>-89.0000000000001</v>
      </c>
      <c r="AZ355" s="403" t="n">
        <f aca="false">AZ534</f>
        <v>-564.2</v>
      </c>
      <c r="BA355" s="391" t="n">
        <f aca="false">BA534</f>
        <v>12.7</v>
      </c>
      <c r="BB355" s="391" t="n">
        <f aca="false">BB534</f>
        <v>41.5</v>
      </c>
      <c r="BC355" s="391" t="n">
        <f aca="false">BC534</f>
        <v>-138.9</v>
      </c>
      <c r="BD355" s="391" t="n">
        <f aca="false">BD534</f>
        <v>-48.9</v>
      </c>
      <c r="BE355" s="403" t="n">
        <f aca="false">BE534</f>
        <v>-133.6</v>
      </c>
      <c r="BF355" s="391" t="n">
        <f aca="false">BF534</f>
        <v>-2.7</v>
      </c>
      <c r="BG355" s="391" t="n">
        <f aca="false">BG534</f>
        <v>0.8</v>
      </c>
      <c r="BH355" s="391" t="n">
        <f aca="false">BH534</f>
        <v>-114.6</v>
      </c>
      <c r="BI355" s="391" t="n">
        <f aca="false">BI534</f>
        <v>-28.3</v>
      </c>
      <c r="BJ355" s="403" t="n">
        <f aca="false">BJ534</f>
        <v>-144.8</v>
      </c>
      <c r="BK355" s="391" t="n">
        <f aca="false">BK534</f>
        <v>79.1</v>
      </c>
      <c r="BL355" s="391" t="n">
        <f aca="false">BL534</f>
        <v>38.1</v>
      </c>
      <c r="BM355" s="391" t="n">
        <f aca="false">BM534</f>
        <v>-55.3</v>
      </c>
      <c r="BN355" s="391" t="n">
        <f aca="false">BN534</f>
        <v>118.8</v>
      </c>
      <c r="BO355" s="404" t="n">
        <f aca="false">BO534</f>
        <v>180.7</v>
      </c>
      <c r="BP355" s="259" t="n">
        <f aca="false">BP368*BP$352</f>
        <v>-117.812339264637</v>
      </c>
      <c r="BQ355" s="259" t="n">
        <f aca="false">BQ368*BQ$352</f>
        <v>-139.192006726625</v>
      </c>
      <c r="BR355" s="259" t="n">
        <f aca="false">BR368*BR$352</f>
        <v>-129.699477894225</v>
      </c>
      <c r="BS355" s="259" t="n">
        <f aca="false">BS368*BS$352</f>
        <v>-90.1041143147572</v>
      </c>
      <c r="BT355" s="261" t="n">
        <f aca="false">SUM(BP355,BQ355,BR355,BS355)</f>
        <v>-476.807938200245</v>
      </c>
      <c r="BU355" s="259" t="n">
        <f aca="false">BU368*BU$352</f>
        <v>-155.157642431991</v>
      </c>
      <c r="BV355" s="259" t="n">
        <f aca="false">BV368*BV$352</f>
        <v>-209.489693452934</v>
      </c>
      <c r="BW355" s="259" t="n">
        <f aca="false">BW368*BW$352</f>
        <v>-193.047095786847</v>
      </c>
      <c r="BX355" s="259" t="n">
        <f aca="false">BX368*BX$352</f>
        <v>-194.850463704411</v>
      </c>
      <c r="BY355" s="261" t="n">
        <f aca="false">SUM(BU355,BV355,BW355,BX355)</f>
        <v>-752.544895376184</v>
      </c>
      <c r="BZ355" s="261" t="n">
        <f aca="false">BZ368*BZ352</f>
        <v>-921.930292884318</v>
      </c>
      <c r="CA355" s="261" t="n">
        <f aca="false">CA368*CA352</f>
        <v>-983.609328092678</v>
      </c>
      <c r="CB355" s="261" t="n">
        <f aca="false">CB368*CB352</f>
        <v>-1049.66067906528</v>
      </c>
      <c r="CC355" s="50"/>
    </row>
    <row r="356" s="157" customFormat="true" ht="15" hidden="false" customHeight="true" outlineLevel="0" collapsed="false">
      <c r="A356" s="244" t="s">
        <v>427</v>
      </c>
      <c r="B356" s="393"/>
      <c r="C356" s="357" t="n">
        <f aca="false">C352-SUM(C354:C355)</f>
        <v>-150.925</v>
      </c>
      <c r="D356" s="357" t="n">
        <f aca="false">D352-SUM(D354:D355)</f>
        <v>1021.82</v>
      </c>
      <c r="E356" s="357" t="n">
        <f aca="false">E352-SUM(E354:E355)</f>
        <v>1466.96</v>
      </c>
      <c r="F356" s="357" t="n">
        <f aca="false">F352-SUM(F354:F355)</f>
        <v>1146.316</v>
      </c>
      <c r="G356" s="357" t="n">
        <f aca="false">G352-SUM(G354:G355)</f>
        <v>1015.49</v>
      </c>
      <c r="H356" s="394" t="n">
        <f aca="false">H352-SUM(H354:H355)</f>
        <v>249.1</v>
      </c>
      <c r="I356" s="394" t="n">
        <f aca="false">I352-SUM(I354:I355)</f>
        <v>398.7</v>
      </c>
      <c r="J356" s="394" t="n">
        <f aca="false">J352-SUM(J354:J355)</f>
        <v>244</v>
      </c>
      <c r="K356" s="394" t="n">
        <f aca="false">K352-SUM(K354:K355)</f>
        <v>304.8</v>
      </c>
      <c r="L356" s="357" t="n">
        <f aca="false">L352-SUM(L354:L355)</f>
        <v>1196.64</v>
      </c>
      <c r="M356" s="394" t="n">
        <f aca="false">M352-SUM(M354:M355)</f>
        <v>402.7</v>
      </c>
      <c r="N356" s="394" t="n">
        <f aca="false">N352-SUM(N354:N355)</f>
        <v>369.7</v>
      </c>
      <c r="O356" s="394" t="n">
        <f aca="false">O352-SUM(O354:O355)</f>
        <v>322.4</v>
      </c>
      <c r="P356" s="394" t="n">
        <f aca="false">P352-SUM(P354:P355)</f>
        <v>292.4</v>
      </c>
      <c r="Q356" s="357" t="n">
        <f aca="false">Q352-SUM(Q354:Q355)</f>
        <v>1387.174</v>
      </c>
      <c r="R356" s="394" t="n">
        <f aca="false">R352-SUM(R354:R355)</f>
        <v>198</v>
      </c>
      <c r="S356" s="394" t="n">
        <f aca="false">S352-SUM(S354:S355)</f>
        <v>353.8</v>
      </c>
      <c r="T356" s="394" t="n">
        <f aca="false">T352-SUM(T354:T355)</f>
        <v>395.9</v>
      </c>
      <c r="U356" s="394" t="n">
        <f aca="false">U352-SUM(U354:U355)</f>
        <v>524.2</v>
      </c>
      <c r="V356" s="357" t="n">
        <f aca="false">V352-SUM(V354:V355)</f>
        <v>1471.9</v>
      </c>
      <c r="W356" s="394" t="n">
        <f aca="false">W352-SUM(W354:W355)</f>
        <v>452.1</v>
      </c>
      <c r="X356" s="394" t="n">
        <f aca="false">X352-SUM(X354:X355)</f>
        <v>466.3</v>
      </c>
      <c r="Y356" s="394" t="n">
        <f aca="false">Y352-SUM(Y354:Y355)</f>
        <v>557.1</v>
      </c>
      <c r="Z356" s="394" t="n">
        <f aca="false">Z352-SUM(Z354:Z355)</f>
        <v>643</v>
      </c>
      <c r="AA356" s="357" t="n">
        <f aca="false">AA352-SUM(AA354:AA355)</f>
        <v>2118.5</v>
      </c>
      <c r="AB356" s="394" t="n">
        <f aca="false">AB352-SUM(AB354:AB355)</f>
        <v>539.7</v>
      </c>
      <c r="AC356" s="394" t="n">
        <f aca="false">AC352-SUM(AC354:AC355)</f>
        <v>584</v>
      </c>
      <c r="AD356" s="394" t="n">
        <f aca="false">AD352-SUM(AD354:AD355)</f>
        <v>680.4</v>
      </c>
      <c r="AE356" s="394" t="n">
        <f aca="false">AE352-SUM(AE354:AE355)</f>
        <v>787.500000000001</v>
      </c>
      <c r="AF356" s="357" t="n">
        <f aca="false">AF352-SUM(AF354:AF355)</f>
        <v>2591.6</v>
      </c>
      <c r="AG356" s="394" t="n">
        <f aca="false">AG352-SUM(AG354:AG355)</f>
        <v>355.4</v>
      </c>
      <c r="AH356" s="394" t="n">
        <f aca="false">AH352-SUM(AH354:AH355)</f>
        <v>476</v>
      </c>
      <c r="AI356" s="394" t="n">
        <f aca="false">AI352-SUM(AI354:AI355)</f>
        <v>626.8</v>
      </c>
      <c r="AJ356" s="394" t="n">
        <f aca="false">AJ352-SUM(AJ354:AJ355)</f>
        <v>1134.1</v>
      </c>
      <c r="AK356" s="357" t="n">
        <f aca="false">AK352-SUM(AK354:AK355)</f>
        <v>2592.3</v>
      </c>
      <c r="AL356" s="394" t="n">
        <f aca="false">AL352-SUM(AL354:AL355)</f>
        <v>390.6</v>
      </c>
      <c r="AM356" s="394" t="n">
        <f aca="false">AM352-SUM(AM354:AM355)</f>
        <v>751</v>
      </c>
      <c r="AN356" s="394" t="n">
        <f aca="false">AN352-SUM(AN354:AN355)</f>
        <v>1061.5</v>
      </c>
      <c r="AO356" s="394" t="n">
        <f aca="false">AO352-SUM(AO354:AO355)</f>
        <v>1350.6</v>
      </c>
      <c r="AP356" s="357" t="n">
        <f aca="false">AP352-SUM(AP354:AP355)</f>
        <v>3553.7</v>
      </c>
      <c r="AQ356" s="394" t="n">
        <f aca="false">AQ352-SUM(AQ354:AQ355)</f>
        <v>1331.4</v>
      </c>
      <c r="AR356" s="394" t="n">
        <f aca="false">AR352-SUM(AR354:AR355)</f>
        <v>1038.2</v>
      </c>
      <c r="AS356" s="394" t="n">
        <f aca="false">AS352-SUM(AS354:AS355)</f>
        <v>1740.2</v>
      </c>
      <c r="AT356" s="394" t="n">
        <f aca="false">AT352-SUM(AT354:AT355)</f>
        <v>1773.4</v>
      </c>
      <c r="AU356" s="357" t="n">
        <f aca="false">AU352-SUM(AU354:AU355)</f>
        <v>5883.2</v>
      </c>
      <c r="AV356" s="394" t="n">
        <f aca="false">AV352-SUM(AV354:AV355)</f>
        <v>695.3</v>
      </c>
      <c r="AW356" s="394" t="n">
        <f aca="false">AW352-SUM(AW354:AW355)</f>
        <v>1410.9</v>
      </c>
      <c r="AX356" s="394" t="n">
        <f aca="false">AX352-SUM(AX354:AX355)</f>
        <v>1701.5</v>
      </c>
      <c r="AY356" s="394" t="n">
        <f aca="false">AY352-SUM(AY354:AY355)</f>
        <v>1816.5</v>
      </c>
      <c r="AZ356" s="357" t="n">
        <f aca="false">AZ352-SUM(AZ354:AZ355)</f>
        <v>5624.2</v>
      </c>
      <c r="BA356" s="394" t="n">
        <f aca="false">BA352-SUM(BA354:BA355)</f>
        <v>1955.8</v>
      </c>
      <c r="BB356" s="394" t="n">
        <f aca="false">BB352-SUM(BB354:BB355)</f>
        <v>1941.7</v>
      </c>
      <c r="BC356" s="394" t="n">
        <f aca="false">BC352-SUM(BC354:BC355)</f>
        <v>1893.4</v>
      </c>
      <c r="BD356" s="394" t="n">
        <f aca="false">BD352-SUM(BD354:BD355)</f>
        <v>2048.1</v>
      </c>
      <c r="BE356" s="357" t="n">
        <f aca="false">BE352-SUM(BE354:BE355)</f>
        <v>7839</v>
      </c>
      <c r="BF356" s="394" t="n">
        <f aca="false">BF352-SUM(BF354:BF355)</f>
        <v>1223.8</v>
      </c>
      <c r="BG356" s="394" t="n">
        <f aca="false">BG352-SUM(BG354:BG355)</f>
        <v>1577.9</v>
      </c>
      <c r="BH356" s="394" t="n">
        <f aca="false">BH352-SUM(BH354:BH355)</f>
        <v>2076.5</v>
      </c>
      <c r="BI356" s="394" t="n">
        <f aca="false">BI352-SUM(BI354:BI355)</f>
        <v>2693.4</v>
      </c>
      <c r="BJ356" s="357" t="n">
        <f aca="false">BJ352-SUM(BJ354:BJ355)</f>
        <v>7571.6</v>
      </c>
      <c r="BK356" s="394" t="n">
        <f aca="false">BK352-SUM(BK354:BK355)</f>
        <v>2355</v>
      </c>
      <c r="BL356" s="394" t="n">
        <f aca="false">BL352-SUM(BL354:BL355)</f>
        <v>2290.3</v>
      </c>
      <c r="BM356" s="394" t="n">
        <f aca="false">BM352-SUM(BM354:BM355)</f>
        <v>2124.5</v>
      </c>
      <c r="BN356" s="394" t="n">
        <f aca="false">BN352-SUM(BN354:BN355)</f>
        <v>2839.6</v>
      </c>
      <c r="BO356" s="395" t="n">
        <f aca="false">BO352-SUM(BO354:BO355)</f>
        <v>9609.4</v>
      </c>
      <c r="BP356" s="163" t="n">
        <f aca="false">BP352-SUM(BP354:BP355)</f>
        <v>2444.60603974122</v>
      </c>
      <c r="BQ356" s="163" t="n">
        <f aca="false">BQ352-SUM(BQ354:BQ355)</f>
        <v>2888.23413957748</v>
      </c>
      <c r="BR356" s="163" t="n">
        <f aca="false">BR352-SUM(BR354:BR355)</f>
        <v>2723.68903577873</v>
      </c>
      <c r="BS356" s="163" t="n">
        <f aca="false">BS352-SUM(BS354:BS355)</f>
        <v>2973.43577238699</v>
      </c>
      <c r="BT356" s="162" t="n">
        <f aca="false">BT352-SUM(BT354:BT355)</f>
        <v>11029.9649874844</v>
      </c>
      <c r="BU356" s="163" t="n">
        <f aca="false">BU352-SUM(BU354:BU355)</f>
        <v>2606.64839285746</v>
      </c>
      <c r="BV356" s="163" t="n">
        <f aca="false">BV352-SUM(BV354:BV355)</f>
        <v>3519.42685000929</v>
      </c>
      <c r="BW356" s="163" t="n">
        <f aca="false">BW352-SUM(BW354:BW355)</f>
        <v>3281.80062837639</v>
      </c>
      <c r="BX356" s="163" t="n">
        <f aca="false">BX352-SUM(BX354:BX355)</f>
        <v>3429.36816119764</v>
      </c>
      <c r="BY356" s="162" t="n">
        <f aca="false">BY352-SUM(BY354:BY355)</f>
        <v>12837.2440324408</v>
      </c>
      <c r="BZ356" s="162" t="n">
        <f aca="false">BZ352-SUM(BZ354:BZ355)</f>
        <v>15488.4289204566</v>
      </c>
      <c r="CA356" s="162" t="n">
        <f aca="false">CA352-SUM(CA354:CA355)</f>
        <v>16524.636711957</v>
      </c>
      <c r="CB356" s="162" t="n">
        <f aca="false">CB352-SUM(CB354:CB355)</f>
        <v>17634.2994082968</v>
      </c>
      <c r="CC356" s="156"/>
    </row>
    <row r="357" s="51" customFormat="true" ht="15" hidden="false" customHeight="true" outlineLevel="0" collapsed="false">
      <c r="A357" s="145" t="s">
        <v>428</v>
      </c>
      <c r="B357" s="254"/>
      <c r="C357" s="159"/>
      <c r="D357" s="159"/>
      <c r="E357" s="159"/>
      <c r="F357" s="159"/>
      <c r="G357" s="159"/>
      <c r="H357" s="48"/>
      <c r="I357" s="48"/>
      <c r="J357" s="48"/>
      <c r="K357" s="48"/>
      <c r="L357" s="159"/>
      <c r="M357" s="48"/>
      <c r="N357" s="48"/>
      <c r="O357" s="48"/>
      <c r="P357" s="48"/>
      <c r="Q357" s="159"/>
      <c r="R357" s="48"/>
      <c r="S357" s="48"/>
      <c r="T357" s="48"/>
      <c r="U357" s="48"/>
      <c r="V357" s="159"/>
      <c r="W357" s="48"/>
      <c r="X357" s="48"/>
      <c r="Y357" s="48"/>
      <c r="Z357" s="48"/>
      <c r="AA357" s="159"/>
      <c r="AB357" s="48"/>
      <c r="AC357" s="48"/>
      <c r="AD357" s="48"/>
      <c r="AE357" s="48"/>
      <c r="AF357" s="159"/>
      <c r="AG357" s="48"/>
      <c r="AH357" s="48"/>
      <c r="AI357" s="48"/>
      <c r="AJ357" s="48"/>
      <c r="AK357" s="159"/>
      <c r="AL357" s="48"/>
      <c r="AM357" s="48"/>
      <c r="AN357" s="48"/>
      <c r="AO357" s="48"/>
      <c r="AP357" s="159"/>
      <c r="AQ357" s="48"/>
      <c r="AR357" s="48"/>
      <c r="AS357" s="48"/>
      <c r="AT357" s="48"/>
      <c r="AU357" s="159"/>
      <c r="AV357" s="48"/>
      <c r="AW357" s="48"/>
      <c r="AX357" s="48"/>
      <c r="AY357" s="48"/>
      <c r="AZ357" s="159"/>
      <c r="BA357" s="48"/>
      <c r="BB357" s="48"/>
      <c r="BC357" s="48"/>
      <c r="BD357" s="48"/>
      <c r="BE357" s="159"/>
      <c r="BF357" s="48"/>
      <c r="BG357" s="48"/>
      <c r="BH357" s="48"/>
      <c r="BI357" s="48"/>
      <c r="BJ357" s="159"/>
      <c r="BK357" s="48"/>
      <c r="BL357" s="48"/>
      <c r="BM357" s="48"/>
      <c r="BN357" s="48"/>
      <c r="BO357" s="160"/>
      <c r="BP357" s="48"/>
      <c r="BQ357" s="48"/>
      <c r="BR357" s="48"/>
      <c r="BS357" s="48"/>
      <c r="BT357" s="159" t="n">
        <f aca="false">SUM(BP357,BQ357,BR357,BS357)</f>
        <v>0</v>
      </c>
      <c r="BU357" s="48"/>
      <c r="BV357" s="48"/>
      <c r="BW357" s="48"/>
      <c r="BX357" s="48"/>
      <c r="BY357" s="159" t="n">
        <f aca="false">SUM(BU357,BV357,BW357,BX357)</f>
        <v>0</v>
      </c>
      <c r="BZ357" s="159"/>
      <c r="CA357" s="159"/>
      <c r="CB357" s="159"/>
      <c r="CC357" s="50"/>
    </row>
    <row r="358" s="51" customFormat="true" ht="15" hidden="false" customHeight="true" outlineLevel="0" collapsed="false">
      <c r="A358" s="145" t="s">
        <v>429</v>
      </c>
      <c r="B358" s="254"/>
      <c r="C358" s="159"/>
      <c r="D358" s="159"/>
      <c r="E358" s="159"/>
      <c r="F358" s="159"/>
      <c r="G358" s="159"/>
      <c r="H358" s="48"/>
      <c r="I358" s="48"/>
      <c r="J358" s="48"/>
      <c r="K358" s="48"/>
      <c r="L358" s="159"/>
      <c r="M358" s="48"/>
      <c r="N358" s="48"/>
      <c r="O358" s="48"/>
      <c r="P358" s="48"/>
      <c r="Q358" s="159"/>
      <c r="R358" s="48"/>
      <c r="S358" s="48"/>
      <c r="T358" s="48"/>
      <c r="U358" s="48"/>
      <c r="V358" s="159"/>
      <c r="W358" s="48"/>
      <c r="X358" s="48"/>
      <c r="Y358" s="48"/>
      <c r="Z358" s="48"/>
      <c r="AA358" s="159"/>
      <c r="AB358" s="48"/>
      <c r="AC358" s="48"/>
      <c r="AD358" s="48"/>
      <c r="AE358" s="48"/>
      <c r="AF358" s="159"/>
      <c r="AG358" s="48"/>
      <c r="AH358" s="48"/>
      <c r="AI358" s="48"/>
      <c r="AJ358" s="48"/>
      <c r="AK358" s="159"/>
      <c r="AL358" s="48"/>
      <c r="AM358" s="48"/>
      <c r="AN358" s="48"/>
      <c r="AO358" s="48"/>
      <c r="AP358" s="159"/>
      <c r="AQ358" s="48"/>
      <c r="AR358" s="48"/>
      <c r="AS358" s="48"/>
      <c r="AT358" s="48"/>
      <c r="AU358" s="159"/>
      <c r="AV358" s="48"/>
      <c r="AW358" s="48"/>
      <c r="AX358" s="48"/>
      <c r="AY358" s="48"/>
      <c r="AZ358" s="159"/>
      <c r="BA358" s="48"/>
      <c r="BB358" s="48"/>
      <c r="BC358" s="48"/>
      <c r="BD358" s="48"/>
      <c r="BE358" s="159"/>
      <c r="BF358" s="48"/>
      <c r="BG358" s="48"/>
      <c r="BH358" s="48"/>
      <c r="BI358" s="48"/>
      <c r="BJ358" s="159"/>
      <c r="BK358" s="48"/>
      <c r="BL358" s="48"/>
      <c r="BM358" s="48"/>
      <c r="BN358" s="48"/>
      <c r="BO358" s="160"/>
      <c r="BP358" s="48"/>
      <c r="BQ358" s="48"/>
      <c r="BR358" s="48"/>
      <c r="BS358" s="48"/>
      <c r="BT358" s="159" t="n">
        <f aca="false">SUM(BP358,BQ358,BR358,BS358)</f>
        <v>0</v>
      </c>
      <c r="BU358" s="48"/>
      <c r="BV358" s="48"/>
      <c r="BW358" s="48"/>
      <c r="BX358" s="48"/>
      <c r="BY358" s="159" t="n">
        <f aca="false">SUM(BU358,BV358,BW358,BX358)</f>
        <v>0</v>
      </c>
      <c r="BZ358" s="159"/>
      <c r="CA358" s="159"/>
      <c r="CB358" s="159"/>
      <c r="CC358" s="50"/>
    </row>
    <row r="359" s="51" customFormat="true" ht="15" hidden="false" customHeight="true" outlineLevel="0" collapsed="false">
      <c r="A359" s="251" t="s">
        <v>430</v>
      </c>
      <c r="B359" s="257"/>
      <c r="C359" s="261"/>
      <c r="D359" s="261"/>
      <c r="E359" s="261"/>
      <c r="F359" s="261"/>
      <c r="G359" s="261"/>
      <c r="H359" s="259"/>
      <c r="I359" s="259"/>
      <c r="J359" s="259"/>
      <c r="K359" s="259"/>
      <c r="L359" s="261"/>
      <c r="M359" s="259"/>
      <c r="N359" s="259"/>
      <c r="O359" s="259"/>
      <c r="P359" s="259"/>
      <c r="Q359" s="261"/>
      <c r="R359" s="259"/>
      <c r="S359" s="259"/>
      <c r="T359" s="259"/>
      <c r="U359" s="259"/>
      <c r="V359" s="261"/>
      <c r="W359" s="259"/>
      <c r="X359" s="259"/>
      <c r="Y359" s="259"/>
      <c r="Z359" s="259"/>
      <c r="AA359" s="261"/>
      <c r="AB359" s="259"/>
      <c r="AC359" s="259"/>
      <c r="AD359" s="259"/>
      <c r="AE359" s="259"/>
      <c r="AF359" s="261"/>
      <c r="AG359" s="259"/>
      <c r="AH359" s="259"/>
      <c r="AI359" s="259"/>
      <c r="AJ359" s="259"/>
      <c r="AK359" s="261"/>
      <c r="AL359" s="259"/>
      <c r="AM359" s="259"/>
      <c r="AN359" s="259"/>
      <c r="AO359" s="259"/>
      <c r="AP359" s="261"/>
      <c r="AQ359" s="259"/>
      <c r="AR359" s="259"/>
      <c r="AS359" s="259"/>
      <c r="AT359" s="259"/>
      <c r="AU359" s="261"/>
      <c r="AV359" s="259"/>
      <c r="AW359" s="259"/>
      <c r="AX359" s="259"/>
      <c r="AY359" s="259"/>
      <c r="AZ359" s="261"/>
      <c r="BA359" s="259"/>
      <c r="BB359" s="259"/>
      <c r="BC359" s="259"/>
      <c r="BD359" s="259"/>
      <c r="BE359" s="261"/>
      <c r="BF359" s="259"/>
      <c r="BG359" s="259"/>
      <c r="BH359" s="259"/>
      <c r="BI359" s="259"/>
      <c r="BJ359" s="261"/>
      <c r="BK359" s="259"/>
      <c r="BL359" s="259"/>
      <c r="BM359" s="259"/>
      <c r="BN359" s="259"/>
      <c r="BO359" s="260"/>
      <c r="BP359" s="259"/>
      <c r="BQ359" s="259"/>
      <c r="BR359" s="259"/>
      <c r="BS359" s="259"/>
      <c r="BT359" s="261" t="n">
        <f aca="false">SUM(BP359,BQ359,BR359,BS359)</f>
        <v>0</v>
      </c>
      <c r="BU359" s="259"/>
      <c r="BV359" s="259"/>
      <c r="BW359" s="259"/>
      <c r="BX359" s="259"/>
      <c r="BY359" s="261" t="n">
        <f aca="false">SUM(BU359,BV359,BW359,BX359)</f>
        <v>0</v>
      </c>
      <c r="BZ359" s="261"/>
      <c r="CA359" s="261"/>
      <c r="CB359" s="261"/>
      <c r="CC359" s="50"/>
    </row>
    <row r="360" s="157" customFormat="true" ht="15" hidden="false" customHeight="true" outlineLevel="0" collapsed="false">
      <c r="A360" s="244" t="s">
        <v>431</v>
      </c>
      <c r="B360" s="393"/>
      <c r="C360" s="357" t="n">
        <f aca="false">C356-SUM(C357:C359)</f>
        <v>-150.925</v>
      </c>
      <c r="D360" s="357" t="n">
        <f aca="false">D356-SUM(D357:D359)</f>
        <v>1021.82</v>
      </c>
      <c r="E360" s="357" t="n">
        <f aca="false">E356-SUM(E357:E359)</f>
        <v>1466.96</v>
      </c>
      <c r="F360" s="357" t="n">
        <f aca="false">F356-SUM(F357:F359)</f>
        <v>1146.316</v>
      </c>
      <c r="G360" s="357" t="n">
        <f aca="false">G356-SUM(G357:G359)</f>
        <v>1015.49</v>
      </c>
      <c r="H360" s="394" t="n">
        <f aca="false">H356-SUM(H357:H359)</f>
        <v>249.1</v>
      </c>
      <c r="I360" s="394" t="n">
        <f aca="false">I356-SUM(I357:I359)</f>
        <v>398.7</v>
      </c>
      <c r="J360" s="394" t="n">
        <f aca="false">J356-SUM(J357:J359)</f>
        <v>244</v>
      </c>
      <c r="K360" s="394" t="n">
        <f aca="false">K356-SUM(K357:K359)</f>
        <v>304.8</v>
      </c>
      <c r="L360" s="357" t="n">
        <f aca="false">L356-SUM(L357:L359)</f>
        <v>1196.64</v>
      </c>
      <c r="M360" s="394" t="n">
        <f aca="false">M356-SUM(M357:M359)</f>
        <v>402.7</v>
      </c>
      <c r="N360" s="394" t="n">
        <f aca="false">N356-SUM(N357:N359)</f>
        <v>369.7</v>
      </c>
      <c r="O360" s="394" t="n">
        <f aca="false">O356-SUM(O357:O359)</f>
        <v>322.4</v>
      </c>
      <c r="P360" s="394" t="n">
        <f aca="false">P356-SUM(P357:P359)</f>
        <v>292.4</v>
      </c>
      <c r="Q360" s="357" t="n">
        <f aca="false">Q356-SUM(Q357:Q359)</f>
        <v>1387.174</v>
      </c>
      <c r="R360" s="394" t="n">
        <f aca="false">R356-SUM(R357:R359)</f>
        <v>198</v>
      </c>
      <c r="S360" s="394" t="n">
        <f aca="false">S356-SUM(S357:S359)</f>
        <v>353.8</v>
      </c>
      <c r="T360" s="394" t="n">
        <f aca="false">T356-SUM(T357:T359)</f>
        <v>395.9</v>
      </c>
      <c r="U360" s="394" t="n">
        <f aca="false">U356-SUM(U357:U359)</f>
        <v>524.2</v>
      </c>
      <c r="V360" s="357" t="n">
        <f aca="false">V356-SUM(V357:V359)</f>
        <v>1471.9</v>
      </c>
      <c r="W360" s="394" t="n">
        <f aca="false">W356-SUM(W357:W359)</f>
        <v>452.1</v>
      </c>
      <c r="X360" s="394" t="n">
        <f aca="false">X356-SUM(X357:X359)</f>
        <v>466.3</v>
      </c>
      <c r="Y360" s="394" t="n">
        <f aca="false">Y356-SUM(Y357:Y359)</f>
        <v>557.1</v>
      </c>
      <c r="Z360" s="394" t="n">
        <f aca="false">Z356-SUM(Z357:Z359)</f>
        <v>643</v>
      </c>
      <c r="AA360" s="357" t="n">
        <f aca="false">AA356-SUM(AA357:AA359)</f>
        <v>2118.5</v>
      </c>
      <c r="AB360" s="394" t="n">
        <f aca="false">AB356-SUM(AB357:AB359)</f>
        <v>539.7</v>
      </c>
      <c r="AC360" s="394" t="n">
        <f aca="false">AC356-SUM(AC357:AC359)</f>
        <v>584</v>
      </c>
      <c r="AD360" s="394" t="n">
        <f aca="false">AD356-SUM(AD357:AD359)</f>
        <v>680.4</v>
      </c>
      <c r="AE360" s="394" t="n">
        <f aca="false">AE356-SUM(AE357:AE359)</f>
        <v>787.500000000001</v>
      </c>
      <c r="AF360" s="357" t="n">
        <f aca="false">AF356-SUM(AF357:AF359)</f>
        <v>2591.6</v>
      </c>
      <c r="AG360" s="394" t="n">
        <f aca="false">AG356-SUM(AG357:AG359)</f>
        <v>355.4</v>
      </c>
      <c r="AH360" s="394" t="n">
        <f aca="false">AH356-SUM(AH357:AH359)</f>
        <v>476</v>
      </c>
      <c r="AI360" s="394" t="n">
        <f aca="false">AI356-SUM(AI357:AI359)</f>
        <v>626.8</v>
      </c>
      <c r="AJ360" s="394" t="n">
        <f aca="false">AJ356-SUM(AJ357:AJ359)</f>
        <v>1134.1</v>
      </c>
      <c r="AK360" s="357" t="n">
        <f aca="false">AK356-SUM(AK357:AK359)</f>
        <v>2592.3</v>
      </c>
      <c r="AL360" s="394" t="n">
        <f aca="false">AL356-SUM(AL357:AL359)</f>
        <v>390.6</v>
      </c>
      <c r="AM360" s="394" t="n">
        <f aca="false">AM356-SUM(AM357:AM359)</f>
        <v>751</v>
      </c>
      <c r="AN360" s="394" t="n">
        <f aca="false">AN356-SUM(AN357:AN359)</f>
        <v>1061.5</v>
      </c>
      <c r="AO360" s="394" t="n">
        <f aca="false">AO356-SUM(AO357:AO359)</f>
        <v>1350.6</v>
      </c>
      <c r="AP360" s="357" t="n">
        <f aca="false">AP356-SUM(AP357:AP359)</f>
        <v>3553.7</v>
      </c>
      <c r="AQ360" s="394" t="n">
        <f aca="false">AQ356-SUM(AQ357:AQ359)</f>
        <v>1331.4</v>
      </c>
      <c r="AR360" s="394" t="n">
        <f aca="false">AR356-SUM(AR357:AR359)</f>
        <v>1038.2</v>
      </c>
      <c r="AS360" s="394" t="n">
        <f aca="false">AS356-SUM(AS357:AS359)</f>
        <v>1740.2</v>
      </c>
      <c r="AT360" s="394" t="n">
        <f aca="false">AT356-SUM(AT357:AT359)</f>
        <v>1773.4</v>
      </c>
      <c r="AU360" s="357" t="n">
        <f aca="false">AU356-SUM(AU357:AU359)</f>
        <v>5883.2</v>
      </c>
      <c r="AV360" s="394" t="n">
        <f aca="false">AV356-SUM(AV357:AV359)</f>
        <v>695.3</v>
      </c>
      <c r="AW360" s="394" t="n">
        <f aca="false">AW356-SUM(AW357:AW359)</f>
        <v>1410.9</v>
      </c>
      <c r="AX360" s="394" t="n">
        <f aca="false">AX356-SUM(AX357:AX359)</f>
        <v>1701.5</v>
      </c>
      <c r="AY360" s="394" t="n">
        <f aca="false">AY356-SUM(AY357:AY359)</f>
        <v>1816.5</v>
      </c>
      <c r="AZ360" s="357" t="n">
        <f aca="false">AZ356-SUM(AZ357:AZ359)</f>
        <v>5624.2</v>
      </c>
      <c r="BA360" s="394" t="n">
        <f aca="false">BA356-SUM(BA357:BA359)</f>
        <v>1955.8</v>
      </c>
      <c r="BB360" s="394" t="n">
        <f aca="false">BB356-SUM(BB357:BB359)</f>
        <v>1941.7</v>
      </c>
      <c r="BC360" s="394" t="n">
        <f aca="false">BC356-SUM(BC357:BC359)</f>
        <v>1893.4</v>
      </c>
      <c r="BD360" s="394" t="n">
        <f aca="false">BD356-SUM(BD357:BD359)</f>
        <v>2048.1</v>
      </c>
      <c r="BE360" s="357" t="n">
        <f aca="false">BE356-SUM(BE357:BE359)</f>
        <v>7839</v>
      </c>
      <c r="BF360" s="394" t="n">
        <f aca="false">BF356-SUM(BF357:BF359)</f>
        <v>1223.8</v>
      </c>
      <c r="BG360" s="394" t="n">
        <f aca="false">BG356-SUM(BG357:BG359)</f>
        <v>1577.9</v>
      </c>
      <c r="BH360" s="394" t="n">
        <f aca="false">BH356-SUM(BH357:BH359)</f>
        <v>2076.5</v>
      </c>
      <c r="BI360" s="394" t="n">
        <f aca="false">BI356-SUM(BI357:BI359)</f>
        <v>2693.4</v>
      </c>
      <c r="BJ360" s="357" t="n">
        <f aca="false">BJ356-SUM(BJ357:BJ359)</f>
        <v>7571.6</v>
      </c>
      <c r="BK360" s="394" t="n">
        <f aca="false">BK356-SUM(BK357:BK359)</f>
        <v>2355</v>
      </c>
      <c r="BL360" s="394" t="n">
        <f aca="false">BL356-SUM(BL357:BL359)</f>
        <v>2290.3</v>
      </c>
      <c r="BM360" s="394" t="n">
        <f aca="false">BM356-SUM(BM357:BM359)</f>
        <v>2124.5</v>
      </c>
      <c r="BN360" s="394" t="n">
        <f aca="false">BN356-SUM(BN357:BN359)</f>
        <v>2839.6</v>
      </c>
      <c r="BO360" s="395" t="n">
        <f aca="false">BO356-SUM(BO357:BO359)</f>
        <v>9609.4</v>
      </c>
      <c r="BP360" s="163" t="n">
        <f aca="false">BP356-SUM(BP357:BP359)</f>
        <v>2444.60603974122</v>
      </c>
      <c r="BQ360" s="163" t="n">
        <f aca="false">BQ356-SUM(BQ357:BQ359)</f>
        <v>2888.23413957748</v>
      </c>
      <c r="BR360" s="163" t="n">
        <f aca="false">BR356-SUM(BR357:BR359)</f>
        <v>2723.68903577873</v>
      </c>
      <c r="BS360" s="163" t="n">
        <f aca="false">BS356-SUM(BS357:BS359)</f>
        <v>2973.43577238699</v>
      </c>
      <c r="BT360" s="162" t="n">
        <f aca="false">BT356-SUM(BT357:BT359)</f>
        <v>11029.9649874844</v>
      </c>
      <c r="BU360" s="163" t="n">
        <f aca="false">BU356-SUM(BU357:BU359)</f>
        <v>2606.64839285746</v>
      </c>
      <c r="BV360" s="163" t="n">
        <f aca="false">BV356-SUM(BV357:BV359)</f>
        <v>3519.42685000929</v>
      </c>
      <c r="BW360" s="163" t="n">
        <f aca="false">BW356-SUM(BW357:BW359)</f>
        <v>3281.80062837639</v>
      </c>
      <c r="BX360" s="163" t="n">
        <f aca="false">BX356-SUM(BX357:BX359)</f>
        <v>3429.36816119764</v>
      </c>
      <c r="BY360" s="162" t="n">
        <f aca="false">BY356-SUM(BY357:BY359)</f>
        <v>12837.2440324408</v>
      </c>
      <c r="BZ360" s="162" t="n">
        <f aca="false">BZ356-SUM(BZ357:BZ359)</f>
        <v>15488.4289204566</v>
      </c>
      <c r="CA360" s="162" t="n">
        <f aca="false">CA356-SUM(CA357:CA359)</f>
        <v>16524.636711957</v>
      </c>
      <c r="CB360" s="162" t="n">
        <f aca="false">CB356-SUM(CB357:CB359)</f>
        <v>17634.2994082968</v>
      </c>
      <c r="CC360" s="156"/>
    </row>
    <row r="361" s="51" customFormat="true" ht="15" hidden="false" customHeight="true" outlineLevel="0" collapsed="false">
      <c r="A361" s="425" t="s">
        <v>432</v>
      </c>
      <c r="B361" s="426"/>
      <c r="C361" s="427"/>
      <c r="D361" s="427"/>
      <c r="E361" s="427"/>
      <c r="F361" s="427"/>
      <c r="G361" s="427"/>
      <c r="H361" s="428"/>
      <c r="I361" s="428"/>
      <c r="J361" s="428"/>
      <c r="K361" s="428"/>
      <c r="L361" s="427"/>
      <c r="M361" s="428"/>
      <c r="N361" s="428"/>
      <c r="O361" s="428"/>
      <c r="P361" s="428"/>
      <c r="Q361" s="427"/>
      <c r="R361" s="428"/>
      <c r="S361" s="428"/>
      <c r="T361" s="428"/>
      <c r="U361" s="428"/>
      <c r="V361" s="427"/>
      <c r="W361" s="428"/>
      <c r="X361" s="428"/>
      <c r="Y361" s="428"/>
      <c r="Z361" s="428"/>
      <c r="AA361" s="427"/>
      <c r="AB361" s="428"/>
      <c r="AC361" s="428"/>
      <c r="AD361" s="428"/>
      <c r="AE361" s="428"/>
      <c r="AF361" s="427"/>
      <c r="AG361" s="428"/>
      <c r="AH361" s="428"/>
      <c r="AI361" s="428"/>
      <c r="AJ361" s="428"/>
      <c r="AK361" s="427"/>
      <c r="AL361" s="428"/>
      <c r="AM361" s="428"/>
      <c r="AN361" s="428"/>
      <c r="AO361" s="428"/>
      <c r="AP361" s="427"/>
      <c r="AQ361" s="428"/>
      <c r="AR361" s="428"/>
      <c r="AS361" s="428"/>
      <c r="AT361" s="428"/>
      <c r="AU361" s="427"/>
      <c r="AV361" s="428"/>
      <c r="AW361" s="428"/>
      <c r="AX361" s="428"/>
      <c r="AY361" s="428"/>
      <c r="AZ361" s="427"/>
      <c r="BA361" s="428"/>
      <c r="BB361" s="428"/>
      <c r="BC361" s="428"/>
      <c r="BD361" s="428"/>
      <c r="BE361" s="427"/>
      <c r="BF361" s="428"/>
      <c r="BG361" s="428"/>
      <c r="BH361" s="428"/>
      <c r="BI361" s="428"/>
      <c r="BJ361" s="427"/>
      <c r="BK361" s="428"/>
      <c r="BL361" s="428"/>
      <c r="BM361" s="428"/>
      <c r="BN361" s="428"/>
      <c r="BO361" s="429"/>
      <c r="BP361" s="428"/>
      <c r="BQ361" s="428"/>
      <c r="BR361" s="428"/>
      <c r="BS361" s="428"/>
      <c r="BT361" s="427" t="n">
        <f aca="false">SUM(BP361,BQ361,BR361,BS361)</f>
        <v>0</v>
      </c>
      <c r="BU361" s="428"/>
      <c r="BV361" s="428"/>
      <c r="BW361" s="428"/>
      <c r="BX361" s="428"/>
      <c r="BY361" s="427" t="n">
        <f aca="false">SUM(BU361,BV361,BW361,BX361)</f>
        <v>0</v>
      </c>
      <c r="BZ361" s="427"/>
      <c r="CA361" s="427"/>
      <c r="CB361" s="427"/>
      <c r="CC361" s="50"/>
    </row>
    <row r="362" s="157" customFormat="true" ht="15" hidden="false" customHeight="true" outlineLevel="0" collapsed="false">
      <c r="A362" s="244" t="s">
        <v>433</v>
      </c>
      <c r="B362" s="393"/>
      <c r="C362" s="357" t="n">
        <f aca="false">C360-C361</f>
        <v>-150.925</v>
      </c>
      <c r="D362" s="357" t="n">
        <f aca="false">D360-D361</f>
        <v>1021.82</v>
      </c>
      <c r="E362" s="357" t="n">
        <f aca="false">E360-E361</f>
        <v>1466.96</v>
      </c>
      <c r="F362" s="357" t="n">
        <f aca="false">F360-F361</f>
        <v>1146.316</v>
      </c>
      <c r="G362" s="357" t="n">
        <f aca="false">G360-G361</f>
        <v>1015.49</v>
      </c>
      <c r="H362" s="394" t="n">
        <f aca="false">H360-H361</f>
        <v>249.1</v>
      </c>
      <c r="I362" s="394" t="n">
        <f aca="false">I360-I361</f>
        <v>398.7</v>
      </c>
      <c r="J362" s="394" t="n">
        <f aca="false">J360-J361</f>
        <v>244</v>
      </c>
      <c r="K362" s="394" t="n">
        <f aca="false">K360-K361</f>
        <v>304.8</v>
      </c>
      <c r="L362" s="357" t="n">
        <f aca="false">L360-L361</f>
        <v>1196.64</v>
      </c>
      <c r="M362" s="394" t="n">
        <f aca="false">M360-M361</f>
        <v>402.7</v>
      </c>
      <c r="N362" s="394" t="n">
        <f aca="false">N360-N361</f>
        <v>369.7</v>
      </c>
      <c r="O362" s="394" t="n">
        <f aca="false">O360-O361</f>
        <v>322.4</v>
      </c>
      <c r="P362" s="394" t="n">
        <f aca="false">P360-P361</f>
        <v>292.4</v>
      </c>
      <c r="Q362" s="357" t="n">
        <f aca="false">Q360-Q361</f>
        <v>1387.174</v>
      </c>
      <c r="R362" s="394" t="n">
        <f aca="false">R360-R361</f>
        <v>198</v>
      </c>
      <c r="S362" s="394" t="n">
        <f aca="false">S360-S361</f>
        <v>353.8</v>
      </c>
      <c r="T362" s="394" t="n">
        <f aca="false">T360-T361</f>
        <v>395.9</v>
      </c>
      <c r="U362" s="394" t="n">
        <f aca="false">U360-U361</f>
        <v>524.2</v>
      </c>
      <c r="V362" s="357" t="n">
        <f aca="false">V360-V361</f>
        <v>1471.9</v>
      </c>
      <c r="W362" s="394" t="n">
        <f aca="false">W360-W361</f>
        <v>452.1</v>
      </c>
      <c r="X362" s="394" t="n">
        <f aca="false">X360-X361</f>
        <v>466.3</v>
      </c>
      <c r="Y362" s="394" t="n">
        <f aca="false">Y360-Y361</f>
        <v>557.1</v>
      </c>
      <c r="Z362" s="394" t="n">
        <f aca="false">Z360-Z361</f>
        <v>643</v>
      </c>
      <c r="AA362" s="357" t="n">
        <f aca="false">AA360-AA361</f>
        <v>2118.5</v>
      </c>
      <c r="AB362" s="394" t="n">
        <f aca="false">AB360-AB361</f>
        <v>539.7</v>
      </c>
      <c r="AC362" s="394" t="n">
        <f aca="false">AC360-AC361</f>
        <v>584</v>
      </c>
      <c r="AD362" s="394" t="n">
        <f aca="false">AD360-AD361</f>
        <v>680.4</v>
      </c>
      <c r="AE362" s="394" t="n">
        <f aca="false">AE360-AE361</f>
        <v>787.500000000001</v>
      </c>
      <c r="AF362" s="357" t="n">
        <f aca="false">AF360-AF361</f>
        <v>2591.6</v>
      </c>
      <c r="AG362" s="394" t="n">
        <f aca="false">AG360-AG361</f>
        <v>355.4</v>
      </c>
      <c r="AH362" s="394" t="n">
        <f aca="false">AH360-AH361</f>
        <v>476</v>
      </c>
      <c r="AI362" s="394" t="n">
        <f aca="false">AI360-AI361</f>
        <v>626.8</v>
      </c>
      <c r="AJ362" s="394" t="n">
        <f aca="false">AJ360-AJ361</f>
        <v>1134.1</v>
      </c>
      <c r="AK362" s="357" t="n">
        <f aca="false">AK360-AK361</f>
        <v>2592.3</v>
      </c>
      <c r="AL362" s="394" t="n">
        <f aca="false">AL360-AL361</f>
        <v>390.6</v>
      </c>
      <c r="AM362" s="394" t="n">
        <f aca="false">AM360-AM361</f>
        <v>751</v>
      </c>
      <c r="AN362" s="394" t="n">
        <f aca="false">AN360-AN361</f>
        <v>1061.5</v>
      </c>
      <c r="AO362" s="394" t="n">
        <f aca="false">AO360-AO361</f>
        <v>1350.6</v>
      </c>
      <c r="AP362" s="357" t="n">
        <f aca="false">AP360-AP361</f>
        <v>3553.7</v>
      </c>
      <c r="AQ362" s="394" t="n">
        <f aca="false">AQ360-AQ361</f>
        <v>1331.4</v>
      </c>
      <c r="AR362" s="394" t="n">
        <f aca="false">AR360-AR361</f>
        <v>1038.2</v>
      </c>
      <c r="AS362" s="394" t="n">
        <f aca="false">AS360-AS361</f>
        <v>1740.2</v>
      </c>
      <c r="AT362" s="394" t="n">
        <f aca="false">AT360-AT361</f>
        <v>1773.4</v>
      </c>
      <c r="AU362" s="357" t="n">
        <f aca="false">AU360-AU361</f>
        <v>5883.2</v>
      </c>
      <c r="AV362" s="394" t="n">
        <f aca="false">AV360-AV361</f>
        <v>695.3</v>
      </c>
      <c r="AW362" s="394" t="n">
        <f aca="false">AW360-AW361</f>
        <v>1410.9</v>
      </c>
      <c r="AX362" s="394" t="n">
        <f aca="false">AX360-AX361</f>
        <v>1701.5</v>
      </c>
      <c r="AY362" s="394" t="n">
        <f aca="false">AY360-AY361</f>
        <v>1816.5</v>
      </c>
      <c r="AZ362" s="357" t="n">
        <f aca="false">AZ360-AZ361</f>
        <v>5624.2</v>
      </c>
      <c r="BA362" s="394" t="n">
        <f aca="false">BA360-BA361</f>
        <v>1955.8</v>
      </c>
      <c r="BB362" s="394" t="n">
        <f aca="false">BB360-BB361</f>
        <v>1941.7</v>
      </c>
      <c r="BC362" s="394" t="n">
        <f aca="false">BC360-BC361</f>
        <v>1893.4</v>
      </c>
      <c r="BD362" s="394" t="n">
        <f aca="false">BD360-BD361</f>
        <v>2048.1</v>
      </c>
      <c r="BE362" s="357" t="n">
        <f aca="false">BE360-BE361</f>
        <v>7839</v>
      </c>
      <c r="BF362" s="394" t="n">
        <f aca="false">BF360-BF361</f>
        <v>1223.8</v>
      </c>
      <c r="BG362" s="394" t="n">
        <f aca="false">BG360-BG361</f>
        <v>1577.9</v>
      </c>
      <c r="BH362" s="394" t="n">
        <f aca="false">BH360-BH361</f>
        <v>2076.5</v>
      </c>
      <c r="BI362" s="394" t="n">
        <f aca="false">BI360-BI361</f>
        <v>2693.4</v>
      </c>
      <c r="BJ362" s="357" t="n">
        <f aca="false">BJ360-BJ361</f>
        <v>7571.6</v>
      </c>
      <c r="BK362" s="394" t="n">
        <f aca="false">BK360-BK361</f>
        <v>2355</v>
      </c>
      <c r="BL362" s="394" t="n">
        <f aca="false">BL360-BL361</f>
        <v>2290.3</v>
      </c>
      <c r="BM362" s="394" t="n">
        <f aca="false">BM360-BM361</f>
        <v>2124.5</v>
      </c>
      <c r="BN362" s="394" t="n">
        <f aca="false">BN360-BN361</f>
        <v>2839.6</v>
      </c>
      <c r="BO362" s="395" t="n">
        <f aca="false">BO360-BO361</f>
        <v>9609.4</v>
      </c>
      <c r="BP362" s="163" t="n">
        <f aca="false">BP360-BP361</f>
        <v>2444.60603974122</v>
      </c>
      <c r="BQ362" s="163" t="n">
        <f aca="false">BQ360-BQ361</f>
        <v>2888.23413957748</v>
      </c>
      <c r="BR362" s="163" t="n">
        <f aca="false">BR360-BR361</f>
        <v>2723.68903577873</v>
      </c>
      <c r="BS362" s="163" t="n">
        <f aca="false">BS360-BS361</f>
        <v>2973.43577238699</v>
      </c>
      <c r="BT362" s="162" t="n">
        <f aca="false">BT360-BT361</f>
        <v>11029.9649874844</v>
      </c>
      <c r="BU362" s="163" t="n">
        <f aca="false">BU360-BU361</f>
        <v>2606.64839285746</v>
      </c>
      <c r="BV362" s="163" t="n">
        <f aca="false">BV360-BV361</f>
        <v>3519.42685000929</v>
      </c>
      <c r="BW362" s="163" t="n">
        <f aca="false">BW360-BW361</f>
        <v>3281.80062837639</v>
      </c>
      <c r="BX362" s="163" t="n">
        <f aca="false">BX360-BX361</f>
        <v>3429.36816119764</v>
      </c>
      <c r="BY362" s="162" t="n">
        <f aca="false">BY360-BY361</f>
        <v>12837.2440324408</v>
      </c>
      <c r="BZ362" s="162" t="n">
        <f aca="false">BZ360-BZ361</f>
        <v>15488.4289204566</v>
      </c>
      <c r="CA362" s="162" t="n">
        <f aca="false">CA360-CA361</f>
        <v>16524.636711957</v>
      </c>
      <c r="CB362" s="162" t="n">
        <f aca="false">CB360-CB361</f>
        <v>17634.2994082968</v>
      </c>
      <c r="CC362" s="156"/>
    </row>
    <row r="363" s="51" customFormat="true" ht="15" hidden="false" customHeight="true" outlineLevel="0" collapsed="false">
      <c r="A363" s="430" t="s">
        <v>434</v>
      </c>
      <c r="B363" s="431"/>
      <c r="C363" s="413"/>
      <c r="D363" s="413"/>
      <c r="E363" s="413"/>
      <c r="F363" s="413"/>
      <c r="G363" s="413"/>
      <c r="H363" s="414"/>
      <c r="I363" s="414"/>
      <c r="J363" s="414"/>
      <c r="K363" s="414"/>
      <c r="L363" s="413"/>
      <c r="M363" s="414"/>
      <c r="N363" s="414"/>
      <c r="O363" s="414"/>
      <c r="P363" s="414"/>
      <c r="Q363" s="413"/>
      <c r="R363" s="414"/>
      <c r="S363" s="414"/>
      <c r="T363" s="414"/>
      <c r="U363" s="414"/>
      <c r="V363" s="413"/>
      <c r="W363" s="414"/>
      <c r="X363" s="414"/>
      <c r="Y363" s="414"/>
      <c r="Z363" s="414"/>
      <c r="AA363" s="413"/>
      <c r="AB363" s="414"/>
      <c r="AC363" s="414"/>
      <c r="AD363" s="414"/>
      <c r="AE363" s="414"/>
      <c r="AF363" s="413"/>
      <c r="AG363" s="414"/>
      <c r="AH363" s="414"/>
      <c r="AI363" s="414"/>
      <c r="AJ363" s="414"/>
      <c r="AK363" s="413"/>
      <c r="AL363" s="414"/>
      <c r="AM363" s="414"/>
      <c r="AN363" s="414"/>
      <c r="AO363" s="414"/>
      <c r="AP363" s="413"/>
      <c r="AQ363" s="414"/>
      <c r="AR363" s="414"/>
      <c r="AS363" s="414"/>
      <c r="AT363" s="414"/>
      <c r="AU363" s="413"/>
      <c r="AV363" s="414"/>
      <c r="AW363" s="414"/>
      <c r="AX363" s="414"/>
      <c r="AY363" s="414"/>
      <c r="AZ363" s="413"/>
      <c r="BA363" s="414"/>
      <c r="BB363" s="414"/>
      <c r="BC363" s="414"/>
      <c r="BD363" s="414"/>
      <c r="BE363" s="413"/>
      <c r="BF363" s="414"/>
      <c r="BG363" s="414"/>
      <c r="BH363" s="414"/>
      <c r="BI363" s="414"/>
      <c r="BJ363" s="413"/>
      <c r="BK363" s="414"/>
      <c r="BL363" s="414"/>
      <c r="BM363" s="414"/>
      <c r="BN363" s="414"/>
      <c r="BO363" s="415"/>
      <c r="BP363" s="414"/>
      <c r="BQ363" s="414"/>
      <c r="BR363" s="414"/>
      <c r="BS363" s="414"/>
      <c r="BT363" s="413" t="n">
        <f aca="false">SUM(BP363,BQ363,BR363,BS363)</f>
        <v>0</v>
      </c>
      <c r="BU363" s="414"/>
      <c r="BV363" s="414"/>
      <c r="BW363" s="414"/>
      <c r="BX363" s="414"/>
      <c r="BY363" s="413" t="n">
        <f aca="false">SUM(BU363,BV363,BW363,BX363)</f>
        <v>0</v>
      </c>
      <c r="BZ363" s="413"/>
      <c r="CA363" s="413"/>
      <c r="CB363" s="413"/>
      <c r="CC363" s="50"/>
    </row>
    <row r="364" s="51" customFormat="true" ht="15" hidden="false" customHeight="true" outlineLevel="0" collapsed="false">
      <c r="A364" s="251" t="s">
        <v>435</v>
      </c>
      <c r="B364" s="257"/>
      <c r="C364" s="261"/>
      <c r="D364" s="261"/>
      <c r="E364" s="261"/>
      <c r="F364" s="261"/>
      <c r="G364" s="261"/>
      <c r="H364" s="259"/>
      <c r="I364" s="259"/>
      <c r="J364" s="259"/>
      <c r="K364" s="259"/>
      <c r="L364" s="261"/>
      <c r="M364" s="259"/>
      <c r="N364" s="259"/>
      <c r="O364" s="259"/>
      <c r="P364" s="259"/>
      <c r="Q364" s="261"/>
      <c r="R364" s="259"/>
      <c r="S364" s="259"/>
      <c r="T364" s="259"/>
      <c r="U364" s="259"/>
      <c r="V364" s="261"/>
      <c r="W364" s="259"/>
      <c r="X364" s="259"/>
      <c r="Y364" s="259"/>
      <c r="Z364" s="259"/>
      <c r="AA364" s="261"/>
      <c r="AB364" s="259"/>
      <c r="AC364" s="259"/>
      <c r="AD364" s="259"/>
      <c r="AE364" s="259"/>
      <c r="AF364" s="261"/>
      <c r="AG364" s="259"/>
      <c r="AH364" s="259"/>
      <c r="AI364" s="259"/>
      <c r="AJ364" s="259"/>
      <c r="AK364" s="261"/>
      <c r="AL364" s="259"/>
      <c r="AM364" s="259"/>
      <c r="AN364" s="259"/>
      <c r="AO364" s="259"/>
      <c r="AP364" s="261"/>
      <c r="AQ364" s="259"/>
      <c r="AR364" s="259"/>
      <c r="AS364" s="259"/>
      <c r="AT364" s="259"/>
      <c r="AU364" s="261"/>
      <c r="AV364" s="259"/>
      <c r="AW364" s="259"/>
      <c r="AX364" s="259"/>
      <c r="AY364" s="259"/>
      <c r="AZ364" s="261"/>
      <c r="BA364" s="259"/>
      <c r="BB364" s="259"/>
      <c r="BC364" s="259"/>
      <c r="BD364" s="259"/>
      <c r="BE364" s="261"/>
      <c r="BF364" s="259"/>
      <c r="BG364" s="259"/>
      <c r="BH364" s="259"/>
      <c r="BI364" s="259"/>
      <c r="BJ364" s="261"/>
      <c r="BK364" s="259"/>
      <c r="BL364" s="259"/>
      <c r="BM364" s="259"/>
      <c r="BN364" s="259"/>
      <c r="BO364" s="260"/>
      <c r="BP364" s="259"/>
      <c r="BQ364" s="259"/>
      <c r="BR364" s="259"/>
      <c r="BS364" s="259"/>
      <c r="BT364" s="261" t="n">
        <f aca="false">SUM(BP364,BQ364,BR364,BS364)</f>
        <v>0</v>
      </c>
      <c r="BU364" s="259"/>
      <c r="BV364" s="259"/>
      <c r="BW364" s="259"/>
      <c r="BX364" s="259"/>
      <c r="BY364" s="261" t="n">
        <f aca="false">SUM(BU364,BV364,BW364,BX364)</f>
        <v>0</v>
      </c>
      <c r="BZ364" s="261"/>
      <c r="CA364" s="261"/>
      <c r="CB364" s="261"/>
      <c r="CC364" s="50"/>
    </row>
    <row r="365" s="157" customFormat="true" ht="15" hidden="false" customHeight="true" outlineLevel="0" collapsed="false">
      <c r="A365" s="244" t="s">
        <v>436</v>
      </c>
      <c r="B365" s="393"/>
      <c r="C365" s="357" t="n">
        <f aca="false">C356-SUM(C363:C364)</f>
        <v>-150.925</v>
      </c>
      <c r="D365" s="357" t="n">
        <f aca="false">D356-SUM(D363:D364)</f>
        <v>1021.82</v>
      </c>
      <c r="E365" s="357" t="n">
        <f aca="false">E356-SUM(E363:E364)</f>
        <v>1466.96</v>
      </c>
      <c r="F365" s="357" t="n">
        <f aca="false">F356-SUM(F363:F364)</f>
        <v>1146.316</v>
      </c>
      <c r="G365" s="357" t="n">
        <f aca="false">G356-SUM(G363:G364)</f>
        <v>1015.49</v>
      </c>
      <c r="H365" s="394" t="n">
        <f aca="false">H356-SUM(H363:H364)</f>
        <v>249.1</v>
      </c>
      <c r="I365" s="394" t="n">
        <f aca="false">I356-SUM(I363:I364)</f>
        <v>398.7</v>
      </c>
      <c r="J365" s="394" t="n">
        <f aca="false">J356-SUM(J363:J364)</f>
        <v>244</v>
      </c>
      <c r="K365" s="394" t="n">
        <f aca="false">K356-SUM(K363:K364)</f>
        <v>304.8</v>
      </c>
      <c r="L365" s="357" t="n">
        <f aca="false">L356-SUM(L363:L364)</f>
        <v>1196.64</v>
      </c>
      <c r="M365" s="394" t="n">
        <f aca="false">M356-SUM(M363:M364)</f>
        <v>402.7</v>
      </c>
      <c r="N365" s="394" t="n">
        <f aca="false">N356-SUM(N363:N364)</f>
        <v>369.7</v>
      </c>
      <c r="O365" s="394" t="n">
        <f aca="false">O356-SUM(O363:O364)</f>
        <v>322.4</v>
      </c>
      <c r="P365" s="394" t="n">
        <f aca="false">P356-SUM(P363:P364)</f>
        <v>292.4</v>
      </c>
      <c r="Q365" s="357" t="n">
        <f aca="false">Q356-SUM(Q363:Q364)</f>
        <v>1387.174</v>
      </c>
      <c r="R365" s="394" t="n">
        <f aca="false">R356-SUM(R363:R364)</f>
        <v>198</v>
      </c>
      <c r="S365" s="394" t="n">
        <f aca="false">S356-SUM(S363:S364)</f>
        <v>353.8</v>
      </c>
      <c r="T365" s="394" t="n">
        <f aca="false">T356-SUM(T363:T364)</f>
        <v>395.9</v>
      </c>
      <c r="U365" s="394" t="n">
        <f aca="false">U356-SUM(U363:U364)</f>
        <v>524.2</v>
      </c>
      <c r="V365" s="357" t="n">
        <f aca="false">V356-SUM(V363:V364)</f>
        <v>1471.9</v>
      </c>
      <c r="W365" s="394" t="n">
        <f aca="false">W356-SUM(W363:W364)</f>
        <v>452.1</v>
      </c>
      <c r="X365" s="394" t="n">
        <f aca="false">X356-SUM(X363:X364)</f>
        <v>466.3</v>
      </c>
      <c r="Y365" s="394" t="n">
        <f aca="false">Y356-SUM(Y363:Y364)</f>
        <v>557.1</v>
      </c>
      <c r="Z365" s="394" t="n">
        <f aca="false">Z356-SUM(Z363:Z364)</f>
        <v>643</v>
      </c>
      <c r="AA365" s="357" t="n">
        <f aca="false">AA356-SUM(AA363:AA364)</f>
        <v>2118.5</v>
      </c>
      <c r="AB365" s="394" t="n">
        <f aca="false">AB356-SUM(AB363:AB364)</f>
        <v>539.7</v>
      </c>
      <c r="AC365" s="394" t="n">
        <f aca="false">AC356-SUM(AC363:AC364)</f>
        <v>584</v>
      </c>
      <c r="AD365" s="394" t="n">
        <f aca="false">AD356-SUM(AD363:AD364)</f>
        <v>680.4</v>
      </c>
      <c r="AE365" s="394" t="n">
        <f aca="false">AE356-SUM(AE363:AE364)</f>
        <v>787.500000000001</v>
      </c>
      <c r="AF365" s="357" t="n">
        <f aca="false">AF356-SUM(AF363:AF364)</f>
        <v>2591.6</v>
      </c>
      <c r="AG365" s="394" t="n">
        <f aca="false">AG356-SUM(AG363:AG364)</f>
        <v>355.4</v>
      </c>
      <c r="AH365" s="394" t="n">
        <f aca="false">AH356-SUM(AH363:AH364)</f>
        <v>476</v>
      </c>
      <c r="AI365" s="394" t="n">
        <f aca="false">AI356-SUM(AI363:AI364)</f>
        <v>626.8</v>
      </c>
      <c r="AJ365" s="394" t="n">
        <f aca="false">AJ356-SUM(AJ363:AJ364)</f>
        <v>1134.1</v>
      </c>
      <c r="AK365" s="357" t="n">
        <f aca="false">AK356-SUM(AK363:AK364)</f>
        <v>2592.3</v>
      </c>
      <c r="AL365" s="394" t="n">
        <f aca="false">AL356-SUM(AL363:AL364)</f>
        <v>390.6</v>
      </c>
      <c r="AM365" s="394" t="n">
        <f aca="false">AM356-SUM(AM363:AM364)</f>
        <v>751</v>
      </c>
      <c r="AN365" s="394" t="n">
        <f aca="false">AN356-SUM(AN363:AN364)</f>
        <v>1061.5</v>
      </c>
      <c r="AO365" s="394" t="n">
        <f aca="false">AO356-SUM(AO363:AO364)</f>
        <v>1350.6</v>
      </c>
      <c r="AP365" s="357" t="n">
        <f aca="false">AP356-SUM(AP363:AP364)</f>
        <v>3553.7</v>
      </c>
      <c r="AQ365" s="394" t="n">
        <f aca="false">AQ356-SUM(AQ363:AQ364)</f>
        <v>1331.4</v>
      </c>
      <c r="AR365" s="394" t="n">
        <f aca="false">AR356-SUM(AR363:AR364)</f>
        <v>1038.2</v>
      </c>
      <c r="AS365" s="394" t="n">
        <f aca="false">AS356-SUM(AS363:AS364)</f>
        <v>1740.2</v>
      </c>
      <c r="AT365" s="394" t="n">
        <f aca="false">AT356-SUM(AT363:AT364)</f>
        <v>1773.4</v>
      </c>
      <c r="AU365" s="357" t="n">
        <f aca="false">AU356-SUM(AU363:AU364)</f>
        <v>5883.2</v>
      </c>
      <c r="AV365" s="394" t="n">
        <f aca="false">AV356-SUM(AV363:AV364)</f>
        <v>695.3</v>
      </c>
      <c r="AW365" s="394" t="n">
        <f aca="false">AW356-SUM(AW363:AW364)</f>
        <v>1410.9</v>
      </c>
      <c r="AX365" s="394" t="n">
        <f aca="false">AX356-SUM(AX363:AX364)</f>
        <v>1701.5</v>
      </c>
      <c r="AY365" s="394" t="n">
        <f aca="false">AY356-SUM(AY363:AY364)</f>
        <v>1816.5</v>
      </c>
      <c r="AZ365" s="357" t="n">
        <f aca="false">AZ356-SUM(AZ363:AZ364)</f>
        <v>5624.2</v>
      </c>
      <c r="BA365" s="394" t="n">
        <f aca="false">BA356-SUM(BA363:BA364)</f>
        <v>1955.8</v>
      </c>
      <c r="BB365" s="394" t="n">
        <f aca="false">BB356-SUM(BB363:BB364)</f>
        <v>1941.7</v>
      </c>
      <c r="BC365" s="394" t="n">
        <f aca="false">BC356-SUM(BC363:BC364)</f>
        <v>1893.4</v>
      </c>
      <c r="BD365" s="394" t="n">
        <f aca="false">BD356-SUM(BD363:BD364)</f>
        <v>2048.1</v>
      </c>
      <c r="BE365" s="357" t="n">
        <f aca="false">BE356-SUM(BE363:BE364)</f>
        <v>7839</v>
      </c>
      <c r="BF365" s="394" t="n">
        <f aca="false">BF356-SUM(BF363:BF364)</f>
        <v>1223.8</v>
      </c>
      <c r="BG365" s="394" t="n">
        <f aca="false">BG356-SUM(BG363:BG364)</f>
        <v>1577.9</v>
      </c>
      <c r="BH365" s="394" t="n">
        <f aca="false">BH356-SUM(BH363:BH364)</f>
        <v>2076.5</v>
      </c>
      <c r="BI365" s="394" t="n">
        <f aca="false">BI356-SUM(BI363:BI364)</f>
        <v>2693.4</v>
      </c>
      <c r="BJ365" s="357" t="n">
        <f aca="false">BJ356-SUM(BJ363:BJ364)</f>
        <v>7571.6</v>
      </c>
      <c r="BK365" s="394" t="n">
        <f aca="false">BK356-SUM(BK363:BK364)</f>
        <v>2355</v>
      </c>
      <c r="BL365" s="394" t="n">
        <f aca="false">BL356-SUM(BL363:BL364)</f>
        <v>2290.3</v>
      </c>
      <c r="BM365" s="394" t="n">
        <f aca="false">BM356-SUM(BM363:BM364)</f>
        <v>2124.5</v>
      </c>
      <c r="BN365" s="394" t="n">
        <f aca="false">BN356-SUM(BN363:BN364)</f>
        <v>2839.6</v>
      </c>
      <c r="BO365" s="395" t="n">
        <f aca="false">BO356-SUM(BO363:BO364)</f>
        <v>9609.4</v>
      </c>
      <c r="BP365" s="163" t="n">
        <f aca="false">BP356-SUM(BP363:BP364)</f>
        <v>2444.60603974122</v>
      </c>
      <c r="BQ365" s="163" t="n">
        <f aca="false">BQ356-SUM(BQ363:BQ364)</f>
        <v>2888.23413957748</v>
      </c>
      <c r="BR365" s="163" t="n">
        <f aca="false">BR356-SUM(BR363:BR364)</f>
        <v>2723.68903577873</v>
      </c>
      <c r="BS365" s="163" t="n">
        <f aca="false">BS356-SUM(BS363:BS364)</f>
        <v>2973.43577238699</v>
      </c>
      <c r="BT365" s="162" t="n">
        <f aca="false">BT356-SUM(BT363:BT364)</f>
        <v>11029.9649874844</v>
      </c>
      <c r="BU365" s="163" t="n">
        <f aca="false">BU356-SUM(BU363:BU364)</f>
        <v>2606.64839285746</v>
      </c>
      <c r="BV365" s="163" t="n">
        <f aca="false">BV356-SUM(BV363:BV364)</f>
        <v>3519.42685000929</v>
      </c>
      <c r="BW365" s="163" t="n">
        <f aca="false">BW356-SUM(BW363:BW364)</f>
        <v>3281.80062837639</v>
      </c>
      <c r="BX365" s="163" t="n">
        <f aca="false">BX356-SUM(BX363:BX364)</f>
        <v>3429.36816119764</v>
      </c>
      <c r="BY365" s="162" t="n">
        <f aca="false">BY356-SUM(BY363:BY364)</f>
        <v>12837.2440324408</v>
      </c>
      <c r="BZ365" s="162" t="n">
        <f aca="false">BZ356-SUM(BZ363:BZ364)</f>
        <v>15488.4289204566</v>
      </c>
      <c r="CA365" s="162" t="n">
        <f aca="false">CA356-SUM(CA363:CA364)</f>
        <v>16524.636711957</v>
      </c>
      <c r="CB365" s="162" t="n">
        <f aca="false">CB356-SUM(CB363:CB364)</f>
        <v>17634.2994082968</v>
      </c>
      <c r="CC365" s="156"/>
    </row>
    <row r="366" s="157" customFormat="true" ht="15" hidden="false" customHeight="true" outlineLevel="0" collapsed="false">
      <c r="A366" s="432"/>
      <c r="B366" s="393"/>
      <c r="C366" s="162"/>
      <c r="D366" s="162"/>
      <c r="E366" s="162"/>
      <c r="F366" s="162"/>
      <c r="G366" s="162"/>
      <c r="H366" s="163"/>
      <c r="I366" s="163"/>
      <c r="J366" s="163"/>
      <c r="K366" s="163"/>
      <c r="L366" s="162"/>
      <c r="M366" s="163"/>
      <c r="N366" s="163"/>
      <c r="O366" s="163"/>
      <c r="P366" s="163"/>
      <c r="Q366" s="162"/>
      <c r="R366" s="163"/>
      <c r="S366" s="163"/>
      <c r="T366" s="163"/>
      <c r="U366" s="163"/>
      <c r="V366" s="162"/>
      <c r="W366" s="163"/>
      <c r="X366" s="163"/>
      <c r="Y366" s="163"/>
      <c r="Z366" s="163"/>
      <c r="AA366" s="162"/>
      <c r="AB366" s="163"/>
      <c r="AC366" s="163"/>
      <c r="AD366" s="163"/>
      <c r="AE366" s="163"/>
      <c r="AF366" s="162"/>
      <c r="AG366" s="163"/>
      <c r="AH366" s="163"/>
      <c r="AI366" s="163"/>
      <c r="AJ366" s="163"/>
      <c r="AK366" s="162"/>
      <c r="AL366" s="163"/>
      <c r="AM366" s="163"/>
      <c r="AN366" s="163"/>
      <c r="AO366" s="163"/>
      <c r="AP366" s="162"/>
      <c r="AQ366" s="163"/>
      <c r="AR366" s="163"/>
      <c r="AS366" s="163"/>
      <c r="AT366" s="163"/>
      <c r="AU366" s="162"/>
      <c r="AV366" s="163"/>
      <c r="AW366" s="163"/>
      <c r="AX366" s="163"/>
      <c r="AY366" s="163"/>
      <c r="AZ366" s="162"/>
      <c r="BA366" s="163"/>
      <c r="BB366" s="163"/>
      <c r="BC366" s="163"/>
      <c r="BD366" s="163"/>
      <c r="BE366" s="162"/>
      <c r="BF366" s="163"/>
      <c r="BG366" s="163"/>
      <c r="BH366" s="163"/>
      <c r="BI366" s="163"/>
      <c r="BJ366" s="162"/>
      <c r="BK366" s="163"/>
      <c r="BL366" s="163"/>
      <c r="BM366" s="163"/>
      <c r="BN366" s="163"/>
      <c r="BO366" s="164"/>
      <c r="BP366" s="163"/>
      <c r="BQ366" s="163"/>
      <c r="BR366" s="163"/>
      <c r="BS366" s="163"/>
      <c r="BT366" s="162"/>
      <c r="BU366" s="163"/>
      <c r="BV366" s="163"/>
      <c r="BW366" s="163"/>
      <c r="BX366" s="163"/>
      <c r="BY366" s="162"/>
      <c r="BZ366" s="162"/>
      <c r="CA366" s="162"/>
      <c r="CB366" s="162"/>
      <c r="CC366" s="156"/>
    </row>
    <row r="367" s="84" customFormat="true" ht="15" hidden="false" customHeight="true" outlineLevel="0" collapsed="false">
      <c r="A367" s="374" t="s">
        <v>437</v>
      </c>
      <c r="B367" s="433"/>
      <c r="C367" s="434" t="n">
        <f aca="false">C354/C352</f>
        <v>-0.167869425823375</v>
      </c>
      <c r="D367" s="434" t="n">
        <f aca="false">D354/D352</f>
        <v>0.155047431717562</v>
      </c>
      <c r="E367" s="434" t="n">
        <f aca="false">E354/E352</f>
        <v>0.0718321520530621</v>
      </c>
      <c r="F367" s="434" t="n">
        <f aca="false">F354/F352</f>
        <v>0.0666065229823619</v>
      </c>
      <c r="G367" s="434" t="n">
        <f aca="false">G354/G352</f>
        <v>0.0299420504808608</v>
      </c>
      <c r="H367" s="374" t="n">
        <f aca="false">H354/H352</f>
        <v>0.166856708475865</v>
      </c>
      <c r="I367" s="374" t="n">
        <f aca="false">I354/I352</f>
        <v>0.0337264150943396</v>
      </c>
      <c r="J367" s="374" t="n">
        <f aca="false">J354/J352</f>
        <v>0.209714726291442</v>
      </c>
      <c r="K367" s="374" t="n">
        <f aca="false">K354/K352</f>
        <v>0.0716906144909814</v>
      </c>
      <c r="L367" s="434" t="n">
        <f aca="false">L354/L352</f>
        <v>0.106816317076714</v>
      </c>
      <c r="M367" s="374" t="n">
        <f aca="false">M354/M352</f>
        <v>0.0729765590446705</v>
      </c>
      <c r="N367" s="374" t="n">
        <f aca="false">N354/N352</f>
        <v>0.131179165661924</v>
      </c>
      <c r="O367" s="374" t="n">
        <f aca="false">O354/O352</f>
        <v>0.0130363932645301</v>
      </c>
      <c r="P367" s="374" t="n">
        <f aca="false">P354/P352</f>
        <v>0.076079744816587</v>
      </c>
      <c r="Q367" s="434" t="n">
        <f aca="false">Q354/Q352</f>
        <v>0.0749680360579097</v>
      </c>
      <c r="R367" s="374" t="n">
        <f aca="false">R354/R352</f>
        <v>0.137700534759358</v>
      </c>
      <c r="S367" s="374" t="n">
        <f aca="false">S354/S352</f>
        <v>0.133300049925112</v>
      </c>
      <c r="T367" s="374" t="n">
        <f aca="false">T354/T352</f>
        <v>0.0619449859215941</v>
      </c>
      <c r="U367" s="374" t="n">
        <f aca="false">U354/U352</f>
        <v>0.177277989085497</v>
      </c>
      <c r="V367" s="434" t="n">
        <f aca="false">V354/V352</f>
        <v>0.130128887312286</v>
      </c>
      <c r="W367" s="374" t="n">
        <f aca="false">W354/W352</f>
        <v>0.100441713078548</v>
      </c>
      <c r="X367" s="374" t="n">
        <f aca="false">X354/X352</f>
        <v>0.147155963302752</v>
      </c>
      <c r="Y367" s="374" t="n">
        <f aca="false">Y354/Y352</f>
        <v>0.143834551391696</v>
      </c>
      <c r="Z367" s="374" t="n">
        <f aca="false">Z354/Z352</f>
        <v>0.129511382565242</v>
      </c>
      <c r="AA367" s="434" t="n">
        <f aca="false">AA354/AA352</f>
        <v>0.131030792030298</v>
      </c>
      <c r="AB367" s="374" t="n">
        <f aca="false">AB354/AB352</f>
        <v>0.107148672854584</v>
      </c>
      <c r="AC367" s="374" t="n">
        <f aca="false">AC354/AC352</f>
        <v>0.112075198843095</v>
      </c>
      <c r="AD367" s="374" t="n">
        <f aca="false">AD354/AD352</f>
        <v>0.20962962962963</v>
      </c>
      <c r="AE367" s="374" t="n">
        <f aca="false">AE354/AE352</f>
        <v>0.334702754954084</v>
      </c>
      <c r="AF367" s="434" t="n">
        <f aca="false">AF354/AF352</f>
        <v>0.200496058711606</v>
      </c>
      <c r="AG367" s="374" t="n">
        <f aca="false">AG354/AG352</f>
        <v>0.175827423167849</v>
      </c>
      <c r="AH367" s="374" t="n">
        <f aca="false">AH354/AH352</f>
        <v>0.170066653201373</v>
      </c>
      <c r="AI367" s="374" t="n">
        <f aca="false">AI354/AI352</f>
        <v>0.0614339404452154</v>
      </c>
      <c r="AJ367" s="374" t="n">
        <f aca="false">AJ354/AJ352</f>
        <v>0.192500198617621</v>
      </c>
      <c r="AK367" s="434" t="n">
        <f aca="false">AK354/AK352</f>
        <v>0.153915229885057</v>
      </c>
      <c r="AL367" s="374" t="n">
        <f aca="false">AL354/AL352</f>
        <v>0.166476884536552</v>
      </c>
      <c r="AM367" s="374" t="n">
        <f aca="false">AM354/AM352</f>
        <v>0.198168737737083</v>
      </c>
      <c r="AN367" s="374" t="n">
        <f aca="false">AN354/AN352</f>
        <v>0.225651465798046</v>
      </c>
      <c r="AO367" s="374" t="n">
        <f aca="false">AO354/AO352</f>
        <v>0.151772210166371</v>
      </c>
      <c r="AP367" s="434" t="n">
        <f aca="false">AP354/AP352</f>
        <v>0.185813115073565</v>
      </c>
      <c r="AQ367" s="374" t="n">
        <f aca="false">AQ354/AQ352</f>
        <v>0.170391240315041</v>
      </c>
      <c r="AR367" s="374" t="n">
        <f aca="false">AR354/AR352</f>
        <v>0.17039600772698</v>
      </c>
      <c r="AS367" s="374" t="n">
        <f aca="false">AS354/AS352</f>
        <v>0.269007011088459</v>
      </c>
      <c r="AT367" s="374" t="n">
        <f aca="false">AT354/AT352</f>
        <v>0.202067579209342</v>
      </c>
      <c r="AU367" s="434" t="n">
        <f aca="false">AU354/AU352</f>
        <v>0.208701445413203</v>
      </c>
      <c r="AV367" s="374" t="n">
        <f aca="false">AV354/AV352</f>
        <v>0.190317401506731</v>
      </c>
      <c r="AW367" s="374" t="n">
        <f aca="false">AW354/AW352</f>
        <v>0.205720837607869</v>
      </c>
      <c r="AX367" s="374" t="n">
        <f aca="false">AX354/AX352</f>
        <v>0.303455336575378</v>
      </c>
      <c r="AY367" s="374" t="n">
        <f aca="false">AY354/AY352</f>
        <v>0.205308676051155</v>
      </c>
      <c r="AZ367" s="434" t="n">
        <f aca="false">AZ354/AZ352</f>
        <v>0.232647366585281</v>
      </c>
      <c r="BA367" s="374" t="n">
        <f aca="false">BA354/BA352</f>
        <v>0.128365214311017</v>
      </c>
      <c r="BB367" s="374" t="n">
        <f aca="false">BB354/BB352</f>
        <v>0.15450204638472</v>
      </c>
      <c r="BC367" s="374" t="n">
        <f aca="false">BC354/BC352</f>
        <v>0.215725716329176</v>
      </c>
      <c r="BD367" s="374" t="n">
        <f aca="false">BD354/BD352</f>
        <v>0.178534741340346</v>
      </c>
      <c r="BE367" s="434" t="n">
        <f aca="false">BE354/BE352</f>
        <v>0.169211195928753</v>
      </c>
      <c r="BF367" s="374" t="n">
        <f aca="false">BF354/BF352</f>
        <v>0.1565824008841</v>
      </c>
      <c r="BG367" s="374" t="n">
        <f aca="false">BG354/BG352</f>
        <v>0.155549612195774</v>
      </c>
      <c r="BH367" s="374" t="n">
        <f aca="false">BH354/BH352</f>
        <v>0.220757040155698</v>
      </c>
      <c r="BI367" s="374" t="n">
        <f aca="false">BI354/BI352</f>
        <v>0.22009247337001</v>
      </c>
      <c r="BJ367" s="434" t="n">
        <f aca="false">BJ354/BJ352</f>
        <v>0.197293616653336</v>
      </c>
      <c r="BK367" s="374" t="n">
        <f aca="false">BK354/BK352</f>
        <v>0.136874578915641</v>
      </c>
      <c r="BL367" s="374" t="n">
        <f aca="false">BL354/BL352</f>
        <v>0.161752529070814</v>
      </c>
      <c r="BM367" s="374" t="n">
        <f aca="false">BM354/BM352</f>
        <v>0.193828651575954</v>
      </c>
      <c r="BN367" s="374" t="n">
        <f aca="false">BN354/BN352</f>
        <v>0.144550790850996</v>
      </c>
      <c r="BO367" s="435" t="n">
        <f aca="false">BO354/BO352</f>
        <v>0.157681453694463</v>
      </c>
      <c r="BP367" s="436" t="n">
        <v>0.21</v>
      </c>
      <c r="BQ367" s="436" t="n">
        <v>0.21</v>
      </c>
      <c r="BR367" s="436" t="n">
        <v>0.2</v>
      </c>
      <c r="BS367" s="436" t="n">
        <v>0.2</v>
      </c>
      <c r="BT367" s="434" t="n">
        <f aca="false">BT354/BT352</f>
        <v>0.204841188032042</v>
      </c>
      <c r="BU367" s="436" t="n">
        <v>0.21</v>
      </c>
      <c r="BV367" s="436" t="n">
        <v>0.21</v>
      </c>
      <c r="BW367" s="436" t="n">
        <v>0.2</v>
      </c>
      <c r="BX367" s="436" t="n">
        <v>0.17</v>
      </c>
      <c r="BY367" s="434" t="n">
        <f aca="false">BY354/BY352</f>
        <v>0.197077861313266</v>
      </c>
      <c r="BZ367" s="437" t="n">
        <v>0.21</v>
      </c>
      <c r="CA367" s="437" t="n">
        <v>0.21</v>
      </c>
      <c r="CB367" s="437" t="n">
        <v>0.21</v>
      </c>
      <c r="CC367" s="83"/>
    </row>
    <row r="368" s="84" customFormat="true" ht="15" hidden="false" customHeight="true" outlineLevel="0" collapsed="false">
      <c r="A368" s="374" t="s">
        <v>438</v>
      </c>
      <c r="B368" s="433"/>
      <c r="C368" s="434" t="n">
        <f aca="false">C355/C352</f>
        <v>0.288096764791606</v>
      </c>
      <c r="D368" s="434" t="n">
        <f aca="false">D355/D352</f>
        <v>0.0225774492705568</v>
      </c>
      <c r="E368" s="434" t="n">
        <f aca="false">E355/E352</f>
        <v>0.0383650717108396</v>
      </c>
      <c r="F368" s="434" t="n">
        <f aca="false">F355/F352</f>
        <v>-0.0629022978016266</v>
      </c>
      <c r="G368" s="434" t="n">
        <f aca="false">G355/G352</f>
        <v>-0.0221382600683748</v>
      </c>
      <c r="H368" s="374" t="n">
        <f aca="false">H355/H352</f>
        <v>-0.113645001900418</v>
      </c>
      <c r="I368" s="374" t="n">
        <f aca="false">I355/I352</f>
        <v>0.0259433962264151</v>
      </c>
      <c r="J368" s="374" t="n">
        <f aca="false">J355/J352</f>
        <v>-0.150346954510409</v>
      </c>
      <c r="K368" s="374" t="n">
        <f aca="false">K355/K352</f>
        <v>-0.00351574442066646</v>
      </c>
      <c r="L368" s="434" t="n">
        <f aca="false">L355/L352</f>
        <v>-0.0463633615596305</v>
      </c>
      <c r="M368" s="374" t="n">
        <f aca="false">M355/M352</f>
        <v>0.0364882795223352</v>
      </c>
      <c r="N368" s="374" t="n">
        <f aca="false">N355/N352</f>
        <v>-0.0226669881842296</v>
      </c>
      <c r="O368" s="374" t="n">
        <f aca="false">O355/O352</f>
        <v>0.111352525801195</v>
      </c>
      <c r="P368" s="374" t="n">
        <f aca="false">P355/P352</f>
        <v>-0.0087751196172249</v>
      </c>
      <c r="Q368" s="434" t="n">
        <f aca="false">Q355/Q352</f>
        <v>0.0292834911082125</v>
      </c>
      <c r="R368" s="374" t="n">
        <f aca="false">R355/R352</f>
        <v>-0.0200534759358289</v>
      </c>
      <c r="S368" s="374" t="n">
        <f aca="false">S355/S352</f>
        <v>-0.0164752870693959</v>
      </c>
      <c r="T368" s="374" t="n">
        <f aca="false">T355/T352</f>
        <v>0.0805717998700455</v>
      </c>
      <c r="U368" s="374" t="n">
        <f aca="false">U355/U352</f>
        <v>-0.044154126012899</v>
      </c>
      <c r="V368" s="434" t="n">
        <f aca="false">V355/V352</f>
        <v>-0.000354735721887194</v>
      </c>
      <c r="W368" s="374" t="n">
        <f aca="false">W355/W352</f>
        <v>0.0313040138275399</v>
      </c>
      <c r="X368" s="374" t="n">
        <f aca="false">X355/X352</f>
        <v>-0.00275229357798165</v>
      </c>
      <c r="Y368" s="374" t="n">
        <f aca="false">Y355/Y352</f>
        <v>-0.0101072928004976</v>
      </c>
      <c r="Z368" s="374" t="n">
        <f aca="false">Z355/Z352</f>
        <v>-0.022071071626874</v>
      </c>
      <c r="AA368" s="434" t="n">
        <f aca="false">AA355/AA352</f>
        <v>-0.00312860200889182</v>
      </c>
      <c r="AB368" s="374" t="n">
        <f aca="false">AB355/AB352</f>
        <v>0.0140042338381371</v>
      </c>
      <c r="AC368" s="374" t="n">
        <f aca="false">AC355/AC352</f>
        <v>0.0433839479392625</v>
      </c>
      <c r="AD368" s="374" t="n">
        <f aca="false">AD355/AD352</f>
        <v>-0.0496296296296296</v>
      </c>
      <c r="AE368" s="374" t="n">
        <f aca="false">AE355/AE352</f>
        <v>-0.286249395843402</v>
      </c>
      <c r="AF368" s="434" t="n">
        <f aca="false">AF355/AF352</f>
        <v>-0.0810342484370753</v>
      </c>
      <c r="AG368" s="374" t="n">
        <f aca="false">AG355/AG352</f>
        <v>-0.226063829787234</v>
      </c>
      <c r="AH368" s="374" t="n">
        <f aca="false">AH355/AH352</f>
        <v>-0.131488588164007</v>
      </c>
      <c r="AI368" s="374" t="n">
        <f aca="false">AI355/AI352</f>
        <v>0.0325238508239375</v>
      </c>
      <c r="AJ368" s="374" t="n">
        <f aca="false">AJ355/AJ352</f>
        <v>-0.0935091761341065</v>
      </c>
      <c r="AK368" s="434" t="n">
        <f aca="false">AK355/AK352</f>
        <v>-0.0850574712643678</v>
      </c>
      <c r="AL368" s="374" t="n">
        <f aca="false">AL355/AL352</f>
        <v>-0.0560236848098383</v>
      </c>
      <c r="AM368" s="374" t="n">
        <f aca="false">AM355/AM352</f>
        <v>-0.0167865707434053</v>
      </c>
      <c r="AN368" s="374" t="n">
        <f aca="false">AN355/AN352</f>
        <v>-0.0900651465798046</v>
      </c>
      <c r="AO368" s="374" t="n">
        <f aca="false">AO355/AO352</f>
        <v>-0.0399158282369961</v>
      </c>
      <c r="AP368" s="434" t="n">
        <f aca="false">AP355/AP352</f>
        <v>-0.0514713046867388</v>
      </c>
      <c r="AQ368" s="374" t="n">
        <f aca="false">AQ355/AQ352</f>
        <v>-0.0229237369533201</v>
      </c>
      <c r="AR368" s="374" t="n">
        <f aca="false">AR355/AR352</f>
        <v>-0.00603670315518352</v>
      </c>
      <c r="AS368" s="374" t="n">
        <f aca="false">AS355/AS352</f>
        <v>-0.134304609417732</v>
      </c>
      <c r="AT368" s="374" t="n">
        <f aca="false">AT355/AT352</f>
        <v>-0.0508279888963339</v>
      </c>
      <c r="AU368" s="434" t="n">
        <f aca="false">AU355/AU352</f>
        <v>-0.0607710801494656</v>
      </c>
      <c r="AV368" s="374" t="n">
        <f aca="false">AV355/AV352</f>
        <v>-0.0490305051253551</v>
      </c>
      <c r="AW368" s="374" t="n">
        <f aca="false">AW355/AW352</f>
        <v>-0.057148029690423</v>
      </c>
      <c r="AX368" s="374" t="n">
        <f aca="false">AX355/AX352</f>
        <v>-0.17445610442795</v>
      </c>
      <c r="AY368" s="374" t="n">
        <f aca="false">AY355/AY352</f>
        <v>-0.0409421289907075</v>
      </c>
      <c r="AZ368" s="434" t="n">
        <f aca="false">AZ355/AZ352</f>
        <v>-0.0855613351329218</v>
      </c>
      <c r="BA368" s="374" t="n">
        <f aca="false">BA355/BA352</f>
        <v>0.0056234502302515</v>
      </c>
      <c r="BB368" s="374" t="n">
        <f aca="false">BB355/BB352</f>
        <v>0.0176927012278308</v>
      </c>
      <c r="BC368" s="374" t="n">
        <f aca="false">BC355/BC352</f>
        <v>-0.0620893120557865</v>
      </c>
      <c r="BD368" s="374" t="n">
        <f aca="false">BD355/BD352</f>
        <v>-0.0200928627193163</v>
      </c>
      <c r="BE368" s="434" t="n">
        <f aca="false">BE355/BE352</f>
        <v>-0.0144046232802864</v>
      </c>
      <c r="BF368" s="374" t="n">
        <f aca="false">BF355/BF352</f>
        <v>-0.00186489846663904</v>
      </c>
      <c r="BG368" s="374" t="n">
        <f aca="false">BG355/BG352</f>
        <v>0.000427921904252474</v>
      </c>
      <c r="BH368" s="374" t="n">
        <f aca="false">BH355/BH352</f>
        <v>-0.0455177344401636</v>
      </c>
      <c r="BI368" s="374" t="n">
        <f aca="false">BI355/BI352</f>
        <v>-0.00828163408638652</v>
      </c>
      <c r="BJ368" s="434" t="n">
        <f aca="false">BJ355/BJ352</f>
        <v>-0.0156503318129742</v>
      </c>
      <c r="BK368" s="374" t="n">
        <f aca="false">BK355/BK352</f>
        <v>0.0280486507570654</v>
      </c>
      <c r="BL368" s="374" t="n">
        <f aca="false">BL355/BL352</f>
        <v>0.0137163840587536</v>
      </c>
      <c r="BM368" s="374" t="n">
        <f aca="false">BM355/BM352</f>
        <v>-0.0215451747379904</v>
      </c>
      <c r="BN368" s="374" t="n">
        <f aca="false">BN355/BN352</f>
        <v>0.0343521383338634</v>
      </c>
      <c r="BO368" s="435" t="n">
        <f aca="false">BO355/BO352</f>
        <v>0.0155470282548095</v>
      </c>
      <c r="BP368" s="436" t="n">
        <v>-0.04</v>
      </c>
      <c r="BQ368" s="436" t="n">
        <v>-0.04</v>
      </c>
      <c r="BR368" s="436" t="n">
        <v>-0.04</v>
      </c>
      <c r="BS368" s="436" t="n">
        <v>-0.025</v>
      </c>
      <c r="BT368" s="434" t="n">
        <f aca="false">BT355/BT352</f>
        <v>-0.0359265035008567</v>
      </c>
      <c r="BU368" s="436" t="n">
        <v>-0.05</v>
      </c>
      <c r="BV368" s="436" t="n">
        <v>-0.05</v>
      </c>
      <c r="BW368" s="436" t="n">
        <v>-0.05</v>
      </c>
      <c r="BX368" s="436" t="n">
        <v>-0.05</v>
      </c>
      <c r="BY368" s="434" t="n">
        <f aca="false">BY355/BY352</f>
        <v>-0.05</v>
      </c>
      <c r="BZ368" s="437" t="n">
        <v>-0.05</v>
      </c>
      <c r="CA368" s="437" t="n">
        <v>-0.05</v>
      </c>
      <c r="CB368" s="437" t="n">
        <v>-0.05</v>
      </c>
      <c r="CC368" s="83"/>
    </row>
    <row r="369" s="51" customFormat="true" ht="15" hidden="false" customHeight="true" outlineLevel="0" collapsed="false">
      <c r="A369" s="48"/>
      <c r="B369" s="254"/>
      <c r="C369" s="159"/>
      <c r="D369" s="159"/>
      <c r="E369" s="159"/>
      <c r="F369" s="159"/>
      <c r="G369" s="159"/>
      <c r="H369" s="48"/>
      <c r="I369" s="48"/>
      <c r="J369" s="48"/>
      <c r="K369" s="48"/>
      <c r="L369" s="159"/>
      <c r="M369" s="48"/>
      <c r="N369" s="48"/>
      <c r="O369" s="48"/>
      <c r="P369" s="48"/>
      <c r="Q369" s="159"/>
      <c r="R369" s="48"/>
      <c r="S369" s="48"/>
      <c r="T369" s="48"/>
      <c r="U369" s="48"/>
      <c r="V369" s="159"/>
      <c r="W369" s="48"/>
      <c r="X369" s="48"/>
      <c r="Y369" s="48"/>
      <c r="Z369" s="48"/>
      <c r="AA369" s="159"/>
      <c r="AB369" s="48"/>
      <c r="AC369" s="48"/>
      <c r="AD369" s="48"/>
      <c r="AE369" s="48"/>
      <c r="AF369" s="159"/>
      <c r="AG369" s="48"/>
      <c r="AH369" s="48"/>
      <c r="AI369" s="48"/>
      <c r="AJ369" s="48"/>
      <c r="AK369" s="159"/>
      <c r="AL369" s="48"/>
      <c r="AM369" s="48"/>
      <c r="AN369" s="48"/>
      <c r="AO369" s="48"/>
      <c r="AP369" s="159"/>
      <c r="AQ369" s="48"/>
      <c r="AR369" s="48"/>
      <c r="AS369" s="48"/>
      <c r="AT369" s="48"/>
      <c r="AU369" s="159"/>
      <c r="AV369" s="48"/>
      <c r="AW369" s="48"/>
      <c r="AX369" s="48"/>
      <c r="AY369" s="48"/>
      <c r="AZ369" s="159"/>
      <c r="BA369" s="48"/>
      <c r="BB369" s="48"/>
      <c r="BC369" s="48"/>
      <c r="BD369" s="48"/>
      <c r="BE369" s="159"/>
      <c r="BF369" s="48"/>
      <c r="BG369" s="48"/>
      <c r="BH369" s="48"/>
      <c r="BI369" s="48"/>
      <c r="BJ369" s="159"/>
      <c r="BK369" s="48"/>
      <c r="BL369" s="48"/>
      <c r="BM369" s="48"/>
      <c r="BN369" s="48"/>
      <c r="BO369" s="160"/>
      <c r="BP369" s="48"/>
      <c r="BQ369" s="48"/>
      <c r="BR369" s="48"/>
      <c r="BS369" s="48"/>
      <c r="BT369" s="159"/>
      <c r="BU369" s="48"/>
      <c r="BV369" s="48"/>
      <c r="BW369" s="48"/>
      <c r="BX369" s="48"/>
      <c r="BY369" s="159"/>
      <c r="BZ369" s="159"/>
      <c r="CA369" s="159"/>
      <c r="CB369" s="159"/>
      <c r="CC369" s="50"/>
    </row>
    <row r="370" s="445" customFormat="true" ht="15" hidden="false" customHeight="true" outlineLevel="0" collapsed="false">
      <c r="A370" s="438" t="s">
        <v>439</v>
      </c>
      <c r="B370" s="439"/>
      <c r="C370" s="440" t="n">
        <f aca="false">C$360/C375</f>
        <v>-0.3488667753083</v>
      </c>
      <c r="D370" s="440" t="n">
        <f aca="false">D$360/D375</f>
        <v>2.34822335491996</v>
      </c>
      <c r="E370" s="440" t="n">
        <f aca="false">E$360/E375</f>
        <v>3.44665874093671</v>
      </c>
      <c r="F370" s="440" t="n">
        <f aca="false">F$360/F375</f>
        <v>2.7029634799668</v>
      </c>
      <c r="G370" s="440" t="n">
        <f aca="false">G$360/G375</f>
        <v>2.36286851106406</v>
      </c>
      <c r="H370" s="441" t="n">
        <f aca="false">H$360/H375</f>
        <v>0.566136363636364</v>
      </c>
      <c r="I370" s="441" t="n">
        <f aca="false">I$360/I375</f>
        <v>0.909236031927024</v>
      </c>
      <c r="J370" s="441" t="n">
        <f aca="false">J$360/J375</f>
        <v>0.559504700756707</v>
      </c>
      <c r="K370" s="441" t="n">
        <f aca="false">K$360/K375</f>
        <v>0.702142363510712</v>
      </c>
      <c r="L370" s="440" t="n">
        <f aca="false">L$360/L375</f>
        <v>2.73741713219045</v>
      </c>
      <c r="M370" s="441" t="n">
        <f aca="false">M$360/M375</f>
        <v>0.930883032824781</v>
      </c>
      <c r="N370" s="441" t="n">
        <f aca="false">N360/N375</f>
        <v>0.856977283263792</v>
      </c>
      <c r="O370" s="441" t="n">
        <f aca="false">O$360/O375</f>
        <v>0.749941846941149</v>
      </c>
      <c r="P370" s="441" t="n">
        <f aca="false">P$360/P375</f>
        <v>0.681902985074626</v>
      </c>
      <c r="Q370" s="440" t="n">
        <f aca="false">Q$360/Q375</f>
        <v>3.22119919468511</v>
      </c>
      <c r="R370" s="441" t="n">
        <f aca="false">R$360/R375</f>
        <v>0.463700234192037</v>
      </c>
      <c r="S370" s="441" t="n">
        <f aca="false">S360/S375</f>
        <v>0.833451118963486</v>
      </c>
      <c r="T370" s="441" t="n">
        <f aca="false">T$360/T375</f>
        <v>0.934167059933931</v>
      </c>
      <c r="U370" s="441" t="n">
        <f aca="false">U$360/U375</f>
        <v>1.22734722547413</v>
      </c>
      <c r="V370" s="440" t="n">
        <f aca="false">V$360/V375</f>
        <v>3.45841165413534</v>
      </c>
      <c r="W370" s="441" t="n">
        <f aca="false">W$360/W375</f>
        <v>1.05115089514066</v>
      </c>
      <c r="X370" s="441" t="n">
        <f aca="false">X360/X375</f>
        <v>1.08341078066914</v>
      </c>
      <c r="Y370" s="441" t="n">
        <f aca="false">Y$360/Y375</f>
        <v>1.29528016740293</v>
      </c>
      <c r="Z370" s="441" t="n">
        <f aca="false">Z$360/Z375</f>
        <v>1.50093370681606</v>
      </c>
      <c r="AA370" s="440" t="n">
        <f aca="false">AA$360/AA375</f>
        <v>4.92903676128432</v>
      </c>
      <c r="AB370" s="441" t="n">
        <f aca="false">AB$360/AB375</f>
        <v>1.26334269662921</v>
      </c>
      <c r="AC370" s="441" t="n">
        <f aca="false">AC360/AC375</f>
        <v>1.37089201877934</v>
      </c>
      <c r="AD370" s="441" t="n">
        <f aca="false">AD$360/AD375</f>
        <v>1.60358237096394</v>
      </c>
      <c r="AE370" s="441" t="n">
        <f aca="false">AE$360/AE375</f>
        <v>1.86522974893416</v>
      </c>
      <c r="AF370" s="440" t="n">
        <f aca="false">AF$360/AF375</f>
        <v>6.09931748646741</v>
      </c>
      <c r="AG370" s="441" t="n">
        <f aca="false">AG$360/AG375</f>
        <v>0.843980052244122</v>
      </c>
      <c r="AH370" s="441" t="n">
        <f aca="false">AH360/AH375</f>
        <v>1.13037283305628</v>
      </c>
      <c r="AI370" s="441" t="n">
        <f aca="false">AI$360/AI375</f>
        <v>1.48918983131385</v>
      </c>
      <c r="AJ370" s="441" t="n">
        <f aca="false">AJ$360/AJ375</f>
        <v>2.69959533444418</v>
      </c>
      <c r="AK370" s="440" t="n">
        <f aca="false">AK$360/AK375</f>
        <v>6.16040874524715</v>
      </c>
      <c r="AL370" s="441" t="n">
        <f aca="false">AL$360/AL375</f>
        <v>0.932219570405727</v>
      </c>
      <c r="AM370" s="441" t="n">
        <f aca="false">AM360/AM375</f>
        <v>1.79493307839388</v>
      </c>
      <c r="AN370" s="441" t="n">
        <f aca="false">AN$360/AN375</f>
        <v>2.53704588910134</v>
      </c>
      <c r="AO370" s="441" t="n">
        <f aca="false">AO$360/AO375</f>
        <v>3.23497005988024</v>
      </c>
      <c r="AP370" s="440" t="n">
        <f aca="false">AP$360/AP375</f>
        <v>8.49557733683959</v>
      </c>
      <c r="AQ370" s="441" t="n">
        <f aca="false">AQ$360/AQ375</f>
        <v>3.20587527088851</v>
      </c>
      <c r="AR370" s="441" t="n">
        <f aca="false">AR360/AR375</f>
        <v>2.52296476306197</v>
      </c>
      <c r="AS370" s="441" t="n">
        <f aca="false">AS$360/AS375</f>
        <v>4.26624172591321</v>
      </c>
      <c r="AT370" s="441" t="n">
        <f aca="false">AT$360/AT375</f>
        <v>4.38634677219886</v>
      </c>
      <c r="AU370" s="440" t="n">
        <f aca="false">AU$360/AU375</f>
        <v>14.356271351879</v>
      </c>
      <c r="AV370" s="441" t="n">
        <f aca="false">AV$360/AV375</f>
        <v>1.7334829219646</v>
      </c>
      <c r="AW370" s="441" t="n">
        <f aca="false">AW360/AW375</f>
        <v>3.54230479538037</v>
      </c>
      <c r="AX370" s="441" t="n">
        <f aca="false">AX$360/AX375</f>
        <v>4.29454820797577</v>
      </c>
      <c r="AY370" s="441" t="n">
        <f aca="false">AY$360/AY375</f>
        <v>4.59989870853381</v>
      </c>
      <c r="AZ370" s="440" t="n">
        <f aca="false">AZ$360/AZ375</f>
        <v>14.141815438773</v>
      </c>
      <c r="BA370" s="441" t="n">
        <f aca="false">BA$360/BA375</f>
        <v>4.95766793409379</v>
      </c>
      <c r="BB370" s="441" t="n">
        <f aca="false">BB360/BB375</f>
        <v>4.93067546978161</v>
      </c>
      <c r="BC370" s="441" t="n">
        <f aca="false">BC$360/BC375</f>
        <v>4.8129130655821</v>
      </c>
      <c r="BD370" s="441" t="n">
        <f aca="false">BD$360/BD375</f>
        <v>5.20615149974581</v>
      </c>
      <c r="BE370" s="440" t="n">
        <f aca="false">BE$360/BE375</f>
        <v>19.9060436769934</v>
      </c>
      <c r="BF370" s="441" t="n">
        <f aca="false">BF$360/BF375</f>
        <v>3.11082867310625</v>
      </c>
      <c r="BG370" s="441" t="n">
        <f aca="false">BG360/BG375</f>
        <v>4.01297049847406</v>
      </c>
      <c r="BH370" s="441" t="n">
        <f aca="false">BH$360/BH375</f>
        <v>5.28102746693795</v>
      </c>
      <c r="BI370" s="441" t="n">
        <f aca="false">BI$360/BI375</f>
        <v>6.84820747520977</v>
      </c>
      <c r="BJ370" s="440" t="n">
        <f aca="false">BJ$360/BJ375</f>
        <v>19.2514619883041</v>
      </c>
      <c r="BK370" s="441" t="n">
        <f aca="false">BK$360/BK375</f>
        <v>6.00305888350752</v>
      </c>
      <c r="BL370" s="441" t="n">
        <f aca="false">BL360/BL375</f>
        <v>5.89979392065946</v>
      </c>
      <c r="BM370" s="441" t="n">
        <f aca="false">BM$360/BM375</f>
        <v>5.4854118254583</v>
      </c>
      <c r="BN370" s="441" t="n">
        <f aca="false">BN$360/BN375</f>
        <v>7.34695989650712</v>
      </c>
      <c r="BO370" s="442" t="n">
        <f aca="false">BO$360/BO375</f>
        <v>24.7346203346203</v>
      </c>
      <c r="BP370" s="443" t="n">
        <f aca="false">BP360/BP375</f>
        <v>6.29210763333447</v>
      </c>
      <c r="BQ370" s="443" t="n">
        <f aca="false">BQ360/BQ375</f>
        <v>7.4332070913648</v>
      </c>
      <c r="BR370" s="443" t="n">
        <f aca="false">BR360/BR375</f>
        <v>7.00903019114514</v>
      </c>
      <c r="BS370" s="443" t="n">
        <f aca="false">BS360/BS375</f>
        <v>7.65095315383957</v>
      </c>
      <c r="BT370" s="444" t="n">
        <f aca="false">BT360/BT375</f>
        <v>28.3854534588625</v>
      </c>
      <c r="BU370" s="443" t="n">
        <f aca="false">BU360/BU375</f>
        <v>6.70650121062294</v>
      </c>
      <c r="BV370" s="443" t="n">
        <f aca="false">BV360/BV375</f>
        <v>9.05403292094124</v>
      </c>
      <c r="BW370" s="443" t="n">
        <f aca="false">BW360/BW375</f>
        <v>8.44187452659223</v>
      </c>
      <c r="BX370" s="443" t="n">
        <f aca="false">BX360/BX375</f>
        <v>8.82058487402501</v>
      </c>
      <c r="BY370" s="444" t="n">
        <f aca="false">BY360/BY375</f>
        <v>33.0232483485503</v>
      </c>
      <c r="BZ370" s="444" t="n">
        <f aca="false">BZ360/BZ375</f>
        <v>39.8274109690198</v>
      </c>
      <c r="CA370" s="444" t="n">
        <f aca="false">CA360/CA375</f>
        <v>42.4749568003151</v>
      </c>
      <c r="CB370" s="444" t="n">
        <f aca="false">CB360/CB375</f>
        <v>45.3091122046815</v>
      </c>
      <c r="CC370" s="441"/>
    </row>
    <row r="371" s="445" customFormat="true" ht="15" hidden="false" customHeight="true" outlineLevel="0" collapsed="false">
      <c r="A371" s="438" t="s">
        <v>440</v>
      </c>
      <c r="B371" s="439"/>
      <c r="C371" s="440" t="n">
        <f aca="false">C362/C376</f>
        <v>-0.3488667753083</v>
      </c>
      <c r="D371" s="440" t="n">
        <f aca="false">D362/D376</f>
        <v>2.32774606240916</v>
      </c>
      <c r="E371" s="440" t="n">
        <f aca="false">E362/E376</f>
        <v>3.41906477754497</v>
      </c>
      <c r="F371" s="440" t="n">
        <f aca="false">F362/F376</f>
        <v>2.68466881818139</v>
      </c>
      <c r="G371" s="440" t="n">
        <f aca="false">G362/G376</f>
        <v>2.34282932591372</v>
      </c>
      <c r="H371" s="441" t="n">
        <f aca="false">H362/H376</f>
        <v>0.561668545659526</v>
      </c>
      <c r="I371" s="441" t="n">
        <f aca="false">I362/I376</f>
        <v>0.902853260869565</v>
      </c>
      <c r="J371" s="441" t="n">
        <f aca="false">J362/J376</f>
        <v>0.555808656036446</v>
      </c>
      <c r="K371" s="441" t="n">
        <f aca="false">K362/K376</f>
        <v>0.697961987634532</v>
      </c>
      <c r="L371" s="440" t="n">
        <f aca="false">L362/L376</f>
        <v>2.72153525300607</v>
      </c>
      <c r="M371" s="441" t="n">
        <f aca="false">M362/M376</f>
        <v>0.925109120147025</v>
      </c>
      <c r="N371" s="441" t="n">
        <f aca="false">N362/N376</f>
        <v>0.852236053480867</v>
      </c>
      <c r="O371" s="441" t="n">
        <f aca="false">O362/O376</f>
        <v>0.745778394633356</v>
      </c>
      <c r="P371" s="441" t="n">
        <f aca="false">P362/P376</f>
        <v>0.678737233054781</v>
      </c>
      <c r="Q371" s="440" t="n">
        <f aca="false">Q362/Q376</f>
        <v>3.20627120681207</v>
      </c>
      <c r="R371" s="441" t="n">
        <f aca="false">R362/R376</f>
        <v>0.461430901887671</v>
      </c>
      <c r="S371" s="441" t="n">
        <f aca="false">S362/S376</f>
        <v>0.829542790152403</v>
      </c>
      <c r="T371" s="441" t="n">
        <f aca="false">T362/T376</f>
        <v>0.92977923907938</v>
      </c>
      <c r="U371" s="441" t="n">
        <f aca="false">U362/U376</f>
        <v>1.22134203168686</v>
      </c>
      <c r="V371" s="440" t="n">
        <f aca="false">V362/V376</f>
        <v>3.44143090951602</v>
      </c>
      <c r="W371" s="441" t="n">
        <f aca="false">W362/W376</f>
        <v>1.04580152671756</v>
      </c>
      <c r="X371" s="441" t="n">
        <f aca="false">X362/X376</f>
        <v>1.07839962997225</v>
      </c>
      <c r="Y371" s="441" t="n">
        <f aca="false">Y362/Y376</f>
        <v>1.28958333333333</v>
      </c>
      <c r="Z371" s="441" t="n">
        <f aca="false">Z362/Z376</f>
        <v>1.49430629793168</v>
      </c>
      <c r="AA371" s="440" t="n">
        <f aca="false">AA362/AA376</f>
        <v>4.90848007414272</v>
      </c>
      <c r="AB371" s="441" t="n">
        <f aca="false">AB362/AB376</f>
        <v>1.25833527628818</v>
      </c>
      <c r="AC371" s="441" t="n">
        <f aca="false">AC362/AC376</f>
        <v>1.36576239476146</v>
      </c>
      <c r="AD371" s="441" t="n">
        <f aca="false">AD362/AD376</f>
        <v>1.59755811223292</v>
      </c>
      <c r="AE371" s="441" t="n">
        <f aca="false">AE362/AE376</f>
        <v>1.85906515580737</v>
      </c>
      <c r="AF371" s="440" t="n">
        <f aca="false">AF362/AF376</f>
        <v>6.07786116322702</v>
      </c>
      <c r="AG371" s="441" t="n">
        <f aca="false">AG362/AG376</f>
        <v>0.841183431952663</v>
      </c>
      <c r="AH371" s="441" t="n">
        <f aca="false">AH362/AH376</f>
        <v>1.1284969179706</v>
      </c>
      <c r="AI371" s="441" t="n">
        <f aca="false">AI362/AI376</f>
        <v>1.48636471425184</v>
      </c>
      <c r="AJ371" s="441" t="n">
        <f aca="false">AJ362/AJ376</f>
        <v>2.69318451674187</v>
      </c>
      <c r="AK371" s="440" t="n">
        <f aca="false">AK362/AK376</f>
        <v>6.14871916508539</v>
      </c>
      <c r="AL371" s="441" t="n">
        <f aca="false">AL362/AL376</f>
        <v>0.930664760543245</v>
      </c>
      <c r="AM371" s="441" t="n">
        <f aca="false">AM362/AM376</f>
        <v>1.79236276849642</v>
      </c>
      <c r="AN371" s="441" t="n">
        <f aca="false">AN362/AN376</f>
        <v>2.53220419847328</v>
      </c>
      <c r="AO371" s="441" t="n">
        <f aca="false">AO362/AO376</f>
        <v>3.22801147227534</v>
      </c>
      <c r="AP371" s="440" t="n">
        <f aca="false">AP362/AP376</f>
        <v>8.47936053447864</v>
      </c>
      <c r="AQ371" s="441" t="n">
        <f aca="false">AQ362/AQ376</f>
        <v>3.2020202020202</v>
      </c>
      <c r="AR371" s="441" t="n">
        <f aca="false">AR362/AR376</f>
        <v>2.51990291262136</v>
      </c>
      <c r="AS371" s="441" t="n">
        <f aca="false">AS362/AS376</f>
        <v>4.25893294175233</v>
      </c>
      <c r="AT371" s="441" t="n">
        <f aca="false">AT362/AT376</f>
        <v>4.37876543209876</v>
      </c>
      <c r="AU371" s="440" t="n">
        <f aca="false">AU362/AU376</f>
        <v>14.3352826510721</v>
      </c>
      <c r="AV371" s="441" t="n">
        <f aca="false">AV362/AV376</f>
        <v>1.73175591531756</v>
      </c>
      <c r="AW371" s="441" t="n">
        <f aca="false">AW362/AW376</f>
        <v>3.53963873557451</v>
      </c>
      <c r="AX371" s="441" t="n">
        <f aca="false">AX362/AX376</f>
        <v>4.29021684316692</v>
      </c>
      <c r="AY371" s="441" t="n">
        <f aca="false">AY362/AY376</f>
        <v>4.59640688259109</v>
      </c>
      <c r="AZ371" s="440" t="n">
        <f aca="false">AZ362/AZ376</f>
        <v>14.1276061291133</v>
      </c>
      <c r="BA371" s="441" t="n">
        <f aca="false">BA362/BA376</f>
        <v>4.95390070921986</v>
      </c>
      <c r="BB371" s="441" t="n">
        <f aca="false">BB362/BB376</f>
        <v>4.92817258883249</v>
      </c>
      <c r="BC371" s="441" t="n">
        <f aca="false">BC362/BC376</f>
        <v>4.80924561849124</v>
      </c>
      <c r="BD371" s="441" t="n">
        <f aca="false">BD362/BD376</f>
        <v>5.20086338242763</v>
      </c>
      <c r="BE371" s="440" t="n">
        <f aca="false">BE362/BE376</f>
        <v>19.8908906368942</v>
      </c>
      <c r="BF371" s="441" t="n">
        <f aca="false">BF362/BF376</f>
        <v>3.10845821691643</v>
      </c>
      <c r="BG371" s="441" t="n">
        <f aca="false">BG362/BG376</f>
        <v>4.00991105463787</v>
      </c>
      <c r="BH371" s="441" t="n">
        <f aca="false">BH362/BH376</f>
        <v>5.27566056910569</v>
      </c>
      <c r="BI371" s="441" t="n">
        <f aca="false">BI362/BI376</f>
        <v>6.84298780487805</v>
      </c>
      <c r="BJ371" s="440" t="n">
        <f aca="false">BJ362/BJ376</f>
        <v>19.2367886178862</v>
      </c>
      <c r="BK371" s="441" t="n">
        <f aca="false">BK362/BK376</f>
        <v>6</v>
      </c>
      <c r="BL371" s="441" t="n">
        <f aca="false">BL362/BL376</f>
        <v>5.89675592173018</v>
      </c>
      <c r="BM371" s="441" t="n">
        <f aca="false">BM362/BM376</f>
        <v>5.4811661506708</v>
      </c>
      <c r="BN371" s="441" t="n">
        <f aca="false">BN362/BN376</f>
        <v>7.3374677002584</v>
      </c>
      <c r="BO371" s="442" t="n">
        <f aca="false">BO362/BO376</f>
        <v>24.7091797377218</v>
      </c>
      <c r="BP371" s="443" t="n">
        <f aca="false">BP362/BP376</f>
        <v>6.28566621559985</v>
      </c>
      <c r="BQ371" s="443" t="n">
        <f aca="false">BQ362/BQ376</f>
        <v>7.42754297623292</v>
      </c>
      <c r="BR371" s="443" t="n">
        <f aca="false">BR362/BR376</f>
        <v>7.00368929945768</v>
      </c>
      <c r="BS371" s="443" t="n">
        <f aca="false">BS362/BS376</f>
        <v>7.64512311587625</v>
      </c>
      <c r="BT371" s="444" t="n">
        <f aca="false">BT362/BT376</f>
        <v>28.36199173921</v>
      </c>
      <c r="BU371" s="443" t="n">
        <f aca="false">BU362/BU376</f>
        <v>6.70139084647969</v>
      </c>
      <c r="BV371" s="443" t="n">
        <f aca="false">BV362/BV376</f>
        <v>9.04713373405708</v>
      </c>
      <c r="BW371" s="443" t="n">
        <f aca="false">BW362/BW376</f>
        <v>8.43544180533749</v>
      </c>
      <c r="BX371" s="443" t="n">
        <f aca="false">BX362/BX376</f>
        <v>8.81386357490837</v>
      </c>
      <c r="BY371" s="444" t="n">
        <f aca="false">BY362/BY376</f>
        <v>32.998084582981</v>
      </c>
      <c r="BZ371" s="444" t="n">
        <f aca="false">BZ362/BZ376</f>
        <v>39.7970624211642</v>
      </c>
      <c r="CA371" s="444" t="n">
        <f aca="false">CA362/CA376</f>
        <v>42.4425908185012</v>
      </c>
      <c r="CB371" s="444" t="n">
        <f aca="false">CB362/CB376</f>
        <v>45.2745865921301</v>
      </c>
      <c r="CC371" s="441"/>
    </row>
    <row r="372" s="445" customFormat="true" ht="15" hidden="false" customHeight="true" outlineLevel="0" collapsed="false">
      <c r="A372" s="438" t="s">
        <v>441</v>
      </c>
      <c r="B372" s="439"/>
      <c r="C372" s="440" t="n">
        <f aca="false">C365/C377</f>
        <v>-0.3488667753083</v>
      </c>
      <c r="D372" s="440" t="n">
        <f aca="false">D365/D377</f>
        <v>2.32774606240916</v>
      </c>
      <c r="E372" s="440" t="n">
        <f aca="false">E365/E377</f>
        <v>3.41906477754497</v>
      </c>
      <c r="F372" s="440" t="n">
        <f aca="false">F365/F377</f>
        <v>2.68466881818139</v>
      </c>
      <c r="G372" s="440" t="n">
        <f aca="false">G365/G377</f>
        <v>2.34282932591372</v>
      </c>
      <c r="H372" s="441" t="n">
        <f aca="false">H365/H377</f>
        <v>0.561668545659526</v>
      </c>
      <c r="I372" s="441" t="n">
        <f aca="false">I365/I377</f>
        <v>0.902853260869565</v>
      </c>
      <c r="J372" s="441" t="n">
        <f aca="false">J365/J377</f>
        <v>0.555808656036446</v>
      </c>
      <c r="K372" s="441" t="n">
        <f aca="false">K365/K377</f>
        <v>0.697961987634532</v>
      </c>
      <c r="L372" s="440" t="n">
        <f aca="false">L365/L377</f>
        <v>2.72153525300607</v>
      </c>
      <c r="M372" s="441" t="n">
        <f aca="false">M365/M377</f>
        <v>0.925109120147025</v>
      </c>
      <c r="N372" s="441" t="n">
        <f aca="false">N365/N377</f>
        <v>0.852236053480867</v>
      </c>
      <c r="O372" s="441" t="n">
        <f aca="false">O365/O377</f>
        <v>0.745778394633356</v>
      </c>
      <c r="P372" s="441" t="n">
        <f aca="false">P365/P377</f>
        <v>0.678737233054781</v>
      </c>
      <c r="Q372" s="440" t="n">
        <f aca="false">Q365/Q377</f>
        <v>3.20627120681207</v>
      </c>
      <c r="R372" s="441" t="n">
        <f aca="false">R365/R377</f>
        <v>0.461430901887671</v>
      </c>
      <c r="S372" s="441" t="n">
        <f aca="false">S365/S377</f>
        <v>0.829542790152403</v>
      </c>
      <c r="T372" s="441" t="n">
        <f aca="false">T365/T377</f>
        <v>0.92977923907938</v>
      </c>
      <c r="U372" s="441" t="n">
        <f aca="false">U365/U377</f>
        <v>1.22134203168686</v>
      </c>
      <c r="V372" s="440" t="n">
        <f aca="false">V365/V377</f>
        <v>3.44143090951602</v>
      </c>
      <c r="W372" s="441" t="n">
        <f aca="false">W365/W377</f>
        <v>1.04580152671756</v>
      </c>
      <c r="X372" s="441" t="n">
        <f aca="false">X365/X377</f>
        <v>1.07839962997225</v>
      </c>
      <c r="Y372" s="441" t="n">
        <f aca="false">Y365/Y377</f>
        <v>1.28958333333333</v>
      </c>
      <c r="Z372" s="441" t="n">
        <f aca="false">Z365/Z377</f>
        <v>1.49430629793168</v>
      </c>
      <c r="AA372" s="440" t="n">
        <f aca="false">AA365/AA377</f>
        <v>4.90848007414272</v>
      </c>
      <c r="AB372" s="441" t="n">
        <f aca="false">AB365/AB377</f>
        <v>1.25833527628818</v>
      </c>
      <c r="AC372" s="441" t="n">
        <f aca="false">AC365/AC377</f>
        <v>1.36576239476146</v>
      </c>
      <c r="AD372" s="441" t="n">
        <f aca="false">AD365/AD377</f>
        <v>1.59755811223292</v>
      </c>
      <c r="AE372" s="441" t="n">
        <f aca="false">AE365/AE377</f>
        <v>1.85906515580737</v>
      </c>
      <c r="AF372" s="440" t="n">
        <f aca="false">AF365/AF377</f>
        <v>6.07786116322702</v>
      </c>
      <c r="AG372" s="441" t="n">
        <f aca="false">AG365/AG377</f>
        <v>0.841183431952663</v>
      </c>
      <c r="AH372" s="441" t="n">
        <f aca="false">AH365/AH377</f>
        <v>1.1284969179706</v>
      </c>
      <c r="AI372" s="441" t="n">
        <f aca="false">AI365/AI377</f>
        <v>1.48636471425184</v>
      </c>
      <c r="AJ372" s="441" t="n">
        <f aca="false">AJ365/AJ377</f>
        <v>2.69318451674187</v>
      </c>
      <c r="AK372" s="440" t="n">
        <f aca="false">AK365/AK377</f>
        <v>6.14871916508539</v>
      </c>
      <c r="AL372" s="441" t="n">
        <f aca="false">AL365/AL377</f>
        <v>0.930664760543245</v>
      </c>
      <c r="AM372" s="441" t="n">
        <f aca="false">AM365/AM377</f>
        <v>1.79236276849642</v>
      </c>
      <c r="AN372" s="441" t="n">
        <f aca="false">AN365/AN377</f>
        <v>2.53220419847328</v>
      </c>
      <c r="AO372" s="441" t="n">
        <f aca="false">AO365/AO377</f>
        <v>3.22801147227534</v>
      </c>
      <c r="AP372" s="440" t="n">
        <f aca="false">AP365/AP377</f>
        <v>8.47936053447864</v>
      </c>
      <c r="AQ372" s="441" t="n">
        <f aca="false">AQ365/AQ377</f>
        <v>3.2020202020202</v>
      </c>
      <c r="AR372" s="441" t="n">
        <f aca="false">AR365/AR377</f>
        <v>2.51990291262136</v>
      </c>
      <c r="AS372" s="441" t="n">
        <f aca="false">AS365/AS377</f>
        <v>4.25893294175233</v>
      </c>
      <c r="AT372" s="441" t="n">
        <f aca="false">AT365/AT377</f>
        <v>4.37876543209876</v>
      </c>
      <c r="AU372" s="440" t="n">
        <f aca="false">AU365/AU377</f>
        <v>14.3352826510721</v>
      </c>
      <c r="AV372" s="441" t="n">
        <f aca="false">AV365/AV377</f>
        <v>1.73175591531756</v>
      </c>
      <c r="AW372" s="441" t="n">
        <f aca="false">AW365/AW377</f>
        <v>3.53963873557451</v>
      </c>
      <c r="AX372" s="441" t="n">
        <f aca="false">AX365/AX377</f>
        <v>4.29021684316692</v>
      </c>
      <c r="AY372" s="441" t="n">
        <f aca="false">AY365/AY377</f>
        <v>4.59640688259109</v>
      </c>
      <c r="AZ372" s="440" t="n">
        <f aca="false">AZ365/AZ377</f>
        <v>14.1276061291133</v>
      </c>
      <c r="BA372" s="441" t="n">
        <f aca="false">BA365/BA377</f>
        <v>4.95390070921986</v>
      </c>
      <c r="BB372" s="441" t="n">
        <f aca="false">BB365/BB377</f>
        <v>4.92817258883249</v>
      </c>
      <c r="BC372" s="441" t="n">
        <f aca="false">BC365/BC377</f>
        <v>4.80924561849124</v>
      </c>
      <c r="BD372" s="441" t="n">
        <f aca="false">BD365/BD377</f>
        <v>5.20086338242763</v>
      </c>
      <c r="BE372" s="440" t="n">
        <f aca="false">BE365/BE377</f>
        <v>19.8908906368942</v>
      </c>
      <c r="BF372" s="441" t="n">
        <f aca="false">BF365/BF377</f>
        <v>3.10845821691643</v>
      </c>
      <c r="BG372" s="441" t="n">
        <f aca="false">BG365/BG377</f>
        <v>4.00991105463787</v>
      </c>
      <c r="BH372" s="441" t="n">
        <f aca="false">BH365/BH377</f>
        <v>5.27566056910569</v>
      </c>
      <c r="BI372" s="441" t="n">
        <f aca="false">BI365/BI377</f>
        <v>6.84298780487805</v>
      </c>
      <c r="BJ372" s="440" t="n">
        <f aca="false">BJ365/BJ377</f>
        <v>19.2367886178862</v>
      </c>
      <c r="BK372" s="441" t="n">
        <f aca="false">BK365/BK377</f>
        <v>6</v>
      </c>
      <c r="BL372" s="441" t="n">
        <f aca="false">BL365/BL377</f>
        <v>5.89675592173018</v>
      </c>
      <c r="BM372" s="441" t="n">
        <f aca="false">BM365/BM377</f>
        <v>5.4811661506708</v>
      </c>
      <c r="BN372" s="441" t="n">
        <f aca="false">BN365/BN377</f>
        <v>7.3374677002584</v>
      </c>
      <c r="BO372" s="442" t="n">
        <f aca="false">BO365/BO377</f>
        <v>24.7091797377218</v>
      </c>
      <c r="BP372" s="443" t="n">
        <f aca="false">BP365/BP377</f>
        <v>6.28566621559985</v>
      </c>
      <c r="BQ372" s="443" t="n">
        <f aca="false">BQ365/BQ377</f>
        <v>7.42754297623292</v>
      </c>
      <c r="BR372" s="443" t="n">
        <f aca="false">BR365/BR377</f>
        <v>7.00368929945768</v>
      </c>
      <c r="BS372" s="443" t="n">
        <f aca="false">BS365/BS377</f>
        <v>7.64512311587625</v>
      </c>
      <c r="BT372" s="444" t="n">
        <f aca="false">BT365/BT377</f>
        <v>28.36199173921</v>
      </c>
      <c r="BU372" s="443" t="n">
        <f aca="false">BU365/BU377</f>
        <v>6.70139084647969</v>
      </c>
      <c r="BV372" s="443" t="n">
        <f aca="false">BV365/BV377</f>
        <v>9.04713373405708</v>
      </c>
      <c r="BW372" s="443" t="n">
        <f aca="false">BW365/BW377</f>
        <v>8.43544180533749</v>
      </c>
      <c r="BX372" s="443" t="n">
        <f aca="false">BX365/BX377</f>
        <v>8.81386357490837</v>
      </c>
      <c r="BY372" s="444" t="n">
        <f aca="false">BY365/BY377</f>
        <v>32.998084582981</v>
      </c>
      <c r="BZ372" s="444" t="n">
        <f aca="false">BZ365/BZ377</f>
        <v>39.7970624211642</v>
      </c>
      <c r="CA372" s="444" t="n">
        <f aca="false">CA365/CA377</f>
        <v>42.4425908185012</v>
      </c>
      <c r="CB372" s="444" t="n">
        <f aca="false">CB365/CB377</f>
        <v>45.2745865921301</v>
      </c>
      <c r="CC372" s="441"/>
    </row>
    <row r="373" s="453" customFormat="true" ht="15" hidden="false" customHeight="true" outlineLevel="0" collapsed="false">
      <c r="A373" s="446" t="str">
        <f aca="false">CONCATENATE("Consensus Estimates - ",IFERROR(LEFT(A372,FIND("(",A372)-1),A372))</f>
        <v>Consensus Estimates - Adjusted Earnings Per Share - WAD </v>
      </c>
      <c r="B373" s="447"/>
      <c r="C373" s="448"/>
      <c r="D373" s="448"/>
      <c r="E373" s="448"/>
      <c r="F373" s="448"/>
      <c r="G373" s="448"/>
      <c r="H373" s="449"/>
      <c r="I373" s="449"/>
      <c r="J373" s="449"/>
      <c r="K373" s="449"/>
      <c r="L373" s="448"/>
      <c r="M373" s="449"/>
      <c r="N373" s="449"/>
      <c r="O373" s="449"/>
      <c r="P373" s="449"/>
      <c r="Q373" s="448"/>
      <c r="R373" s="449"/>
      <c r="S373" s="449"/>
      <c r="T373" s="449"/>
      <c r="U373" s="449"/>
      <c r="V373" s="448"/>
      <c r="W373" s="449"/>
      <c r="X373" s="449"/>
      <c r="Y373" s="449"/>
      <c r="Z373" s="449"/>
      <c r="AA373" s="448"/>
      <c r="AB373" s="449"/>
      <c r="AC373" s="449"/>
      <c r="AD373" s="449"/>
      <c r="AE373" s="449"/>
      <c r="AF373" s="448"/>
      <c r="AG373" s="449"/>
      <c r="AH373" s="449"/>
      <c r="AI373" s="449"/>
      <c r="AJ373" s="449"/>
      <c r="AK373" s="448"/>
      <c r="AL373" s="449"/>
      <c r="AM373" s="449"/>
      <c r="AN373" s="449"/>
      <c r="AO373" s="449"/>
      <c r="AP373" s="448"/>
      <c r="AQ373" s="449"/>
      <c r="AR373" s="449"/>
      <c r="AS373" s="449"/>
      <c r="AT373" s="449"/>
      <c r="AU373" s="448"/>
      <c r="AV373" s="449"/>
      <c r="AW373" s="449"/>
      <c r="AX373" s="449"/>
      <c r="AY373" s="449"/>
      <c r="AZ373" s="448"/>
      <c r="BA373" s="449"/>
      <c r="BB373" s="449"/>
      <c r="BC373" s="449"/>
      <c r="BD373" s="449"/>
      <c r="BE373" s="448"/>
      <c r="BF373" s="449"/>
      <c r="BG373" s="449"/>
      <c r="BH373" s="449"/>
      <c r="BI373" s="449"/>
      <c r="BJ373" s="448"/>
      <c r="BK373" s="449"/>
      <c r="BL373" s="449"/>
      <c r="BM373" s="449"/>
      <c r="BN373" s="449"/>
      <c r="BO373" s="450"/>
      <c r="BP373" s="451" t="str">
        <f aca="true">IFERROR(VLOOKUP($A373,tb_ConsensusEstimate,MATCH(BP$5,OFFSET(tb_ConsensusEstimate,0,0,1,COLUMNS(tb_ConsensusEstimate)),0),FALSE()),"-")</f>
        <v>N/A</v>
      </c>
      <c r="BQ373" s="451" t="str">
        <f aca="true">IFERROR(VLOOKUP($A373,tb_ConsensusEstimate,MATCH(BQ$5,OFFSET(tb_ConsensusEstimate,0,0,1,COLUMNS(tb_ConsensusEstimate)),0),FALSE()),"-")</f>
        <v>N/A</v>
      </c>
      <c r="BR373" s="451" t="str">
        <f aca="true">IFERROR(VLOOKUP($A373,tb_ConsensusEstimate,MATCH(BR$5,OFFSET(tb_ConsensusEstimate,0,0,1,COLUMNS(tb_ConsensusEstimate)),0),FALSE()),"-")</f>
        <v>N/A</v>
      </c>
      <c r="BS373" s="451" t="str">
        <f aca="true">IFERROR(VLOOKUP($A373,tb_ConsensusEstimate,MATCH(BS$5,OFFSET(tb_ConsensusEstimate,0,0,1,COLUMNS(tb_ConsensusEstimate)),0),FALSE()),"-")</f>
        <v>N/A</v>
      </c>
      <c r="BT373" s="452" t="str">
        <f aca="true">IFERROR(VLOOKUP($A373,tb_ConsensusEstimate,MATCH(BT$5,OFFSET(tb_ConsensusEstimate,0,0,1,COLUMNS(tb_ConsensusEstimate)),0),FALSE()),"-")</f>
        <v>N/A</v>
      </c>
      <c r="BU373" s="451" t="str">
        <f aca="true">IFERROR(VLOOKUP($A373,tb_ConsensusEstimate,MATCH(BU$5,OFFSET(tb_ConsensusEstimate,0,0,1,COLUMNS(tb_ConsensusEstimate)),0),FALSE()),"-")</f>
        <v>N/A</v>
      </c>
      <c r="BV373" s="451" t="str">
        <f aca="true">IFERROR(VLOOKUP($A373,tb_ConsensusEstimate,MATCH(BV$5,OFFSET(tb_ConsensusEstimate,0,0,1,COLUMNS(tb_ConsensusEstimate)),0),FALSE()),"-")</f>
        <v>N/A</v>
      </c>
      <c r="BW373" s="451" t="str">
        <f aca="true">IFERROR(VLOOKUP($A373,tb_ConsensusEstimate,MATCH(BW$5,OFFSET(tb_ConsensusEstimate,0,0,1,COLUMNS(tb_ConsensusEstimate)),0),FALSE()),"-")</f>
        <v>N/A</v>
      </c>
      <c r="BX373" s="451" t="str">
        <f aca="true">IFERROR(VLOOKUP($A373,tb_ConsensusEstimate,MATCH(BX$5,OFFSET(tb_ConsensusEstimate,0,0,1,COLUMNS(tb_ConsensusEstimate)),0),FALSE()),"-")</f>
        <v>N/A</v>
      </c>
      <c r="BY373" s="452" t="str">
        <f aca="true">IFERROR(VLOOKUP($A373,tb_ConsensusEstimate,MATCH(BY$5,OFFSET(tb_ConsensusEstimate,0,0,1,COLUMNS(tb_ConsensusEstimate)),0),FALSE()),"-")</f>
        <v>N/A</v>
      </c>
      <c r="BZ373" s="452" t="str">
        <f aca="true">IFERROR(VLOOKUP($A373,tb_ConsensusEstimate,MATCH(BZ$5,OFFSET(tb_ConsensusEstimate,0,0,1,COLUMNS(tb_ConsensusEstimate)),0),FALSE()),"-")</f>
        <v>N/A</v>
      </c>
      <c r="CA373" s="452" t="str">
        <f aca="true">IFERROR(VLOOKUP($A373,tb_ConsensusEstimate,MATCH(CA$5,OFFSET(tb_ConsensusEstimate,0,0,1,COLUMNS(tb_ConsensusEstimate)),0),FALSE()),"-")</f>
        <v>N/A</v>
      </c>
      <c r="CB373" s="452" t="str">
        <f aca="true">IFERROR(VLOOKUP($A373,tb_ConsensusEstimate,MATCH(CB$5,OFFSET(tb_ConsensusEstimate,0,0,1,COLUMNS(tb_ConsensusEstimate)),0),FALSE()),"-")</f>
        <v>N/A</v>
      </c>
      <c r="CC373" s="449"/>
    </row>
    <row r="374" s="51" customFormat="true" ht="15" hidden="false" customHeight="true" outlineLevel="0" collapsed="false">
      <c r="A374" s="48"/>
      <c r="B374" s="254"/>
      <c r="C374" s="159"/>
      <c r="D374" s="159"/>
      <c r="E374" s="159"/>
      <c r="F374" s="159"/>
      <c r="G374" s="159"/>
      <c r="H374" s="48"/>
      <c r="I374" s="48"/>
      <c r="J374" s="48"/>
      <c r="K374" s="48"/>
      <c r="L374" s="159"/>
      <c r="M374" s="48"/>
      <c r="N374" s="48"/>
      <c r="O374" s="48"/>
      <c r="P374" s="48"/>
      <c r="Q374" s="159"/>
      <c r="R374" s="48"/>
      <c r="S374" s="48"/>
      <c r="T374" s="48"/>
      <c r="U374" s="48"/>
      <c r="V374" s="159"/>
      <c r="W374" s="48"/>
      <c r="X374" s="48"/>
      <c r="Y374" s="48"/>
      <c r="Z374" s="48"/>
      <c r="AA374" s="159"/>
      <c r="AB374" s="48"/>
      <c r="AC374" s="48"/>
      <c r="AD374" s="48"/>
      <c r="AE374" s="48"/>
      <c r="AF374" s="159"/>
      <c r="AG374" s="48"/>
      <c r="AH374" s="48"/>
      <c r="AI374" s="48"/>
      <c r="AJ374" s="48"/>
      <c r="AK374" s="159"/>
      <c r="AL374" s="48"/>
      <c r="AM374" s="48"/>
      <c r="AN374" s="48"/>
      <c r="AO374" s="48"/>
      <c r="AP374" s="159"/>
      <c r="AQ374" s="48"/>
      <c r="AR374" s="48"/>
      <c r="AS374" s="48"/>
      <c r="AT374" s="48"/>
      <c r="AU374" s="159"/>
      <c r="AV374" s="48"/>
      <c r="AW374" s="48"/>
      <c r="AX374" s="48"/>
      <c r="AY374" s="48"/>
      <c r="AZ374" s="159"/>
      <c r="BA374" s="48"/>
      <c r="BB374" s="48"/>
      <c r="BC374" s="48"/>
      <c r="BD374" s="48"/>
      <c r="BE374" s="159"/>
      <c r="BF374" s="48"/>
      <c r="BG374" s="48"/>
      <c r="BH374" s="48"/>
      <c r="BI374" s="48"/>
      <c r="BJ374" s="159"/>
      <c r="BK374" s="48"/>
      <c r="BL374" s="48"/>
      <c r="BM374" s="48"/>
      <c r="BN374" s="48"/>
      <c r="BO374" s="160"/>
      <c r="BP374" s="48"/>
      <c r="BQ374" s="48"/>
      <c r="BR374" s="48"/>
      <c r="BS374" s="48"/>
      <c r="BT374" s="159"/>
      <c r="BU374" s="48"/>
      <c r="BV374" s="48"/>
      <c r="BW374" s="48"/>
      <c r="BX374" s="48"/>
      <c r="BY374" s="159"/>
      <c r="BZ374" s="159"/>
      <c r="CA374" s="159"/>
      <c r="CB374" s="159"/>
      <c r="CC374" s="50"/>
    </row>
    <row r="375" s="51" customFormat="true" ht="15" hidden="false" customHeight="true" outlineLevel="0" collapsed="false">
      <c r="A375" s="50" t="s">
        <v>442</v>
      </c>
      <c r="B375" s="254"/>
      <c r="C375" s="255" t="n">
        <v>432.615</v>
      </c>
      <c r="D375" s="255" t="n">
        <v>435.146</v>
      </c>
      <c r="E375" s="255" t="n">
        <v>425.618</v>
      </c>
      <c r="F375" s="255" t="n">
        <v>424.096</v>
      </c>
      <c r="G375" s="255" t="n">
        <v>429.77</v>
      </c>
      <c r="H375" s="263" t="n">
        <v>440</v>
      </c>
      <c r="I375" s="263" t="n">
        <v>438.5</v>
      </c>
      <c r="J375" s="263" t="n">
        <v>436.1</v>
      </c>
      <c r="K375" s="263" t="n">
        <v>434.1</v>
      </c>
      <c r="L375" s="255" t="n">
        <v>437.142</v>
      </c>
      <c r="M375" s="263" t="n">
        <v>432.6</v>
      </c>
      <c r="N375" s="263" t="n">
        <v>431.4</v>
      </c>
      <c r="O375" s="263" t="n">
        <v>429.9</v>
      </c>
      <c r="P375" s="263" t="n">
        <v>428.8</v>
      </c>
      <c r="Q375" s="255" t="n">
        <v>430.639</v>
      </c>
      <c r="R375" s="263" t="n">
        <v>427</v>
      </c>
      <c r="S375" s="263" t="n">
        <v>424.5</v>
      </c>
      <c r="T375" s="263" t="n">
        <v>423.8</v>
      </c>
      <c r="U375" s="263" t="n">
        <v>427.1</v>
      </c>
      <c r="V375" s="255" t="n">
        <v>425.6</v>
      </c>
      <c r="W375" s="263" t="n">
        <v>430.1</v>
      </c>
      <c r="X375" s="263" t="n">
        <v>430.4</v>
      </c>
      <c r="Y375" s="263" t="n">
        <v>430.1</v>
      </c>
      <c r="Z375" s="263" t="n">
        <v>428.4</v>
      </c>
      <c r="AA375" s="255" t="n">
        <v>429.8</v>
      </c>
      <c r="AB375" s="263" t="n">
        <v>427.2</v>
      </c>
      <c r="AC375" s="263" t="n">
        <v>426</v>
      </c>
      <c r="AD375" s="263" t="n">
        <v>424.3</v>
      </c>
      <c r="AE375" s="263" t="n">
        <v>422.2</v>
      </c>
      <c r="AF375" s="255" t="n">
        <v>424.9</v>
      </c>
      <c r="AG375" s="263" t="n">
        <v>421.1</v>
      </c>
      <c r="AH375" s="263" t="n">
        <v>421.1</v>
      </c>
      <c r="AI375" s="263" t="n">
        <v>420.9</v>
      </c>
      <c r="AJ375" s="263" t="n">
        <v>420.1</v>
      </c>
      <c r="AK375" s="255" t="n">
        <v>420.8</v>
      </c>
      <c r="AL375" s="263" t="n">
        <v>419</v>
      </c>
      <c r="AM375" s="263" t="n">
        <v>418.4</v>
      </c>
      <c r="AN375" s="263" t="n">
        <v>418.4</v>
      </c>
      <c r="AO375" s="263" t="n">
        <v>417.5</v>
      </c>
      <c r="AP375" s="255" t="n">
        <v>418.3</v>
      </c>
      <c r="AQ375" s="263" t="n">
        <v>415.3</v>
      </c>
      <c r="AR375" s="263" t="n">
        <v>411.5</v>
      </c>
      <c r="AS375" s="263" t="n">
        <v>407.9</v>
      </c>
      <c r="AT375" s="263" t="n">
        <v>404.3</v>
      </c>
      <c r="AU375" s="255" t="n">
        <v>409.8</v>
      </c>
      <c r="AV375" s="263" t="n">
        <v>401.1</v>
      </c>
      <c r="AW375" s="263" t="n">
        <v>398.3</v>
      </c>
      <c r="AX375" s="263" t="n">
        <v>396.2</v>
      </c>
      <c r="AY375" s="263" t="n">
        <v>394.9</v>
      </c>
      <c r="AZ375" s="255" t="n">
        <v>397.7</v>
      </c>
      <c r="BA375" s="263" t="n">
        <v>394.5</v>
      </c>
      <c r="BB375" s="263" t="n">
        <v>393.8</v>
      </c>
      <c r="BC375" s="263" t="n">
        <v>393.4</v>
      </c>
      <c r="BD375" s="263" t="n">
        <v>393.4</v>
      </c>
      <c r="BE375" s="255" t="n">
        <v>393.8</v>
      </c>
      <c r="BF375" s="263" t="n">
        <v>393.4</v>
      </c>
      <c r="BG375" s="263" t="n">
        <v>393.2</v>
      </c>
      <c r="BH375" s="263" t="n">
        <v>393.2</v>
      </c>
      <c r="BI375" s="263" t="n">
        <v>393.3</v>
      </c>
      <c r="BJ375" s="255" t="n">
        <v>393.3</v>
      </c>
      <c r="BK375" s="263" t="n">
        <v>392.3</v>
      </c>
      <c r="BL375" s="263" t="n">
        <v>388.2</v>
      </c>
      <c r="BM375" s="263" t="n">
        <v>387.3</v>
      </c>
      <c r="BN375" s="263" t="n">
        <v>386.5</v>
      </c>
      <c r="BO375" s="390" t="n">
        <v>388.5</v>
      </c>
      <c r="BP375" s="48" t="n">
        <f aca="false">AVERAGE(BO380,BP380)</f>
        <v>388.519425</v>
      </c>
      <c r="BQ375" s="48" t="n">
        <f aca="false">AVERAGE(BP380,BQ380)</f>
        <v>388.5582769425</v>
      </c>
      <c r="BR375" s="48" t="n">
        <f aca="false">AVERAGE(BQ380,BR380)</f>
        <v>388.597132770194</v>
      </c>
      <c r="BS375" s="48" t="n">
        <f aca="false">AVERAGE(BR380,BS380)</f>
        <v>388.635992483471</v>
      </c>
      <c r="BT375" s="159" t="n">
        <f aca="false">SUM(BP375*BP3,BQ375*BQ3,BR375*BR3,BS375*BS3)/BT3</f>
        <v>388.578079383849</v>
      </c>
      <c r="BU375" s="48" t="n">
        <f aca="false">AVERAGE(BT380,BU380)</f>
        <v>388.67485608272</v>
      </c>
      <c r="BV375" s="48" t="n">
        <f aca="false">AVERAGE(BU380,BV380)</f>
        <v>388.713723568328</v>
      </c>
      <c r="BW375" s="48" t="n">
        <f aca="false">AVERAGE(BV380,BW380)</f>
        <v>388.752594940685</v>
      </c>
      <c r="BX375" s="48" t="n">
        <f aca="false">AVERAGE(BW380,BX380)</f>
        <v>388.791470200179</v>
      </c>
      <c r="BY375" s="159" t="n">
        <f aca="false">SUM(BU375*BU3,BV375*BV3,BW375*BW3,BX375*BX3)/BY3</f>
        <v>388.733533931841</v>
      </c>
      <c r="BZ375" s="159" t="n">
        <f aca="false">AVERAGE(BY380,BZ380)</f>
        <v>388.888670983519</v>
      </c>
      <c r="CA375" s="159" t="n">
        <f aca="false">AVERAGE(BZ380,CA380)</f>
        <v>389.044226451912</v>
      </c>
      <c r="CB375" s="159" t="n">
        <f aca="false">AVERAGE(CA380,CB380)</f>
        <v>389.199844142493</v>
      </c>
      <c r="CC375" s="50"/>
    </row>
    <row r="376" s="51" customFormat="true" ht="15" hidden="false" customHeight="true" outlineLevel="0" collapsed="false">
      <c r="A376" s="50" t="s">
        <v>443</v>
      </c>
      <c r="B376" s="254"/>
      <c r="C376" s="255" t="n">
        <v>432.615</v>
      </c>
      <c r="D376" s="255" t="n">
        <v>438.974</v>
      </c>
      <c r="E376" s="255" t="n">
        <v>429.053</v>
      </c>
      <c r="F376" s="255" t="n">
        <v>426.986</v>
      </c>
      <c r="G376" s="255" t="n">
        <v>433.446</v>
      </c>
      <c r="H376" s="263" t="n">
        <v>443.5</v>
      </c>
      <c r="I376" s="263" t="n">
        <v>441.6</v>
      </c>
      <c r="J376" s="263" t="n">
        <v>439</v>
      </c>
      <c r="K376" s="263" t="n">
        <v>436.7</v>
      </c>
      <c r="L376" s="255" t="n">
        <v>439.693</v>
      </c>
      <c r="M376" s="263" t="n">
        <v>435.3</v>
      </c>
      <c r="N376" s="263" t="n">
        <v>433.8</v>
      </c>
      <c r="O376" s="263" t="n">
        <v>432.3</v>
      </c>
      <c r="P376" s="263" t="n">
        <v>430.8</v>
      </c>
      <c r="Q376" s="255" t="n">
        <v>432.644</v>
      </c>
      <c r="R376" s="263" t="n">
        <v>429.1</v>
      </c>
      <c r="S376" s="263" t="n">
        <v>426.5</v>
      </c>
      <c r="T376" s="263" t="n">
        <v>425.8</v>
      </c>
      <c r="U376" s="263" t="n">
        <v>429.2</v>
      </c>
      <c r="V376" s="255" t="n">
        <v>427.7</v>
      </c>
      <c r="W376" s="263" t="n">
        <v>432.3</v>
      </c>
      <c r="X376" s="263" t="n">
        <v>432.4</v>
      </c>
      <c r="Y376" s="263" t="n">
        <v>432</v>
      </c>
      <c r="Z376" s="263" t="n">
        <v>430.3</v>
      </c>
      <c r="AA376" s="255" t="n">
        <v>431.6</v>
      </c>
      <c r="AB376" s="263" t="n">
        <v>428.9</v>
      </c>
      <c r="AC376" s="263" t="n">
        <v>427.6</v>
      </c>
      <c r="AD376" s="263" t="n">
        <v>425.9</v>
      </c>
      <c r="AE376" s="263" t="n">
        <v>423.6</v>
      </c>
      <c r="AF376" s="255" t="n">
        <v>426.4</v>
      </c>
      <c r="AG376" s="263" t="n">
        <v>422.5</v>
      </c>
      <c r="AH376" s="263" t="n">
        <v>421.8</v>
      </c>
      <c r="AI376" s="263" t="n">
        <v>421.7</v>
      </c>
      <c r="AJ376" s="263" t="n">
        <v>421.1</v>
      </c>
      <c r="AK376" s="255" t="n">
        <v>421.6</v>
      </c>
      <c r="AL376" s="263" t="n">
        <v>419.7</v>
      </c>
      <c r="AM376" s="263" t="n">
        <v>419</v>
      </c>
      <c r="AN376" s="263" t="n">
        <v>419.2</v>
      </c>
      <c r="AO376" s="263" t="n">
        <v>418.4</v>
      </c>
      <c r="AP376" s="255" t="n">
        <v>419.1</v>
      </c>
      <c r="AQ376" s="263" t="n">
        <v>415.8</v>
      </c>
      <c r="AR376" s="263" t="n">
        <v>412</v>
      </c>
      <c r="AS376" s="263" t="n">
        <v>408.6</v>
      </c>
      <c r="AT376" s="263" t="n">
        <v>405</v>
      </c>
      <c r="AU376" s="255" t="n">
        <v>410.4</v>
      </c>
      <c r="AV376" s="263" t="n">
        <v>401.5</v>
      </c>
      <c r="AW376" s="263" t="n">
        <v>398.6</v>
      </c>
      <c r="AX376" s="263" t="n">
        <v>396.6</v>
      </c>
      <c r="AY376" s="263" t="n">
        <v>395.2</v>
      </c>
      <c r="AZ376" s="255" t="n">
        <v>398.1</v>
      </c>
      <c r="BA376" s="263" t="n">
        <v>394.8</v>
      </c>
      <c r="BB376" s="263" t="n">
        <v>394</v>
      </c>
      <c r="BC376" s="263" t="n">
        <v>393.7</v>
      </c>
      <c r="BD376" s="263" t="n">
        <v>393.8</v>
      </c>
      <c r="BE376" s="255" t="n">
        <v>394.1</v>
      </c>
      <c r="BF376" s="263" t="n">
        <v>393.7</v>
      </c>
      <c r="BG376" s="263" t="n">
        <v>393.5</v>
      </c>
      <c r="BH376" s="263" t="n">
        <v>393.6</v>
      </c>
      <c r="BI376" s="263" t="n">
        <v>393.6</v>
      </c>
      <c r="BJ376" s="255" t="n">
        <v>393.6</v>
      </c>
      <c r="BK376" s="263" t="n">
        <v>392.5</v>
      </c>
      <c r="BL376" s="263" t="n">
        <v>388.4</v>
      </c>
      <c r="BM376" s="263" t="n">
        <v>387.6</v>
      </c>
      <c r="BN376" s="263" t="n">
        <v>387</v>
      </c>
      <c r="BO376" s="390" t="n">
        <v>388.9</v>
      </c>
      <c r="BP376" s="48" t="n">
        <f aca="false">IF(BP362&lt;0,BP375,AVERAGE(BO394,BP394))</f>
        <v>388.917571485766</v>
      </c>
      <c r="BQ376" s="48" t="n">
        <f aca="false">IF(BQ362&lt;0,BQ375,AVERAGE(BP394,BQ394))</f>
        <v>388.85458472868</v>
      </c>
      <c r="BR376" s="48" t="n">
        <f aca="false">IF(BR362&lt;0,BR375,AVERAGE(BQ394,BR394))</f>
        <v>388.893470187153</v>
      </c>
      <c r="BS376" s="48" t="n">
        <f aca="false">IF(BS362&lt;0,BS375,AVERAGE(BR394,BS394))</f>
        <v>388.932359534172</v>
      </c>
      <c r="BT376" s="159" t="n">
        <f aca="false">IF(BT362&lt;0,BT375,SUM(AVERAGE(BO394,BP394)*BP3,AVERAGE(BP394,BQ394)*BQ3,AVERAGE(BQ394,BR394)*BR3,AVERAGE(BR394,BS394)*BS3)/BT3)</f>
        <v>388.899520488742</v>
      </c>
      <c r="BU376" s="48" t="n">
        <f aca="false">IF(BU362&lt;0,BU375,AVERAGE(BT394,BU394))</f>
        <v>388.971252770125</v>
      </c>
      <c r="BV376" s="48" t="n">
        <f aca="false">IF(BV362&lt;0,BV375,AVERAGE(BU394,BV394))</f>
        <v>389.010149895402</v>
      </c>
      <c r="BW376" s="48" t="n">
        <f aca="false">IF(BW362&lt;0,BW375,AVERAGE(BV394,BW394))</f>
        <v>389.049050910392</v>
      </c>
      <c r="BX376" s="48" t="n">
        <f aca="false">IF(BX362&lt;0,BX375,AVERAGE(BW394,BX394))</f>
        <v>389.087955815483</v>
      </c>
      <c r="BY376" s="159" t="n">
        <f aca="false">IF(BY362&lt;0,BY375,SUM(AVERAGE(BT394,BU394)*BU3,AVERAGE(BU394,BV394)*BV3,AVERAGE(BV394,BW394)*BW3,AVERAGE(BW394,BX394)*BX3)/BY3)</f>
        <v>389.029975365954</v>
      </c>
      <c r="BZ376" s="159" t="n">
        <f aca="false">IF(BZ362&lt;0,BZ375,AVERAGE(BY394,BZ394))</f>
        <v>389.18523072245</v>
      </c>
      <c r="CA376" s="159" t="n">
        <f aca="false">IF(CA362&lt;0,CA375,AVERAGE(BZ394,CA394))</f>
        <v>389.340904814739</v>
      </c>
      <c r="CB376" s="159" t="n">
        <f aca="false">IF(CB362&lt;0,CB375,AVERAGE(CA394,CB394))</f>
        <v>389.496641176665</v>
      </c>
      <c r="CC376" s="50"/>
    </row>
    <row r="377" s="51" customFormat="true" ht="15" hidden="false" customHeight="true" outlineLevel="0" collapsed="false">
      <c r="A377" s="50" t="s">
        <v>444</v>
      </c>
      <c r="B377" s="254"/>
      <c r="C377" s="262" t="n">
        <f aca="false">C376</f>
        <v>432.615</v>
      </c>
      <c r="D377" s="262" t="n">
        <f aca="false">D376</f>
        <v>438.974</v>
      </c>
      <c r="E377" s="262" t="n">
        <f aca="false">E376</f>
        <v>429.053</v>
      </c>
      <c r="F377" s="262" t="n">
        <f aca="false">F376</f>
        <v>426.986</v>
      </c>
      <c r="G377" s="262" t="n">
        <f aca="false">G376</f>
        <v>433.446</v>
      </c>
      <c r="H377" s="50" t="n">
        <f aca="false">H376</f>
        <v>443.5</v>
      </c>
      <c r="I377" s="50" t="n">
        <f aca="false">I376</f>
        <v>441.6</v>
      </c>
      <c r="J377" s="50" t="n">
        <f aca="false">J376</f>
        <v>439</v>
      </c>
      <c r="K377" s="50" t="n">
        <f aca="false">K376</f>
        <v>436.7</v>
      </c>
      <c r="L377" s="262" t="n">
        <f aca="false">L376</f>
        <v>439.693</v>
      </c>
      <c r="M377" s="50" t="n">
        <f aca="false">M376</f>
        <v>435.3</v>
      </c>
      <c r="N377" s="50" t="n">
        <f aca="false">N376</f>
        <v>433.8</v>
      </c>
      <c r="O377" s="50" t="n">
        <f aca="false">O376</f>
        <v>432.3</v>
      </c>
      <c r="P377" s="50" t="n">
        <f aca="false">P376</f>
        <v>430.8</v>
      </c>
      <c r="Q377" s="262" t="n">
        <f aca="false">Q376</f>
        <v>432.644</v>
      </c>
      <c r="R377" s="50" t="n">
        <f aca="false">R376</f>
        <v>429.1</v>
      </c>
      <c r="S377" s="50" t="n">
        <f aca="false">S376</f>
        <v>426.5</v>
      </c>
      <c r="T377" s="50" t="n">
        <f aca="false">T376</f>
        <v>425.8</v>
      </c>
      <c r="U377" s="50" t="n">
        <f aca="false">U376</f>
        <v>429.2</v>
      </c>
      <c r="V377" s="262" t="n">
        <f aca="false">V376</f>
        <v>427.7</v>
      </c>
      <c r="W377" s="50" t="n">
        <f aca="false">W376</f>
        <v>432.3</v>
      </c>
      <c r="X377" s="50" t="n">
        <f aca="false">X376</f>
        <v>432.4</v>
      </c>
      <c r="Y377" s="50" t="n">
        <f aca="false">Y376</f>
        <v>432</v>
      </c>
      <c r="Z377" s="50" t="n">
        <f aca="false">Z376</f>
        <v>430.3</v>
      </c>
      <c r="AA377" s="262" t="n">
        <f aca="false">AA376</f>
        <v>431.6</v>
      </c>
      <c r="AB377" s="50" t="n">
        <f aca="false">AB376</f>
        <v>428.9</v>
      </c>
      <c r="AC377" s="50" t="n">
        <f aca="false">AC376</f>
        <v>427.6</v>
      </c>
      <c r="AD377" s="50" t="n">
        <f aca="false">AD376</f>
        <v>425.9</v>
      </c>
      <c r="AE377" s="50" t="n">
        <f aca="false">AE376</f>
        <v>423.6</v>
      </c>
      <c r="AF377" s="262" t="n">
        <f aca="false">AF376</f>
        <v>426.4</v>
      </c>
      <c r="AG377" s="50" t="n">
        <f aca="false">AG376</f>
        <v>422.5</v>
      </c>
      <c r="AH377" s="50" t="n">
        <f aca="false">AH376</f>
        <v>421.8</v>
      </c>
      <c r="AI377" s="50" t="n">
        <f aca="false">AI376</f>
        <v>421.7</v>
      </c>
      <c r="AJ377" s="50" t="n">
        <f aca="false">AJ376</f>
        <v>421.1</v>
      </c>
      <c r="AK377" s="262" t="n">
        <f aca="false">AK376</f>
        <v>421.6</v>
      </c>
      <c r="AL377" s="50" t="n">
        <f aca="false">AL376</f>
        <v>419.7</v>
      </c>
      <c r="AM377" s="50" t="n">
        <f aca="false">AM376</f>
        <v>419</v>
      </c>
      <c r="AN377" s="50" t="n">
        <f aca="false">AN376</f>
        <v>419.2</v>
      </c>
      <c r="AO377" s="50" t="n">
        <f aca="false">AO376</f>
        <v>418.4</v>
      </c>
      <c r="AP377" s="262" t="n">
        <f aca="false">AP376</f>
        <v>419.1</v>
      </c>
      <c r="AQ377" s="50" t="n">
        <f aca="false">AQ376</f>
        <v>415.8</v>
      </c>
      <c r="AR377" s="50" t="n">
        <f aca="false">AR376</f>
        <v>412</v>
      </c>
      <c r="AS377" s="50" t="n">
        <f aca="false">AS376</f>
        <v>408.6</v>
      </c>
      <c r="AT377" s="50" t="n">
        <f aca="false">AT376</f>
        <v>405</v>
      </c>
      <c r="AU377" s="262" t="n">
        <f aca="false">AU376</f>
        <v>410.4</v>
      </c>
      <c r="AV377" s="50" t="n">
        <f aca="false">AV376</f>
        <v>401.5</v>
      </c>
      <c r="AW377" s="50" t="n">
        <f aca="false">AW376</f>
        <v>398.6</v>
      </c>
      <c r="AX377" s="50" t="n">
        <f aca="false">AX376</f>
        <v>396.6</v>
      </c>
      <c r="AY377" s="50" t="n">
        <f aca="false">AY376</f>
        <v>395.2</v>
      </c>
      <c r="AZ377" s="262" t="n">
        <f aca="false">AZ376</f>
        <v>398.1</v>
      </c>
      <c r="BA377" s="50" t="n">
        <f aca="false">BA376</f>
        <v>394.8</v>
      </c>
      <c r="BB377" s="50" t="n">
        <f aca="false">BB376</f>
        <v>394</v>
      </c>
      <c r="BC377" s="50" t="n">
        <f aca="false">BC376</f>
        <v>393.7</v>
      </c>
      <c r="BD377" s="50" t="n">
        <f aca="false">BD376</f>
        <v>393.8</v>
      </c>
      <c r="BE377" s="262" t="n">
        <f aca="false">BE376</f>
        <v>394.1</v>
      </c>
      <c r="BF377" s="50" t="n">
        <f aca="false">BF376</f>
        <v>393.7</v>
      </c>
      <c r="BG377" s="50" t="n">
        <f aca="false">BG376</f>
        <v>393.5</v>
      </c>
      <c r="BH377" s="50" t="n">
        <f aca="false">BH376</f>
        <v>393.6</v>
      </c>
      <c r="BI377" s="50" t="n">
        <f aca="false">BI376</f>
        <v>393.6</v>
      </c>
      <c r="BJ377" s="262" t="n">
        <f aca="false">BJ376</f>
        <v>393.6</v>
      </c>
      <c r="BK377" s="50" t="n">
        <f aca="false">BK376</f>
        <v>392.5</v>
      </c>
      <c r="BL377" s="50" t="n">
        <f aca="false">BL376</f>
        <v>388.4</v>
      </c>
      <c r="BM377" s="50" t="n">
        <f aca="false">BM376</f>
        <v>387.6</v>
      </c>
      <c r="BN377" s="50" t="n">
        <f aca="false">BN376</f>
        <v>387</v>
      </c>
      <c r="BO377" s="264" t="n">
        <f aca="false">BO376</f>
        <v>388.9</v>
      </c>
      <c r="BP377" s="48" t="n">
        <f aca="false">IF(BP365&lt;0,BP375,AVERAGE(BO394,BP394))</f>
        <v>388.917571485766</v>
      </c>
      <c r="BQ377" s="48" t="n">
        <f aca="false">IF(BQ365&lt;0,BQ375,AVERAGE(BP394,BQ394))</f>
        <v>388.85458472868</v>
      </c>
      <c r="BR377" s="48" t="n">
        <f aca="false">IF(BR365&lt;0,BR375,AVERAGE(BQ394,BR394))</f>
        <v>388.893470187153</v>
      </c>
      <c r="BS377" s="48" t="n">
        <f aca="false">IF(BS365&lt;0,BS375,AVERAGE(BR394,BS394))</f>
        <v>388.932359534172</v>
      </c>
      <c r="BT377" s="159" t="n">
        <f aca="false">IF(BT365&lt;0,BT375,SUM(AVERAGE(BO394,BP394)*BP3,AVERAGE(BP394,BQ394)*BQ3,AVERAGE(BQ394,BR394)*BR3,AVERAGE(BR394,BS394)*BS3)/BT3)</f>
        <v>388.899520488742</v>
      </c>
      <c r="BU377" s="48" t="n">
        <f aca="false">IF(BU365&lt;0,BU375,AVERAGE(BT394,BU394))</f>
        <v>388.971252770125</v>
      </c>
      <c r="BV377" s="48" t="n">
        <f aca="false">IF(BV365&lt;0,BV375,AVERAGE(BU394,BV394))</f>
        <v>389.010149895402</v>
      </c>
      <c r="BW377" s="48" t="n">
        <f aca="false">IF(BW365&lt;0,BW375,AVERAGE(BV394,BW394))</f>
        <v>389.049050910392</v>
      </c>
      <c r="BX377" s="48" t="n">
        <f aca="false">IF(BX365&lt;0,BX375,AVERAGE(BW394,BX394))</f>
        <v>389.087955815483</v>
      </c>
      <c r="BY377" s="159" t="n">
        <f aca="false">IF(BY365&lt;0,BY375,SUM(AVERAGE(BT394,BU394)*BU3,AVERAGE(BU394,BV394)*BV3,AVERAGE(BV394,BW394)*BW3,AVERAGE(BW394,BX394)*BX3)/BY3)</f>
        <v>389.029975365954</v>
      </c>
      <c r="BZ377" s="159" t="n">
        <f aca="false">IF(BZ365&lt;0,BZ375,AVERAGE(BY394,BZ394))</f>
        <v>389.18523072245</v>
      </c>
      <c r="CA377" s="159" t="n">
        <f aca="false">IF(CA365&lt;0,CA375,AVERAGE(BZ394,CA394))</f>
        <v>389.340904814739</v>
      </c>
      <c r="CB377" s="159" t="n">
        <f aca="false">IF(CB365&lt;0,CB375,AVERAGE(CA394,CB394))</f>
        <v>389.496641176665</v>
      </c>
      <c r="CC377" s="50"/>
    </row>
    <row r="378" s="51" customFormat="true" ht="15" hidden="false" customHeight="true" outlineLevel="0" collapsed="false">
      <c r="A378" s="254"/>
      <c r="B378" s="254"/>
      <c r="C378" s="159"/>
      <c r="D378" s="159"/>
      <c r="E378" s="159"/>
      <c r="F378" s="159"/>
      <c r="G378" s="159"/>
      <c r="H378" s="48"/>
      <c r="I378" s="48"/>
      <c r="J378" s="48"/>
      <c r="K378" s="48"/>
      <c r="L378" s="159"/>
      <c r="M378" s="48"/>
      <c r="N378" s="48"/>
      <c r="O378" s="48"/>
      <c r="P378" s="48"/>
      <c r="Q378" s="159"/>
      <c r="R378" s="48"/>
      <c r="S378" s="48"/>
      <c r="T378" s="48"/>
      <c r="U378" s="48"/>
      <c r="V378" s="159"/>
      <c r="W378" s="48"/>
      <c r="X378" s="48"/>
      <c r="Y378" s="48"/>
      <c r="Z378" s="48"/>
      <c r="AA378" s="159"/>
      <c r="AB378" s="48"/>
      <c r="AC378" s="48"/>
      <c r="AD378" s="48"/>
      <c r="AE378" s="48"/>
      <c r="AF378" s="159"/>
      <c r="AG378" s="48"/>
      <c r="AH378" s="48"/>
      <c r="AI378" s="48"/>
      <c r="AJ378" s="48"/>
      <c r="AK378" s="159"/>
      <c r="AL378" s="48"/>
      <c r="AM378" s="48"/>
      <c r="AN378" s="48"/>
      <c r="AO378" s="48"/>
      <c r="AP378" s="159"/>
      <c r="AQ378" s="48"/>
      <c r="AR378" s="48"/>
      <c r="AS378" s="48"/>
      <c r="AT378" s="48"/>
      <c r="AU378" s="159"/>
      <c r="AV378" s="48"/>
      <c r="AW378" s="48"/>
      <c r="AX378" s="48"/>
      <c r="AY378" s="48"/>
      <c r="AZ378" s="159"/>
      <c r="BA378" s="48"/>
      <c r="BB378" s="48"/>
      <c r="BC378" s="48"/>
      <c r="BD378" s="48"/>
      <c r="BE378" s="159"/>
      <c r="BF378" s="48"/>
      <c r="BG378" s="48"/>
      <c r="BH378" s="48"/>
      <c r="BI378" s="48"/>
      <c r="BJ378" s="159"/>
      <c r="BK378" s="48"/>
      <c r="BL378" s="48"/>
      <c r="BM378" s="48"/>
      <c r="BN378" s="48"/>
      <c r="BO378" s="160"/>
      <c r="BP378" s="48"/>
      <c r="BQ378" s="48"/>
      <c r="BR378" s="48"/>
      <c r="BS378" s="48"/>
      <c r="BT378" s="159"/>
      <c r="BU378" s="48"/>
      <c r="BV378" s="48"/>
      <c r="BW378" s="48"/>
      <c r="BX378" s="48"/>
      <c r="BY378" s="159"/>
      <c r="BZ378" s="159"/>
      <c r="CA378" s="159"/>
      <c r="CB378" s="159"/>
      <c r="CC378" s="50"/>
    </row>
    <row r="379" s="157" customFormat="true" ht="15" hidden="false" customHeight="true" outlineLevel="0" collapsed="false">
      <c r="A379" s="219" t="s">
        <v>445</v>
      </c>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c r="AA379" s="219"/>
      <c r="AB379" s="219"/>
      <c r="AC379" s="219"/>
      <c r="AD379" s="219"/>
      <c r="AE379" s="219"/>
      <c r="AF379" s="219"/>
      <c r="AG379" s="219"/>
      <c r="AH379" s="219"/>
      <c r="AI379" s="219"/>
      <c r="AJ379" s="219"/>
      <c r="AK379" s="219"/>
      <c r="AL379" s="219"/>
      <c r="AM379" s="219"/>
      <c r="AN379" s="219"/>
      <c r="AO379" s="219"/>
      <c r="AP379" s="219"/>
      <c r="AQ379" s="219"/>
      <c r="AR379" s="219"/>
      <c r="AS379" s="219"/>
      <c r="AT379" s="219"/>
      <c r="AU379" s="219"/>
      <c r="AV379" s="219"/>
      <c r="AW379" s="219"/>
      <c r="AX379" s="219"/>
      <c r="AY379" s="219"/>
      <c r="AZ379" s="219"/>
      <c r="BA379" s="219"/>
      <c r="BB379" s="219"/>
      <c r="BC379" s="219"/>
      <c r="BD379" s="219"/>
      <c r="BE379" s="219"/>
      <c r="BF379" s="219"/>
      <c r="BG379" s="219"/>
      <c r="BH379" s="219"/>
      <c r="BI379" s="219"/>
      <c r="BJ379" s="219"/>
      <c r="BK379" s="219"/>
      <c r="BL379" s="219"/>
      <c r="BM379" s="219"/>
      <c r="BN379" s="219"/>
      <c r="BO379" s="220"/>
      <c r="BP379" s="219"/>
      <c r="BQ379" s="219"/>
      <c r="BR379" s="219"/>
      <c r="BS379" s="219"/>
      <c r="BT379" s="219"/>
      <c r="BU379" s="219"/>
      <c r="BV379" s="219"/>
      <c r="BW379" s="219"/>
      <c r="BX379" s="219"/>
      <c r="BY379" s="219"/>
      <c r="BZ379" s="219"/>
      <c r="CA379" s="219"/>
      <c r="CB379" s="219"/>
      <c r="CC379" s="156"/>
    </row>
    <row r="380" s="51" customFormat="true" ht="15" hidden="true" customHeight="true" outlineLevel="1" collapsed="false">
      <c r="A380" s="50" t="s">
        <v>446</v>
      </c>
      <c r="B380" s="254"/>
      <c r="C380" s="255" t="n">
        <v>433.638976</v>
      </c>
      <c r="D380" s="255" t="n">
        <v>436.592972</v>
      </c>
      <c r="E380" s="255" t="n">
        <v>413.669257</v>
      </c>
      <c r="F380" s="255" t="n">
        <v>407.165221</v>
      </c>
      <c r="G380" s="255" t="n">
        <v>440.852334</v>
      </c>
      <c r="H380" s="48" t="n">
        <f aca="false">H375</f>
        <v>440</v>
      </c>
      <c r="I380" s="48" t="n">
        <f aca="false">I375</f>
        <v>438.5</v>
      </c>
      <c r="J380" s="48" t="n">
        <f aca="false">J375</f>
        <v>436.1</v>
      </c>
      <c r="K380" s="48" t="n">
        <f aca="false">L380</f>
        <v>432.935288</v>
      </c>
      <c r="L380" s="255" t="n">
        <v>432.935288</v>
      </c>
      <c r="M380" s="48" t="n">
        <f aca="false">M375</f>
        <v>432.6</v>
      </c>
      <c r="N380" s="48" t="n">
        <f aca="false">N375</f>
        <v>431.4</v>
      </c>
      <c r="O380" s="48" t="n">
        <f aca="false">O375</f>
        <v>429.9</v>
      </c>
      <c r="P380" s="48" t="n">
        <f aca="false">Q380</f>
        <v>427.986682</v>
      </c>
      <c r="Q380" s="255" t="n">
        <v>427.986682</v>
      </c>
      <c r="R380" s="48" t="n">
        <f aca="false">R375</f>
        <v>427</v>
      </c>
      <c r="S380" s="48" t="n">
        <f aca="false">S375</f>
        <v>424.5</v>
      </c>
      <c r="T380" s="48" t="n">
        <f aca="false">T375</f>
        <v>423.8</v>
      </c>
      <c r="U380" s="48" t="n">
        <f aca="false">V380</f>
        <v>429.941232</v>
      </c>
      <c r="V380" s="255" t="n">
        <v>429.941232</v>
      </c>
      <c r="W380" s="48" t="n">
        <f aca="false">W375</f>
        <v>430.1</v>
      </c>
      <c r="X380" s="48" t="n">
        <f aca="false">X375</f>
        <v>430.4</v>
      </c>
      <c r="Y380" s="48" t="n">
        <f aca="false">Y375</f>
        <v>430.1</v>
      </c>
      <c r="Z380" s="48" t="n">
        <f aca="false">AA380</f>
        <v>427.393592</v>
      </c>
      <c r="AA380" s="255" t="n">
        <v>427.393592</v>
      </c>
      <c r="AB380" s="48" t="n">
        <f aca="false">AB375</f>
        <v>427.2</v>
      </c>
      <c r="AC380" s="48" t="n">
        <f aca="false">AC375</f>
        <v>426</v>
      </c>
      <c r="AD380" s="48" t="n">
        <f aca="false">AD375</f>
        <v>424.3</v>
      </c>
      <c r="AE380" s="48" t="n">
        <f aca="false">AF380</f>
        <v>421.097729</v>
      </c>
      <c r="AF380" s="255" t="n">
        <v>421.097729</v>
      </c>
      <c r="AG380" s="48" t="n">
        <f aca="false">AG375</f>
        <v>421.1</v>
      </c>
      <c r="AH380" s="48" t="n">
        <f aca="false">AH375</f>
        <v>421.1</v>
      </c>
      <c r="AI380" s="48" t="n">
        <f aca="false">AI375</f>
        <v>420.9</v>
      </c>
      <c r="AJ380" s="48" t="n">
        <f aca="false">AK380</f>
        <v>419.810706</v>
      </c>
      <c r="AK380" s="255" t="n">
        <v>419.810706</v>
      </c>
      <c r="AL380" s="48" t="n">
        <f aca="false">AL375</f>
        <v>419</v>
      </c>
      <c r="AM380" s="48" t="n">
        <f aca="false">AM375</f>
        <v>418.4</v>
      </c>
      <c r="AN380" s="48" t="n">
        <f aca="false">AN375</f>
        <v>418.4</v>
      </c>
      <c r="AO380" s="48" t="n">
        <f aca="false">AP380</f>
        <v>416.514034</v>
      </c>
      <c r="AP380" s="255" t="n">
        <v>416.514034</v>
      </c>
      <c r="AQ380" s="48" t="n">
        <f aca="false">AQ375</f>
        <v>415.3</v>
      </c>
      <c r="AR380" s="48" t="n">
        <f aca="false">AR375</f>
        <v>411.5</v>
      </c>
      <c r="AS380" s="48" t="n">
        <f aca="false">AS375</f>
        <v>407.9</v>
      </c>
      <c r="AT380" s="48" t="n">
        <f aca="false">AU380</f>
        <v>402.601613</v>
      </c>
      <c r="AU380" s="255" t="n">
        <v>402.601613</v>
      </c>
      <c r="AV380" s="48" t="n">
        <f aca="false">AV375</f>
        <v>401.1</v>
      </c>
      <c r="AW380" s="48" t="n">
        <f aca="false">AW375</f>
        <v>398.3</v>
      </c>
      <c r="AX380" s="48" t="n">
        <f aca="false">AX375</f>
        <v>396.2</v>
      </c>
      <c r="AY380" s="48" t="n">
        <f aca="false">AZ380</f>
        <v>394.589411</v>
      </c>
      <c r="AZ380" s="255" t="n">
        <v>394.589411</v>
      </c>
      <c r="BA380" s="48" t="n">
        <f aca="false">BA375</f>
        <v>394.5</v>
      </c>
      <c r="BB380" s="48" t="n">
        <f aca="false">BB375</f>
        <v>393.8</v>
      </c>
      <c r="BC380" s="48" t="n">
        <f aca="false">BC375</f>
        <v>393.4</v>
      </c>
      <c r="BD380" s="48" t="n">
        <f aca="false">BE380</f>
        <v>393.421721</v>
      </c>
      <c r="BE380" s="255" t="n">
        <v>393.421721</v>
      </c>
      <c r="BF380" s="48" t="n">
        <f aca="false">BF375</f>
        <v>393.4</v>
      </c>
      <c r="BG380" s="48" t="n">
        <f aca="false">BG375</f>
        <v>393.2</v>
      </c>
      <c r="BH380" s="48" t="n">
        <f aca="false">BH375</f>
        <v>393.2</v>
      </c>
      <c r="BI380" s="48" t="n">
        <f aca="false">BJ380</f>
        <v>393.28372</v>
      </c>
      <c r="BJ380" s="255" t="n">
        <v>393.28372</v>
      </c>
      <c r="BK380" s="48" t="n">
        <f aca="false">BK375</f>
        <v>392.3</v>
      </c>
      <c r="BL380" s="48" t="n">
        <f aca="false">BL375</f>
        <v>388.2</v>
      </c>
      <c r="BM380" s="48" t="n">
        <f aca="false">BM375</f>
        <v>387.3</v>
      </c>
      <c r="BN380" s="48" t="n">
        <f aca="false">BO380</f>
        <v>388.5</v>
      </c>
      <c r="BO380" s="264" t="n">
        <f aca="false">BO375</f>
        <v>388.5</v>
      </c>
      <c r="BP380" s="48" t="n">
        <f aca="false">BO380*(1+BP381)+BP411/(BP412/BP459)</f>
        <v>388.53885</v>
      </c>
      <c r="BQ380" s="48" t="n">
        <f aca="false">BP380*(1+BQ381)+BQ411/(BQ412/BQ459)</f>
        <v>388.577703885</v>
      </c>
      <c r="BR380" s="48" t="n">
        <f aca="false">BQ380*(1+BR381)+BR411/(BR412/BR459)</f>
        <v>388.616561655388</v>
      </c>
      <c r="BS380" s="48" t="n">
        <f aca="false">BR380*(1+BS381)+BS411/(BS412/BS459)</f>
        <v>388.655423311554</v>
      </c>
      <c r="BT380" s="159" t="n">
        <f aca="false">BS380</f>
        <v>388.655423311554</v>
      </c>
      <c r="BU380" s="48" t="n">
        <f aca="false">BT380*(1+BU381)+BU411/(BU412/BU459)</f>
        <v>388.694288853885</v>
      </c>
      <c r="BV380" s="48" t="n">
        <f aca="false">BU380*(1+BV381)+BV411/(BV412/BV459)</f>
        <v>388.733158282771</v>
      </c>
      <c r="BW380" s="48" t="n">
        <f aca="false">BV380*(1+BW381)+BW411/(BW412/BW459)</f>
        <v>388.772031598599</v>
      </c>
      <c r="BX380" s="48" t="n">
        <f aca="false">BW380*(1+BX381)+BX411/(BX412/BX459)</f>
        <v>388.810908801759</v>
      </c>
      <c r="BY380" s="159" t="n">
        <f aca="false">BX380</f>
        <v>388.810908801759</v>
      </c>
      <c r="BZ380" s="159" t="n">
        <f aca="false">BY380*(1+BZ382)+BZ411/(BZ412/BZ459)</f>
        <v>388.966433165279</v>
      </c>
      <c r="CA380" s="159" t="n">
        <f aca="false">BZ380*(1+CA382)+CA411/(CA412/CA459)</f>
        <v>389.122019738545</v>
      </c>
      <c r="CB380" s="159" t="n">
        <f aca="false">CA380*(1+CB382)+CB411/(CB412/CB459)</f>
        <v>389.277668546441</v>
      </c>
      <c r="CC380" s="50"/>
    </row>
    <row r="381" s="51" customFormat="true" ht="15" hidden="true" customHeight="true" outlineLevel="1" collapsed="false">
      <c r="A381" s="245" t="s">
        <v>447</v>
      </c>
      <c r="B381" s="419"/>
      <c r="C381" s="167"/>
      <c r="D381" s="167"/>
      <c r="E381" s="167"/>
      <c r="F381" s="167"/>
      <c r="G381" s="167"/>
      <c r="H381" s="168"/>
      <c r="I381" s="168"/>
      <c r="J381" s="168"/>
      <c r="K381" s="168"/>
      <c r="L381" s="167"/>
      <c r="M381" s="168"/>
      <c r="N381" s="168"/>
      <c r="O381" s="168"/>
      <c r="P381" s="168"/>
      <c r="Q381" s="167"/>
      <c r="R381" s="168"/>
      <c r="S381" s="168"/>
      <c r="T381" s="168"/>
      <c r="U381" s="168"/>
      <c r="V381" s="167"/>
      <c r="W381" s="168"/>
      <c r="X381" s="168"/>
      <c r="Y381" s="168"/>
      <c r="Z381" s="168"/>
      <c r="AA381" s="167"/>
      <c r="AB381" s="168"/>
      <c r="AC381" s="168"/>
      <c r="AD381" s="168"/>
      <c r="AE381" s="168"/>
      <c r="AF381" s="167"/>
      <c r="AG381" s="168"/>
      <c r="AH381" s="168"/>
      <c r="AI381" s="168"/>
      <c r="AJ381" s="168"/>
      <c r="AK381" s="167"/>
      <c r="AL381" s="168"/>
      <c r="AM381" s="168"/>
      <c r="AN381" s="168"/>
      <c r="AO381" s="168"/>
      <c r="AP381" s="167"/>
      <c r="AQ381" s="168"/>
      <c r="AR381" s="168"/>
      <c r="AS381" s="168"/>
      <c r="AT381" s="168"/>
      <c r="AU381" s="167"/>
      <c r="AV381" s="168"/>
      <c r="AW381" s="168"/>
      <c r="AX381" s="168"/>
      <c r="AY381" s="168"/>
      <c r="AZ381" s="167"/>
      <c r="BA381" s="168"/>
      <c r="BB381" s="168"/>
      <c r="BC381" s="168"/>
      <c r="BD381" s="168"/>
      <c r="BE381" s="167"/>
      <c r="BF381" s="168"/>
      <c r="BG381" s="168"/>
      <c r="BH381" s="168"/>
      <c r="BI381" s="168"/>
      <c r="BJ381" s="167"/>
      <c r="BK381" s="168"/>
      <c r="BL381" s="168"/>
      <c r="BM381" s="168"/>
      <c r="BN381" s="168"/>
      <c r="BO381" s="169"/>
      <c r="BP381" s="454" t="n">
        <v>0.0001</v>
      </c>
      <c r="BQ381" s="454" t="n">
        <v>0.0001</v>
      </c>
      <c r="BR381" s="454" t="n">
        <v>0.0001</v>
      </c>
      <c r="BS381" s="454" t="n">
        <v>0.0001</v>
      </c>
      <c r="BT381" s="167"/>
      <c r="BU381" s="454" t="n">
        <v>0.0001</v>
      </c>
      <c r="BV381" s="454" t="n">
        <v>0.0001</v>
      </c>
      <c r="BW381" s="454" t="n">
        <v>0.0001</v>
      </c>
      <c r="BX381" s="454" t="n">
        <v>0.0001</v>
      </c>
      <c r="BY381" s="167"/>
      <c r="BZ381" s="167"/>
      <c r="CA381" s="167"/>
      <c r="CB381" s="167"/>
      <c r="CC381" s="50"/>
    </row>
    <row r="382" s="51" customFormat="true" ht="15" hidden="true" customHeight="true" outlineLevel="1" collapsed="false">
      <c r="A382" s="245" t="s">
        <v>448</v>
      </c>
      <c r="B382" s="419"/>
      <c r="C382" s="167"/>
      <c r="D382" s="167"/>
      <c r="E382" s="167"/>
      <c r="F382" s="167"/>
      <c r="G382" s="167"/>
      <c r="H382" s="168"/>
      <c r="I382" s="168"/>
      <c r="J382" s="168"/>
      <c r="K382" s="168"/>
      <c r="L382" s="167"/>
      <c r="M382" s="168"/>
      <c r="N382" s="168"/>
      <c r="O382" s="168"/>
      <c r="P382" s="168"/>
      <c r="Q382" s="167"/>
      <c r="R382" s="168"/>
      <c r="S382" s="168"/>
      <c r="T382" s="168"/>
      <c r="U382" s="168"/>
      <c r="V382" s="167"/>
      <c r="W382" s="168"/>
      <c r="X382" s="168"/>
      <c r="Y382" s="168"/>
      <c r="Z382" s="168"/>
      <c r="AA382" s="167"/>
      <c r="AB382" s="168"/>
      <c r="AC382" s="168"/>
      <c r="AD382" s="168"/>
      <c r="AE382" s="168"/>
      <c r="AF382" s="167"/>
      <c r="AG382" s="168"/>
      <c r="AH382" s="168"/>
      <c r="AI382" s="168"/>
      <c r="AJ382" s="168"/>
      <c r="AK382" s="167"/>
      <c r="AL382" s="168"/>
      <c r="AM382" s="168"/>
      <c r="AN382" s="168"/>
      <c r="AO382" s="168"/>
      <c r="AP382" s="167"/>
      <c r="AQ382" s="168"/>
      <c r="AR382" s="168"/>
      <c r="AS382" s="168"/>
      <c r="AT382" s="168"/>
      <c r="AU382" s="167"/>
      <c r="AV382" s="168"/>
      <c r="AW382" s="168"/>
      <c r="AX382" s="168"/>
      <c r="AY382" s="168"/>
      <c r="AZ382" s="167"/>
      <c r="BA382" s="168"/>
      <c r="BB382" s="168"/>
      <c r="BC382" s="168"/>
      <c r="BD382" s="168"/>
      <c r="BE382" s="167"/>
      <c r="BF382" s="168"/>
      <c r="BG382" s="168"/>
      <c r="BH382" s="168"/>
      <c r="BI382" s="168"/>
      <c r="BJ382" s="167"/>
      <c r="BK382" s="168"/>
      <c r="BL382" s="168"/>
      <c r="BM382" s="168"/>
      <c r="BN382" s="168"/>
      <c r="BO382" s="169"/>
      <c r="BP382" s="168"/>
      <c r="BQ382" s="168"/>
      <c r="BR382" s="168"/>
      <c r="BS382" s="168"/>
      <c r="BT382" s="167"/>
      <c r="BU382" s="168"/>
      <c r="BV382" s="168"/>
      <c r="BW382" s="168"/>
      <c r="BX382" s="168"/>
      <c r="BY382" s="167"/>
      <c r="BZ382" s="455" t="n">
        <v>0.0004</v>
      </c>
      <c r="CA382" s="455" t="n">
        <v>0.0004</v>
      </c>
      <c r="CB382" s="455" t="n">
        <v>0.0004</v>
      </c>
      <c r="CC382" s="50"/>
    </row>
    <row r="383" s="51" customFormat="true" ht="15" hidden="true" customHeight="true" outlineLevel="2" collapsed="false">
      <c r="A383" s="245" t="s">
        <v>449</v>
      </c>
      <c r="B383" s="419"/>
      <c r="C383" s="167"/>
      <c r="D383" s="167"/>
      <c r="E383" s="167"/>
      <c r="F383" s="167"/>
      <c r="G383" s="167"/>
      <c r="H383" s="168"/>
      <c r="I383" s="168"/>
      <c r="J383" s="168"/>
      <c r="K383" s="168"/>
      <c r="L383" s="167"/>
      <c r="M383" s="168"/>
      <c r="N383" s="168"/>
      <c r="O383" s="168"/>
      <c r="P383" s="168"/>
      <c r="Q383" s="167"/>
      <c r="R383" s="168"/>
      <c r="S383" s="168"/>
      <c r="T383" s="168"/>
      <c r="U383" s="168"/>
      <c r="V383" s="167"/>
      <c r="W383" s="168"/>
      <c r="X383" s="168"/>
      <c r="Y383" s="168"/>
      <c r="Z383" s="168"/>
      <c r="AA383" s="167"/>
      <c r="AB383" s="168"/>
      <c r="AC383" s="168"/>
      <c r="AD383" s="168"/>
      <c r="AE383" s="168"/>
      <c r="AF383" s="167"/>
      <c r="AG383" s="168"/>
      <c r="AH383" s="168"/>
      <c r="AI383" s="168"/>
      <c r="AJ383" s="168"/>
      <c r="AK383" s="167"/>
      <c r="AL383" s="168"/>
      <c r="AM383" s="168"/>
      <c r="AN383" s="168"/>
      <c r="AO383" s="168"/>
      <c r="AP383" s="167"/>
      <c r="AQ383" s="168"/>
      <c r="AR383" s="168"/>
      <c r="AS383" s="168"/>
      <c r="AT383" s="168"/>
      <c r="AU383" s="167"/>
      <c r="AV383" s="168"/>
      <c r="AW383" s="168"/>
      <c r="AX383" s="168"/>
      <c r="AY383" s="168"/>
      <c r="AZ383" s="167"/>
      <c r="BA383" s="168"/>
      <c r="BB383" s="168"/>
      <c r="BC383" s="168"/>
      <c r="BD383" s="168"/>
      <c r="BE383" s="167"/>
      <c r="BF383" s="168"/>
      <c r="BG383" s="168"/>
      <c r="BH383" s="168"/>
      <c r="BI383" s="168"/>
      <c r="BJ383" s="167"/>
      <c r="BK383" s="168"/>
      <c r="BL383" s="168"/>
      <c r="BM383" s="168"/>
      <c r="BN383" s="168"/>
      <c r="BO383" s="169"/>
      <c r="BP383" s="168" t="n">
        <f aca="false">BP411/(BP412/BP459)/BN380</f>
        <v>0</v>
      </c>
      <c r="BQ383" s="168" t="n">
        <f aca="false">BQ411/(BQ412/BQ459)/BP380</f>
        <v>0</v>
      </c>
      <c r="BR383" s="168" t="n">
        <f aca="false">BR411/(BR412/BR459)/BQ380</f>
        <v>0</v>
      </c>
      <c r="BS383" s="168" t="n">
        <f aca="false">BS411/(BS412/BS459)/BR380</f>
        <v>0</v>
      </c>
      <c r="BT383" s="167"/>
      <c r="BU383" s="168" t="n">
        <f aca="false">BU411/(BU412/BU459)/BS380</f>
        <v>0</v>
      </c>
      <c r="BV383" s="168" t="n">
        <f aca="false">BV411/(BV412/BV459)/BU380</f>
        <v>0</v>
      </c>
      <c r="BW383" s="168" t="n">
        <f aca="false">BW411/(BW412/BW459)/BV380</f>
        <v>0</v>
      </c>
      <c r="BX383" s="168" t="n">
        <f aca="false">BX411/(BX412/BX459)/BW380</f>
        <v>0</v>
      </c>
      <c r="BY383" s="167"/>
      <c r="BZ383" s="167"/>
      <c r="CA383" s="167"/>
      <c r="CB383" s="167"/>
      <c r="CC383" s="50"/>
    </row>
    <row r="384" s="51" customFormat="true" ht="15" hidden="true" customHeight="true" outlineLevel="2" collapsed="false">
      <c r="A384" s="456" t="s">
        <v>450</v>
      </c>
      <c r="B384" s="457"/>
      <c r="C384" s="172"/>
      <c r="D384" s="172"/>
      <c r="E384" s="172"/>
      <c r="F384" s="172"/>
      <c r="G384" s="172"/>
      <c r="H384" s="173"/>
      <c r="I384" s="173"/>
      <c r="J384" s="173"/>
      <c r="K384" s="173"/>
      <c r="L384" s="172"/>
      <c r="M384" s="173"/>
      <c r="N384" s="173"/>
      <c r="O384" s="173"/>
      <c r="P384" s="173"/>
      <c r="Q384" s="172"/>
      <c r="R384" s="173"/>
      <c r="S384" s="173"/>
      <c r="T384" s="173"/>
      <c r="U384" s="173"/>
      <c r="V384" s="172"/>
      <c r="W384" s="173"/>
      <c r="X384" s="173"/>
      <c r="Y384" s="173"/>
      <c r="Z384" s="173"/>
      <c r="AA384" s="172"/>
      <c r="AB384" s="173"/>
      <c r="AC384" s="173"/>
      <c r="AD384" s="173"/>
      <c r="AE384" s="173"/>
      <c r="AF384" s="172"/>
      <c r="AG384" s="173"/>
      <c r="AH384" s="173"/>
      <c r="AI384" s="173"/>
      <c r="AJ384" s="173"/>
      <c r="AK384" s="172"/>
      <c r="AL384" s="173"/>
      <c r="AM384" s="173"/>
      <c r="AN384" s="173"/>
      <c r="AO384" s="173"/>
      <c r="AP384" s="172"/>
      <c r="AQ384" s="173"/>
      <c r="AR384" s="173"/>
      <c r="AS384" s="173"/>
      <c r="AT384" s="173"/>
      <c r="AU384" s="172"/>
      <c r="AV384" s="173"/>
      <c r="AW384" s="173"/>
      <c r="AX384" s="173"/>
      <c r="AY384" s="173"/>
      <c r="AZ384" s="172"/>
      <c r="BA384" s="173"/>
      <c r="BB384" s="173"/>
      <c r="BC384" s="173"/>
      <c r="BD384" s="173"/>
      <c r="BE384" s="172"/>
      <c r="BF384" s="173"/>
      <c r="BG384" s="173"/>
      <c r="BH384" s="173"/>
      <c r="BI384" s="173"/>
      <c r="BJ384" s="172"/>
      <c r="BK384" s="173"/>
      <c r="BL384" s="173"/>
      <c r="BM384" s="173"/>
      <c r="BN384" s="173"/>
      <c r="BO384" s="174"/>
      <c r="BP384" s="173"/>
      <c r="BQ384" s="173"/>
      <c r="BR384" s="173"/>
      <c r="BS384" s="173"/>
      <c r="BT384" s="172"/>
      <c r="BU384" s="173"/>
      <c r="BV384" s="173"/>
      <c r="BW384" s="173"/>
      <c r="BX384" s="173"/>
      <c r="BY384" s="172"/>
      <c r="BZ384" s="172" t="n">
        <f aca="false">BZ411/(BZ412/BZ459)/BY380</f>
        <v>0</v>
      </c>
      <c r="CA384" s="172" t="n">
        <f aca="false">CA411/(CA412/CA459)/BZ380</f>
        <v>0</v>
      </c>
      <c r="CB384" s="172" t="n">
        <f aca="false">CB411/(CB412/CB459)/CA380</f>
        <v>0</v>
      </c>
      <c r="CC384" s="50"/>
    </row>
    <row r="385" s="51" customFormat="true" ht="15" hidden="true" customHeight="true" outlineLevel="1" collapsed="true">
      <c r="A385" s="249" t="s">
        <v>451</v>
      </c>
      <c r="B385" s="419"/>
      <c r="C385" s="167"/>
      <c r="D385" s="167"/>
      <c r="E385" s="167"/>
      <c r="F385" s="167"/>
      <c r="G385" s="167"/>
      <c r="H385" s="138" t="n">
        <f aca="false">H380/G380-1</f>
        <v>-0.00193337753770406</v>
      </c>
      <c r="I385" s="138" t="n">
        <f aca="false">I380/H380-1</f>
        <v>-0.00340909090909092</v>
      </c>
      <c r="J385" s="138" t="n">
        <f aca="false">J380/I380-1</f>
        <v>-0.00547320410490304</v>
      </c>
      <c r="K385" s="138" t="n">
        <f aca="false">K380/J380-1</f>
        <v>-0.00725684934648019</v>
      </c>
      <c r="L385" s="167"/>
      <c r="M385" s="138" t="n">
        <f aca="false">M380/K380-1</f>
        <v>-0.000774452924705904</v>
      </c>
      <c r="N385" s="138" t="n">
        <f aca="false">N380/M380-1</f>
        <v>-0.0027739251040223</v>
      </c>
      <c r="O385" s="138" t="n">
        <f aca="false">O380/N380-1</f>
        <v>-0.00347705146036159</v>
      </c>
      <c r="P385" s="138" t="n">
        <f aca="false">P380/O380-1</f>
        <v>-0.00445061177017914</v>
      </c>
      <c r="Q385" s="167"/>
      <c r="R385" s="138" t="n">
        <f aca="false">R380/P380-1</f>
        <v>-0.00230540351253261</v>
      </c>
      <c r="S385" s="138" t="n">
        <f aca="false">S380/R380-1</f>
        <v>-0.00585480093676816</v>
      </c>
      <c r="T385" s="138" t="n">
        <f aca="false">T380/S380-1</f>
        <v>-0.00164899882214364</v>
      </c>
      <c r="U385" s="138" t="n">
        <f aca="false">U380/T380-1</f>
        <v>0.0144908730533271</v>
      </c>
      <c r="V385" s="167"/>
      <c r="W385" s="138" t="n">
        <f aca="false">W380/U380-1</f>
        <v>0.000369278376166626</v>
      </c>
      <c r="X385" s="138" t="n">
        <f aca="false">X380/W380-1</f>
        <v>0.000697512206463413</v>
      </c>
      <c r="Y385" s="138" t="n">
        <f aca="false">Y380/X380-1</f>
        <v>-0.000697026022304703</v>
      </c>
      <c r="Z385" s="138" t="n">
        <f aca="false">Z380/Y380-1</f>
        <v>-0.00629250871890263</v>
      </c>
      <c r="AA385" s="167"/>
      <c r="AB385" s="138" t="n">
        <f aca="false">AB380/Z380-1</f>
        <v>-0.000452959528696062</v>
      </c>
      <c r="AC385" s="138" t="n">
        <f aca="false">AC380/AB380-1</f>
        <v>-0.0028089887640449</v>
      </c>
      <c r="AD385" s="138" t="n">
        <f aca="false">AD380/AC380-1</f>
        <v>-0.00399061032863846</v>
      </c>
      <c r="AE385" s="138" t="n">
        <f aca="false">AE380/AD380-1</f>
        <v>-0.00754718595333492</v>
      </c>
      <c r="AF385" s="167"/>
      <c r="AG385" s="138" t="n">
        <f aca="false">AG380/AE380-1</f>
        <v>5.39304737023905E-006</v>
      </c>
      <c r="AH385" s="138" t="n">
        <f aca="false">AH380/AG380-1</f>
        <v>0</v>
      </c>
      <c r="AI385" s="138" t="n">
        <f aca="false">AI380/AH380-1</f>
        <v>-0.000474946568511103</v>
      </c>
      <c r="AJ385" s="138" t="n">
        <f aca="false">AJ380/AI380-1</f>
        <v>-0.00258801140413401</v>
      </c>
      <c r="AK385" s="167"/>
      <c r="AL385" s="138" t="n">
        <f aca="false">AL380/AJ380-1</f>
        <v>-0.00193112273797036</v>
      </c>
      <c r="AM385" s="138" t="n">
        <f aca="false">AM380/AL380-1</f>
        <v>-0.00143198090692132</v>
      </c>
      <c r="AN385" s="138" t="n">
        <f aca="false">AN380/AM380-1</f>
        <v>0</v>
      </c>
      <c r="AO385" s="138" t="n">
        <f aca="false">AO380/AN380-1</f>
        <v>-0.00450756692160614</v>
      </c>
      <c r="AP385" s="167"/>
      <c r="AQ385" s="138" t="n">
        <f aca="false">AQ380/AO380-1</f>
        <v>-0.00291474932630953</v>
      </c>
      <c r="AR385" s="138" t="n">
        <f aca="false">AR380/AQ380-1</f>
        <v>-0.00915001203948951</v>
      </c>
      <c r="AS385" s="138" t="n">
        <f aca="false">AS380/AR380-1</f>
        <v>-0.00874848116646421</v>
      </c>
      <c r="AT385" s="138" t="n">
        <f aca="false">AT380/AS380-1</f>
        <v>-0.0129894263299828</v>
      </c>
      <c r="AU385" s="167"/>
      <c r="AV385" s="138" t="n">
        <f aca="false">AV380/AT380-1</f>
        <v>-0.00372977392914708</v>
      </c>
      <c r="AW385" s="138" t="n">
        <f aca="false">AW380/AV380-1</f>
        <v>-0.00698080279232116</v>
      </c>
      <c r="AX385" s="138" t="n">
        <f aca="false">AX380/AW380-1</f>
        <v>-0.00527240773286475</v>
      </c>
      <c r="AY385" s="138" t="n">
        <f aca="false">AY380/AX380-1</f>
        <v>-0.00406509086320039</v>
      </c>
      <c r="AZ385" s="167"/>
      <c r="BA385" s="138" t="n">
        <f aca="false">BA380/AY380-1</f>
        <v>-0.000226592497181821</v>
      </c>
      <c r="BB385" s="138" t="n">
        <f aca="false">BB380/BA380-1</f>
        <v>-0.00177439797211654</v>
      </c>
      <c r="BC385" s="138" t="n">
        <f aca="false">BC380/BB380-1</f>
        <v>-0.00101574403250393</v>
      </c>
      <c r="BD385" s="138" t="n">
        <f aca="false">BD380/BC380-1</f>
        <v>5.52135231317585E-005</v>
      </c>
      <c r="BE385" s="167"/>
      <c r="BF385" s="138" t="n">
        <f aca="false">BF380/BD380-1</f>
        <v>-5.52104747668647E-005</v>
      </c>
      <c r="BG385" s="138" t="n">
        <f aca="false">BG380/BF380-1</f>
        <v>-0.000508388408744231</v>
      </c>
      <c r="BH385" s="138" t="n">
        <f aca="false">BH380/BG380-1</f>
        <v>0</v>
      </c>
      <c r="BI385" s="138" t="n">
        <f aca="false">BI380/BH380-1</f>
        <v>0.000212919633774122</v>
      </c>
      <c r="BJ385" s="167"/>
      <c r="BK385" s="138" t="n">
        <f aca="false">BK380/BI380-1</f>
        <v>-0.00250129855362435</v>
      </c>
      <c r="BL385" s="138" t="n">
        <f aca="false">BL380/BK380-1</f>
        <v>-0.0104511853173592</v>
      </c>
      <c r="BM385" s="138" t="n">
        <f aca="false">BM380/BL380-1</f>
        <v>-0.00231839258114364</v>
      </c>
      <c r="BN385" s="138" t="n">
        <f aca="false">BN380/BM380-1</f>
        <v>0.0030983733539891</v>
      </c>
      <c r="BO385" s="169"/>
      <c r="BP385" s="168" t="n">
        <f aca="false">BP380/BN380-1</f>
        <v>9.9999999999989E-005</v>
      </c>
      <c r="BQ385" s="168" t="n">
        <f aca="false">BQ380/BP380-1</f>
        <v>9.9999999999989E-005</v>
      </c>
      <c r="BR385" s="168" t="n">
        <f aca="false">BR380/BQ380-1</f>
        <v>9.9999999999989E-005</v>
      </c>
      <c r="BS385" s="168" t="n">
        <f aca="false">BS380/BR380-1</f>
        <v>9.9999999999989E-005</v>
      </c>
      <c r="BT385" s="167"/>
      <c r="BU385" s="168" t="n">
        <f aca="false">BU380/BS380-1</f>
        <v>9.9999999999989E-005</v>
      </c>
      <c r="BV385" s="168" t="n">
        <f aca="false">BV380/BU380-1</f>
        <v>9.9999999999989E-005</v>
      </c>
      <c r="BW385" s="168" t="n">
        <f aca="false">BW380/BV380-1</f>
        <v>9.9999999999989E-005</v>
      </c>
      <c r="BX385" s="168" t="n">
        <f aca="false">BX380/BW380-1</f>
        <v>9.9999999999989E-005</v>
      </c>
      <c r="BY385" s="167"/>
      <c r="BZ385" s="167"/>
      <c r="CA385" s="167"/>
      <c r="CB385" s="167"/>
      <c r="CC385" s="50"/>
    </row>
    <row r="386" s="51" customFormat="true" ht="15" hidden="true" customHeight="true" outlineLevel="1" collapsed="false">
      <c r="A386" s="249" t="s">
        <v>452</v>
      </c>
      <c r="B386" s="419"/>
      <c r="C386" s="167"/>
      <c r="D386" s="458" t="n">
        <f aca="false">D380/C380-1</f>
        <v>0.00681210906650587</v>
      </c>
      <c r="E386" s="458" t="n">
        <f aca="false">E380/D380-1</f>
        <v>-0.0525059184873914</v>
      </c>
      <c r="F386" s="458" t="n">
        <f aca="false">F380/E380-1</f>
        <v>-0.0157227927624316</v>
      </c>
      <c r="G386" s="458" t="n">
        <f aca="false">G380/F380-1</f>
        <v>0.0827357329716529</v>
      </c>
      <c r="H386" s="168"/>
      <c r="I386" s="168"/>
      <c r="J386" s="168"/>
      <c r="K386" s="168"/>
      <c r="L386" s="458" t="n">
        <f aca="false">L380/G380-1</f>
        <v>-0.0179584985479514</v>
      </c>
      <c r="M386" s="138" t="n">
        <f aca="false">M380/H380-1</f>
        <v>-0.0168181818181817</v>
      </c>
      <c r="N386" s="138" t="n">
        <f aca="false">N380/I380-1</f>
        <v>-0.0161915621436717</v>
      </c>
      <c r="O386" s="138" t="n">
        <f aca="false">O380/J380-1</f>
        <v>-0.014216922724146</v>
      </c>
      <c r="P386" s="138" t="n">
        <f aca="false">P380/K380-1</f>
        <v>-0.0114303595414011</v>
      </c>
      <c r="Q386" s="458" t="n">
        <f aca="false">Q380/L380-1</f>
        <v>-0.0114303595414011</v>
      </c>
      <c r="R386" s="138" t="n">
        <f aca="false">R380/M380-1</f>
        <v>-0.0129449838187703</v>
      </c>
      <c r="S386" s="138" t="n">
        <f aca="false">S380/N380-1</f>
        <v>-0.0159944367176633</v>
      </c>
      <c r="T386" s="138" t="n">
        <f aca="false">T380/O380-1</f>
        <v>-0.0141893463596184</v>
      </c>
      <c r="U386" s="138" t="n">
        <f aca="false">U380/P380-1</f>
        <v>0.0045668477132661</v>
      </c>
      <c r="V386" s="458" t="n">
        <f aca="false">V380/Q380-1</f>
        <v>0.0045668477132661</v>
      </c>
      <c r="W386" s="138" t="n">
        <f aca="false">W380/R380-1</f>
        <v>0.00725995316159267</v>
      </c>
      <c r="X386" s="138" t="n">
        <f aca="false">X380/S380-1</f>
        <v>0.0138987043580683</v>
      </c>
      <c r="Y386" s="138" t="n">
        <f aca="false">Y380/T380-1</f>
        <v>0.014865502595564</v>
      </c>
      <c r="Z386" s="138" t="n">
        <f aca="false">Z380/U380-1</f>
        <v>-0.00592555403013773</v>
      </c>
      <c r="AA386" s="458" t="n">
        <f aca="false">AA380/V380-1</f>
        <v>-0.00592555403013773</v>
      </c>
      <c r="AB386" s="138" t="n">
        <f aca="false">AB380/W380-1</f>
        <v>-0.00674261799581499</v>
      </c>
      <c r="AC386" s="138" t="n">
        <f aca="false">AC380/X380-1</f>
        <v>-0.0102230483271375</v>
      </c>
      <c r="AD386" s="138" t="n">
        <f aca="false">AD380/Y380-1</f>
        <v>-0.0134852359916299</v>
      </c>
      <c r="AE386" s="138" t="n">
        <f aca="false">AE380/Z380-1</f>
        <v>-0.0147308315282368</v>
      </c>
      <c r="AF386" s="458" t="n">
        <f aca="false">AF380/AA380-1</f>
        <v>-0.0147308315282368</v>
      </c>
      <c r="AG386" s="138" t="n">
        <f aca="false">AG380/AB380-1</f>
        <v>-0.0142790262172284</v>
      </c>
      <c r="AH386" s="138" t="n">
        <f aca="false">AH380/AC380-1</f>
        <v>-0.0115023474178403</v>
      </c>
      <c r="AI386" s="138" t="n">
        <f aca="false">AI380/AD380-1</f>
        <v>-0.00801319820881463</v>
      </c>
      <c r="AJ386" s="138" t="n">
        <f aca="false">AJ380/AE380-1</f>
        <v>-0.00305635227018775</v>
      </c>
      <c r="AK386" s="458" t="n">
        <f aca="false">AK380/AF380-1</f>
        <v>-0.00305635227018775</v>
      </c>
      <c r="AL386" s="138" t="n">
        <f aca="false">AL380/AG380-1</f>
        <v>-0.00498693896936597</v>
      </c>
      <c r="AM386" s="138" t="n">
        <f aca="false">AM380/AH380-1</f>
        <v>-0.00641177867489917</v>
      </c>
      <c r="AN386" s="138" t="n">
        <f aca="false">AN380/AI380-1</f>
        <v>-0.00593965312425759</v>
      </c>
      <c r="AO386" s="138" t="n">
        <f aca="false">AO380/AJ380-1</f>
        <v>-0.00785275828577847</v>
      </c>
      <c r="AP386" s="458" t="n">
        <f aca="false">AP380/AK380-1</f>
        <v>-0.00785275828577847</v>
      </c>
      <c r="AQ386" s="138" t="n">
        <f aca="false">AQ380/AL380-1</f>
        <v>-0.00883054892601431</v>
      </c>
      <c r="AR386" s="138" t="n">
        <f aca="false">AR380/AM380-1</f>
        <v>-0.016491395793499</v>
      </c>
      <c r="AS386" s="138" t="n">
        <f aca="false">AS380/AN380-1</f>
        <v>-0.0250956022944551</v>
      </c>
      <c r="AT386" s="138" t="n">
        <f aca="false">AT380/AO380-1</f>
        <v>-0.0334020461841149</v>
      </c>
      <c r="AU386" s="458" t="n">
        <f aca="false">AU380/AP380-1</f>
        <v>-0.0334020461841149</v>
      </c>
      <c r="AV386" s="138" t="n">
        <f aca="false">AV380/AQ380-1</f>
        <v>-0.0341921502528293</v>
      </c>
      <c r="AW386" s="138" t="n">
        <f aca="false">AW380/AR380-1</f>
        <v>-0.0320777642770352</v>
      </c>
      <c r="AX386" s="138" t="n">
        <f aca="false">AX380/AS380-1</f>
        <v>-0.0286835008580534</v>
      </c>
      <c r="AY386" s="138" t="n">
        <f aca="false">AY380/AT380-1</f>
        <v>-0.0199010678081908</v>
      </c>
      <c r="AZ386" s="458" t="n">
        <f aca="false">AZ380/AU380-1</f>
        <v>-0.0199010678081908</v>
      </c>
      <c r="BA386" s="138" t="n">
        <f aca="false">BA380/AV380-1</f>
        <v>-0.0164547494390427</v>
      </c>
      <c r="BB386" s="138" t="n">
        <f aca="false">BB380/AW380-1</f>
        <v>-0.0112980165704243</v>
      </c>
      <c r="BC386" s="138" t="n">
        <f aca="false">BC380/AX380-1</f>
        <v>-0.00706713780918733</v>
      </c>
      <c r="BD386" s="138" t="n">
        <f aca="false">BD380/AY380-1</f>
        <v>-0.00295925325781232</v>
      </c>
      <c r="BE386" s="458" t="n">
        <f aca="false">BE380/AZ380-1</f>
        <v>-0.00295925325781232</v>
      </c>
      <c r="BF386" s="138" t="n">
        <f aca="false">BF380/BA380-1</f>
        <v>-0.00278833967046899</v>
      </c>
      <c r="BG386" s="138" t="n">
        <f aca="false">BG380/BB380-1</f>
        <v>-0.00152361604875573</v>
      </c>
      <c r="BH386" s="138" t="n">
        <f aca="false">BH380/BC380-1</f>
        <v>-0.000508388408744231</v>
      </c>
      <c r="BI386" s="138" t="n">
        <f aca="false">BI380/BD380-1</f>
        <v>-0.000350771176663045</v>
      </c>
      <c r="BJ386" s="458" t="n">
        <f aca="false">BJ380/BE380-1</f>
        <v>-0.000350771176663045</v>
      </c>
      <c r="BK386" s="138" t="n">
        <f aca="false">BK380/BF380-1</f>
        <v>-0.0027961362480935</v>
      </c>
      <c r="BL386" s="138" t="n">
        <f aca="false">BL380/BG380-1</f>
        <v>-0.0127161749745677</v>
      </c>
      <c r="BM386" s="138" t="n">
        <f aca="false">BM380/BH380-1</f>
        <v>-0.0150050864699898</v>
      </c>
      <c r="BN386" s="138" t="n">
        <f aca="false">BN380/BI380-1</f>
        <v>-0.0121635342546089</v>
      </c>
      <c r="BO386" s="459" t="n">
        <f aca="false">BO380/BJ380-1</f>
        <v>-0.0121635342546089</v>
      </c>
      <c r="BP386" s="168" t="n">
        <f aca="false">BP380/BK380-1</f>
        <v>-0.00958743308692334</v>
      </c>
      <c r="BQ386" s="168" t="n">
        <f aca="false">BQ380/BL380-1</f>
        <v>0.000972962094281105</v>
      </c>
      <c r="BR386" s="168" t="n">
        <f aca="false">BR380/BM380-1</f>
        <v>0.00339933295994954</v>
      </c>
      <c r="BS386" s="168" t="n">
        <f aca="false">BS380/BN380-1</f>
        <v>0.000400060003999947</v>
      </c>
      <c r="BT386" s="167" t="n">
        <f aca="false">BT380/BO380-1</f>
        <v>0.000400060003999947</v>
      </c>
      <c r="BU386" s="168" t="n">
        <f aca="false">BU380/BP380-1</f>
        <v>0.000400060004000169</v>
      </c>
      <c r="BV386" s="168" t="n">
        <f aca="false">BV380/BQ380-1</f>
        <v>0.000400060004000169</v>
      </c>
      <c r="BW386" s="168" t="n">
        <f aca="false">BW380/BR380-1</f>
        <v>0.000400060003999947</v>
      </c>
      <c r="BX386" s="168" t="n">
        <f aca="false">BX380/BS380-1</f>
        <v>0.000400060004000169</v>
      </c>
      <c r="BY386" s="167" t="n">
        <f aca="false">BY380/BT380-1</f>
        <v>0.000400060004000169</v>
      </c>
      <c r="BZ386" s="167" t="n">
        <f aca="false">BZ380/BY380-1</f>
        <v>0.000399999999999956</v>
      </c>
      <c r="CA386" s="167" t="n">
        <f aca="false">CA380/BZ380-1</f>
        <v>0.000399999999999956</v>
      </c>
      <c r="CB386" s="167" t="n">
        <f aca="false">CB380/CA380-1</f>
        <v>0.000399999999999956</v>
      </c>
      <c r="CC386" s="50"/>
    </row>
    <row r="387" s="51" customFormat="true" ht="15" hidden="true" customHeight="true" outlineLevel="2" collapsed="false">
      <c r="A387" s="48"/>
      <c r="B387" s="254"/>
      <c r="C387" s="159"/>
      <c r="D387" s="159"/>
      <c r="E387" s="159"/>
      <c r="F387" s="159"/>
      <c r="G387" s="159"/>
      <c r="H387" s="48"/>
      <c r="I387" s="48"/>
      <c r="J387" s="48"/>
      <c r="K387" s="48"/>
      <c r="L387" s="159"/>
      <c r="M387" s="48"/>
      <c r="N387" s="48"/>
      <c r="O387" s="48"/>
      <c r="P387" s="48"/>
      <c r="Q387" s="159"/>
      <c r="R387" s="48"/>
      <c r="S387" s="48"/>
      <c r="T387" s="48"/>
      <c r="U387" s="48"/>
      <c r="V387" s="159"/>
      <c r="W387" s="48"/>
      <c r="X387" s="48"/>
      <c r="Y387" s="48"/>
      <c r="Z387" s="48"/>
      <c r="AA387" s="159"/>
      <c r="AB387" s="48"/>
      <c r="AC387" s="48"/>
      <c r="AD387" s="48"/>
      <c r="AE387" s="48"/>
      <c r="AF387" s="159"/>
      <c r="AG387" s="48"/>
      <c r="AH387" s="48"/>
      <c r="AI387" s="48"/>
      <c r="AJ387" s="48"/>
      <c r="AK387" s="159"/>
      <c r="AL387" s="48"/>
      <c r="AM387" s="48"/>
      <c r="AN387" s="48"/>
      <c r="AO387" s="48"/>
      <c r="AP387" s="159"/>
      <c r="AQ387" s="48"/>
      <c r="AR387" s="48"/>
      <c r="AS387" s="48"/>
      <c r="AT387" s="48"/>
      <c r="AU387" s="159"/>
      <c r="AV387" s="48"/>
      <c r="AW387" s="48"/>
      <c r="AX387" s="48"/>
      <c r="AY387" s="48"/>
      <c r="AZ387" s="159"/>
      <c r="BA387" s="48"/>
      <c r="BB387" s="48"/>
      <c r="BC387" s="48"/>
      <c r="BD387" s="48"/>
      <c r="BE387" s="159"/>
      <c r="BF387" s="48"/>
      <c r="BG387" s="48"/>
      <c r="BH387" s="48"/>
      <c r="BI387" s="48"/>
      <c r="BJ387" s="159"/>
      <c r="BK387" s="48"/>
      <c r="BL387" s="48"/>
      <c r="BM387" s="48"/>
      <c r="BN387" s="48"/>
      <c r="BO387" s="160"/>
      <c r="BP387" s="48"/>
      <c r="BQ387" s="48"/>
      <c r="BR387" s="48"/>
      <c r="BS387" s="48"/>
      <c r="BT387" s="159"/>
      <c r="BU387" s="48"/>
      <c r="BV387" s="48"/>
      <c r="BW387" s="48"/>
      <c r="BX387" s="48"/>
      <c r="BY387" s="159"/>
      <c r="BZ387" s="159"/>
      <c r="CA387" s="159"/>
      <c r="CB387" s="159"/>
      <c r="CC387" s="50"/>
    </row>
    <row r="388" s="51" customFormat="true" ht="15" hidden="true" customHeight="true" outlineLevel="2" collapsed="false">
      <c r="A388" s="50" t="s">
        <v>453</v>
      </c>
      <c r="B388" s="254"/>
      <c r="C388" s="159" t="n">
        <f aca="false">C380</f>
        <v>433.638976</v>
      </c>
      <c r="D388" s="159" t="n">
        <f aca="false">D380</f>
        <v>436.592972</v>
      </c>
      <c r="E388" s="159" t="n">
        <f aca="false">E380</f>
        <v>413.669257</v>
      </c>
      <c r="F388" s="159" t="n">
        <f aca="false">F380</f>
        <v>407.165221</v>
      </c>
      <c r="G388" s="159" t="n">
        <f aca="false">G380</f>
        <v>440.852334</v>
      </c>
      <c r="H388" s="48" t="n">
        <f aca="false">H375</f>
        <v>440</v>
      </c>
      <c r="I388" s="48" t="n">
        <f aca="false">I375</f>
        <v>438.5</v>
      </c>
      <c r="J388" s="48" t="n">
        <f aca="false">J375</f>
        <v>436.1</v>
      </c>
      <c r="K388" s="48" t="n">
        <f aca="false">K380</f>
        <v>432.935288</v>
      </c>
      <c r="L388" s="159" t="n">
        <f aca="false">L380</f>
        <v>432.935288</v>
      </c>
      <c r="M388" s="48" t="n">
        <f aca="false">M375</f>
        <v>432.6</v>
      </c>
      <c r="N388" s="48" t="n">
        <f aca="false">N375</f>
        <v>431.4</v>
      </c>
      <c r="O388" s="48" t="n">
        <f aca="false">O375</f>
        <v>429.9</v>
      </c>
      <c r="P388" s="48" t="n">
        <f aca="false">P380</f>
        <v>427.986682</v>
      </c>
      <c r="Q388" s="159" t="n">
        <f aca="false">Q380</f>
        <v>427.986682</v>
      </c>
      <c r="R388" s="48" t="n">
        <f aca="false">R375</f>
        <v>427</v>
      </c>
      <c r="S388" s="48" t="n">
        <f aca="false">S375</f>
        <v>424.5</v>
      </c>
      <c r="T388" s="48" t="n">
        <f aca="false">T375</f>
        <v>423.8</v>
      </c>
      <c r="U388" s="48" t="n">
        <f aca="false">U380</f>
        <v>429.941232</v>
      </c>
      <c r="V388" s="159" t="n">
        <f aca="false">V380</f>
        <v>429.941232</v>
      </c>
      <c r="W388" s="48" t="n">
        <f aca="false">W375</f>
        <v>430.1</v>
      </c>
      <c r="X388" s="48" t="n">
        <f aca="false">X375</f>
        <v>430.4</v>
      </c>
      <c r="Y388" s="48" t="n">
        <f aca="false">Y375</f>
        <v>430.1</v>
      </c>
      <c r="Z388" s="48" t="n">
        <f aca="false">Z380</f>
        <v>427.393592</v>
      </c>
      <c r="AA388" s="159" t="n">
        <f aca="false">AA380</f>
        <v>427.393592</v>
      </c>
      <c r="AB388" s="48" t="n">
        <f aca="false">AB375</f>
        <v>427.2</v>
      </c>
      <c r="AC388" s="48" t="n">
        <f aca="false">AC375</f>
        <v>426</v>
      </c>
      <c r="AD388" s="48" t="n">
        <f aca="false">AD375</f>
        <v>424.3</v>
      </c>
      <c r="AE388" s="48" t="n">
        <f aca="false">AE380</f>
        <v>421.097729</v>
      </c>
      <c r="AF388" s="159" t="n">
        <f aca="false">AF380</f>
        <v>421.097729</v>
      </c>
      <c r="AG388" s="48" t="n">
        <f aca="false">AG375</f>
        <v>421.1</v>
      </c>
      <c r="AH388" s="48" t="n">
        <f aca="false">AH375</f>
        <v>421.1</v>
      </c>
      <c r="AI388" s="48" t="n">
        <f aca="false">AI375</f>
        <v>420.9</v>
      </c>
      <c r="AJ388" s="48" t="n">
        <f aca="false">AJ380</f>
        <v>419.810706</v>
      </c>
      <c r="AK388" s="159" t="n">
        <f aca="false">AK380</f>
        <v>419.810706</v>
      </c>
      <c r="AL388" s="48" t="n">
        <f aca="false">AL375</f>
        <v>419</v>
      </c>
      <c r="AM388" s="48" t="n">
        <f aca="false">AM375</f>
        <v>418.4</v>
      </c>
      <c r="AN388" s="48" t="n">
        <f aca="false">AN375</f>
        <v>418.4</v>
      </c>
      <c r="AO388" s="48" t="n">
        <f aca="false">AO380</f>
        <v>416.514034</v>
      </c>
      <c r="AP388" s="159" t="n">
        <f aca="false">AP380</f>
        <v>416.514034</v>
      </c>
      <c r="AQ388" s="48" t="n">
        <f aca="false">AQ375</f>
        <v>415.3</v>
      </c>
      <c r="AR388" s="48" t="n">
        <f aca="false">AR375</f>
        <v>411.5</v>
      </c>
      <c r="AS388" s="48" t="n">
        <f aca="false">AS375</f>
        <v>407.9</v>
      </c>
      <c r="AT388" s="48" t="n">
        <f aca="false">AT380</f>
        <v>402.601613</v>
      </c>
      <c r="AU388" s="159" t="n">
        <f aca="false">AU380</f>
        <v>402.601613</v>
      </c>
      <c r="AV388" s="48" t="n">
        <f aca="false">AV375</f>
        <v>401.1</v>
      </c>
      <c r="AW388" s="48" t="n">
        <f aca="false">AW375</f>
        <v>398.3</v>
      </c>
      <c r="AX388" s="48" t="n">
        <f aca="false">AX375</f>
        <v>396.2</v>
      </c>
      <c r="AY388" s="48" t="n">
        <f aca="false">AY380</f>
        <v>394.589411</v>
      </c>
      <c r="AZ388" s="159" t="n">
        <f aca="false">AZ380</f>
        <v>394.589411</v>
      </c>
      <c r="BA388" s="48" t="n">
        <f aca="false">BA375</f>
        <v>394.5</v>
      </c>
      <c r="BB388" s="48" t="n">
        <f aca="false">BB375</f>
        <v>393.8</v>
      </c>
      <c r="BC388" s="48" t="n">
        <f aca="false">BC375</f>
        <v>393.4</v>
      </c>
      <c r="BD388" s="48" t="n">
        <f aca="false">BD380</f>
        <v>393.421721</v>
      </c>
      <c r="BE388" s="159" t="n">
        <f aca="false">BE380</f>
        <v>393.421721</v>
      </c>
      <c r="BF388" s="48" t="n">
        <f aca="false">BF375</f>
        <v>393.4</v>
      </c>
      <c r="BG388" s="48" t="n">
        <f aca="false">BG375</f>
        <v>393.2</v>
      </c>
      <c r="BH388" s="48" t="n">
        <f aca="false">BH375</f>
        <v>393.2</v>
      </c>
      <c r="BI388" s="48" t="n">
        <f aca="false">BI380</f>
        <v>393.28372</v>
      </c>
      <c r="BJ388" s="159" t="n">
        <f aca="false">BJ380</f>
        <v>393.28372</v>
      </c>
      <c r="BK388" s="48" t="n">
        <f aca="false">BK375</f>
        <v>392.3</v>
      </c>
      <c r="BL388" s="48" t="n">
        <f aca="false">BL375</f>
        <v>388.2</v>
      </c>
      <c r="BM388" s="48" t="n">
        <f aca="false">BM375</f>
        <v>387.3</v>
      </c>
      <c r="BN388" s="48" t="n">
        <f aca="false">BO388</f>
        <v>388.5</v>
      </c>
      <c r="BO388" s="160" t="n">
        <f aca="false">BO375</f>
        <v>388.5</v>
      </c>
      <c r="BP388" s="48"/>
      <c r="BQ388" s="48"/>
      <c r="BR388" s="48"/>
      <c r="BS388" s="48"/>
      <c r="BT388" s="159"/>
      <c r="BU388" s="48"/>
      <c r="BV388" s="48"/>
      <c r="BW388" s="48"/>
      <c r="BX388" s="48"/>
      <c r="BY388" s="159"/>
      <c r="BZ388" s="159"/>
      <c r="CA388" s="159"/>
      <c r="CB388" s="159"/>
      <c r="CC388" s="50"/>
    </row>
    <row r="389" s="465" customFormat="true" ht="15" hidden="true" customHeight="true" outlineLevel="2" collapsed="false">
      <c r="A389" s="50" t="s">
        <v>454</v>
      </c>
      <c r="B389" s="460"/>
      <c r="C389" s="461"/>
      <c r="D389" s="461"/>
      <c r="E389" s="461"/>
      <c r="F389" s="461"/>
      <c r="G389" s="461"/>
      <c r="H389" s="462"/>
      <c r="I389" s="462"/>
      <c r="J389" s="462"/>
      <c r="K389" s="462"/>
      <c r="L389" s="461"/>
      <c r="M389" s="462"/>
      <c r="N389" s="462"/>
      <c r="O389" s="462"/>
      <c r="P389" s="462"/>
      <c r="Q389" s="461"/>
      <c r="R389" s="462"/>
      <c r="S389" s="462"/>
      <c r="T389" s="462"/>
      <c r="U389" s="462"/>
      <c r="V389" s="461"/>
      <c r="W389" s="462"/>
      <c r="X389" s="462"/>
      <c r="Y389" s="462"/>
      <c r="Z389" s="462"/>
      <c r="AA389" s="461"/>
      <c r="AB389" s="462"/>
      <c r="AC389" s="462"/>
      <c r="AD389" s="462"/>
      <c r="AE389" s="462"/>
      <c r="AF389" s="461"/>
      <c r="AG389" s="462"/>
      <c r="AH389" s="462"/>
      <c r="AI389" s="462"/>
      <c r="AJ389" s="462"/>
      <c r="AK389" s="461"/>
      <c r="AL389" s="462"/>
      <c r="AM389" s="462"/>
      <c r="AN389" s="462"/>
      <c r="AO389" s="462"/>
      <c r="AP389" s="461"/>
      <c r="AQ389" s="462"/>
      <c r="AR389" s="462"/>
      <c r="AS389" s="462"/>
      <c r="AT389" s="462"/>
      <c r="AU389" s="461"/>
      <c r="AV389" s="462"/>
      <c r="AW389" s="462"/>
      <c r="AX389" s="462"/>
      <c r="AY389" s="462"/>
      <c r="AZ389" s="461"/>
      <c r="BA389" s="462"/>
      <c r="BB389" s="462"/>
      <c r="BC389" s="462"/>
      <c r="BD389" s="462"/>
      <c r="BE389" s="461"/>
      <c r="BF389" s="462"/>
      <c r="BG389" s="462"/>
      <c r="BH389" s="462"/>
      <c r="BI389" s="462"/>
      <c r="BJ389" s="461"/>
      <c r="BK389" s="462"/>
      <c r="BL389" s="462"/>
      <c r="BM389" s="462"/>
      <c r="BN389" s="462"/>
      <c r="BO389" s="463"/>
      <c r="BP389" s="462"/>
      <c r="BQ389" s="462"/>
      <c r="BR389" s="462"/>
      <c r="BS389" s="462"/>
      <c r="BT389" s="461"/>
      <c r="BU389" s="462"/>
      <c r="BV389" s="462"/>
      <c r="BW389" s="462"/>
      <c r="BX389" s="462"/>
      <c r="BY389" s="461"/>
      <c r="BZ389" s="461"/>
      <c r="CA389" s="461"/>
      <c r="CB389" s="461"/>
      <c r="CC389" s="464"/>
    </row>
    <row r="390" s="51" customFormat="true" ht="15" hidden="true" customHeight="true" outlineLevel="1" collapsed="true">
      <c r="A390" s="48"/>
      <c r="B390" s="254"/>
      <c r="C390" s="159"/>
      <c r="D390" s="159"/>
      <c r="E390" s="159"/>
      <c r="F390" s="159"/>
      <c r="G390" s="159"/>
      <c r="H390" s="48"/>
      <c r="I390" s="48"/>
      <c r="J390" s="48"/>
      <c r="K390" s="48"/>
      <c r="L390" s="159"/>
      <c r="M390" s="48"/>
      <c r="N390" s="48"/>
      <c r="O390" s="48"/>
      <c r="P390" s="48"/>
      <c r="Q390" s="159"/>
      <c r="R390" s="48"/>
      <c r="S390" s="48"/>
      <c r="T390" s="48"/>
      <c r="U390" s="48"/>
      <c r="V390" s="159"/>
      <c r="W390" s="48"/>
      <c r="X390" s="48"/>
      <c r="Y390" s="48"/>
      <c r="Z390" s="48"/>
      <c r="AA390" s="159"/>
      <c r="AB390" s="48"/>
      <c r="AC390" s="48"/>
      <c r="AD390" s="48"/>
      <c r="AE390" s="48"/>
      <c r="AF390" s="159"/>
      <c r="AG390" s="48"/>
      <c r="AH390" s="48"/>
      <c r="AI390" s="48"/>
      <c r="AJ390" s="48"/>
      <c r="AK390" s="159"/>
      <c r="AL390" s="48"/>
      <c r="AM390" s="48"/>
      <c r="AN390" s="48"/>
      <c r="AO390" s="48"/>
      <c r="AP390" s="159"/>
      <c r="AQ390" s="48"/>
      <c r="AR390" s="48"/>
      <c r="AS390" s="48"/>
      <c r="AT390" s="48"/>
      <c r="AU390" s="159"/>
      <c r="AV390" s="48"/>
      <c r="AW390" s="48"/>
      <c r="AX390" s="48"/>
      <c r="AY390" s="48"/>
      <c r="AZ390" s="159"/>
      <c r="BA390" s="48"/>
      <c r="BB390" s="48"/>
      <c r="BC390" s="48"/>
      <c r="BD390" s="48"/>
      <c r="BE390" s="159"/>
      <c r="BF390" s="48"/>
      <c r="BG390" s="48"/>
      <c r="BH390" s="48"/>
      <c r="BI390" s="48"/>
      <c r="BJ390" s="159"/>
      <c r="BK390" s="48"/>
      <c r="BL390" s="48"/>
      <c r="BM390" s="48"/>
      <c r="BN390" s="48"/>
      <c r="BO390" s="160"/>
      <c r="BP390" s="48"/>
      <c r="BQ390" s="48"/>
      <c r="BR390" s="48"/>
      <c r="BS390" s="48"/>
      <c r="BT390" s="159"/>
      <c r="BU390" s="48"/>
      <c r="BV390" s="48"/>
      <c r="BW390" s="48"/>
      <c r="BX390" s="48"/>
      <c r="BY390" s="159"/>
      <c r="BZ390" s="159"/>
      <c r="CA390" s="159"/>
      <c r="CB390" s="159"/>
      <c r="CC390" s="50"/>
    </row>
    <row r="391" s="465" customFormat="true" ht="15" hidden="true" customHeight="true" outlineLevel="1" collapsed="false">
      <c r="A391" s="50" t="s">
        <v>455</v>
      </c>
      <c r="B391" s="460"/>
      <c r="C391" s="159" t="n">
        <f aca="false">C376-C375</f>
        <v>0</v>
      </c>
      <c r="D391" s="159" t="n">
        <f aca="false">IF(D362&gt;0,(D376-D375),C391)</f>
        <v>3.82799999999997</v>
      </c>
      <c r="E391" s="159" t="n">
        <f aca="false">IF(E362&gt;0,(E376-E375),D391)</f>
        <v>3.435</v>
      </c>
      <c r="F391" s="159" t="n">
        <f aca="false">IF(F362&gt;0,(F376-F375),E391)</f>
        <v>2.88999999999999</v>
      </c>
      <c r="G391" s="159" t="n">
        <f aca="false">IF(G362&gt;0,(G376-G375),F391)</f>
        <v>3.67600000000004</v>
      </c>
      <c r="H391" s="48" t="n">
        <f aca="false">IF(H362&gt;0,(H376-H375),G391)</f>
        <v>3.5</v>
      </c>
      <c r="I391" s="48" t="n">
        <f aca="false">IF(I362&gt;0,(I376-I375),H391)</f>
        <v>3.10000000000002</v>
      </c>
      <c r="J391" s="48" t="n">
        <f aca="false">IF(J362&gt;0,(J376-J375),I391)</f>
        <v>2.89999999999998</v>
      </c>
      <c r="K391" s="48" t="n">
        <f aca="false">IF(K362&gt;0,(K376-K375),J391)</f>
        <v>2.59999999999997</v>
      </c>
      <c r="L391" s="159" t="n">
        <f aca="false">K391</f>
        <v>2.59999999999997</v>
      </c>
      <c r="M391" s="48" t="n">
        <f aca="false">IF(M362&gt;0,(M376-M375),L391)</f>
        <v>2.69999999999999</v>
      </c>
      <c r="N391" s="48" t="n">
        <f aca="false">IF(N362&gt;0,(N376-N375),M391)</f>
        <v>2.40000000000003</v>
      </c>
      <c r="O391" s="48" t="n">
        <f aca="false">IF(O362&gt;0,(O376-O375),N391)</f>
        <v>2.40000000000003</v>
      </c>
      <c r="P391" s="48" t="n">
        <f aca="false">IF(P362&gt;0,(P376-P375),O391)</f>
        <v>2</v>
      </c>
      <c r="Q391" s="159" t="n">
        <f aca="false">P391</f>
        <v>2</v>
      </c>
      <c r="R391" s="48" t="n">
        <f aca="false">IF(R362&gt;0,(R376-R375),Q391)</f>
        <v>2.10000000000002</v>
      </c>
      <c r="S391" s="48" t="n">
        <f aca="false">IF(S362&gt;0,(S376-S375),R391)</f>
        <v>2</v>
      </c>
      <c r="T391" s="48" t="n">
        <f aca="false">IF(T362&gt;0,(T376-T375),S391)</f>
        <v>2</v>
      </c>
      <c r="U391" s="48" t="n">
        <f aca="false">IF(U362&gt;0,(U376-U375),T391)</f>
        <v>2.09999999999997</v>
      </c>
      <c r="V391" s="159" t="n">
        <f aca="false">U391</f>
        <v>2.09999999999997</v>
      </c>
      <c r="W391" s="48" t="n">
        <f aca="false">IF(W362&gt;0,(W376-W375),V391)</f>
        <v>2.19999999999999</v>
      </c>
      <c r="X391" s="48" t="n">
        <f aca="false">IF(X362&gt;0,(X376-X375),W391)</f>
        <v>2</v>
      </c>
      <c r="Y391" s="48" t="n">
        <f aca="false">IF(Y362&gt;0,(Y376-Y375),X391)</f>
        <v>1.89999999999998</v>
      </c>
      <c r="Z391" s="48" t="n">
        <f aca="false">IF(Z362&gt;0,(Z376-Z375),Y391)</f>
        <v>1.90000000000003</v>
      </c>
      <c r="AA391" s="159" t="n">
        <f aca="false">Z391</f>
        <v>1.90000000000003</v>
      </c>
      <c r="AB391" s="48" t="n">
        <f aca="false">IF(AB362&gt;0,(AB376-AB375),AA391)</f>
        <v>1.69999999999999</v>
      </c>
      <c r="AC391" s="48" t="n">
        <f aca="false">IF(AC362&gt;0,(AC376-AC375),AB391)</f>
        <v>1.60000000000002</v>
      </c>
      <c r="AD391" s="48" t="n">
        <f aca="false">IF(AD362&gt;0,(AD376-AD375),AC391)</f>
        <v>1.59999999999997</v>
      </c>
      <c r="AE391" s="48" t="n">
        <f aca="false">IF(AE362&gt;0,(AE376-AE375),AD391)</f>
        <v>1.40000000000003</v>
      </c>
      <c r="AF391" s="159" t="n">
        <f aca="false">AE391</f>
        <v>1.40000000000003</v>
      </c>
      <c r="AG391" s="48" t="n">
        <f aca="false">IF(AG362&gt;0,(AG376-AG375),AF391)</f>
        <v>1.39999999999998</v>
      </c>
      <c r="AH391" s="48" t="n">
        <f aca="false">IF(AH362&gt;0,(AH376-AH375),AG391)</f>
        <v>0.699999999999989</v>
      </c>
      <c r="AI391" s="48" t="n">
        <f aca="false">IF(AI362&gt;0,(AI376-AI375),AH391)</f>
        <v>0.800000000000011</v>
      </c>
      <c r="AJ391" s="48" t="n">
        <f aca="false">IF(AJ362&gt;0,(AJ376-AJ375),AI391)</f>
        <v>1</v>
      </c>
      <c r="AK391" s="159" t="n">
        <f aca="false">AJ391</f>
        <v>1</v>
      </c>
      <c r="AL391" s="48" t="n">
        <f aca="false">IF(AL362&gt;0,(AL376-AL375),AK391)</f>
        <v>0.699999999999989</v>
      </c>
      <c r="AM391" s="48" t="n">
        <f aca="false">IF(AM362&gt;0,(AM376-AM375),AL391)</f>
        <v>0.600000000000023</v>
      </c>
      <c r="AN391" s="48" t="n">
        <f aca="false">IF(AN362&gt;0,(AN376-AN375),AM391)</f>
        <v>0.800000000000011</v>
      </c>
      <c r="AO391" s="48" t="n">
        <f aca="false">IF(AO362&gt;0,(AO376-AO375),AN391)</f>
        <v>0.899999999999977</v>
      </c>
      <c r="AP391" s="159" t="n">
        <f aca="false">AO391</f>
        <v>0.899999999999977</v>
      </c>
      <c r="AQ391" s="48" t="n">
        <f aca="false">IF(AQ362&gt;0,(AQ376-AQ375),AP391)</f>
        <v>0.5</v>
      </c>
      <c r="AR391" s="48" t="n">
        <f aca="false">IF(AR362&gt;0,(AR376-AR375),AQ391)</f>
        <v>0.5</v>
      </c>
      <c r="AS391" s="48" t="n">
        <f aca="false">IF(AS362&gt;0,(AS376-AS375),AR391)</f>
        <v>0.700000000000046</v>
      </c>
      <c r="AT391" s="48" t="n">
        <f aca="false">IF(AT362&gt;0,(AT376-AT375),AS391)</f>
        <v>0.699999999999989</v>
      </c>
      <c r="AU391" s="159" t="n">
        <f aca="false">AT391</f>
        <v>0.699999999999989</v>
      </c>
      <c r="AV391" s="48" t="n">
        <f aca="false">IF(AV362&gt;0,(AV376-AV375),AU391)</f>
        <v>0.399999999999977</v>
      </c>
      <c r="AW391" s="48" t="n">
        <f aca="false">IF(AW362&gt;0,(AW376-AW375),AV391)</f>
        <v>0.300000000000011</v>
      </c>
      <c r="AX391" s="48" t="n">
        <f aca="false">IF(AX362&gt;0,(AX376-AX375),AW391)</f>
        <v>0.400000000000034</v>
      </c>
      <c r="AY391" s="48" t="n">
        <f aca="false">IF(AY362&gt;0,(AY376-AY375),AX391)</f>
        <v>0.300000000000011</v>
      </c>
      <c r="AZ391" s="159" t="n">
        <f aca="false">AY391</f>
        <v>0.300000000000011</v>
      </c>
      <c r="BA391" s="48" t="n">
        <f aca="false">IF(BA362&gt;0,(BA376-BA375),AZ391)</f>
        <v>0.300000000000011</v>
      </c>
      <c r="BB391" s="48" t="n">
        <f aca="false">IF(BB362&gt;0,(BB376-BB375),BA391)</f>
        <v>0.199999999999989</v>
      </c>
      <c r="BC391" s="48" t="n">
        <f aca="false">IF(BC362&gt;0,(BC376-BC375),BB391)</f>
        <v>0.300000000000011</v>
      </c>
      <c r="BD391" s="48" t="n">
        <f aca="false">IF(BD362&gt;0,(BD376-BD375),BC391)</f>
        <v>0.400000000000034</v>
      </c>
      <c r="BE391" s="159" t="n">
        <f aca="false">BD391</f>
        <v>0.400000000000034</v>
      </c>
      <c r="BF391" s="48" t="n">
        <f aca="false">IF(BF362&gt;0,(BF376-BF375),BE391)</f>
        <v>0.300000000000011</v>
      </c>
      <c r="BG391" s="48" t="n">
        <f aca="false">IF(BG362&gt;0,(BG376-BG375),BF391)</f>
        <v>0.300000000000011</v>
      </c>
      <c r="BH391" s="48" t="n">
        <f aca="false">IF(BH362&gt;0,(BH376-BH375),BG391)</f>
        <v>0.400000000000034</v>
      </c>
      <c r="BI391" s="48" t="n">
        <f aca="false">IF(BI362&gt;0,(BI376-BI375),BH391)</f>
        <v>0.300000000000011</v>
      </c>
      <c r="BJ391" s="159" t="n">
        <f aca="false">BI391</f>
        <v>0.300000000000011</v>
      </c>
      <c r="BK391" s="48" t="n">
        <f aca="false">IF(BK362&gt;0,(BK376-BK375),BJ391)</f>
        <v>0.199999999999989</v>
      </c>
      <c r="BL391" s="48" t="n">
        <f aca="false">IF(BL362&gt;0,(BL376-BL375),BK391)</f>
        <v>0.199999999999989</v>
      </c>
      <c r="BM391" s="48" t="n">
        <f aca="false">IF(BM362&gt;0,(BM376-BM375),BL391)</f>
        <v>0.300000000000011</v>
      </c>
      <c r="BN391" s="48" t="n">
        <f aca="false">IF(BN362&gt;0,(BN376-BN375),BM391)</f>
        <v>0.5</v>
      </c>
      <c r="BO391" s="160" t="n">
        <f aca="false">BN391</f>
        <v>0.5</v>
      </c>
      <c r="BP391" s="48" t="n">
        <f aca="false">BP380*BP392-BP380</f>
        <v>0.296292971531614</v>
      </c>
      <c r="BQ391" s="48" t="n">
        <f aca="false">BQ380*BQ392-BQ380</f>
        <v>0.296322600828773</v>
      </c>
      <c r="BR391" s="48" t="n">
        <f aca="false">BR380*BR392-BR380</f>
        <v>0.29635223308884</v>
      </c>
      <c r="BS391" s="48" t="n">
        <f aca="false">BS380*BS392-BS380</f>
        <v>0.296381868312153</v>
      </c>
      <c r="BT391" s="159" t="n">
        <f aca="false">BS391</f>
        <v>0.296381868312153</v>
      </c>
      <c r="BU391" s="48" t="n">
        <f aca="false">BU380*BU392-BU380</f>
        <v>0.296411506498998</v>
      </c>
      <c r="BV391" s="48" t="n">
        <f aca="false">BV380*BV392-BV380</f>
        <v>0.296441147649603</v>
      </c>
      <c r="BW391" s="48" t="n">
        <f aca="false">BW380*BW392-BW380</f>
        <v>0.296470791764364</v>
      </c>
      <c r="BX391" s="48" t="n">
        <f aca="false">BX380*BX392-BX380</f>
        <v>0.296500438843566</v>
      </c>
      <c r="BY391" s="159" t="n">
        <f aca="false">BX391</f>
        <v>0.296500438843566</v>
      </c>
      <c r="BZ391" s="159" t="n">
        <f aca="false">BZ380*BZ392-BZ380</f>
        <v>0.296619039019106</v>
      </c>
      <c r="CA391" s="159" t="n">
        <f aca="false">CA380*CA392-CA380</f>
        <v>0.296737686634685</v>
      </c>
      <c r="CB391" s="159" t="n">
        <f aca="false">CB380*CB392-CB380</f>
        <v>0.296856381709347</v>
      </c>
      <c r="CC391" s="464"/>
    </row>
    <row r="392" s="474" customFormat="true" ht="15" hidden="true" customHeight="true" outlineLevel="1" collapsed="false">
      <c r="A392" s="466" t="s">
        <v>456</v>
      </c>
      <c r="B392" s="467"/>
      <c r="C392" s="468" t="n">
        <f aca="false">(C391+C380)/C380</f>
        <v>1</v>
      </c>
      <c r="D392" s="468" t="n">
        <f aca="false">(D391+D380)/D380</f>
        <v>1.00876789193941</v>
      </c>
      <c r="E392" s="468" t="n">
        <f aca="false">(E391+E380)/E380</f>
        <v>1.00830373527129</v>
      </c>
      <c r="F392" s="468" t="n">
        <f aca="false">(F391+F380)/F380</f>
        <v>1.00709785573754</v>
      </c>
      <c r="G392" s="468" t="n">
        <f aca="false">(G391+G380)/G380</f>
        <v>1.00833839296403</v>
      </c>
      <c r="H392" s="469" t="n">
        <f aca="false">(H391+H380)/H380</f>
        <v>1.00795454545455</v>
      </c>
      <c r="I392" s="469" t="n">
        <f aca="false">(I391+I380)/I380</f>
        <v>1.00706955530217</v>
      </c>
      <c r="J392" s="469" t="n">
        <f aca="false">(J391+J380)/J380</f>
        <v>1.00664985095162</v>
      </c>
      <c r="K392" s="469" t="n">
        <f aca="false">(K391+K380)/K380</f>
        <v>1.00600551646416</v>
      </c>
      <c r="L392" s="468" t="n">
        <f aca="false">(L391+L380)/L380</f>
        <v>1.00600551646416</v>
      </c>
      <c r="M392" s="469" t="n">
        <f aca="false">(M391+M380)/M380</f>
        <v>1.00624133148405</v>
      </c>
      <c r="N392" s="469" t="n">
        <f aca="false">(N391+N380)/N380</f>
        <v>1.00556328233658</v>
      </c>
      <c r="O392" s="469" t="n">
        <f aca="false">(O391+O380)/O380</f>
        <v>1.00558269364969</v>
      </c>
      <c r="P392" s="469" t="n">
        <f aca="false">(P391+P380)/P380</f>
        <v>1.0046730426065</v>
      </c>
      <c r="Q392" s="468" t="n">
        <f aca="false">(Q391+Q380)/Q380</f>
        <v>1.0046730426065</v>
      </c>
      <c r="R392" s="469" t="n">
        <f aca="false">(R391+R380)/R380</f>
        <v>1.00491803278689</v>
      </c>
      <c r="S392" s="469" t="n">
        <f aca="false">(S391+S380)/S380</f>
        <v>1.00471142520612</v>
      </c>
      <c r="T392" s="469" t="n">
        <f aca="false">(T391+T380)/T380</f>
        <v>1.0047192071732</v>
      </c>
      <c r="U392" s="469" t="n">
        <f aca="false">(U391+U380)/U380</f>
        <v>1.00488438847847</v>
      </c>
      <c r="V392" s="468" t="n">
        <f aca="false">(V391+V380)/V380</f>
        <v>1.00488438847847</v>
      </c>
      <c r="W392" s="469" t="n">
        <f aca="false">(W391+W380)/W380</f>
        <v>1.00511508951407</v>
      </c>
      <c r="X392" s="469" t="n">
        <f aca="false">(X391+X380)/X380</f>
        <v>1.0046468401487</v>
      </c>
      <c r="Y392" s="469" t="n">
        <f aca="false">(Y391+Y380)/Y380</f>
        <v>1.0044175773076</v>
      </c>
      <c r="Z392" s="469" t="n">
        <f aca="false">(Z391+Z380)/Z380</f>
        <v>1.00444555097588</v>
      </c>
      <c r="AA392" s="468" t="n">
        <f aca="false">(AA391+AA380)/AA380</f>
        <v>1.00444555097588</v>
      </c>
      <c r="AB392" s="469" t="n">
        <f aca="false">(AB391+AB380)/AB380</f>
        <v>1.00397940074906</v>
      </c>
      <c r="AC392" s="469" t="n">
        <f aca="false">(AC391+AC380)/AC380</f>
        <v>1.0037558685446</v>
      </c>
      <c r="AD392" s="469" t="n">
        <f aca="false">(AD391+AD380)/AD380</f>
        <v>1.00377091680415</v>
      </c>
      <c r="AE392" s="469" t="n">
        <f aca="false">(AE391+AE380)/AE380</f>
        <v>1.00332464390944</v>
      </c>
      <c r="AF392" s="468" t="n">
        <f aca="false">(AF391+AF380)/AF380</f>
        <v>1.00332464390944</v>
      </c>
      <c r="AG392" s="469" t="n">
        <f aca="false">(AG391+AG380)/AG380</f>
        <v>1.00332462597958</v>
      </c>
      <c r="AH392" s="469" t="n">
        <f aca="false">(AH391+AH380)/AH380</f>
        <v>1.00166231298979</v>
      </c>
      <c r="AI392" s="469" t="n">
        <f aca="false">(AI391+AI380)/AI380</f>
        <v>1.00190068899976</v>
      </c>
      <c r="AJ392" s="469" t="n">
        <f aca="false">(AJ391+AJ380)/AJ380</f>
        <v>1.00238202596005</v>
      </c>
      <c r="AK392" s="468" t="n">
        <f aca="false">(AK391+AK380)/AK380</f>
        <v>1.00238202596005</v>
      </c>
      <c r="AL392" s="469" t="n">
        <f aca="false">(AL391+AL380)/AL380</f>
        <v>1.00167064439141</v>
      </c>
      <c r="AM392" s="469" t="n">
        <f aca="false">(AM391+AM380)/AM380</f>
        <v>1.00143403441683</v>
      </c>
      <c r="AN392" s="469" t="n">
        <f aca="false">(AN391+AN380)/AN380</f>
        <v>1.0019120458891</v>
      </c>
      <c r="AO392" s="469" t="n">
        <f aca="false">(AO391+AO380)/AO380</f>
        <v>1.0021607915377</v>
      </c>
      <c r="AP392" s="468" t="n">
        <f aca="false">(AP391+AP380)/AP380</f>
        <v>1.0021607915377</v>
      </c>
      <c r="AQ392" s="469" t="n">
        <f aca="false">(AQ391+AQ380)/AQ380</f>
        <v>1.00120394895256</v>
      </c>
      <c r="AR392" s="469" t="n">
        <f aca="false">(AR391+AR380)/AR380</f>
        <v>1.00121506682868</v>
      </c>
      <c r="AS392" s="469" t="n">
        <f aca="false">(AS391+AS380)/AS380</f>
        <v>1.00171610688894</v>
      </c>
      <c r="AT392" s="469" t="n">
        <f aca="false">(AT391+AT380)/AT380</f>
        <v>1.00173869149402</v>
      </c>
      <c r="AU392" s="468" t="n">
        <f aca="false">(AU391+AU380)/AU380</f>
        <v>1.00173869149402</v>
      </c>
      <c r="AV392" s="469" t="n">
        <f aca="false">(AV391+AV380)/AV380</f>
        <v>1.00099725754176</v>
      </c>
      <c r="AW392" s="469" t="n">
        <f aca="false">(AW391+AW380)/AW380</f>
        <v>1.0007532011047</v>
      </c>
      <c r="AX392" s="469" t="n">
        <f aca="false">(AX391+AX380)/AX380</f>
        <v>1.0010095911156</v>
      </c>
      <c r="AY392" s="469" t="n">
        <f aca="false">(AY391+AY380)/AY380</f>
        <v>1.00076028396008</v>
      </c>
      <c r="AZ392" s="468" t="n">
        <f aca="false">(AZ391+AZ380)/AZ380</f>
        <v>1.00076028396008</v>
      </c>
      <c r="BA392" s="469" t="n">
        <f aca="false">(BA391+BA380)/BA380</f>
        <v>1.00076045627376</v>
      </c>
      <c r="BB392" s="469" t="n">
        <f aca="false">(BB391+BB380)/BB380</f>
        <v>1.00050787201625</v>
      </c>
      <c r="BC392" s="469" t="n">
        <f aca="false">(BC391+BC380)/BC380</f>
        <v>1.00076258261312</v>
      </c>
      <c r="BD392" s="469" t="n">
        <f aca="false">(BD391+BD380)/BD380</f>
        <v>1.00101672068076</v>
      </c>
      <c r="BE392" s="468" t="n">
        <f aca="false">(BE391+BE380)/BE380</f>
        <v>1.00101672068076</v>
      </c>
      <c r="BF392" s="469" t="n">
        <f aca="false">(BF391+BF380)/BF380</f>
        <v>1.00076258261312</v>
      </c>
      <c r="BG392" s="469" t="n">
        <f aca="false">(BG391+BG380)/BG380</f>
        <v>1.00076297049847</v>
      </c>
      <c r="BH392" s="469" t="n">
        <f aca="false">(BH391+BH380)/BH380</f>
        <v>1.00101729399797</v>
      </c>
      <c r="BI392" s="469" t="n">
        <f aca="false">(BI391+BI380)/BI380</f>
        <v>1.00076280808166</v>
      </c>
      <c r="BJ392" s="468" t="n">
        <f aca="false">(BJ391+BJ380)/BJ380</f>
        <v>1.00076280808166</v>
      </c>
      <c r="BK392" s="469" t="n">
        <f aca="false">(BK391+BK380)/BK380</f>
        <v>1.00050981391792</v>
      </c>
      <c r="BL392" s="469" t="n">
        <f aca="false">(BL391+BL380)/BL380</f>
        <v>1.00051519835137</v>
      </c>
      <c r="BM392" s="469" t="n">
        <f aca="false">(BM391+BM380)/BM380</f>
        <v>1.0007745933385</v>
      </c>
      <c r="BN392" s="469" t="n">
        <f aca="false">(BN391+BN380)/BN380</f>
        <v>1.001287001287</v>
      </c>
      <c r="BO392" s="470" t="n">
        <f aca="false">(BO391+BO380)/BO380</f>
        <v>1.001287001287</v>
      </c>
      <c r="BP392" s="471" t="n">
        <v>1.00076258261312</v>
      </c>
      <c r="BQ392" s="471" t="n">
        <v>1.00076258261312</v>
      </c>
      <c r="BR392" s="471" t="n">
        <v>1.00076258261312</v>
      </c>
      <c r="BS392" s="471" t="n">
        <v>1.00076258261312</v>
      </c>
      <c r="BT392" s="468" t="n">
        <f aca="false">(BT391+BT380)/BT380</f>
        <v>1.00076258261312</v>
      </c>
      <c r="BU392" s="471" t="n">
        <v>1.00076258261312</v>
      </c>
      <c r="BV392" s="471" t="n">
        <v>1.00076258261312</v>
      </c>
      <c r="BW392" s="471" t="n">
        <v>1.00076258261312</v>
      </c>
      <c r="BX392" s="471" t="n">
        <v>1.00076258261312</v>
      </c>
      <c r="BY392" s="468" t="n">
        <f aca="false">(BY391+BY380)/BY380</f>
        <v>1.00076258261312</v>
      </c>
      <c r="BZ392" s="472" t="n">
        <v>1.00076258261312</v>
      </c>
      <c r="CA392" s="472" t="n">
        <v>1.00076258261312</v>
      </c>
      <c r="CB392" s="472" t="n">
        <v>1.00076258261312</v>
      </c>
      <c r="CC392" s="473"/>
    </row>
    <row r="393" s="465" customFormat="true" ht="15" hidden="true" customHeight="true" outlineLevel="1" collapsed="false">
      <c r="A393" s="48"/>
      <c r="B393" s="460"/>
      <c r="C393" s="461"/>
      <c r="D393" s="461"/>
      <c r="E393" s="461"/>
      <c r="F393" s="461"/>
      <c r="G393" s="461"/>
      <c r="H393" s="462"/>
      <c r="I393" s="462"/>
      <c r="J393" s="462"/>
      <c r="K393" s="462"/>
      <c r="L393" s="461"/>
      <c r="M393" s="462"/>
      <c r="N393" s="462"/>
      <c r="O393" s="462"/>
      <c r="P393" s="462"/>
      <c r="Q393" s="461"/>
      <c r="R393" s="462"/>
      <c r="S393" s="462"/>
      <c r="T393" s="462"/>
      <c r="U393" s="462"/>
      <c r="V393" s="461"/>
      <c r="W393" s="462"/>
      <c r="X393" s="462"/>
      <c r="Y393" s="462"/>
      <c r="Z393" s="462"/>
      <c r="AA393" s="461"/>
      <c r="AB393" s="462"/>
      <c r="AC393" s="462"/>
      <c r="AD393" s="462"/>
      <c r="AE393" s="462"/>
      <c r="AF393" s="461"/>
      <c r="AG393" s="462"/>
      <c r="AH393" s="462"/>
      <c r="AI393" s="462"/>
      <c r="AJ393" s="462"/>
      <c r="AK393" s="461"/>
      <c r="AL393" s="462"/>
      <c r="AM393" s="462"/>
      <c r="AN393" s="462"/>
      <c r="AO393" s="462"/>
      <c r="AP393" s="461"/>
      <c r="AQ393" s="462"/>
      <c r="AR393" s="462"/>
      <c r="AS393" s="462"/>
      <c r="AT393" s="462"/>
      <c r="AU393" s="461"/>
      <c r="AV393" s="462"/>
      <c r="AW393" s="462"/>
      <c r="AX393" s="462"/>
      <c r="AY393" s="462"/>
      <c r="AZ393" s="461"/>
      <c r="BA393" s="462"/>
      <c r="BB393" s="462"/>
      <c r="BC393" s="462"/>
      <c r="BD393" s="462"/>
      <c r="BE393" s="461"/>
      <c r="BF393" s="462"/>
      <c r="BG393" s="462"/>
      <c r="BH393" s="462"/>
      <c r="BI393" s="462"/>
      <c r="BJ393" s="461"/>
      <c r="BK393" s="462"/>
      <c r="BL393" s="462"/>
      <c r="BM393" s="462"/>
      <c r="BN393" s="462"/>
      <c r="BO393" s="463"/>
      <c r="BP393" s="462"/>
      <c r="BQ393" s="462"/>
      <c r="BR393" s="462"/>
      <c r="BS393" s="462"/>
      <c r="BT393" s="461"/>
      <c r="BU393" s="462"/>
      <c r="BV393" s="462"/>
      <c r="BW393" s="462"/>
      <c r="BX393" s="462"/>
      <c r="BY393" s="461"/>
      <c r="BZ393" s="461"/>
      <c r="CA393" s="461"/>
      <c r="CB393" s="461"/>
      <c r="CC393" s="464"/>
    </row>
    <row r="394" s="465" customFormat="true" ht="15" hidden="true" customHeight="true" outlineLevel="1" collapsed="false">
      <c r="A394" s="50" t="s">
        <v>457</v>
      </c>
      <c r="B394" s="460"/>
      <c r="C394" s="159" t="n">
        <f aca="false">C380+C391</f>
        <v>433.638976</v>
      </c>
      <c r="D394" s="159" t="n">
        <f aca="false">D380+D391</f>
        <v>440.420972</v>
      </c>
      <c r="E394" s="159" t="n">
        <f aca="false">E380+E391</f>
        <v>417.104257</v>
      </c>
      <c r="F394" s="159" t="n">
        <f aca="false">F380+F391</f>
        <v>410.055221</v>
      </c>
      <c r="G394" s="159" t="n">
        <f aca="false">G380+G391</f>
        <v>444.528334</v>
      </c>
      <c r="H394" s="48" t="n">
        <f aca="false">H380+H391</f>
        <v>443.5</v>
      </c>
      <c r="I394" s="48" t="n">
        <f aca="false">I380+I391</f>
        <v>441.6</v>
      </c>
      <c r="J394" s="48" t="n">
        <f aca="false">J380+J391</f>
        <v>439</v>
      </c>
      <c r="K394" s="48" t="n">
        <f aca="false">K380+K391</f>
        <v>435.535288</v>
      </c>
      <c r="L394" s="159" t="n">
        <f aca="false">L380+L391</f>
        <v>435.535288</v>
      </c>
      <c r="M394" s="48" t="n">
        <f aca="false">M380+M391</f>
        <v>435.3</v>
      </c>
      <c r="N394" s="48" t="n">
        <f aca="false">N380+N391</f>
        <v>433.8</v>
      </c>
      <c r="O394" s="48" t="n">
        <f aca="false">O380+O391</f>
        <v>432.3</v>
      </c>
      <c r="P394" s="48" t="n">
        <f aca="false">P380+P391</f>
        <v>429.986682</v>
      </c>
      <c r="Q394" s="159" t="n">
        <f aca="false">Q380+Q391</f>
        <v>429.986682</v>
      </c>
      <c r="R394" s="48" t="n">
        <f aca="false">R380+R391</f>
        <v>429.1</v>
      </c>
      <c r="S394" s="48" t="n">
        <f aca="false">S380+S391</f>
        <v>426.5</v>
      </c>
      <c r="T394" s="48" t="n">
        <f aca="false">T380+T391</f>
        <v>425.8</v>
      </c>
      <c r="U394" s="48" t="n">
        <f aca="false">U380+U391</f>
        <v>432.041232</v>
      </c>
      <c r="V394" s="159" t="n">
        <f aca="false">V380+V391</f>
        <v>432.041232</v>
      </c>
      <c r="W394" s="48" t="n">
        <f aca="false">W380+W391</f>
        <v>432.3</v>
      </c>
      <c r="X394" s="48" t="n">
        <f aca="false">X380+X391</f>
        <v>432.4</v>
      </c>
      <c r="Y394" s="48" t="n">
        <f aca="false">Y380+Y391</f>
        <v>432</v>
      </c>
      <c r="Z394" s="48" t="n">
        <f aca="false">Z380+Z391</f>
        <v>429.293592</v>
      </c>
      <c r="AA394" s="159" t="n">
        <f aca="false">AA380+AA391</f>
        <v>429.293592</v>
      </c>
      <c r="AB394" s="48" t="n">
        <f aca="false">AB380+AB391</f>
        <v>428.9</v>
      </c>
      <c r="AC394" s="48" t="n">
        <f aca="false">AC380+AC391</f>
        <v>427.6</v>
      </c>
      <c r="AD394" s="48" t="n">
        <f aca="false">AD380+AD391</f>
        <v>425.9</v>
      </c>
      <c r="AE394" s="48" t="n">
        <f aca="false">AE380+AE391</f>
        <v>422.497729</v>
      </c>
      <c r="AF394" s="159" t="n">
        <f aca="false">AF380+AF391</f>
        <v>422.497729</v>
      </c>
      <c r="AG394" s="48" t="n">
        <f aca="false">AG380+AG391</f>
        <v>422.5</v>
      </c>
      <c r="AH394" s="48" t="n">
        <f aca="false">AH380+AH391</f>
        <v>421.8</v>
      </c>
      <c r="AI394" s="48" t="n">
        <f aca="false">AI380+AI391</f>
        <v>421.7</v>
      </c>
      <c r="AJ394" s="48" t="n">
        <f aca="false">AJ380+AJ391</f>
        <v>420.810706</v>
      </c>
      <c r="AK394" s="159" t="n">
        <f aca="false">AK380+AK391</f>
        <v>420.810706</v>
      </c>
      <c r="AL394" s="48" t="n">
        <f aca="false">AL380+AL391</f>
        <v>419.7</v>
      </c>
      <c r="AM394" s="48" t="n">
        <f aca="false">AM380+AM391</f>
        <v>419</v>
      </c>
      <c r="AN394" s="48" t="n">
        <f aca="false">AN380+AN391</f>
        <v>419.2</v>
      </c>
      <c r="AO394" s="48" t="n">
        <f aca="false">AO380+AO391</f>
        <v>417.414034</v>
      </c>
      <c r="AP394" s="159" t="n">
        <f aca="false">AP380+AP391</f>
        <v>417.414034</v>
      </c>
      <c r="AQ394" s="48" t="n">
        <f aca="false">AQ380+AQ391</f>
        <v>415.8</v>
      </c>
      <c r="AR394" s="48" t="n">
        <f aca="false">AR380+AR391</f>
        <v>412</v>
      </c>
      <c r="AS394" s="48" t="n">
        <f aca="false">AS380+AS391</f>
        <v>408.6</v>
      </c>
      <c r="AT394" s="48" t="n">
        <f aca="false">AT380+AT391</f>
        <v>403.301613</v>
      </c>
      <c r="AU394" s="159" t="n">
        <f aca="false">AU380+AU391</f>
        <v>403.301613</v>
      </c>
      <c r="AV394" s="48" t="n">
        <f aca="false">AV380+AV391</f>
        <v>401.5</v>
      </c>
      <c r="AW394" s="48" t="n">
        <f aca="false">AW380+AW391</f>
        <v>398.6</v>
      </c>
      <c r="AX394" s="48" t="n">
        <f aca="false">AX380+AX391</f>
        <v>396.6</v>
      </c>
      <c r="AY394" s="48" t="n">
        <f aca="false">AY380+AY391</f>
        <v>394.889411</v>
      </c>
      <c r="AZ394" s="159" t="n">
        <f aca="false">AZ380+AZ391</f>
        <v>394.889411</v>
      </c>
      <c r="BA394" s="48" t="n">
        <f aca="false">BA380+BA391</f>
        <v>394.8</v>
      </c>
      <c r="BB394" s="48" t="n">
        <f aca="false">BB380+BB391</f>
        <v>394</v>
      </c>
      <c r="BC394" s="48" t="n">
        <f aca="false">BC380+BC391</f>
        <v>393.7</v>
      </c>
      <c r="BD394" s="48" t="n">
        <f aca="false">BD380+BD391</f>
        <v>393.821721</v>
      </c>
      <c r="BE394" s="159" t="n">
        <f aca="false">BE380+BE391</f>
        <v>393.821721</v>
      </c>
      <c r="BF394" s="48" t="n">
        <f aca="false">BF380+BF391</f>
        <v>393.7</v>
      </c>
      <c r="BG394" s="48" t="n">
        <f aca="false">BG380+BG391</f>
        <v>393.5</v>
      </c>
      <c r="BH394" s="48" t="n">
        <f aca="false">BH380+BH391</f>
        <v>393.6</v>
      </c>
      <c r="BI394" s="48" t="n">
        <f aca="false">BI380+BI391</f>
        <v>393.58372</v>
      </c>
      <c r="BJ394" s="159" t="n">
        <f aca="false">BJ380+BJ391</f>
        <v>393.58372</v>
      </c>
      <c r="BK394" s="48" t="n">
        <f aca="false">BK380+BK391</f>
        <v>392.5</v>
      </c>
      <c r="BL394" s="48" t="n">
        <f aca="false">BL380+BL391</f>
        <v>388.4</v>
      </c>
      <c r="BM394" s="48" t="n">
        <f aca="false">BM380+BM391</f>
        <v>387.6</v>
      </c>
      <c r="BN394" s="48" t="n">
        <f aca="false">BN380+BN391</f>
        <v>389</v>
      </c>
      <c r="BO394" s="160" t="n">
        <f aca="false">BO380+BO391</f>
        <v>389</v>
      </c>
      <c r="BP394" s="48" t="n">
        <f aca="false">BP380+BP391</f>
        <v>388.835142971532</v>
      </c>
      <c r="BQ394" s="48" t="n">
        <f aca="false">BQ380+BQ391</f>
        <v>388.874026485829</v>
      </c>
      <c r="BR394" s="48" t="n">
        <f aca="false">BR380+BR391</f>
        <v>388.912913888477</v>
      </c>
      <c r="BS394" s="48" t="n">
        <f aca="false">BS380+BS391</f>
        <v>388.951805179866</v>
      </c>
      <c r="BT394" s="159" t="n">
        <f aca="false">BT380+BT391</f>
        <v>388.951805179866</v>
      </c>
      <c r="BU394" s="48" t="n">
        <f aca="false">BU380+BU391</f>
        <v>388.990700360384</v>
      </c>
      <c r="BV394" s="48" t="n">
        <f aca="false">BV380+BV391</f>
        <v>389.02959943042</v>
      </c>
      <c r="BW394" s="48" t="n">
        <f aca="false">BW380+BW391</f>
        <v>389.068502390363</v>
      </c>
      <c r="BX394" s="48" t="n">
        <f aca="false">BX380+BX391</f>
        <v>389.107409240602</v>
      </c>
      <c r="BY394" s="159" t="n">
        <f aca="false">BY380+BY391</f>
        <v>389.107409240602</v>
      </c>
      <c r="BZ394" s="159" t="n">
        <f aca="false">BZ380+BZ391</f>
        <v>389.263052204298</v>
      </c>
      <c r="CA394" s="159" t="n">
        <f aca="false">CA380+CA391</f>
        <v>389.41875742518</v>
      </c>
      <c r="CB394" s="159" t="n">
        <f aca="false">CB380+CB391</f>
        <v>389.57452492815</v>
      </c>
      <c r="CC394" s="464"/>
    </row>
    <row r="395" s="51" customFormat="true" ht="15" hidden="false" customHeight="true" outlineLevel="0" collapsed="false">
      <c r="A395" s="48"/>
      <c r="B395" s="254"/>
      <c r="C395" s="159"/>
      <c r="D395" s="159"/>
      <c r="E395" s="159"/>
      <c r="F395" s="159"/>
      <c r="G395" s="159"/>
      <c r="H395" s="48"/>
      <c r="I395" s="48"/>
      <c r="J395" s="48"/>
      <c r="K395" s="48"/>
      <c r="L395" s="159"/>
      <c r="M395" s="48"/>
      <c r="N395" s="48"/>
      <c r="O395" s="48"/>
      <c r="P395" s="48"/>
      <c r="Q395" s="159"/>
      <c r="R395" s="48"/>
      <c r="S395" s="48"/>
      <c r="T395" s="48"/>
      <c r="U395" s="48"/>
      <c r="V395" s="159"/>
      <c r="W395" s="48"/>
      <c r="X395" s="48"/>
      <c r="Y395" s="48"/>
      <c r="Z395" s="48"/>
      <c r="AA395" s="159"/>
      <c r="AB395" s="48"/>
      <c r="AC395" s="48"/>
      <c r="AD395" s="48"/>
      <c r="AE395" s="48"/>
      <c r="AF395" s="159"/>
      <c r="AG395" s="48"/>
      <c r="AH395" s="48"/>
      <c r="AI395" s="48"/>
      <c r="AJ395" s="48"/>
      <c r="AK395" s="159"/>
      <c r="AL395" s="48"/>
      <c r="AM395" s="48"/>
      <c r="AN395" s="48"/>
      <c r="AO395" s="48"/>
      <c r="AP395" s="159"/>
      <c r="AQ395" s="48"/>
      <c r="AR395" s="48"/>
      <c r="AS395" s="48"/>
      <c r="AT395" s="48"/>
      <c r="AU395" s="159"/>
      <c r="AV395" s="48"/>
      <c r="AW395" s="48"/>
      <c r="AX395" s="48"/>
      <c r="AY395" s="48"/>
      <c r="AZ395" s="159"/>
      <c r="BA395" s="48"/>
      <c r="BB395" s="48"/>
      <c r="BC395" s="48"/>
      <c r="BD395" s="48"/>
      <c r="BE395" s="159"/>
      <c r="BF395" s="48"/>
      <c r="BG395" s="48"/>
      <c r="BH395" s="48"/>
      <c r="BI395" s="48"/>
      <c r="BJ395" s="159"/>
      <c r="BK395" s="48"/>
      <c r="BL395" s="48"/>
      <c r="BM395" s="48"/>
      <c r="BN395" s="48"/>
      <c r="BO395" s="160"/>
      <c r="BP395" s="48"/>
      <c r="BQ395" s="48"/>
      <c r="BR395" s="48"/>
      <c r="BS395" s="48"/>
      <c r="BT395" s="159"/>
      <c r="BU395" s="48"/>
      <c r="BV395" s="48"/>
      <c r="BW395" s="48"/>
      <c r="BX395" s="48"/>
      <c r="BY395" s="159"/>
      <c r="BZ395" s="159"/>
      <c r="CA395" s="159"/>
      <c r="CB395" s="159"/>
      <c r="CC395" s="50"/>
    </row>
    <row r="396" s="157" customFormat="true" ht="15" hidden="false" customHeight="true" outlineLevel="0" collapsed="false">
      <c r="A396" s="219" t="s">
        <v>458</v>
      </c>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c r="AA396" s="219"/>
      <c r="AB396" s="219"/>
      <c r="AC396" s="219"/>
      <c r="AD396" s="219"/>
      <c r="AE396" s="219"/>
      <c r="AF396" s="219"/>
      <c r="AG396" s="219"/>
      <c r="AH396" s="219"/>
      <c r="AI396" s="219"/>
      <c r="AJ396" s="219"/>
      <c r="AK396" s="219"/>
      <c r="AL396" s="219"/>
      <c r="AM396" s="219"/>
      <c r="AN396" s="219"/>
      <c r="AO396" s="219"/>
      <c r="AP396" s="219"/>
      <c r="AQ396" s="219"/>
      <c r="AR396" s="219"/>
      <c r="AS396" s="219"/>
      <c r="AT396" s="219"/>
      <c r="AU396" s="219"/>
      <c r="AV396" s="219"/>
      <c r="AW396" s="219"/>
      <c r="AX396" s="219"/>
      <c r="AY396" s="219"/>
      <c r="AZ396" s="219"/>
      <c r="BA396" s="219"/>
      <c r="BB396" s="219"/>
      <c r="BC396" s="219"/>
      <c r="BD396" s="219"/>
      <c r="BE396" s="219"/>
      <c r="BF396" s="219"/>
      <c r="BG396" s="219"/>
      <c r="BH396" s="219"/>
      <c r="BI396" s="219"/>
      <c r="BJ396" s="219"/>
      <c r="BK396" s="219"/>
      <c r="BL396" s="219"/>
      <c r="BM396" s="219"/>
      <c r="BN396" s="219"/>
      <c r="BO396" s="220"/>
      <c r="BP396" s="219"/>
      <c r="BQ396" s="219"/>
      <c r="BR396" s="219"/>
      <c r="BS396" s="219"/>
      <c r="BT396" s="219"/>
      <c r="BU396" s="219"/>
      <c r="BV396" s="219"/>
      <c r="BW396" s="219"/>
      <c r="BX396" s="219"/>
      <c r="BY396" s="219"/>
      <c r="BZ396" s="219"/>
      <c r="CA396" s="219"/>
      <c r="CB396" s="219"/>
      <c r="CC396" s="156"/>
    </row>
    <row r="397" s="51" customFormat="true" ht="15" hidden="true" customHeight="true" outlineLevel="1" collapsed="false">
      <c r="A397" s="50" t="s">
        <v>459</v>
      </c>
      <c r="B397" s="254"/>
      <c r="C397" s="262" t="n">
        <f aca="false">C536</f>
        <v>63.151</v>
      </c>
      <c r="D397" s="262" t="n">
        <f aca="false">D536</f>
        <v>1279.337</v>
      </c>
      <c r="E397" s="262" t="n">
        <f aca="false">E536</f>
        <v>1784.614</v>
      </c>
      <c r="F397" s="262" t="n">
        <f aca="false">F536</f>
        <v>1416.151</v>
      </c>
      <c r="G397" s="262" t="n">
        <f aca="false">G536</f>
        <v>1455.772</v>
      </c>
      <c r="H397" s="50" t="n">
        <f aca="false">H536</f>
        <v>353.2</v>
      </c>
      <c r="I397" s="50" t="n">
        <f aca="false">I536</f>
        <v>538.5</v>
      </c>
      <c r="J397" s="50" t="n">
        <f aca="false">J536</f>
        <v>319.5</v>
      </c>
      <c r="K397" s="50" t="n">
        <f aca="false">K536</f>
        <v>421.398</v>
      </c>
      <c r="L397" s="262" t="n">
        <f aca="false">L536</f>
        <v>1632.598</v>
      </c>
      <c r="M397" s="50" t="n">
        <f aca="false">M536</f>
        <v>538.2</v>
      </c>
      <c r="N397" s="50" t="n">
        <f aca="false">N536</f>
        <v>511.1</v>
      </c>
      <c r="O397" s="50" t="n">
        <f aca="false">O536</f>
        <v>513.1</v>
      </c>
      <c r="P397" s="50" t="n">
        <f aca="false">P536</f>
        <v>445.665</v>
      </c>
      <c r="Q397" s="262" t="n">
        <f aca="false">Q536</f>
        <v>2008.065</v>
      </c>
      <c r="R397" s="50" t="n">
        <f aca="false">R536</f>
        <v>327.9</v>
      </c>
      <c r="S397" s="50" t="n">
        <f aca="false">S536</f>
        <v>466.8</v>
      </c>
      <c r="T397" s="50" t="n">
        <f aca="false">T536</f>
        <v>539.1</v>
      </c>
      <c r="U397" s="50" t="n">
        <f aca="false">U536</f>
        <v>627</v>
      </c>
      <c r="V397" s="262" t="n">
        <f aca="false">V536</f>
        <v>1960.8</v>
      </c>
      <c r="W397" s="50" t="n">
        <f aca="false">W536</f>
        <v>623</v>
      </c>
      <c r="X397" s="50" t="n">
        <f aca="false">X536</f>
        <v>619.8</v>
      </c>
      <c r="Y397" s="50" t="n">
        <f aca="false">Y536</f>
        <v>710.4</v>
      </c>
      <c r="Z397" s="50" t="n">
        <f aca="false">Z536</f>
        <v>784.7</v>
      </c>
      <c r="AA397" s="262" t="n">
        <f aca="false">AA536</f>
        <v>2737.9</v>
      </c>
      <c r="AB397" s="50" t="n">
        <f aca="false">AB536</f>
        <v>744.5</v>
      </c>
      <c r="AC397" s="50" t="n">
        <f aca="false">AC536</f>
        <v>768.8</v>
      </c>
      <c r="AD397" s="50" t="n">
        <f aca="false">AD536</f>
        <v>816</v>
      </c>
      <c r="AE397" s="50" t="n">
        <f aca="false">AE536</f>
        <v>802.8</v>
      </c>
      <c r="AF397" s="262" t="n">
        <f aca="false">AF536</f>
        <v>3132.1</v>
      </c>
      <c r="AG397" s="50" t="n">
        <f aca="false">AG536</f>
        <v>457.6</v>
      </c>
      <c r="AH397" s="50" t="n">
        <f aca="false">AH536</f>
        <v>566.4</v>
      </c>
      <c r="AI397" s="50" t="n">
        <f aca="false">AI536</f>
        <v>809.5</v>
      </c>
      <c r="AJ397" s="50" t="n">
        <f aca="false">AJ536</f>
        <v>1331.3</v>
      </c>
      <c r="AK397" s="262" t="n">
        <f aca="false">AK536</f>
        <v>3164.8</v>
      </c>
      <c r="AL397" s="50" t="n">
        <f aca="false">AL536</f>
        <v>509.9</v>
      </c>
      <c r="AM397" s="50" t="n">
        <f aca="false">AM536</f>
        <v>884</v>
      </c>
      <c r="AN397" s="50" t="n">
        <f aca="false">AN536</f>
        <v>1106.4</v>
      </c>
      <c r="AO397" s="50" t="n">
        <f aca="false">AO536</f>
        <v>1595.7</v>
      </c>
      <c r="AP397" s="262" t="n">
        <f aca="false">AP536</f>
        <v>4096</v>
      </c>
      <c r="AQ397" s="50" t="n">
        <f aca="false">AQ536</f>
        <v>1453.6</v>
      </c>
      <c r="AR397" s="50" t="n">
        <f aca="false">AR536</f>
        <v>1194.1</v>
      </c>
      <c r="AS397" s="50" t="n">
        <f aca="false">AS536</f>
        <v>1536.2</v>
      </c>
      <c r="AT397" s="50" t="n">
        <f aca="false">AT536</f>
        <v>1769.5</v>
      </c>
      <c r="AU397" s="262" t="n">
        <f aca="false">AU536</f>
        <v>5953.4</v>
      </c>
      <c r="AV397" s="50" t="n">
        <f aca="false">AV536</f>
        <v>812.9</v>
      </c>
      <c r="AW397" s="50" t="n">
        <f aca="false">AW536</f>
        <v>1516</v>
      </c>
      <c r="AX397" s="50" t="n">
        <f aca="false">AX536</f>
        <v>1579.2</v>
      </c>
      <c r="AY397" s="50" t="n">
        <f aca="false">AY536</f>
        <v>2137.5</v>
      </c>
      <c r="AZ397" s="262" t="n">
        <f aca="false">AZ536</f>
        <v>6045.6</v>
      </c>
      <c r="BA397" s="50" t="n">
        <f aca="false">BA536</f>
        <v>2195.2</v>
      </c>
      <c r="BB397" s="50" t="n">
        <f aca="false">BB536</f>
        <v>2221.4</v>
      </c>
      <c r="BC397" s="50" t="n">
        <f aca="false">BC536</f>
        <v>2041.1</v>
      </c>
      <c r="BD397" s="50" t="n">
        <f aca="false">BD536</f>
        <v>2649.3</v>
      </c>
      <c r="BE397" s="262" t="n">
        <f aca="false">BE536</f>
        <v>9107</v>
      </c>
      <c r="BF397" s="50" t="n">
        <f aca="false">BF536</f>
        <v>1547.1</v>
      </c>
      <c r="BG397" s="50" t="n">
        <f aca="false">BG536</f>
        <v>1926.5</v>
      </c>
      <c r="BH397" s="50" t="n">
        <f aca="false">BH536</f>
        <v>2331.5</v>
      </c>
      <c r="BI397" s="50" t="n">
        <f aca="false">BI536</f>
        <v>3307.8</v>
      </c>
      <c r="BJ397" s="262" t="n">
        <f aca="false">BJ536</f>
        <v>9112.9</v>
      </c>
      <c r="BK397" s="50" t="n">
        <f aca="false">BK536</f>
        <v>2742.2</v>
      </c>
      <c r="BL397" s="50" t="n">
        <f aca="false">BL536</f>
        <v>2657.8</v>
      </c>
      <c r="BM397" s="50" t="n">
        <f aca="false">BM536</f>
        <v>2462.4</v>
      </c>
      <c r="BN397" s="50" t="n">
        <f aca="false">BN536</f>
        <v>3769.6</v>
      </c>
      <c r="BO397" s="264" t="n">
        <f aca="false">BO536</f>
        <v>11632</v>
      </c>
      <c r="BP397" s="48" t="n">
        <f aca="false">BP536</f>
        <v>2646.536893444</v>
      </c>
      <c r="BQ397" s="48" t="n">
        <f aca="false">BQ536</f>
        <v>3067.11632898182</v>
      </c>
      <c r="BR397" s="48" t="n">
        <f aca="false">BR536</f>
        <v>2911.08265263297</v>
      </c>
      <c r="BS397" s="48" t="n">
        <f aca="false">BS536</f>
        <v>3196.91072239172</v>
      </c>
      <c r="BT397" s="159" t="n">
        <f aca="false">BT536</f>
        <v>11821.6465974505</v>
      </c>
      <c r="BU397" s="48" t="n">
        <f aca="false">BU536</f>
        <v>2750.06720878154</v>
      </c>
      <c r="BV397" s="48" t="n">
        <f aca="false">BV536</f>
        <v>3606.98671767299</v>
      </c>
      <c r="BW397" s="48" t="n">
        <f aca="false">BW536</f>
        <v>3386.56114633628</v>
      </c>
      <c r="BX397" s="48" t="n">
        <f aca="false">BX536</f>
        <v>3529.73844192984</v>
      </c>
      <c r="BY397" s="159" t="n">
        <f aca="false">BY536</f>
        <v>13273.3535147207</v>
      </c>
      <c r="BZ397" s="159" t="n">
        <f aca="false">BZ536</f>
        <v>15731.1960103748</v>
      </c>
      <c r="CA397" s="159" t="n">
        <f aca="false">CA536</f>
        <v>16652.8065619229</v>
      </c>
      <c r="CB397" s="159" t="n">
        <f aca="false">CB536</f>
        <v>17652.4099338402</v>
      </c>
      <c r="CC397" s="50"/>
    </row>
    <row r="398" s="51" customFormat="true" ht="15" hidden="true" customHeight="true" outlineLevel="1" collapsed="false">
      <c r="A398" s="251" t="s">
        <v>117</v>
      </c>
      <c r="B398" s="257"/>
      <c r="C398" s="261" t="n">
        <f aca="false">+C545</f>
        <v>36.043</v>
      </c>
      <c r="D398" s="261" t="n">
        <f aca="false">+D545</f>
        <v>-339.289</v>
      </c>
      <c r="E398" s="261" t="n">
        <f aca="false">+E545</f>
        <v>285.826</v>
      </c>
      <c r="F398" s="261" t="n">
        <f aca="false">+F545</f>
        <v>-712.673</v>
      </c>
      <c r="G398" s="261" t="n">
        <f aca="false">+G545</f>
        <v>-401.599</v>
      </c>
      <c r="H398" s="259" t="n">
        <f aca="false">+H545</f>
        <v>-149.8</v>
      </c>
      <c r="I398" s="259" t="n">
        <f aca="false">+I545</f>
        <v>-340.1</v>
      </c>
      <c r="J398" s="259" t="n">
        <f aca="false">+J545</f>
        <v>-105.3</v>
      </c>
      <c r="K398" s="259" t="n">
        <f aca="false">+K545</f>
        <v>-12.192</v>
      </c>
      <c r="L398" s="261" t="n">
        <f aca="false">+L545</f>
        <v>-607.392</v>
      </c>
      <c r="M398" s="259" t="n">
        <f aca="false">+M545</f>
        <v>-201</v>
      </c>
      <c r="N398" s="259" t="n">
        <f aca="false">+N545</f>
        <v>-227.3</v>
      </c>
      <c r="O398" s="259" t="n">
        <f aca="false">+O545</f>
        <v>-93.3</v>
      </c>
      <c r="P398" s="259" t="n">
        <f aca="false">+P545</f>
        <v>539.115</v>
      </c>
      <c r="Q398" s="261" t="n">
        <f aca="false">+Q545</f>
        <v>17.515</v>
      </c>
      <c r="R398" s="259" t="n">
        <f aca="false">+R545</f>
        <v>-333.7</v>
      </c>
      <c r="S398" s="259" t="n">
        <f aca="false">+S545</f>
        <v>14.3</v>
      </c>
      <c r="T398" s="259" t="n">
        <f aca="false">+T545</f>
        <v>-541.8</v>
      </c>
      <c r="U398" s="259" t="n">
        <f aca="false">+U545</f>
        <v>566.3</v>
      </c>
      <c r="V398" s="261" t="n">
        <f aca="false">+V545</f>
        <v>-294.9</v>
      </c>
      <c r="W398" s="259" t="n">
        <f aca="false">+W545</f>
        <v>-791.4</v>
      </c>
      <c r="X398" s="259" t="n">
        <f aca="false">+X545</f>
        <v>-89.5</v>
      </c>
      <c r="Y398" s="259" t="n">
        <f aca="false">+Y545</f>
        <v>-310.4</v>
      </c>
      <c r="Z398" s="259" t="n">
        <f aca="false">+Z545</f>
        <v>252</v>
      </c>
      <c r="AA398" s="261" t="n">
        <f aca="false">+AA545</f>
        <v>-939.3</v>
      </c>
      <c r="AB398" s="259" t="n">
        <f aca="false">+AB545</f>
        <v>-553.5</v>
      </c>
      <c r="AC398" s="259" t="n">
        <f aca="false">+AC545</f>
        <v>-9.70000000000005</v>
      </c>
      <c r="AD398" s="259" t="n">
        <f aca="false">+AD545</f>
        <v>-323.8</v>
      </c>
      <c r="AE398" s="259" t="n">
        <f aca="false">+AE545</f>
        <v>827.6</v>
      </c>
      <c r="AF398" s="261" t="n">
        <f aca="false">+AF545</f>
        <v>-59.4</v>
      </c>
      <c r="AG398" s="259" t="n">
        <f aca="false">+AG545</f>
        <v>-938.4</v>
      </c>
      <c r="AH398" s="259" t="n">
        <f aca="false">+AH545</f>
        <v>-466.9</v>
      </c>
      <c r="AI398" s="259" t="n">
        <f aca="false">+AI545</f>
        <v>-740.1</v>
      </c>
      <c r="AJ398" s="259" t="n">
        <f aca="false">+AJ545</f>
        <v>2257</v>
      </c>
      <c r="AK398" s="261" t="n">
        <f aca="false">+AK545</f>
        <v>111.6</v>
      </c>
      <c r="AL398" s="259" t="n">
        <f aca="false">+AL545</f>
        <v>-1115.7</v>
      </c>
      <c r="AM398" s="259" t="n">
        <f aca="false">+AM545</f>
        <v>-512.1</v>
      </c>
      <c r="AN398" s="259" t="n">
        <f aca="false">+AN545</f>
        <v>-915.3</v>
      </c>
      <c r="AO398" s="259" t="n">
        <f aca="false">+AO545</f>
        <v>3074.7</v>
      </c>
      <c r="AP398" s="261" t="n">
        <f aca="false">+AP545</f>
        <v>531.6</v>
      </c>
      <c r="AQ398" s="259" t="n">
        <f aca="false">+AQ545</f>
        <v>-2395.3</v>
      </c>
      <c r="AR398" s="259" t="n">
        <f aca="false">+AR545</f>
        <v>2374.8</v>
      </c>
      <c r="AS398" s="259" t="n">
        <f aca="false">+AS545</f>
        <v>265.4</v>
      </c>
      <c r="AT398" s="259" t="n">
        <f aca="false">+AT545</f>
        <v>4647.5</v>
      </c>
      <c r="AU398" s="261" t="n">
        <f aca="false">+AU545</f>
        <v>4892.4</v>
      </c>
      <c r="AV398" s="259" t="n">
        <f aca="false">+AV545</f>
        <v>-1399</v>
      </c>
      <c r="AW398" s="259" t="n">
        <f aca="false">+AW545</f>
        <v>1036.9</v>
      </c>
      <c r="AX398" s="259" t="n">
        <f aca="false">+AX545</f>
        <v>-409.7</v>
      </c>
      <c r="AY398" s="259" t="n">
        <f aca="false">+AY545</f>
        <v>3213</v>
      </c>
      <c r="AZ398" s="261" t="n">
        <f aca="false">+AZ545</f>
        <v>2441.2</v>
      </c>
      <c r="BA398" s="259" t="n">
        <f aca="false">+BA545</f>
        <v>-1461.6</v>
      </c>
      <c r="BB398" s="259" t="n">
        <f aca="false">+BB545</f>
        <v>-1836.7</v>
      </c>
      <c r="BC398" s="259" t="n">
        <f aca="false">+BC545</f>
        <v>-913</v>
      </c>
      <c r="BD398" s="259" t="n">
        <f aca="false">+BD545</f>
        <v>547.7</v>
      </c>
      <c r="BE398" s="261" t="n">
        <f aca="false">+BE545</f>
        <v>-3663.6</v>
      </c>
      <c r="BF398" s="259" t="n">
        <f aca="false">+BF545</f>
        <v>-1799</v>
      </c>
      <c r="BG398" s="259" t="n">
        <f aca="false">+BG545</f>
        <v>-1003.1</v>
      </c>
      <c r="BH398" s="259" t="n">
        <f aca="false">+BH545</f>
        <v>-1381.6</v>
      </c>
      <c r="BI398" s="259" t="n">
        <f aca="false">+BI545</f>
        <v>6237</v>
      </c>
      <c r="BJ398" s="261" t="n">
        <f aca="false">+BJ545</f>
        <v>2053.3</v>
      </c>
      <c r="BK398" s="259" t="n">
        <f aca="false">+BK545</f>
        <v>-2800.8</v>
      </c>
      <c r="BL398" s="259" t="n">
        <f aca="false">+BL545</f>
        <v>-1910.1</v>
      </c>
      <c r="BM398" s="259" t="n">
        <f aca="false">+BM545</f>
        <v>-1903.3</v>
      </c>
      <c r="BN398" s="259" t="n">
        <f aca="false">+BN545</f>
        <v>7640.7</v>
      </c>
      <c r="BO398" s="260" t="n">
        <f aca="false">+BO545</f>
        <v>1026.5</v>
      </c>
      <c r="BP398" s="259" t="n">
        <f aca="false">+BP545</f>
        <v>2085.79641738469</v>
      </c>
      <c r="BQ398" s="259" t="n">
        <f aca="false">+BQ545</f>
        <v>-132.054789945865</v>
      </c>
      <c r="BR398" s="259" t="n">
        <f aca="false">+BR545</f>
        <v>106.08122910836</v>
      </c>
      <c r="BS398" s="259" t="n">
        <f aca="false">+BS545</f>
        <v>-1316.75911396737</v>
      </c>
      <c r="BT398" s="261" t="n">
        <f aca="false">+BT545</f>
        <v>743.063742579811</v>
      </c>
      <c r="BU398" s="259" t="n">
        <f aca="false">+BU545</f>
        <v>2204.49714637191</v>
      </c>
      <c r="BV398" s="259" t="n">
        <f aca="false">+BV545</f>
        <v>-395.988327862619</v>
      </c>
      <c r="BW398" s="259" t="n">
        <f aca="false">+BW545</f>
        <v>-190.20825030936</v>
      </c>
      <c r="BX398" s="259" t="n">
        <f aca="false">+BX545</f>
        <v>-1322.70126049014</v>
      </c>
      <c r="BY398" s="261" t="n">
        <f aca="false">+BY545</f>
        <v>295.599307709786</v>
      </c>
      <c r="BZ398" s="261" t="n">
        <f aca="false">+BZ545</f>
        <v>1389.06644360208</v>
      </c>
      <c r="CA398" s="261" t="n">
        <f aca="false">+CA545</f>
        <v>413.771835529659</v>
      </c>
      <c r="CB398" s="261" t="n">
        <f aca="false">+CB545</f>
        <v>439.006118232008</v>
      </c>
      <c r="CC398" s="50"/>
    </row>
    <row r="399" s="51" customFormat="true" ht="15" hidden="false" customHeight="true" outlineLevel="0" collapsed="false">
      <c r="A399" s="163" t="s">
        <v>460</v>
      </c>
      <c r="B399" s="393"/>
      <c r="C399" s="162" t="n">
        <f aca="false">C397+C398</f>
        <v>99.194</v>
      </c>
      <c r="D399" s="162" t="n">
        <f aca="false">D397+D398</f>
        <v>940.048</v>
      </c>
      <c r="E399" s="162" t="n">
        <f aca="false">E397+E398</f>
        <v>2070.44</v>
      </c>
      <c r="F399" s="162" t="n">
        <f aca="false">F397+F398</f>
        <v>703.478</v>
      </c>
      <c r="G399" s="162" t="n">
        <f aca="false">G397+G398</f>
        <v>1054.173</v>
      </c>
      <c r="H399" s="163" t="n">
        <f aca="false">H397+H398</f>
        <v>203.4</v>
      </c>
      <c r="I399" s="163" t="n">
        <f aca="false">I397+I398</f>
        <v>198.4</v>
      </c>
      <c r="J399" s="163" t="n">
        <f aca="false">J397+J398</f>
        <v>214.2</v>
      </c>
      <c r="K399" s="163" t="n">
        <f aca="false">K397+K398</f>
        <v>409.206</v>
      </c>
      <c r="L399" s="162" t="n">
        <f aca="false">L397+L398</f>
        <v>1025.206</v>
      </c>
      <c r="M399" s="163" t="n">
        <f aca="false">M397+M398</f>
        <v>337.2</v>
      </c>
      <c r="N399" s="163" t="n">
        <f aca="false">N397+N398</f>
        <v>283.8</v>
      </c>
      <c r="O399" s="163" t="n">
        <f aca="false">O397+O398</f>
        <v>419.8</v>
      </c>
      <c r="P399" s="163" t="n">
        <f aca="false">P397+P398</f>
        <v>984.78</v>
      </c>
      <c r="Q399" s="162" t="n">
        <f aca="false">Q397+Q398</f>
        <v>2025.58</v>
      </c>
      <c r="R399" s="163" t="n">
        <f aca="false">R397+R398</f>
        <v>-5.80000000000001</v>
      </c>
      <c r="S399" s="163" t="n">
        <f aca="false">S397+S398</f>
        <v>481.1</v>
      </c>
      <c r="T399" s="163" t="n">
        <f aca="false">T397+T398</f>
        <v>-2.69999999999993</v>
      </c>
      <c r="U399" s="163" t="n">
        <f aca="false">U397+U398</f>
        <v>1193.3</v>
      </c>
      <c r="V399" s="162" t="n">
        <f aca="false">V397+V398</f>
        <v>1665.9</v>
      </c>
      <c r="W399" s="163" t="n">
        <f aca="false">W397+W398</f>
        <v>-168.4</v>
      </c>
      <c r="X399" s="163" t="n">
        <f aca="false">X397+X398</f>
        <v>530.3</v>
      </c>
      <c r="Y399" s="163" t="n">
        <f aca="false">Y397+Y398</f>
        <v>400</v>
      </c>
      <c r="Z399" s="163" t="n">
        <f aca="false">Z397+Z398</f>
        <v>1036.7</v>
      </c>
      <c r="AA399" s="162" t="n">
        <f aca="false">AA397+AA398</f>
        <v>1798.6</v>
      </c>
      <c r="AB399" s="163" t="n">
        <f aca="false">AB397+AB398</f>
        <v>191</v>
      </c>
      <c r="AC399" s="163" t="n">
        <f aca="false">AC397+AC398</f>
        <v>759.1</v>
      </c>
      <c r="AD399" s="163" t="n">
        <f aca="false">AD397+AD398</f>
        <v>492.2</v>
      </c>
      <c r="AE399" s="163" t="n">
        <f aca="false">AE397+AE398</f>
        <v>1630.4</v>
      </c>
      <c r="AF399" s="162" t="n">
        <f aca="false">AF397+AF398</f>
        <v>3072.7</v>
      </c>
      <c r="AG399" s="163" t="n">
        <f aca="false">AG397+AG398</f>
        <v>-480.8</v>
      </c>
      <c r="AH399" s="163" t="n">
        <f aca="false">AH397+AH398</f>
        <v>99.5</v>
      </c>
      <c r="AI399" s="163" t="n">
        <f aca="false">AI397+AI398</f>
        <v>69.4</v>
      </c>
      <c r="AJ399" s="163" t="n">
        <f aca="false">AJ397+AJ398</f>
        <v>3588.3</v>
      </c>
      <c r="AK399" s="162" t="n">
        <f aca="false">AK397+AK398</f>
        <v>3276.4</v>
      </c>
      <c r="AL399" s="163" t="n">
        <f aca="false">AL397+AL398</f>
        <v>-605.8</v>
      </c>
      <c r="AM399" s="163" t="n">
        <f aca="false">AM397+AM398</f>
        <v>371.9</v>
      </c>
      <c r="AN399" s="163" t="n">
        <f aca="false">AN397+AN398</f>
        <v>191.1</v>
      </c>
      <c r="AO399" s="163" t="n">
        <f aca="false">AO397+AO398</f>
        <v>4670.4</v>
      </c>
      <c r="AP399" s="162" t="n">
        <f aca="false">AP397+AP398</f>
        <v>4627.6</v>
      </c>
      <c r="AQ399" s="163" t="n">
        <f aca="false">AQ397+AQ398</f>
        <v>-941.7</v>
      </c>
      <c r="AR399" s="163" t="n">
        <f aca="false">AR397+AR398</f>
        <v>3568.9</v>
      </c>
      <c r="AS399" s="163" t="n">
        <f aca="false">AS397+AS398</f>
        <v>1801.6</v>
      </c>
      <c r="AT399" s="163" t="n">
        <f aca="false">AT397+AT398</f>
        <v>6417</v>
      </c>
      <c r="AU399" s="162" t="n">
        <f aca="false">AU397+AU398</f>
        <v>10845.8</v>
      </c>
      <c r="AV399" s="163" t="n">
        <f aca="false">AV397+AV398</f>
        <v>-586.1</v>
      </c>
      <c r="AW399" s="163" t="n">
        <f aca="false">AW397+AW398</f>
        <v>2552.9</v>
      </c>
      <c r="AX399" s="163" t="n">
        <f aca="false">AX397+AX398</f>
        <v>1169.5</v>
      </c>
      <c r="AY399" s="163" t="n">
        <f aca="false">AY397+AY398</f>
        <v>5350.5</v>
      </c>
      <c r="AZ399" s="162" t="n">
        <f aca="false">AZ397+AZ398</f>
        <v>8486.8</v>
      </c>
      <c r="BA399" s="163" t="n">
        <f aca="false">BA397+BA398</f>
        <v>733.6</v>
      </c>
      <c r="BB399" s="163" t="n">
        <f aca="false">BB397+BB398</f>
        <v>384.7</v>
      </c>
      <c r="BC399" s="163" t="n">
        <f aca="false">BC397+BC398</f>
        <v>1128.1</v>
      </c>
      <c r="BD399" s="163" t="n">
        <f aca="false">BD397+BD398</f>
        <v>3197</v>
      </c>
      <c r="BE399" s="162" t="n">
        <f aca="false">BE397+BE398</f>
        <v>5443.4</v>
      </c>
      <c r="BF399" s="163" t="n">
        <f aca="false">BF397+BF398</f>
        <v>-251.9</v>
      </c>
      <c r="BG399" s="163" t="n">
        <f aca="false">BG397+BG398</f>
        <v>923.4</v>
      </c>
      <c r="BH399" s="163" t="n">
        <f aca="false">BH397+BH398</f>
        <v>949.9</v>
      </c>
      <c r="BI399" s="163" t="n">
        <f aca="false">BI397+BI398</f>
        <v>9544.8</v>
      </c>
      <c r="BJ399" s="162" t="n">
        <f aca="false">BJ397+BJ398</f>
        <v>11166.2</v>
      </c>
      <c r="BK399" s="163" t="n">
        <f aca="false">BK397+BK398</f>
        <v>-58.6000000000004</v>
      </c>
      <c r="BL399" s="163" t="n">
        <f aca="false">BL397+BL398</f>
        <v>747.700000000001</v>
      </c>
      <c r="BM399" s="163" t="n">
        <f aca="false">BM397+BM398</f>
        <v>559.1</v>
      </c>
      <c r="BN399" s="163" t="n">
        <f aca="false">BN397+BN398</f>
        <v>11410.3</v>
      </c>
      <c r="BO399" s="164" t="n">
        <f aca="false">BO397+BO398</f>
        <v>12658.5</v>
      </c>
      <c r="BP399" s="163" t="n">
        <f aca="false">BP397+BP398</f>
        <v>4732.33331082869</v>
      </c>
      <c r="BQ399" s="163" t="n">
        <f aca="false">BQ397+BQ398</f>
        <v>2935.06153903595</v>
      </c>
      <c r="BR399" s="163" t="n">
        <f aca="false">BR397+BR398</f>
        <v>3017.16388174133</v>
      </c>
      <c r="BS399" s="163" t="n">
        <f aca="false">BS397+BS398</f>
        <v>1880.15160842435</v>
      </c>
      <c r="BT399" s="162" t="n">
        <f aca="false">BT397+BT398</f>
        <v>12564.7103400303</v>
      </c>
      <c r="BU399" s="163" t="n">
        <f aca="false">BU397+BU398</f>
        <v>4954.56435515345</v>
      </c>
      <c r="BV399" s="163" t="n">
        <f aca="false">BV397+BV398</f>
        <v>3210.99838981037</v>
      </c>
      <c r="BW399" s="163" t="n">
        <f aca="false">BW397+BW398</f>
        <v>3196.35289602693</v>
      </c>
      <c r="BX399" s="163" t="n">
        <f aca="false">BX397+BX398</f>
        <v>2207.0371814397</v>
      </c>
      <c r="BY399" s="162" t="n">
        <f aca="false">BY397+BY398</f>
        <v>13568.9528224304</v>
      </c>
      <c r="BZ399" s="162" t="n">
        <f aca="false">BZ397+BZ398</f>
        <v>17120.2624539768</v>
      </c>
      <c r="CA399" s="162" t="n">
        <f aca="false">CA397+CA398</f>
        <v>17066.5783974526</v>
      </c>
      <c r="CB399" s="162" t="n">
        <f aca="false">CB397+CB398</f>
        <v>18091.4160520722</v>
      </c>
      <c r="CC399" s="50"/>
    </row>
    <row r="400" s="445" customFormat="true" ht="15" hidden="true" customHeight="true" outlineLevel="1" collapsed="false">
      <c r="A400" s="475" t="s">
        <v>461</v>
      </c>
      <c r="B400" s="439"/>
      <c r="C400" s="476" t="n">
        <f aca="false">C397/C376</f>
        <v>0.145975058654924</v>
      </c>
      <c r="D400" s="476" t="n">
        <f aca="false">D397/D376</f>
        <v>2.91437989493683</v>
      </c>
      <c r="E400" s="477" t="n">
        <f aca="false">E397/E376</f>
        <v>4.15942552551783</v>
      </c>
      <c r="F400" s="477" t="n">
        <f aca="false">F397/F376</f>
        <v>3.31662162225459</v>
      </c>
      <c r="G400" s="477" t="n">
        <f aca="false">G397/G376</f>
        <v>3.35860060999525</v>
      </c>
      <c r="H400" s="478" t="n">
        <f aca="false">H397/H376</f>
        <v>0.796392333709132</v>
      </c>
      <c r="I400" s="478" t="n">
        <f aca="false">I397/I376</f>
        <v>1.21942934782609</v>
      </c>
      <c r="J400" s="478" t="n">
        <f aca="false">J397/J376</f>
        <v>0.727790432801822</v>
      </c>
      <c r="K400" s="478" t="n">
        <f aca="false">K397/K376</f>
        <v>0.964959926723151</v>
      </c>
      <c r="L400" s="477" t="n">
        <f aca="false">L397/L376</f>
        <v>3.71304068975399</v>
      </c>
      <c r="M400" s="478" t="n">
        <f aca="false">M397/M376</f>
        <v>1.23638869745003</v>
      </c>
      <c r="N400" s="478" t="n">
        <f aca="false">N397/N376</f>
        <v>1.17819271553711</v>
      </c>
      <c r="O400" s="478" t="n">
        <f aca="false">O397/O376</f>
        <v>1.18690724034235</v>
      </c>
      <c r="P400" s="478" t="n">
        <f aca="false">P397/P376</f>
        <v>1.03450557103064</v>
      </c>
      <c r="Q400" s="477" t="n">
        <f aca="false">Q397/Q376</f>
        <v>4.64137951757103</v>
      </c>
      <c r="R400" s="478" t="n">
        <f aca="false">R397/R376</f>
        <v>0.76415753903519</v>
      </c>
      <c r="S400" s="478" t="n">
        <f aca="false">S397/S376</f>
        <v>1.09449003516999</v>
      </c>
      <c r="T400" s="478" t="n">
        <f aca="false">T397/T376</f>
        <v>1.26608736496008</v>
      </c>
      <c r="U400" s="478" t="n">
        <f aca="false">U397/U376</f>
        <v>1.46085740913327</v>
      </c>
      <c r="V400" s="477" t="n">
        <f aca="false">V397/V376</f>
        <v>4.58452186111761</v>
      </c>
      <c r="W400" s="478" t="n">
        <f aca="false">W397/W376</f>
        <v>1.441128845709</v>
      </c>
      <c r="X400" s="478" t="n">
        <f aca="false">X397/X376</f>
        <v>1.43339500462535</v>
      </c>
      <c r="Y400" s="478" t="n">
        <f aca="false">Y397/Y376</f>
        <v>1.64444444444444</v>
      </c>
      <c r="Z400" s="478" t="n">
        <f aca="false">Z397/Z376</f>
        <v>1.82361143388334</v>
      </c>
      <c r="AA400" s="477" t="n">
        <f aca="false">AA397/AA376</f>
        <v>6.34360518999073</v>
      </c>
      <c r="AB400" s="478" t="n">
        <f aca="false">AB397/AB376</f>
        <v>1.73583585917463</v>
      </c>
      <c r="AC400" s="478" t="n">
        <f aca="false">AC397/AC376</f>
        <v>1.79794200187091</v>
      </c>
      <c r="AD400" s="478" t="n">
        <f aca="false">AD397/AD376</f>
        <v>1.91594270955623</v>
      </c>
      <c r="AE400" s="478" t="n">
        <f aca="false">AE397/AE376</f>
        <v>1.89518413597734</v>
      </c>
      <c r="AF400" s="477" t="n">
        <f aca="false">AF397/AF376</f>
        <v>7.34545028142589</v>
      </c>
      <c r="AG400" s="478" t="n">
        <f aca="false">AG397/AG376</f>
        <v>1.08307692307692</v>
      </c>
      <c r="AH400" s="478" t="n">
        <f aca="false">AH397/AH376</f>
        <v>1.34281650071124</v>
      </c>
      <c r="AI400" s="478" t="n">
        <f aca="false">AI397/AI376</f>
        <v>1.91961109793692</v>
      </c>
      <c r="AJ400" s="478" t="n">
        <f aca="false">AJ397/AJ376</f>
        <v>3.16148183329375</v>
      </c>
      <c r="AK400" s="477" t="n">
        <f aca="false">AK397/AK376</f>
        <v>7.50664136622391</v>
      </c>
      <c r="AL400" s="478" t="n">
        <f aca="false">AL397/AL376</f>
        <v>1.21491541577317</v>
      </c>
      <c r="AM400" s="478" t="n">
        <f aca="false">AM397/AM376</f>
        <v>2.10978520286396</v>
      </c>
      <c r="AN400" s="478" t="n">
        <f aca="false">AN397/AN376</f>
        <v>2.63931297709924</v>
      </c>
      <c r="AO400" s="478" t="n">
        <f aca="false">AO397/AO376</f>
        <v>3.81381453154876</v>
      </c>
      <c r="AP400" s="477" t="n">
        <f aca="false">AP397/AP376</f>
        <v>9.77332378907182</v>
      </c>
      <c r="AQ400" s="478" t="n">
        <f aca="false">AQ397/AQ376</f>
        <v>3.4959114959115</v>
      </c>
      <c r="AR400" s="478" t="n">
        <f aca="false">AR397/AR376</f>
        <v>2.89830097087379</v>
      </c>
      <c r="AS400" s="478" t="n">
        <f aca="false">AS397/AS376</f>
        <v>3.75966715614293</v>
      </c>
      <c r="AT400" s="478" t="n">
        <f aca="false">AT397/AT376</f>
        <v>4.36913580246914</v>
      </c>
      <c r="AU400" s="477" t="n">
        <f aca="false">AU397/AU376</f>
        <v>14.5063352826511</v>
      </c>
      <c r="AV400" s="478" t="n">
        <f aca="false">AV397/AV376</f>
        <v>2.02465753424658</v>
      </c>
      <c r="AW400" s="478" t="n">
        <f aca="false">AW397/AW376</f>
        <v>3.80331159056698</v>
      </c>
      <c r="AX400" s="478" t="n">
        <f aca="false">AX397/AX376</f>
        <v>3.98184568835098</v>
      </c>
      <c r="AY400" s="478" t="n">
        <f aca="false">AY397/AY376</f>
        <v>5.40865384615385</v>
      </c>
      <c r="AZ400" s="477" t="n">
        <f aca="false">AZ397/AZ376</f>
        <v>15.1861341371515</v>
      </c>
      <c r="BA400" s="478" t="n">
        <f aca="false">BA397/BA376</f>
        <v>5.56028368794326</v>
      </c>
      <c r="BB400" s="478" t="n">
        <f aca="false">BB397/BB376</f>
        <v>5.63807106598985</v>
      </c>
      <c r="BC400" s="478" t="n">
        <f aca="false">BC397/BC376</f>
        <v>5.18440436880874</v>
      </c>
      <c r="BD400" s="478" t="n">
        <f aca="false">BD397/BD376</f>
        <v>6.72752666328085</v>
      </c>
      <c r="BE400" s="477" t="n">
        <f aca="false">BE397/BE376</f>
        <v>23.1083481349911</v>
      </c>
      <c r="BF400" s="478" t="n">
        <f aca="false">BF397/BF376</f>
        <v>3.92964185928372</v>
      </c>
      <c r="BG400" s="478" t="n">
        <f aca="false">BG397/BG376</f>
        <v>4.89580686149936</v>
      </c>
      <c r="BH400" s="478" t="n">
        <f aca="false">BH397/BH376</f>
        <v>5.92352642276423</v>
      </c>
      <c r="BI400" s="478" t="n">
        <f aca="false">BI397/BI376</f>
        <v>8.40396341463415</v>
      </c>
      <c r="BJ400" s="477" t="n">
        <f aca="false">BJ397/BJ376</f>
        <v>23.1526930894309</v>
      </c>
      <c r="BK400" s="478" t="n">
        <f aca="false">BK397/BK376</f>
        <v>6.98649681528662</v>
      </c>
      <c r="BL400" s="478" t="n">
        <f aca="false">BL397/BL376</f>
        <v>6.84294541709578</v>
      </c>
      <c r="BM400" s="478" t="n">
        <f aca="false">BM397/BM376</f>
        <v>6.35294117647059</v>
      </c>
      <c r="BN400" s="478" t="n">
        <f aca="false">BN397/BN376</f>
        <v>9.7405684754522</v>
      </c>
      <c r="BO400" s="479" t="n">
        <f aca="false">BO397/BO376</f>
        <v>29.9100025713551</v>
      </c>
      <c r="BP400" s="478" t="n">
        <f aca="false">BP397/BP376</f>
        <v>6.80487868761893</v>
      </c>
      <c r="BQ400" s="478" t="n">
        <f aca="false">BQ397/BQ376</f>
        <v>7.88756632796775</v>
      </c>
      <c r="BR400" s="478" t="n">
        <f aca="false">BR397/BR376</f>
        <v>7.48555292335463</v>
      </c>
      <c r="BS400" s="478" t="n">
        <f aca="false">BS397/BS376</f>
        <v>8.21970875918037</v>
      </c>
      <c r="BT400" s="477" t="n">
        <f aca="false">BT397/BT376</f>
        <v>30.3976887978517</v>
      </c>
      <c r="BU400" s="478" t="n">
        <f aca="false">BU397/BU376</f>
        <v>7.07010399662306</v>
      </c>
      <c r="BV400" s="478" t="n">
        <f aca="false">BV397/BV376</f>
        <v>9.27221749520634</v>
      </c>
      <c r="BW400" s="478" t="n">
        <f aca="false">BW397/BW376</f>
        <v>8.70471509546569</v>
      </c>
      <c r="BX400" s="478" t="n">
        <f aca="false">BX397/BX376</f>
        <v>9.07182653477906</v>
      </c>
      <c r="BY400" s="477" t="n">
        <f aca="false">BY397/BY376</f>
        <v>34.1191022677227</v>
      </c>
      <c r="BZ400" s="477" t="n">
        <f aca="false">BZ397/BZ376</f>
        <v>40.420845316182</v>
      </c>
      <c r="CA400" s="477" t="n">
        <f aca="false">CA397/CA376</f>
        <v>42.7717877982712</v>
      </c>
      <c r="CB400" s="477" t="n">
        <f aca="false">CB397/CB376</f>
        <v>45.321083849433</v>
      </c>
      <c r="CC400" s="441"/>
    </row>
    <row r="401" s="445" customFormat="true" ht="15" hidden="false" customHeight="true" outlineLevel="0" collapsed="false">
      <c r="A401" s="475" t="s">
        <v>462</v>
      </c>
      <c r="B401" s="439"/>
      <c r="C401" s="476" t="n">
        <f aca="false">C399/C376</f>
        <v>0.229289321914404</v>
      </c>
      <c r="D401" s="476" t="n">
        <f aca="false">D399/D376</f>
        <v>2.14146623718033</v>
      </c>
      <c r="E401" s="477" t="n">
        <f aca="false">E399/E376</f>
        <v>4.82560429597276</v>
      </c>
      <c r="F401" s="477" t="n">
        <f aca="false">F399/F376</f>
        <v>1.6475434791773</v>
      </c>
      <c r="G401" s="477" t="n">
        <f aca="false">G399/G376</f>
        <v>2.43207458368516</v>
      </c>
      <c r="H401" s="478" t="n">
        <f aca="false">H399/H376</f>
        <v>0.458624577226607</v>
      </c>
      <c r="I401" s="478" t="n">
        <f aca="false">I399/I376</f>
        <v>0.44927536231884</v>
      </c>
      <c r="J401" s="478" t="n">
        <f aca="false">J399/J376</f>
        <v>0.487927107061503</v>
      </c>
      <c r="K401" s="478" t="n">
        <f aca="false">K399/K376</f>
        <v>0.93704144721777</v>
      </c>
      <c r="L401" s="477" t="n">
        <f aca="false">L399/L376</f>
        <v>2.33164048552058</v>
      </c>
      <c r="M401" s="478" t="n">
        <f aca="false">M399/M376</f>
        <v>0.774638180565127</v>
      </c>
      <c r="N401" s="478" t="n">
        <f aca="false">N399/N376</f>
        <v>0.654218533886584</v>
      </c>
      <c r="O401" s="478" t="n">
        <f aca="false">O399/O376</f>
        <v>0.971084894749017</v>
      </c>
      <c r="P401" s="478" t="n">
        <f aca="false">P399/P376</f>
        <v>2.28593314763231</v>
      </c>
      <c r="Q401" s="477" t="n">
        <f aca="false">Q399/Q376</f>
        <v>4.68186314845462</v>
      </c>
      <c r="R401" s="478" t="n">
        <f aca="false">R399/R376</f>
        <v>-0.0135166627825682</v>
      </c>
      <c r="S401" s="478" t="n">
        <f aca="false">S399/S376</f>
        <v>1.12801875732708</v>
      </c>
      <c r="T401" s="478" t="n">
        <f aca="false">T399/T376</f>
        <v>-0.00634100516674479</v>
      </c>
      <c r="U401" s="478" t="n">
        <f aca="false">U399/U376</f>
        <v>2.78028890959926</v>
      </c>
      <c r="V401" s="477" t="n">
        <f aca="false">V399/V376</f>
        <v>3.89501987374328</v>
      </c>
      <c r="W401" s="478" t="n">
        <f aca="false">W399/W376</f>
        <v>-0.389544297941244</v>
      </c>
      <c r="X401" s="478" t="n">
        <f aca="false">X399/X376</f>
        <v>1.22641073080481</v>
      </c>
      <c r="Y401" s="478" t="n">
        <f aca="false">Y399/Y376</f>
        <v>0.925925925925926</v>
      </c>
      <c r="Z401" s="478" t="n">
        <f aca="false">Z399/Z376</f>
        <v>2.40924936091099</v>
      </c>
      <c r="AA401" s="477" t="n">
        <f aca="false">AA399/AA376</f>
        <v>4.16728452270621</v>
      </c>
      <c r="AB401" s="478" t="n">
        <f aca="false">AB399/AB376</f>
        <v>0.445325250641175</v>
      </c>
      <c r="AC401" s="478" t="n">
        <f aca="false">AC399/AC376</f>
        <v>1.77525724976614</v>
      </c>
      <c r="AD401" s="478" t="n">
        <f aca="false">AD399/AD376</f>
        <v>1.15567034515144</v>
      </c>
      <c r="AE401" s="478" t="n">
        <f aca="false">AE399/AE376</f>
        <v>3.84891406987724</v>
      </c>
      <c r="AF401" s="477" t="n">
        <f aca="false">AF399/AF376</f>
        <v>7.20614446529081</v>
      </c>
      <c r="AG401" s="478" t="n">
        <f aca="false">AG399/AG376</f>
        <v>-1.13798816568047</v>
      </c>
      <c r="AH401" s="478" t="n">
        <f aca="false">AH399/AH376</f>
        <v>0.235893788525367</v>
      </c>
      <c r="AI401" s="478" t="n">
        <f aca="false">AI399/AI376</f>
        <v>0.16457197059521</v>
      </c>
      <c r="AJ401" s="478" t="n">
        <f aca="false">AJ399/AJ376</f>
        <v>8.52125385894087</v>
      </c>
      <c r="AK401" s="477" t="n">
        <f aca="false">AK399/AK376</f>
        <v>7.77134724857685</v>
      </c>
      <c r="AL401" s="478" t="n">
        <f aca="false">AL399/AL376</f>
        <v>-1.44341196092447</v>
      </c>
      <c r="AM401" s="478" t="n">
        <f aca="false">AM399/AM376</f>
        <v>0.887589498806683</v>
      </c>
      <c r="AN401" s="478" t="n">
        <f aca="false">AN399/AN376</f>
        <v>0.455868320610687</v>
      </c>
      <c r="AO401" s="478" t="n">
        <f aca="false">AO399/AO376</f>
        <v>11.1625239005736</v>
      </c>
      <c r="AP401" s="477" t="n">
        <f aca="false">AP399/AP376</f>
        <v>11.0417561441183</v>
      </c>
      <c r="AQ401" s="478" t="n">
        <f aca="false">AQ399/AQ376</f>
        <v>-2.26479076479077</v>
      </c>
      <c r="AR401" s="478" t="n">
        <f aca="false">AR399/AR376</f>
        <v>8.6623786407767</v>
      </c>
      <c r="AS401" s="478" t="n">
        <f aca="false">AS399/AS376</f>
        <v>4.40920215369555</v>
      </c>
      <c r="AT401" s="478" t="n">
        <f aca="false">AT399/AT376</f>
        <v>15.8444444444444</v>
      </c>
      <c r="AU401" s="477" t="n">
        <f aca="false">AU399/AU376</f>
        <v>26.42738791423</v>
      </c>
      <c r="AV401" s="478" t="n">
        <f aca="false">AV399/AV376</f>
        <v>-1.45977584059776</v>
      </c>
      <c r="AW401" s="478" t="n">
        <f aca="false">AW399/AW376</f>
        <v>6.40466633216257</v>
      </c>
      <c r="AX401" s="478" t="n">
        <f aca="false">AX399/AX376</f>
        <v>2.94881492687847</v>
      </c>
      <c r="AY401" s="478" t="n">
        <f aca="false">AY399/AY376</f>
        <v>13.5387145748988</v>
      </c>
      <c r="AZ401" s="477" t="n">
        <f aca="false">AZ399/AZ376</f>
        <v>21.3182617432806</v>
      </c>
      <c r="BA401" s="478" t="n">
        <f aca="false">BA399/BA376</f>
        <v>1.85815602836879</v>
      </c>
      <c r="BB401" s="478" t="n">
        <f aca="false">BB399/BB376</f>
        <v>0.976395939086294</v>
      </c>
      <c r="BC401" s="478" t="n">
        <f aca="false">BC399/BC376</f>
        <v>2.86537973075946</v>
      </c>
      <c r="BD401" s="478" t="n">
        <f aca="false">BD399/BD376</f>
        <v>8.1183341797867</v>
      </c>
      <c r="BE401" s="477" t="n">
        <f aca="false">BE399/BE376</f>
        <v>13.812230398376</v>
      </c>
      <c r="BF401" s="478" t="n">
        <f aca="false">BF399/BF376</f>
        <v>-0.63982727965456</v>
      </c>
      <c r="BG401" s="478" t="n">
        <f aca="false">BG399/BG376</f>
        <v>2.34663278271919</v>
      </c>
      <c r="BH401" s="478" t="n">
        <f aca="false">BH399/BH376</f>
        <v>2.41336382113821</v>
      </c>
      <c r="BI401" s="478" t="n">
        <f aca="false">BI399/BI376</f>
        <v>24.25</v>
      </c>
      <c r="BJ401" s="477" t="n">
        <f aca="false">BJ399/BJ376</f>
        <v>28.3694105691057</v>
      </c>
      <c r="BK401" s="478" t="n">
        <f aca="false">BK399/BK376</f>
        <v>-0.149299363057326</v>
      </c>
      <c r="BL401" s="478" t="n">
        <f aca="false">BL399/BL376</f>
        <v>1.92507723995881</v>
      </c>
      <c r="BM401" s="478" t="n">
        <f aca="false">BM399/BM376</f>
        <v>1.44246646026832</v>
      </c>
      <c r="BN401" s="478" t="n">
        <f aca="false">BN399/BN376</f>
        <v>29.4839793281654</v>
      </c>
      <c r="BO401" s="479" t="n">
        <f aca="false">BO399/BO376</f>
        <v>32.5494985857547</v>
      </c>
      <c r="BP401" s="478" t="n">
        <f aca="false">BP399/BP376</f>
        <v>12.1679596340941</v>
      </c>
      <c r="BQ401" s="478" t="n">
        <f aca="false">BQ399/BQ376</f>
        <v>7.54796691180552</v>
      </c>
      <c r="BR401" s="478" t="n">
        <f aca="false">BR399/BR376</f>
        <v>7.75833001333073</v>
      </c>
      <c r="BS401" s="478" t="n">
        <f aca="false">BS399/BS376</f>
        <v>4.83413519686618</v>
      </c>
      <c r="BT401" s="477" t="n">
        <f aca="false">BT399/BT376</f>
        <v>32.3083719008958</v>
      </c>
      <c r="BU401" s="478" t="n">
        <f aca="false">BU399/BU376</f>
        <v>12.7376106071301</v>
      </c>
      <c r="BV401" s="478" t="n">
        <f aca="false">BV399/BV376</f>
        <v>8.25427920241605</v>
      </c>
      <c r="BW401" s="478" t="n">
        <f aca="false">BW399/BW376</f>
        <v>8.21580951951257</v>
      </c>
      <c r="BX401" s="478" t="n">
        <f aca="false">BX399/BX376</f>
        <v>5.67233487557847</v>
      </c>
      <c r="BY401" s="477" t="n">
        <f aca="false">BY399/BY376</f>
        <v>34.8789391091685</v>
      </c>
      <c r="BZ401" s="477" t="n">
        <f aca="false">BZ399/BZ376</f>
        <v>43.9900106748559</v>
      </c>
      <c r="CA401" s="477" t="n">
        <f aca="false">CA399/CA376</f>
        <v>43.8345372561699</v>
      </c>
      <c r="CB401" s="477" t="n">
        <f aca="false">CB399/CB376</f>
        <v>46.4481952846068</v>
      </c>
      <c r="CC401" s="441"/>
    </row>
    <row r="402" s="453" customFormat="true" ht="15" hidden="false" customHeight="true" outlineLevel="0" collapsed="false">
      <c r="A402" s="446" t="s">
        <v>463</v>
      </c>
      <c r="B402" s="447"/>
      <c r="C402" s="448"/>
      <c r="D402" s="448"/>
      <c r="E402" s="448"/>
      <c r="F402" s="448"/>
      <c r="G402" s="448"/>
      <c r="H402" s="449"/>
      <c r="I402" s="449"/>
      <c r="J402" s="449"/>
      <c r="K402" s="449"/>
      <c r="L402" s="448"/>
      <c r="M402" s="449"/>
      <c r="N402" s="449"/>
      <c r="O402" s="449"/>
      <c r="P402" s="449"/>
      <c r="Q402" s="448"/>
      <c r="R402" s="449"/>
      <c r="S402" s="480"/>
      <c r="T402" s="449"/>
      <c r="U402" s="449"/>
      <c r="V402" s="448"/>
      <c r="W402" s="449"/>
      <c r="X402" s="480"/>
      <c r="Y402" s="449"/>
      <c r="Z402" s="449"/>
      <c r="AA402" s="448"/>
      <c r="AB402" s="449"/>
      <c r="AC402" s="480"/>
      <c r="AD402" s="449"/>
      <c r="AE402" s="449"/>
      <c r="AF402" s="448"/>
      <c r="AG402" s="449"/>
      <c r="AH402" s="480"/>
      <c r="AI402" s="449"/>
      <c r="AJ402" s="449"/>
      <c r="AK402" s="448"/>
      <c r="AL402" s="449"/>
      <c r="AM402" s="480"/>
      <c r="AN402" s="449"/>
      <c r="AO402" s="449"/>
      <c r="AP402" s="448"/>
      <c r="AQ402" s="449"/>
      <c r="AR402" s="480"/>
      <c r="AS402" s="449"/>
      <c r="AT402" s="449"/>
      <c r="AU402" s="448"/>
      <c r="AV402" s="449"/>
      <c r="AW402" s="480"/>
      <c r="AX402" s="449"/>
      <c r="AY402" s="449"/>
      <c r="AZ402" s="448"/>
      <c r="BA402" s="449"/>
      <c r="BB402" s="480"/>
      <c r="BC402" s="449"/>
      <c r="BD402" s="449"/>
      <c r="BE402" s="448"/>
      <c r="BF402" s="449"/>
      <c r="BG402" s="480"/>
      <c r="BH402" s="449"/>
      <c r="BI402" s="449"/>
      <c r="BJ402" s="448"/>
      <c r="BK402" s="449"/>
      <c r="BL402" s="480"/>
      <c r="BM402" s="449"/>
      <c r="BN402" s="449"/>
      <c r="BO402" s="450"/>
      <c r="BP402" s="451" t="str">
        <f aca="true">IFERROR(VLOOKUP($A402,tb_ConsensusEstimate,MATCH(BP$5,OFFSET(tb_ConsensusEstimate,0,0,1,COLUMNS(tb_ConsensusEstimate)),0),FALSE()),"-")</f>
        <v>N/A</v>
      </c>
      <c r="BQ402" s="451" t="str">
        <f aca="true">IFERROR(VLOOKUP($A402,tb_ConsensusEstimate,MATCH(BQ$5,OFFSET(tb_ConsensusEstimate,0,0,1,COLUMNS(tb_ConsensusEstimate)),0),FALSE()),"-")</f>
        <v>N/A</v>
      </c>
      <c r="BR402" s="451" t="str">
        <f aca="true">IFERROR(VLOOKUP($A402,tb_ConsensusEstimate,MATCH(BR$5,OFFSET(tb_ConsensusEstimate,0,0,1,COLUMNS(tb_ConsensusEstimate)),0),FALSE()),"-")</f>
        <v>N/A</v>
      </c>
      <c r="BS402" s="451" t="str">
        <f aca="true">IFERROR(VLOOKUP($A402,tb_ConsensusEstimate,MATCH(BS$5,OFFSET(tb_ConsensusEstimate,0,0,1,COLUMNS(tb_ConsensusEstimate)),0),FALSE()),"-")</f>
        <v>N/A</v>
      </c>
      <c r="BT402" s="452" t="str">
        <f aca="true">IFERROR(VLOOKUP($A402,tb_ConsensusEstimate,MATCH(BT$5,OFFSET(tb_ConsensusEstimate,0,0,1,COLUMNS(tb_ConsensusEstimate)),0),FALSE()),"-")</f>
        <v>N/A</v>
      </c>
      <c r="BU402" s="451" t="str">
        <f aca="true">IFERROR(VLOOKUP($A402,tb_ConsensusEstimate,MATCH(BU$5,OFFSET(tb_ConsensusEstimate,0,0,1,COLUMNS(tb_ConsensusEstimate)),0),FALSE()),"-")</f>
        <v>N/A</v>
      </c>
      <c r="BV402" s="451" t="str">
        <f aca="true">IFERROR(VLOOKUP($A402,tb_ConsensusEstimate,MATCH(BV$5,OFFSET(tb_ConsensusEstimate,0,0,1,COLUMNS(tb_ConsensusEstimate)),0),FALSE()),"-")</f>
        <v>N/A</v>
      </c>
      <c r="BW402" s="451" t="str">
        <f aca="true">IFERROR(VLOOKUP($A402,tb_ConsensusEstimate,MATCH(BW$5,OFFSET(tb_ConsensusEstimate,0,0,1,COLUMNS(tb_ConsensusEstimate)),0),FALSE()),"-")</f>
        <v>N/A</v>
      </c>
      <c r="BX402" s="451" t="str">
        <f aca="true">IFERROR(VLOOKUP($A402,tb_ConsensusEstimate,MATCH(BX$5,OFFSET(tb_ConsensusEstimate,0,0,1,COLUMNS(tb_ConsensusEstimate)),0),FALSE()),"-")</f>
        <v>N/A</v>
      </c>
      <c r="BY402" s="452" t="str">
        <f aca="true">IFERROR(VLOOKUP($A402,tb_ConsensusEstimate,MATCH(BY$5,OFFSET(tb_ConsensusEstimate,0,0,1,COLUMNS(tb_ConsensusEstimate)),0),FALSE()),"-")</f>
        <v>N/A</v>
      </c>
      <c r="BZ402" s="452" t="str">
        <f aca="true">IFERROR(VLOOKUP($A402,tb_ConsensusEstimate,MATCH(BZ$5,OFFSET(tb_ConsensusEstimate,0,0,1,COLUMNS(tb_ConsensusEstimate)),0),FALSE()),"-")</f>
        <v>N/A</v>
      </c>
      <c r="CA402" s="452" t="str">
        <f aca="true">IFERROR(VLOOKUP($A402,tb_ConsensusEstimate,MATCH(CA$5,OFFSET(tb_ConsensusEstimate,0,0,1,COLUMNS(tb_ConsensusEstimate)),0),FALSE()),"-")</f>
        <v>N/A</v>
      </c>
      <c r="CB402" s="452" t="str">
        <f aca="true">IFERROR(VLOOKUP($A402,tb_ConsensusEstimate,MATCH(CB$5,OFFSET(tb_ConsensusEstimate,0,0,1,COLUMNS(tb_ConsensusEstimate)),0),FALSE()),"-")</f>
        <v>N/A</v>
      </c>
      <c r="CC402" s="449"/>
    </row>
    <row r="403" s="157" customFormat="true" ht="15" hidden="false" customHeight="true" outlineLevel="0" collapsed="false">
      <c r="A403" s="268" t="s">
        <v>464</v>
      </c>
      <c r="B403" s="266"/>
      <c r="C403" s="267" t="n">
        <f aca="false">C549+C550</f>
        <v>-104.959</v>
      </c>
      <c r="D403" s="267" t="n">
        <f aca="false">D549+D550</f>
        <v>-128.728</v>
      </c>
      <c r="E403" s="267" t="n">
        <f aca="false">E549+E550</f>
        <v>-300.898</v>
      </c>
      <c r="F403" s="267" t="n">
        <f aca="false">F549+F550</f>
        <v>-179.536</v>
      </c>
      <c r="G403" s="267" t="n">
        <f aca="false">G549+G550</f>
        <v>-214.804</v>
      </c>
      <c r="H403" s="268" t="n">
        <f aca="false">H549+H550</f>
        <v>-75.5</v>
      </c>
      <c r="I403" s="268" t="n">
        <f aca="false">I549+I550</f>
        <v>-73.7</v>
      </c>
      <c r="J403" s="268" t="n">
        <f aca="false">J549+J550</f>
        <v>-84.2</v>
      </c>
      <c r="K403" s="268" t="n">
        <f aca="false">K549+K550</f>
        <v>-127.832</v>
      </c>
      <c r="L403" s="267" t="n">
        <f aca="false">L549+L550</f>
        <v>-361.232</v>
      </c>
      <c r="M403" s="268" t="n">
        <f aca="false">M549+M550</f>
        <v>-86.7</v>
      </c>
      <c r="N403" s="268" t="n">
        <f aca="false">N549+N550</f>
        <v>-79.2</v>
      </c>
      <c r="O403" s="268" t="n">
        <f aca="false">O549+O550</f>
        <v>-86.5</v>
      </c>
      <c r="P403" s="268" t="n">
        <f aca="false">P549+P550</f>
        <v>-120.478</v>
      </c>
      <c r="Q403" s="267" t="n">
        <f aca="false">Q549+Q550</f>
        <v>-372.878</v>
      </c>
      <c r="R403" s="268" t="n">
        <f aca="false">R549+R550</f>
        <v>-58.8</v>
      </c>
      <c r="S403" s="268" t="n">
        <f aca="false">S549+S550</f>
        <v>-100.2</v>
      </c>
      <c r="T403" s="268" t="n">
        <f aca="false">T549+T550</f>
        <v>-68.9</v>
      </c>
      <c r="U403" s="268" t="n">
        <f aca="false">U549+U550</f>
        <v>-96.8</v>
      </c>
      <c r="V403" s="267" t="n">
        <f aca="false">V549+V550</f>
        <v>-324.7</v>
      </c>
      <c r="W403" s="268" t="n">
        <f aca="false">W549+W550</f>
        <v>-43.8</v>
      </c>
      <c r="X403" s="268" t="n">
        <f aca="false">X549+X550</f>
        <v>-61.3</v>
      </c>
      <c r="Y403" s="268" t="n">
        <f aca="false">Y549+Y550</f>
        <v>-97.8</v>
      </c>
      <c r="Z403" s="268" t="n">
        <f aca="false">Z549+Z550</f>
        <v>-155.1</v>
      </c>
      <c r="AA403" s="267" t="n">
        <f aca="false">AA549+AA550</f>
        <v>-358</v>
      </c>
      <c r="AB403" s="268" t="n">
        <f aca="false">AB549+AB550</f>
        <v>-135.3</v>
      </c>
      <c r="AC403" s="268" t="n">
        <f aca="false">AC549+AC550</f>
        <v>-135.4</v>
      </c>
      <c r="AD403" s="268" t="n">
        <f aca="false">AD549+AD550</f>
        <v>-134.3</v>
      </c>
      <c r="AE403" s="268" t="n">
        <f aca="false">AE549+AE550</f>
        <v>-204.5</v>
      </c>
      <c r="AF403" s="267" t="n">
        <f aca="false">AF549+AF550</f>
        <v>-609.5</v>
      </c>
      <c r="AG403" s="268" t="n">
        <f aca="false">AG549+AG550</f>
        <v>-233.7</v>
      </c>
      <c r="AH403" s="268" t="n">
        <f aca="false">AH549+AH550</f>
        <v>-140</v>
      </c>
      <c r="AI403" s="268" t="n">
        <f aca="false">AI549+AI550</f>
        <v>-197</v>
      </c>
      <c r="AJ403" s="268" t="n">
        <f aca="false">AJ549+AJ550</f>
        <v>-315.2</v>
      </c>
      <c r="AK403" s="267" t="n">
        <f aca="false">AK549+AK550</f>
        <v>-885.9</v>
      </c>
      <c r="AL403" s="268" t="n">
        <f aca="false">AL549+AL550</f>
        <v>-242.3</v>
      </c>
      <c r="AM403" s="268" t="n">
        <f aca="false">AM549+AM550</f>
        <v>-231.8</v>
      </c>
      <c r="AN403" s="268" t="n">
        <f aca="false">AN549+AN550</f>
        <v>-221.6</v>
      </c>
      <c r="AO403" s="268" t="n">
        <f aca="false">AO549+AO550</f>
        <v>-305.1</v>
      </c>
      <c r="AP403" s="267" t="n">
        <f aca="false">AP549+AP550</f>
        <v>-1000.8</v>
      </c>
      <c r="AQ403" s="268" t="n">
        <f aca="false">AQ549+AQ550</f>
        <v>-197.3</v>
      </c>
      <c r="AR403" s="268" t="n">
        <f aca="false">AR549+AR550</f>
        <v>-247.4</v>
      </c>
      <c r="AS403" s="268" t="n">
        <f aca="false">AS549+AS550</f>
        <v>-205</v>
      </c>
      <c r="AT403" s="268" t="n">
        <f aca="false">AT549+AT550</f>
        <v>-290.6</v>
      </c>
      <c r="AU403" s="267" t="n">
        <f aca="false">AU549+AU550</f>
        <v>-940.3</v>
      </c>
      <c r="AV403" s="268" t="n">
        <f aca="false">AV549+AV550</f>
        <v>-251.6</v>
      </c>
      <c r="AW403" s="268" t="n">
        <f aca="false">AW549+AW550</f>
        <v>-237.5</v>
      </c>
      <c r="AX403" s="268" t="n">
        <f aca="false">AX549+AX550</f>
        <v>-364.3</v>
      </c>
      <c r="AY403" s="268" t="n">
        <f aca="false">AY549+AY550</f>
        <v>-465.9</v>
      </c>
      <c r="AZ403" s="267" t="n">
        <f aca="false">AZ549+AZ550</f>
        <v>-1319.3</v>
      </c>
      <c r="BA403" s="268" t="n">
        <f aca="false">BA549+BA550</f>
        <v>-539.4</v>
      </c>
      <c r="BB403" s="268" t="n">
        <f aca="false">BB549+BB550</f>
        <v>-544.4</v>
      </c>
      <c r="BC403" s="268" t="n">
        <f aca="false">BC549+BC550</f>
        <v>-510.1</v>
      </c>
      <c r="BD403" s="268" t="n">
        <f aca="false">BD549+BD550</f>
        <v>-602.3</v>
      </c>
      <c r="BE403" s="267" t="n">
        <f aca="false">BE549+BE550</f>
        <v>-2196.2</v>
      </c>
      <c r="BF403" s="268" t="n">
        <f aca="false">BF549+BF550</f>
        <v>-423.8</v>
      </c>
      <c r="BG403" s="268" t="n">
        <f aca="false">BG549+BG550</f>
        <v>-538</v>
      </c>
      <c r="BH403" s="268" t="n">
        <f aca="false">BH549+BH550</f>
        <v>-415.8</v>
      </c>
      <c r="BI403" s="268" t="n">
        <f aca="false">BI549+BI550</f>
        <v>-705.5</v>
      </c>
      <c r="BJ403" s="267" t="n">
        <f aca="false">BJ549+BJ550</f>
        <v>-2083.1</v>
      </c>
      <c r="BK403" s="268" t="n">
        <f aca="false">BK549+BK550</f>
        <v>-416.5</v>
      </c>
      <c r="BL403" s="268" t="n">
        <f aca="false">BL549+BL550</f>
        <v>-428.9</v>
      </c>
      <c r="BM403" s="268" t="n">
        <f aca="false">BM549+BM550</f>
        <v>-315.4</v>
      </c>
      <c r="BN403" s="268" t="n">
        <f aca="false">BN549+BN550</f>
        <v>-470.4</v>
      </c>
      <c r="BO403" s="269" t="n">
        <f aca="false">BO549+BO550</f>
        <v>-1631.2</v>
      </c>
      <c r="BP403" s="481" t="n">
        <v>-130.75</v>
      </c>
      <c r="BQ403" s="481" t="n">
        <v>-130.75</v>
      </c>
      <c r="BR403" s="481" t="n">
        <v>-130.75</v>
      </c>
      <c r="BS403" s="481" t="n">
        <v>-130.75</v>
      </c>
      <c r="BT403" s="267" t="n">
        <f aca="false">BT549+BT550</f>
        <v>-523</v>
      </c>
      <c r="BU403" s="481" t="n">
        <v>-130.75</v>
      </c>
      <c r="BV403" s="481" t="n">
        <v>-130.75</v>
      </c>
      <c r="BW403" s="481" t="n">
        <v>-130.75</v>
      </c>
      <c r="BX403" s="481" t="n">
        <v>-130.75</v>
      </c>
      <c r="BY403" s="267" t="n">
        <f aca="false">BY549+BY550</f>
        <v>-523</v>
      </c>
      <c r="BZ403" s="482" t="n">
        <v>-600</v>
      </c>
      <c r="CA403" s="482" t="n">
        <v>-600</v>
      </c>
      <c r="CB403" s="482" t="n">
        <v>-600</v>
      </c>
      <c r="CC403" s="156"/>
    </row>
    <row r="404" s="423" customFormat="true" ht="15" hidden="false" customHeight="true" outlineLevel="0" collapsed="false">
      <c r="A404" s="210" t="str">
        <f aca="false">CONCATENATE("Consensus Estimates - ",IFERROR(LEFT(A403,FIND("(",A403)-1),A403))</f>
        <v>Consensus Estimates - Capex</v>
      </c>
      <c r="B404" s="419"/>
      <c r="C404" s="420"/>
      <c r="D404" s="420"/>
      <c r="E404" s="420"/>
      <c r="F404" s="420"/>
      <c r="G404" s="420"/>
      <c r="H404" s="421"/>
      <c r="I404" s="421"/>
      <c r="J404" s="421"/>
      <c r="K404" s="421"/>
      <c r="L404" s="420"/>
      <c r="M404" s="421"/>
      <c r="N404" s="421"/>
      <c r="O404" s="421"/>
      <c r="P404" s="421"/>
      <c r="Q404" s="420"/>
      <c r="R404" s="421"/>
      <c r="S404" s="421"/>
      <c r="T404" s="421"/>
      <c r="U404" s="421"/>
      <c r="V404" s="420"/>
      <c r="W404" s="421"/>
      <c r="X404" s="421"/>
      <c r="Y404" s="421"/>
      <c r="Z404" s="421"/>
      <c r="AA404" s="420"/>
      <c r="AB404" s="421"/>
      <c r="AC404" s="421"/>
      <c r="AD404" s="421"/>
      <c r="AE404" s="421"/>
      <c r="AF404" s="420"/>
      <c r="AG404" s="421"/>
      <c r="AH404" s="421"/>
      <c r="AI404" s="421"/>
      <c r="AJ404" s="421"/>
      <c r="AK404" s="420"/>
      <c r="AL404" s="421"/>
      <c r="AM404" s="421"/>
      <c r="AN404" s="421"/>
      <c r="AO404" s="421"/>
      <c r="AP404" s="420"/>
      <c r="AQ404" s="421"/>
      <c r="AR404" s="421"/>
      <c r="AS404" s="421"/>
      <c r="AT404" s="421"/>
      <c r="AU404" s="420"/>
      <c r="AV404" s="421"/>
      <c r="AW404" s="421"/>
      <c r="AX404" s="421"/>
      <c r="AY404" s="421"/>
      <c r="AZ404" s="420"/>
      <c r="BA404" s="421"/>
      <c r="BB404" s="421"/>
      <c r="BC404" s="421"/>
      <c r="BD404" s="421"/>
      <c r="BE404" s="420"/>
      <c r="BF404" s="421"/>
      <c r="BG404" s="421"/>
      <c r="BH404" s="421"/>
      <c r="BI404" s="421"/>
      <c r="BJ404" s="420"/>
      <c r="BK404" s="421"/>
      <c r="BL404" s="421"/>
      <c r="BM404" s="421"/>
      <c r="BN404" s="421"/>
      <c r="BO404" s="422"/>
      <c r="BP404" s="247" t="str">
        <f aca="true">IFERROR(VLOOKUP($A404,tb_ConsensusEstimate,MATCH(BP$5,OFFSET(tb_ConsensusEstimate,0,0,1,COLUMNS(tb_ConsensusEstimate)),0),FALSE()),"-")</f>
        <v>N/A</v>
      </c>
      <c r="BQ404" s="247" t="str">
        <f aca="true">IFERROR(VLOOKUP($A404,tb_ConsensusEstimate,MATCH(BQ$5,OFFSET(tb_ConsensusEstimate,0,0,1,COLUMNS(tb_ConsensusEstimate)),0),FALSE()),"-")</f>
        <v>N/A</v>
      </c>
      <c r="BR404" s="247" t="str">
        <f aca="true">IFERROR(VLOOKUP($A404,tb_ConsensusEstimate,MATCH(BR$5,OFFSET(tb_ConsensusEstimate,0,0,1,COLUMNS(tb_ConsensusEstimate)),0),FALSE()),"-")</f>
        <v>N/A</v>
      </c>
      <c r="BS404" s="247" t="str">
        <f aca="true">IFERROR(VLOOKUP($A404,tb_ConsensusEstimate,MATCH(BS$5,OFFSET(tb_ConsensusEstimate,0,0,1,COLUMNS(tb_ConsensusEstimate)),0),FALSE()),"-")</f>
        <v>N/A</v>
      </c>
      <c r="BT404" s="246" t="str">
        <f aca="true">IFERROR(VLOOKUP($A404,tb_ConsensusEstimate,MATCH(BT$5,OFFSET(tb_ConsensusEstimate,0,0,1,COLUMNS(tb_ConsensusEstimate)),0),FALSE()),"-")</f>
        <v>N/A</v>
      </c>
      <c r="BU404" s="247" t="str">
        <f aca="true">IFERROR(VLOOKUP($A404,tb_ConsensusEstimate,MATCH(BU$5,OFFSET(tb_ConsensusEstimate,0,0,1,COLUMNS(tb_ConsensusEstimate)),0),FALSE()),"-")</f>
        <v>N/A</v>
      </c>
      <c r="BV404" s="247" t="str">
        <f aca="true">IFERROR(VLOOKUP($A404,tb_ConsensusEstimate,MATCH(BV$5,OFFSET(tb_ConsensusEstimate,0,0,1,COLUMNS(tb_ConsensusEstimate)),0),FALSE()),"-")</f>
        <v>N/A</v>
      </c>
      <c r="BW404" s="247" t="str">
        <f aca="true">IFERROR(VLOOKUP($A404,tb_ConsensusEstimate,MATCH(BW$5,OFFSET(tb_ConsensusEstimate,0,0,1,COLUMNS(tb_ConsensusEstimate)),0),FALSE()),"-")</f>
        <v>N/A</v>
      </c>
      <c r="BX404" s="247" t="str">
        <f aca="true">IFERROR(VLOOKUP($A404,tb_ConsensusEstimate,MATCH(BX$5,OFFSET(tb_ConsensusEstimate,0,0,1,COLUMNS(tb_ConsensusEstimate)),0),FALSE()),"-")</f>
        <v>N/A</v>
      </c>
      <c r="BY404" s="246" t="str">
        <f aca="true">IFERROR(VLOOKUP($A404,tb_ConsensusEstimate,MATCH(BY$5,OFFSET(tb_ConsensusEstimate,0,0,1,COLUMNS(tb_ConsensusEstimate)),0),FALSE()),"-")</f>
        <v>N/A</v>
      </c>
      <c r="BZ404" s="246" t="str">
        <f aca="true">IFERROR(VLOOKUP($A404,tb_ConsensusEstimate,MATCH(BZ$5,OFFSET(tb_ConsensusEstimate,0,0,1,COLUMNS(tb_ConsensusEstimate)),0),FALSE()),"-")</f>
        <v>N/A</v>
      </c>
      <c r="CA404" s="246" t="str">
        <f aca="true">IFERROR(VLOOKUP($A404,tb_ConsensusEstimate,MATCH(CA$5,OFFSET(tb_ConsensusEstimate,0,0,1,COLUMNS(tb_ConsensusEstimate)),0),FALSE()),"-")</f>
        <v>N/A</v>
      </c>
      <c r="CB404" s="246" t="str">
        <f aca="true">IFERROR(VLOOKUP($A404,tb_ConsensusEstimate,MATCH(CB$5,OFFSET(tb_ConsensusEstimate,0,0,1,COLUMNS(tb_ConsensusEstimate)),0),FALSE()),"-")</f>
        <v>N/A</v>
      </c>
      <c r="CC404" s="421"/>
    </row>
    <row r="405" s="51" customFormat="true" ht="15" hidden="false" customHeight="true" outlineLevel="0" collapsed="false">
      <c r="A405" s="48" t="s">
        <v>465</v>
      </c>
      <c r="B405" s="254"/>
      <c r="C405" s="159" t="n">
        <f aca="false">C559</f>
        <v>0</v>
      </c>
      <c r="D405" s="159" t="n">
        <f aca="false">D559</f>
        <v>0</v>
      </c>
      <c r="E405" s="159" t="n">
        <f aca="false">E559</f>
        <v>0</v>
      </c>
      <c r="F405" s="159" t="n">
        <f aca="false">F559</f>
        <v>-10.292</v>
      </c>
      <c r="G405" s="159" t="n">
        <f aca="false">G559</f>
        <v>-443.712</v>
      </c>
      <c r="H405" s="48" t="n">
        <f aca="false">H559</f>
        <v>0</v>
      </c>
      <c r="I405" s="48" t="n">
        <f aca="false">I559</f>
        <v>0</v>
      </c>
      <c r="J405" s="48" t="n">
        <f aca="false">J559</f>
        <v>0</v>
      </c>
      <c r="K405" s="48" t="n">
        <f aca="false">K559</f>
        <v>0</v>
      </c>
      <c r="L405" s="159" t="n">
        <f aca="false">L559</f>
        <v>0</v>
      </c>
      <c r="M405" s="48" t="n">
        <f aca="false">M559</f>
        <v>0</v>
      </c>
      <c r="N405" s="48" t="n">
        <f aca="false">N559</f>
        <v>0</v>
      </c>
      <c r="O405" s="48" t="n">
        <f aca="false">O559</f>
        <v>0</v>
      </c>
      <c r="P405" s="48" t="n">
        <f aca="false">P559</f>
        <v>0</v>
      </c>
      <c r="Q405" s="159" t="n">
        <f aca="false">Q559</f>
        <v>0</v>
      </c>
      <c r="R405" s="48" t="n">
        <f aca="false">R559</f>
        <v>0</v>
      </c>
      <c r="S405" s="48" t="n">
        <f aca="false">S559</f>
        <v>0</v>
      </c>
      <c r="T405" s="48" t="n">
        <f aca="false">T559</f>
        <v>0</v>
      </c>
      <c r="U405" s="48" t="n">
        <f aca="false">U559</f>
        <v>-2641.3</v>
      </c>
      <c r="V405" s="159" t="n">
        <f aca="false">V559</f>
        <v>-2641.3</v>
      </c>
      <c r="W405" s="48" t="n">
        <f aca="false">W559</f>
        <v>0</v>
      </c>
      <c r="X405" s="48" t="n">
        <f aca="false">X559</f>
        <v>0</v>
      </c>
      <c r="Y405" s="48" t="n">
        <f aca="false">Y559</f>
        <v>0</v>
      </c>
      <c r="Z405" s="48" t="n">
        <f aca="false">Z559</f>
        <v>0</v>
      </c>
      <c r="AA405" s="159" t="n">
        <f aca="false">AA559</f>
        <v>0</v>
      </c>
      <c r="AB405" s="48" t="n">
        <f aca="false">AB559</f>
        <v>0</v>
      </c>
      <c r="AC405" s="48" t="n">
        <f aca="false">AC559</f>
        <v>0</v>
      </c>
      <c r="AD405" s="48" t="n">
        <f aca="false">AD559</f>
        <v>0</v>
      </c>
      <c r="AE405" s="48" t="n">
        <f aca="false">AE559</f>
        <v>0</v>
      </c>
      <c r="AF405" s="159" t="n">
        <f aca="false">AF559</f>
        <v>0</v>
      </c>
      <c r="AG405" s="48" t="n">
        <f aca="false">AG559</f>
        <v>0</v>
      </c>
      <c r="AH405" s="48" t="n">
        <f aca="false">AH559</f>
        <v>0</v>
      </c>
      <c r="AI405" s="48" t="n">
        <f aca="false">AI559</f>
        <v>0</v>
      </c>
      <c r="AJ405" s="48" t="n">
        <f aca="false">AJ559</f>
        <v>0</v>
      </c>
      <c r="AK405" s="159" t="n">
        <f aca="false">AK559</f>
        <v>0</v>
      </c>
      <c r="AL405" s="48" t="n">
        <f aca="false">AL559</f>
        <v>0</v>
      </c>
      <c r="AM405" s="48" t="n">
        <f aca="false">AM559</f>
        <v>0</v>
      </c>
      <c r="AN405" s="48" t="n">
        <f aca="false">AN559</f>
        <v>0</v>
      </c>
      <c r="AO405" s="48" t="n">
        <f aca="false">AO559</f>
        <v>-222.8</v>
      </c>
      <c r="AP405" s="159" t="n">
        <f aca="false">AP559</f>
        <v>-222.8</v>
      </c>
      <c r="AQ405" s="48" t="n">
        <f aca="false">AQ559</f>
        <v>0</v>
      </c>
      <c r="AR405" s="48" t="n">
        <f aca="false">AR559</f>
        <v>0</v>
      </c>
      <c r="AS405" s="48" t="n">
        <f aca="false">AS559</f>
        <v>0</v>
      </c>
      <c r="AT405" s="48" t="n">
        <f aca="false">AT559</f>
        <v>0</v>
      </c>
      <c r="AU405" s="159" t="n">
        <f aca="false">AU559</f>
        <v>0</v>
      </c>
      <c r="AV405" s="48" t="n">
        <f aca="false">AV559</f>
        <v>0</v>
      </c>
      <c r="AW405" s="48" t="n">
        <f aca="false">AW559</f>
        <v>0</v>
      </c>
      <c r="AX405" s="48" t="n">
        <f aca="false">AX559</f>
        <v>0</v>
      </c>
      <c r="AY405" s="48" t="n">
        <f aca="false">AY559</f>
        <v>0</v>
      </c>
      <c r="AZ405" s="159" t="n">
        <f aca="false">AZ559</f>
        <v>0</v>
      </c>
      <c r="BA405" s="48" t="n">
        <f aca="false">BA559</f>
        <v>0</v>
      </c>
      <c r="BB405" s="48" t="n">
        <f aca="false">BB559</f>
        <v>0</v>
      </c>
      <c r="BC405" s="48" t="n">
        <f aca="false">BC559</f>
        <v>-27.6</v>
      </c>
      <c r="BD405" s="48" t="n">
        <f aca="false">BD559</f>
        <v>-6</v>
      </c>
      <c r="BE405" s="159" t="n">
        <f aca="false">BE559</f>
        <v>-33.6</v>
      </c>
      <c r="BF405" s="48" t="n">
        <f aca="false">BF559</f>
        <v>0</v>
      </c>
      <c r="BG405" s="48" t="n">
        <f aca="false">BG559</f>
        <v>0</v>
      </c>
      <c r="BH405" s="48" t="n">
        <f aca="false">BH559</f>
        <v>0</v>
      </c>
      <c r="BI405" s="48" t="n">
        <f aca="false">BI559</f>
        <v>0</v>
      </c>
      <c r="BJ405" s="159" t="n">
        <f aca="false">BJ559</f>
        <v>0</v>
      </c>
      <c r="BK405" s="48" t="n">
        <f aca="false">BK559</f>
        <v>0</v>
      </c>
      <c r="BL405" s="48" t="n">
        <f aca="false">BL559</f>
        <v>0</v>
      </c>
      <c r="BM405" s="48" t="n">
        <f aca="false">BM559</f>
        <v>0</v>
      </c>
      <c r="BN405" s="48" t="n">
        <f aca="false">BN559</f>
        <v>0</v>
      </c>
      <c r="BO405" s="160" t="n">
        <f aca="false">BO559</f>
        <v>0</v>
      </c>
      <c r="BP405" s="263" t="n">
        <v>0</v>
      </c>
      <c r="BQ405" s="263" t="n">
        <v>0</v>
      </c>
      <c r="BR405" s="263" t="n">
        <v>0</v>
      </c>
      <c r="BS405" s="263" t="n">
        <v>0</v>
      </c>
      <c r="BT405" s="159" t="n">
        <f aca="false">BT559</f>
        <v>0</v>
      </c>
      <c r="BU405" s="263" t="n">
        <v>0</v>
      </c>
      <c r="BV405" s="263" t="n">
        <v>0</v>
      </c>
      <c r="BW405" s="263" t="n">
        <v>0</v>
      </c>
      <c r="BX405" s="263" t="n">
        <v>0</v>
      </c>
      <c r="BY405" s="159" t="n">
        <f aca="false">BY559</f>
        <v>0</v>
      </c>
      <c r="BZ405" s="255" t="n">
        <v>0</v>
      </c>
      <c r="CA405" s="255" t="n">
        <v>0</v>
      </c>
      <c r="CB405" s="255" t="n">
        <v>0</v>
      </c>
      <c r="CC405" s="50"/>
    </row>
    <row r="406" s="51" customFormat="true" ht="15" hidden="false" customHeight="true" outlineLevel="0" collapsed="false">
      <c r="A406" s="48" t="s">
        <v>466</v>
      </c>
      <c r="B406" s="254"/>
      <c r="C406" s="159" t="n">
        <f aca="false">C558</f>
        <v>6.877</v>
      </c>
      <c r="D406" s="159" t="n">
        <f aca="false">D558</f>
        <v>3.825</v>
      </c>
      <c r="E406" s="159" t="n">
        <f aca="false">E558</f>
        <v>0</v>
      </c>
      <c r="F406" s="159" t="n">
        <f aca="false">F558</f>
        <v>0</v>
      </c>
      <c r="G406" s="159" t="n">
        <f aca="false">G558</f>
        <v>0</v>
      </c>
      <c r="H406" s="48" t="n">
        <f aca="false">H558</f>
        <v>0</v>
      </c>
      <c r="I406" s="48" t="n">
        <f aca="false">I558</f>
        <v>0</v>
      </c>
      <c r="J406" s="48" t="n">
        <f aca="false">J558</f>
        <v>0</v>
      </c>
      <c r="K406" s="48" t="n">
        <f aca="false">K558</f>
        <v>0</v>
      </c>
      <c r="L406" s="159" t="n">
        <f aca="false">L558</f>
        <v>0</v>
      </c>
      <c r="M406" s="48" t="n">
        <f aca="false">M558</f>
        <v>0</v>
      </c>
      <c r="N406" s="48" t="n">
        <f aca="false">N558</f>
        <v>0</v>
      </c>
      <c r="O406" s="48" t="n">
        <f aca="false">O558</f>
        <v>0</v>
      </c>
      <c r="P406" s="48" t="n">
        <f aca="false">P558</f>
        <v>0</v>
      </c>
      <c r="Q406" s="159" t="n">
        <f aca="false">Q558</f>
        <v>0</v>
      </c>
      <c r="R406" s="48" t="n">
        <f aca="false">R558</f>
        <v>0</v>
      </c>
      <c r="S406" s="48" t="n">
        <f aca="false">S558</f>
        <v>0</v>
      </c>
      <c r="T406" s="48" t="n">
        <f aca="false">T558</f>
        <v>0</v>
      </c>
      <c r="U406" s="48" t="n">
        <f aca="false">U558</f>
        <v>0</v>
      </c>
      <c r="V406" s="159" t="n">
        <f aca="false">V558</f>
        <v>0</v>
      </c>
      <c r="W406" s="48" t="n">
        <f aca="false">W558</f>
        <v>0</v>
      </c>
      <c r="X406" s="48" t="n">
        <f aca="false">X558</f>
        <v>0</v>
      </c>
      <c r="Y406" s="48" t="n">
        <f aca="false">Y558</f>
        <v>0</v>
      </c>
      <c r="Z406" s="48" t="n">
        <f aca="false">Z558</f>
        <v>0</v>
      </c>
      <c r="AA406" s="159" t="n">
        <f aca="false">AA558</f>
        <v>0</v>
      </c>
      <c r="AB406" s="48" t="n">
        <f aca="false">AB558</f>
        <v>0</v>
      </c>
      <c r="AC406" s="48" t="n">
        <f aca="false">AC558</f>
        <v>0</v>
      </c>
      <c r="AD406" s="48" t="n">
        <f aca="false">AD558</f>
        <v>0</v>
      </c>
      <c r="AE406" s="48" t="n">
        <f aca="false">AE558</f>
        <v>0</v>
      </c>
      <c r="AF406" s="159" t="n">
        <f aca="false">AF558</f>
        <v>0</v>
      </c>
      <c r="AG406" s="48" t="n">
        <f aca="false">AG558</f>
        <v>0</v>
      </c>
      <c r="AH406" s="48" t="n">
        <f aca="false">AH558</f>
        <v>0</v>
      </c>
      <c r="AI406" s="48" t="n">
        <f aca="false">AI558</f>
        <v>0</v>
      </c>
      <c r="AJ406" s="48" t="n">
        <f aca="false">AJ558</f>
        <v>0</v>
      </c>
      <c r="AK406" s="159" t="n">
        <f aca="false">AK558</f>
        <v>0</v>
      </c>
      <c r="AL406" s="48" t="n">
        <f aca="false">AL558</f>
        <v>0</v>
      </c>
      <c r="AM406" s="48" t="n">
        <f aca="false">AM558</f>
        <v>0</v>
      </c>
      <c r="AN406" s="48" t="n">
        <f aca="false">AN558</f>
        <v>0</v>
      </c>
      <c r="AO406" s="48" t="n">
        <f aca="false">AO558</f>
        <v>0</v>
      </c>
      <c r="AP406" s="159" t="n">
        <f aca="false">AP558</f>
        <v>0</v>
      </c>
      <c r="AQ406" s="48" t="n">
        <f aca="false">AQ558</f>
        <v>0</v>
      </c>
      <c r="AR406" s="48" t="n">
        <f aca="false">AR558</f>
        <v>12.9</v>
      </c>
      <c r="AS406" s="48" t="n">
        <f aca="false">AS558</f>
        <v>0</v>
      </c>
      <c r="AT406" s="48" t="n">
        <f aca="false">AT558</f>
        <v>316.1</v>
      </c>
      <c r="AU406" s="159" t="n">
        <f aca="false">AU558</f>
        <v>329</v>
      </c>
      <c r="AV406" s="48" t="n">
        <f aca="false">AV558</f>
        <v>0</v>
      </c>
      <c r="AW406" s="48" t="n">
        <f aca="false">AW558</f>
        <v>0</v>
      </c>
      <c r="AX406" s="48" t="n">
        <f aca="false">AX558</f>
        <v>0</v>
      </c>
      <c r="AY406" s="48" t="n">
        <f aca="false">AY558</f>
        <v>0</v>
      </c>
      <c r="AZ406" s="159" t="n">
        <f aca="false">AZ558</f>
        <v>0</v>
      </c>
      <c r="BA406" s="48" t="n">
        <f aca="false">BA558</f>
        <v>0</v>
      </c>
      <c r="BB406" s="48" t="n">
        <f aca="false">BB558</f>
        <v>0</v>
      </c>
      <c r="BC406" s="48" t="n">
        <f aca="false">BC558</f>
        <v>0</v>
      </c>
      <c r="BD406" s="48" t="n">
        <f aca="false">BD558</f>
        <v>0</v>
      </c>
      <c r="BE406" s="159" t="n">
        <f aca="false">BE558</f>
        <v>0</v>
      </c>
      <c r="BF406" s="48" t="n">
        <f aca="false">BF558</f>
        <v>0</v>
      </c>
      <c r="BG406" s="48" t="n">
        <f aca="false">BG558</f>
        <v>0</v>
      </c>
      <c r="BH406" s="48" t="n">
        <f aca="false">BH558</f>
        <v>0</v>
      </c>
      <c r="BI406" s="48" t="n">
        <f aca="false">BI558</f>
        <v>0</v>
      </c>
      <c r="BJ406" s="159" t="n">
        <f aca="false">BJ558</f>
        <v>0</v>
      </c>
      <c r="BK406" s="48" t="n">
        <f aca="false">BK558</f>
        <v>0</v>
      </c>
      <c r="BL406" s="48" t="n">
        <f aca="false">BL558</f>
        <v>0</v>
      </c>
      <c r="BM406" s="48" t="n">
        <f aca="false">BM558</f>
        <v>0</v>
      </c>
      <c r="BN406" s="48" t="n">
        <f aca="false">BN558</f>
        <v>0</v>
      </c>
      <c r="BO406" s="160" t="n">
        <f aca="false">BO558</f>
        <v>0</v>
      </c>
      <c r="BP406" s="263" t="n">
        <v>0</v>
      </c>
      <c r="BQ406" s="263" t="n">
        <v>0</v>
      </c>
      <c r="BR406" s="263" t="n">
        <v>0</v>
      </c>
      <c r="BS406" s="263" t="n">
        <v>0</v>
      </c>
      <c r="BT406" s="159" t="n">
        <f aca="false">BT558</f>
        <v>0</v>
      </c>
      <c r="BU406" s="263" t="n">
        <v>0</v>
      </c>
      <c r="BV406" s="263" t="n">
        <v>0</v>
      </c>
      <c r="BW406" s="263" t="n">
        <v>0</v>
      </c>
      <c r="BX406" s="263" t="n">
        <v>0</v>
      </c>
      <c r="BY406" s="159" t="n">
        <f aca="false">BY558</f>
        <v>0</v>
      </c>
      <c r="BZ406" s="255" t="n">
        <v>0</v>
      </c>
      <c r="CA406" s="255" t="n">
        <v>0</v>
      </c>
      <c r="CB406" s="255" t="n">
        <v>0</v>
      </c>
      <c r="CC406" s="50"/>
    </row>
    <row r="407" s="51" customFormat="true" ht="15" hidden="false" customHeight="true" outlineLevel="0" collapsed="false">
      <c r="A407" s="50" t="s">
        <v>467</v>
      </c>
      <c r="B407" s="254"/>
      <c r="C407" s="262" t="n">
        <f aca="false">C563</f>
        <v>-86.486</v>
      </c>
      <c r="D407" s="262" t="n">
        <f aca="false">D563</f>
        <v>-86.96</v>
      </c>
      <c r="E407" s="262" t="n">
        <f aca="false">E563</f>
        <v>-172.645</v>
      </c>
      <c r="F407" s="262" t="n">
        <f aca="false">F563</f>
        <v>-188.892</v>
      </c>
      <c r="G407" s="262" t="n">
        <f aca="false">G563</f>
        <v>-216.085</v>
      </c>
      <c r="H407" s="50" t="n">
        <f aca="false">H563</f>
        <v>0</v>
      </c>
      <c r="I407" s="50" t="n">
        <f aca="false">I563</f>
        <v>-268</v>
      </c>
      <c r="J407" s="50" t="n">
        <f aca="false">J563</f>
        <v>0</v>
      </c>
      <c r="K407" s="50" t="n">
        <f aca="false">K563</f>
        <v>0.0380000000000109</v>
      </c>
      <c r="L407" s="262" t="n">
        <f aca="false">L563</f>
        <v>-267.962</v>
      </c>
      <c r="M407" s="50" t="n">
        <f aca="false">M563</f>
        <v>0</v>
      </c>
      <c r="N407" s="50" t="n">
        <f aca="false">N563</f>
        <v>-302.3</v>
      </c>
      <c r="O407" s="50" t="n">
        <f aca="false">O563</f>
        <v>0</v>
      </c>
      <c r="P407" s="50" t="n">
        <f aca="false">P563</f>
        <v>-0.00999999999999091</v>
      </c>
      <c r="Q407" s="262" t="n">
        <f aca="false">Q563</f>
        <v>-302.31</v>
      </c>
      <c r="R407" s="50" t="n">
        <f aca="false">R563</f>
        <v>0</v>
      </c>
      <c r="S407" s="50" t="n">
        <f aca="false">S563</f>
        <v>-445.9</v>
      </c>
      <c r="T407" s="50" t="n">
        <f aca="false">T563</f>
        <v>0</v>
      </c>
      <c r="U407" s="50" t="n">
        <f aca="false">U563</f>
        <v>0</v>
      </c>
      <c r="V407" s="262" t="n">
        <f aca="false">V563</f>
        <v>-445.9</v>
      </c>
      <c r="W407" s="50" t="n">
        <f aca="false">W563</f>
        <v>0</v>
      </c>
      <c r="X407" s="50" t="n">
        <f aca="false">X563</f>
        <v>-516.7</v>
      </c>
      <c r="Y407" s="50" t="n">
        <f aca="false">Y563</f>
        <v>0</v>
      </c>
      <c r="Z407" s="50" t="n">
        <f aca="false">Z563</f>
        <v>0</v>
      </c>
      <c r="AA407" s="262" t="n">
        <f aca="false">AA563</f>
        <v>-516.7</v>
      </c>
      <c r="AB407" s="50" t="n">
        <f aca="false">AB563</f>
        <v>0</v>
      </c>
      <c r="AC407" s="50" t="n">
        <f aca="false">AC563</f>
        <v>-597.1</v>
      </c>
      <c r="AD407" s="50" t="n">
        <f aca="false">AD563</f>
        <v>0</v>
      </c>
      <c r="AE407" s="50" t="n">
        <f aca="false">AE563</f>
        <v>0</v>
      </c>
      <c r="AF407" s="262" t="n">
        <f aca="false">AF563</f>
        <v>-597.1</v>
      </c>
      <c r="AG407" s="50" t="n">
        <f aca="false">AG563</f>
        <v>0</v>
      </c>
      <c r="AH407" s="50" t="n">
        <f aca="false">AH563</f>
        <v>-884.4</v>
      </c>
      <c r="AI407" s="50" t="n">
        <f aca="false">AI563</f>
        <v>0</v>
      </c>
      <c r="AJ407" s="50" t="n">
        <f aca="false">AJ563</f>
        <v>-441.3</v>
      </c>
      <c r="AK407" s="262" t="n">
        <f aca="false">AK563</f>
        <v>-1325.7</v>
      </c>
      <c r="AL407" s="50" t="n">
        <f aca="false">AL563</f>
        <v>0</v>
      </c>
      <c r="AM407" s="50" t="n">
        <f aca="false">AM563</f>
        <v>-564.8</v>
      </c>
      <c r="AN407" s="50" t="n">
        <f aca="false">AN563</f>
        <v>0</v>
      </c>
      <c r="AO407" s="50" t="n">
        <f aca="false">AO563</f>
        <v>-501.6</v>
      </c>
      <c r="AP407" s="262" t="n">
        <f aca="false">AP563</f>
        <v>-1066.4</v>
      </c>
      <c r="AQ407" s="50" t="n">
        <f aca="false">AQ563</f>
        <v>0</v>
      </c>
      <c r="AR407" s="50" t="n">
        <f aca="false">AR563</f>
        <v>-639.1</v>
      </c>
      <c r="AS407" s="50" t="n">
        <f aca="false">AS563</f>
        <v>0</v>
      </c>
      <c r="AT407" s="50" t="n">
        <f aca="false">AT563</f>
        <v>-729.2</v>
      </c>
      <c r="AU407" s="262" t="n">
        <f aca="false">AU563</f>
        <v>-1368.3</v>
      </c>
      <c r="AV407" s="50" t="n">
        <f aca="false">AV563</f>
        <v>0</v>
      </c>
      <c r="AW407" s="50" t="n">
        <f aca="false">AW563</f>
        <v>-1475.3</v>
      </c>
      <c r="AX407" s="50" t="n">
        <f aca="false">AX563</f>
        <v>-543.4</v>
      </c>
      <c r="AY407" s="50" t="n">
        <f aca="false">AY563</f>
        <v>-541.1</v>
      </c>
      <c r="AZ407" s="262" t="n">
        <f aca="false">AZ563</f>
        <v>-2559.8</v>
      </c>
      <c r="BA407" s="50" t="n">
        <f aca="false">BA563</f>
        <v>-541.1</v>
      </c>
      <c r="BB407" s="50" t="n">
        <f aca="false">BB563</f>
        <v>-666</v>
      </c>
      <c r="BC407" s="50" t="n">
        <f aca="false">BC563</f>
        <v>-570.4</v>
      </c>
      <c r="BD407" s="50" t="n">
        <f aca="false">BD563</f>
        <v>-570.8</v>
      </c>
      <c r="BE407" s="262" t="n">
        <f aca="false">BE563</f>
        <v>-2348.3</v>
      </c>
      <c r="BF407" s="50" t="n">
        <f aca="false">BF563</f>
        <v>-571</v>
      </c>
      <c r="BG407" s="50" t="n">
        <f aca="false">BG563</f>
        <v>-688.3</v>
      </c>
      <c r="BH407" s="50" t="n">
        <f aca="false">BH563</f>
        <v>-595.8</v>
      </c>
      <c r="BI407" s="50" t="n">
        <f aca="false">BI563</f>
        <v>-597.8</v>
      </c>
      <c r="BJ407" s="262" t="n">
        <f aca="false">BJ563</f>
        <v>-2452.9</v>
      </c>
      <c r="BK407" s="50" t="n">
        <f aca="false">BK563</f>
        <v>-597.2</v>
      </c>
      <c r="BL407" s="50" t="n">
        <f aca="false">BL563</f>
        <v>-714.4</v>
      </c>
      <c r="BM407" s="50" t="n">
        <f aca="false">BM563</f>
        <v>-619.6</v>
      </c>
      <c r="BN407" s="50" t="n">
        <f aca="false">BN563</f>
        <v>-619.1</v>
      </c>
      <c r="BO407" s="264" t="n">
        <f aca="false">BO563</f>
        <v>-2550.3</v>
      </c>
      <c r="BP407" s="48" t="n">
        <f aca="false">BP408*-BP375</f>
        <v>-621.63108</v>
      </c>
      <c r="BQ407" s="48" t="n">
        <f aca="false">BQ408*-BQ375</f>
        <v>-714.9472295742</v>
      </c>
      <c r="BR407" s="48" t="n">
        <f aca="false">BR408*-BR375</f>
        <v>-621.755412432311</v>
      </c>
      <c r="BS407" s="48" t="n">
        <f aca="false">BS408*-BS375</f>
        <v>-621.817587973554</v>
      </c>
      <c r="BT407" s="159" t="n">
        <f aca="false">BT563</f>
        <v>-2580.15130998007</v>
      </c>
      <c r="BU407" s="48" t="n">
        <f aca="false">BU408*-BU375</f>
        <v>-621.879769732351</v>
      </c>
      <c r="BV407" s="48" t="n">
        <f aca="false">BV408*-BV375</f>
        <v>-715.233251365723</v>
      </c>
      <c r="BW407" s="48" t="n">
        <f aca="false">BW408*-BW375</f>
        <v>-622.004151905096</v>
      </c>
      <c r="BX407" s="48" t="n">
        <f aca="false">BX408*-BX375</f>
        <v>-622.066352320286</v>
      </c>
      <c r="BY407" s="159" t="n">
        <f aca="false">BY563</f>
        <v>-2581.18352532346</v>
      </c>
      <c r="BZ407" s="159" t="n">
        <f aca="false">BZ408*-BZ375</f>
        <v>-2582.22077533057</v>
      </c>
      <c r="CA407" s="159" t="n">
        <f aca="false">CA408*-CA375</f>
        <v>-2583.2536636407</v>
      </c>
      <c r="CB407" s="159" t="n">
        <f aca="false">CB408*-CB375</f>
        <v>-2584.28696510615</v>
      </c>
      <c r="CC407" s="50"/>
    </row>
    <row r="408" s="491" customFormat="true" ht="15" hidden="false" customHeight="true" outlineLevel="0" collapsed="false">
      <c r="A408" s="483" t="s">
        <v>468</v>
      </c>
      <c r="B408" s="484"/>
      <c r="C408" s="485" t="n">
        <v>0.2</v>
      </c>
      <c r="D408" s="485" t="n">
        <v>0.4</v>
      </c>
      <c r="E408" s="485" t="n">
        <v>0.46</v>
      </c>
      <c r="F408" s="485" t="n">
        <v>0.53</v>
      </c>
      <c r="G408" s="485" t="n">
        <v>0.61</v>
      </c>
      <c r="H408" s="486" t="n">
        <v>0</v>
      </c>
      <c r="I408" s="486" t="n">
        <v>0.7</v>
      </c>
      <c r="J408" s="486" t="n">
        <v>0</v>
      </c>
      <c r="K408" s="486" t="n">
        <v>0</v>
      </c>
      <c r="L408" s="487" t="n">
        <f aca="false">SUM(H408,I408,J408,K408)</f>
        <v>0.7</v>
      </c>
      <c r="M408" s="486" t="n">
        <v>0</v>
      </c>
      <c r="N408" s="486" t="n">
        <v>1.05</v>
      </c>
      <c r="O408" s="486" t="n">
        <v>0</v>
      </c>
      <c r="P408" s="486" t="n">
        <v>0</v>
      </c>
      <c r="Q408" s="487" t="n">
        <f aca="false">SUM(M408,N408,O408,P408)</f>
        <v>1.05</v>
      </c>
      <c r="R408" s="486" t="n">
        <v>0</v>
      </c>
      <c r="S408" s="486" t="n">
        <v>1.2</v>
      </c>
      <c r="T408" s="486" t="n">
        <v>0</v>
      </c>
      <c r="U408" s="486" t="n">
        <v>0</v>
      </c>
      <c r="V408" s="487" t="n">
        <f aca="false">SUM(R408,S408,T408,U408)</f>
        <v>1.2</v>
      </c>
      <c r="W408" s="486" t="n">
        <v>0</v>
      </c>
      <c r="X408" s="486" t="n">
        <v>1.4</v>
      </c>
      <c r="Y408" s="486" t="n">
        <v>0</v>
      </c>
      <c r="Z408" s="486" t="n">
        <v>0</v>
      </c>
      <c r="AA408" s="487" t="n">
        <f aca="false">SUM(W408,X408,Y408,Z408)</f>
        <v>1.4</v>
      </c>
      <c r="AB408" s="486" t="n">
        <v>0</v>
      </c>
      <c r="AC408" s="486" t="n">
        <v>1.4</v>
      </c>
      <c r="AD408" s="486" t="n">
        <v>0</v>
      </c>
      <c r="AE408" s="486" t="n">
        <v>0</v>
      </c>
      <c r="AF408" s="487" t="n">
        <f aca="false">SUM(AB408,AC408,AD408,AE408)</f>
        <v>1.4</v>
      </c>
      <c r="AG408" s="486" t="n">
        <v>0</v>
      </c>
      <c r="AH408" s="486" t="n">
        <v>2.1</v>
      </c>
      <c r="AI408" s="486" t="n">
        <v>0</v>
      </c>
      <c r="AJ408" s="486" t="n">
        <v>1.05</v>
      </c>
      <c r="AK408" s="487" t="n">
        <f aca="false">SUM(AG408,AH408,AI408,AJ408)</f>
        <v>3.15</v>
      </c>
      <c r="AL408" s="486" t="n">
        <v>0</v>
      </c>
      <c r="AM408" s="486" t="n">
        <v>1.35</v>
      </c>
      <c r="AN408" s="486" t="n">
        <v>0</v>
      </c>
      <c r="AO408" s="486" t="n">
        <v>1.2</v>
      </c>
      <c r="AP408" s="487" t="n">
        <f aca="false">SUM(AL408,AM408,AN408,AO408)</f>
        <v>2.55</v>
      </c>
      <c r="AQ408" s="486" t="n">
        <v>0</v>
      </c>
      <c r="AR408" s="486" t="n">
        <v>1.55</v>
      </c>
      <c r="AS408" s="486" t="n">
        <v>0</v>
      </c>
      <c r="AT408" s="486" t="n">
        <v>1.8</v>
      </c>
      <c r="AU408" s="487" t="n">
        <f aca="false">SUM(AQ408,AR408,AS408,AT408)</f>
        <v>3.35</v>
      </c>
      <c r="AV408" s="486" t="n">
        <v>0</v>
      </c>
      <c r="AW408" s="486" t="n">
        <v>3.7</v>
      </c>
      <c r="AX408" s="486" t="n">
        <v>1.37</v>
      </c>
      <c r="AY408" s="486" t="n">
        <v>1.37</v>
      </c>
      <c r="AZ408" s="487" t="n">
        <f aca="false">SUM(AV408,AW408,AX408,AY408)</f>
        <v>6.44</v>
      </c>
      <c r="BA408" s="486" t="n">
        <v>1.37</v>
      </c>
      <c r="BB408" s="486" t="n">
        <v>1.69</v>
      </c>
      <c r="BC408" s="486" t="n">
        <v>1.45</v>
      </c>
      <c r="BD408" s="486" t="n">
        <v>1.45</v>
      </c>
      <c r="BE408" s="487" t="n">
        <f aca="false">SUM(BA408,BB408,BC408,BD408)</f>
        <v>5.96</v>
      </c>
      <c r="BF408" s="486" t="n">
        <v>1.45</v>
      </c>
      <c r="BG408" s="486" t="n">
        <v>1.75</v>
      </c>
      <c r="BH408" s="486" t="n">
        <v>1.52</v>
      </c>
      <c r="BI408" s="486" t="n">
        <v>1.52</v>
      </c>
      <c r="BJ408" s="487" t="n">
        <f aca="false">SUM(BF408,BG408,BH408,BI408)</f>
        <v>6.24</v>
      </c>
      <c r="BK408" s="486" t="n">
        <v>1.52</v>
      </c>
      <c r="BL408" s="486" t="n">
        <v>1.84</v>
      </c>
      <c r="BM408" s="486" t="n">
        <v>1.6</v>
      </c>
      <c r="BN408" s="486" t="n">
        <v>1.6</v>
      </c>
      <c r="BO408" s="488" t="n">
        <f aca="false">SUM(BK408,BL408,BM408,BN408)</f>
        <v>6.56</v>
      </c>
      <c r="BP408" s="486" t="n">
        <v>1.6</v>
      </c>
      <c r="BQ408" s="486" t="n">
        <v>1.84</v>
      </c>
      <c r="BR408" s="486" t="n">
        <v>1.6</v>
      </c>
      <c r="BS408" s="486" t="n">
        <v>1.6</v>
      </c>
      <c r="BT408" s="489" t="n">
        <f aca="false">SUM(BP408,BQ408,BR408,BS408)</f>
        <v>6.64</v>
      </c>
      <c r="BU408" s="486" t="n">
        <v>1.6</v>
      </c>
      <c r="BV408" s="486" t="n">
        <v>1.84</v>
      </c>
      <c r="BW408" s="486" t="n">
        <v>1.6</v>
      </c>
      <c r="BX408" s="486" t="n">
        <v>1.6</v>
      </c>
      <c r="BY408" s="489" t="n">
        <f aca="false">SUM(BU408,BV408,BW408,BX408)</f>
        <v>6.64</v>
      </c>
      <c r="BZ408" s="485" t="n">
        <v>6.64</v>
      </c>
      <c r="CA408" s="485" t="n">
        <v>6.64</v>
      </c>
      <c r="CB408" s="485" t="n">
        <v>6.64</v>
      </c>
      <c r="CC408" s="490"/>
    </row>
    <row r="409" s="491" customFormat="true" ht="15" hidden="false" customHeight="true" outlineLevel="0" collapsed="false">
      <c r="A409" s="492"/>
      <c r="B409" s="484"/>
      <c r="C409" s="489"/>
      <c r="D409" s="489"/>
      <c r="E409" s="489"/>
      <c r="F409" s="489"/>
      <c r="G409" s="489"/>
      <c r="H409" s="493"/>
      <c r="I409" s="493"/>
      <c r="J409" s="493"/>
      <c r="K409" s="493"/>
      <c r="L409" s="489"/>
      <c r="M409" s="493"/>
      <c r="N409" s="493"/>
      <c r="O409" s="493"/>
      <c r="P409" s="493"/>
      <c r="Q409" s="489"/>
      <c r="R409" s="493"/>
      <c r="S409" s="493"/>
      <c r="T409" s="493"/>
      <c r="U409" s="493"/>
      <c r="V409" s="489"/>
      <c r="W409" s="493"/>
      <c r="X409" s="493"/>
      <c r="Y409" s="493"/>
      <c r="Z409" s="493"/>
      <c r="AA409" s="489"/>
      <c r="AB409" s="493"/>
      <c r="AC409" s="493"/>
      <c r="AD409" s="493"/>
      <c r="AE409" s="493"/>
      <c r="AF409" s="489"/>
      <c r="AG409" s="493"/>
      <c r="AH409" s="493"/>
      <c r="AI409" s="493"/>
      <c r="AJ409" s="493"/>
      <c r="AK409" s="489"/>
      <c r="AL409" s="493"/>
      <c r="AM409" s="493"/>
      <c r="AN409" s="493"/>
      <c r="AO409" s="493"/>
      <c r="AP409" s="489"/>
      <c r="AQ409" s="493"/>
      <c r="AR409" s="493"/>
      <c r="AS409" s="493"/>
      <c r="AT409" s="493"/>
      <c r="AU409" s="489"/>
      <c r="AV409" s="493"/>
      <c r="AW409" s="493"/>
      <c r="AX409" s="493"/>
      <c r="AY409" s="493"/>
      <c r="AZ409" s="489"/>
      <c r="BA409" s="493"/>
      <c r="BB409" s="493"/>
      <c r="BC409" s="493"/>
      <c r="BD409" s="493"/>
      <c r="BE409" s="489"/>
      <c r="BF409" s="493"/>
      <c r="BG409" s="493"/>
      <c r="BH409" s="493"/>
      <c r="BI409" s="493"/>
      <c r="BJ409" s="489"/>
      <c r="BK409" s="493"/>
      <c r="BL409" s="493"/>
      <c r="BM409" s="493"/>
      <c r="BN409" s="493"/>
      <c r="BO409" s="494"/>
      <c r="BP409" s="493"/>
      <c r="BQ409" s="493"/>
      <c r="BR409" s="493"/>
      <c r="BS409" s="493"/>
      <c r="BT409" s="489"/>
      <c r="BU409" s="493"/>
      <c r="BV409" s="493"/>
      <c r="BW409" s="493"/>
      <c r="BX409" s="493"/>
      <c r="BY409" s="489"/>
      <c r="BZ409" s="489"/>
      <c r="CA409" s="489"/>
      <c r="CB409" s="489"/>
      <c r="CC409" s="490"/>
    </row>
    <row r="410" s="491" customFormat="true" ht="15" hidden="false" customHeight="true" outlineLevel="0" collapsed="false">
      <c r="A410" s="483" t="s">
        <v>469</v>
      </c>
      <c r="B410" s="484"/>
      <c r="C410" s="262" t="n">
        <f aca="false">C570+C568+C566</f>
        <v>-1.415</v>
      </c>
      <c r="D410" s="262" t="n">
        <f aca="false">D570+D568+D566</f>
        <v>-1.444</v>
      </c>
      <c r="E410" s="262" t="n">
        <f aca="false">E570+E568+E566</f>
        <v>-2.537</v>
      </c>
      <c r="F410" s="262" t="n">
        <f aca="false">F570+F568+F566</f>
        <v>-2.776</v>
      </c>
      <c r="G410" s="262" t="n">
        <f aca="false">G570+G568+G566</f>
        <v>368.042</v>
      </c>
      <c r="H410" s="50" t="n">
        <f aca="false">H570+H568+H566</f>
        <v>-1.1</v>
      </c>
      <c r="I410" s="50" t="n">
        <f aca="false">I570+I568+I566</f>
        <v>-1</v>
      </c>
      <c r="J410" s="50" t="n">
        <f aca="false">J570+J568+J566</f>
        <v>-1.2</v>
      </c>
      <c r="K410" s="50" t="n">
        <f aca="false">K570+K568+K566</f>
        <v>-0.828</v>
      </c>
      <c r="L410" s="262" t="n">
        <f aca="false">L570+L568+L566</f>
        <v>-4.128</v>
      </c>
      <c r="M410" s="50" t="n">
        <f aca="false">M570+M568+M566</f>
        <v>-0.8</v>
      </c>
      <c r="N410" s="50" t="n">
        <f aca="false">N570+N568+N566</f>
        <v>-0.7</v>
      </c>
      <c r="O410" s="50" t="n">
        <f aca="false">O570+O568+O566</f>
        <v>-1</v>
      </c>
      <c r="P410" s="50" t="n">
        <f aca="false">P570+P568+P566</f>
        <v>-1.139</v>
      </c>
      <c r="Q410" s="262" t="n">
        <f aca="false">Q570+Q568+Q566</f>
        <v>-3.639</v>
      </c>
      <c r="R410" s="50" t="n">
        <f aca="false">R570+R568+R566</f>
        <v>-1.2</v>
      </c>
      <c r="S410" s="50" t="n">
        <f aca="false">S570+S568+S566</f>
        <v>-1.2</v>
      </c>
      <c r="T410" s="50" t="n">
        <f aca="false">T570+T568+T566</f>
        <v>1483.6</v>
      </c>
      <c r="U410" s="50" t="n">
        <f aca="false">U570+U568+U566</f>
        <v>744.7</v>
      </c>
      <c r="V410" s="262" t="n">
        <f aca="false">V570+V568+V566</f>
        <v>2225.9</v>
      </c>
      <c r="W410" s="50" t="n">
        <f aca="false">W570+W568+W566</f>
        <v>-1.2</v>
      </c>
      <c r="X410" s="50" t="n">
        <f aca="false">X570+X568+X566</f>
        <v>-239.5</v>
      </c>
      <c r="Y410" s="50" t="n">
        <f aca="false">Y570+Y568+Y566</f>
        <v>-1.20000000000002</v>
      </c>
      <c r="Z410" s="50" t="n">
        <f aca="false">Z570+Z568+Z566</f>
        <v>-1.09999999999999</v>
      </c>
      <c r="AA410" s="262" t="n">
        <f aca="false">AA570+AA568+AA566</f>
        <v>-243</v>
      </c>
      <c r="AB410" s="50" t="n">
        <f aca="false">AB570+AB568+AB566</f>
        <v>-0.3</v>
      </c>
      <c r="AC410" s="50" t="n">
        <f aca="false">AC570+AC568+AC566</f>
        <v>-1.3</v>
      </c>
      <c r="AD410" s="50" t="n">
        <f aca="false">AD570+AD568+AD566</f>
        <v>-0.2</v>
      </c>
      <c r="AE410" s="50" t="n">
        <f aca="false">AE570+AE568+AE566</f>
        <v>-1</v>
      </c>
      <c r="AF410" s="262" t="n">
        <f aca="false">AF570+AF568+AF566</f>
        <v>-2.8</v>
      </c>
      <c r="AG410" s="50" t="n">
        <f aca="false">AG570+AG568+AG566</f>
        <v>-0.7</v>
      </c>
      <c r="AH410" s="50" t="n">
        <f aca="false">AH570+AH568+AH566</f>
        <v>-1.2</v>
      </c>
      <c r="AI410" s="50" t="n">
        <f aca="false">AI570+AI568+AI566</f>
        <v>-1</v>
      </c>
      <c r="AJ410" s="50" t="n">
        <f aca="false">AJ570+AJ568+AJ566</f>
        <v>-0.9</v>
      </c>
      <c r="AK410" s="262" t="n">
        <f aca="false">AK570+AK568+AK566</f>
        <v>-3.8</v>
      </c>
      <c r="AL410" s="50" t="n">
        <f aca="false">AL570+AL568+AL566</f>
        <v>738.9</v>
      </c>
      <c r="AM410" s="50" t="n">
        <f aca="false">AM570+AM568+AM566</f>
        <v>745.7</v>
      </c>
      <c r="AN410" s="50" t="n">
        <f aca="false">AN570+AN568+AN566</f>
        <v>-0.9</v>
      </c>
      <c r="AO410" s="50" t="n">
        <f aca="false">AO570+AO568+AO566</f>
        <v>-0.7</v>
      </c>
      <c r="AP410" s="262" t="n">
        <f aca="false">AP570+AP568+AP566</f>
        <v>1483</v>
      </c>
      <c r="AQ410" s="50" t="n">
        <f aca="false">AQ570+AQ568+AQ566</f>
        <v>-3.6</v>
      </c>
      <c r="AR410" s="50" t="n">
        <f aca="false">AR570+AR568+AR566</f>
        <v>-3.2</v>
      </c>
      <c r="AS410" s="50" t="n">
        <f aca="false">AS570+AS568+AS566</f>
        <v>-2.6</v>
      </c>
      <c r="AT410" s="50" t="n">
        <f aca="false">AT570+AT568+AT566</f>
        <v>-2.6</v>
      </c>
      <c r="AU410" s="262" t="n">
        <f aca="false">AU570+AU568+AU566</f>
        <v>-12</v>
      </c>
      <c r="AV410" s="50" t="n">
        <f aca="false">AV570+AV568+AV566</f>
        <v>-13.5</v>
      </c>
      <c r="AW410" s="50" t="n">
        <f aca="false">AW570+AW568+AW566</f>
        <v>-5.10000000000002</v>
      </c>
      <c r="AX410" s="50" t="n">
        <f aca="false">AX570+AX568+AX566</f>
        <v>-1.19999999999993</v>
      </c>
      <c r="AY410" s="50" t="n">
        <f aca="false">AY570+AY568+AY566</f>
        <v>-0.800000000000068</v>
      </c>
      <c r="AZ410" s="262" t="n">
        <f aca="false">AZ570+AZ568+AZ566</f>
        <v>-20.6</v>
      </c>
      <c r="BA410" s="50" t="n">
        <f aca="false">BA570+BA568+BA566</f>
        <v>-1.5</v>
      </c>
      <c r="BB410" s="50" t="n">
        <f aca="false">BB570+BB568+BB566</f>
        <v>997.1</v>
      </c>
      <c r="BC410" s="50" t="n">
        <f aca="false">BC570+BC568+BC566</f>
        <v>-750.4</v>
      </c>
      <c r="BD410" s="50" t="n">
        <f aca="false">BD570+BD568+BD566</f>
        <v>-0.199999999999932</v>
      </c>
      <c r="BE410" s="262" t="n">
        <f aca="false">BE570+BE568+BE566</f>
        <v>245</v>
      </c>
      <c r="BF410" s="50" t="n">
        <f aca="false">BF570+BF568+BF566</f>
        <v>-0.6</v>
      </c>
      <c r="BG410" s="50" t="n">
        <f aca="false">BG570+BG568+BG566</f>
        <v>-0.3</v>
      </c>
      <c r="BH410" s="50" t="n">
        <f aca="false">BH570+BH568+BH566</f>
        <v>-0.7</v>
      </c>
      <c r="BI410" s="50" t="n">
        <f aca="false">BI570+BI568+BI566</f>
        <v>-1.6</v>
      </c>
      <c r="BJ410" s="262" t="n">
        <f aca="false">BJ570+BJ568+BJ566</f>
        <v>-3.2</v>
      </c>
      <c r="BK410" s="50" t="n">
        <f aca="false">BK570+BK568+BK566</f>
        <v>0.4</v>
      </c>
      <c r="BL410" s="50" t="n">
        <f aca="false">BL570+BL568+BL566</f>
        <v>-0.6</v>
      </c>
      <c r="BM410" s="50" t="n">
        <f aca="false">BM570+BM568+BM566</f>
        <v>14.5</v>
      </c>
      <c r="BN410" s="50" t="n">
        <f aca="false">BN570+BN568+BN566</f>
        <v>-326.8</v>
      </c>
      <c r="BO410" s="264" t="n">
        <f aca="false">BO570+BO568+BO566</f>
        <v>-312.5</v>
      </c>
      <c r="BP410" s="263" t="n">
        <v>0</v>
      </c>
      <c r="BQ410" s="263" t="n">
        <v>0</v>
      </c>
      <c r="BR410" s="263" t="n">
        <v>0</v>
      </c>
      <c r="BS410" s="263" t="n">
        <v>0</v>
      </c>
      <c r="BT410" s="159" t="n">
        <f aca="false">BT570+BT568+BT566</f>
        <v>0</v>
      </c>
      <c r="BU410" s="263" t="n">
        <v>0</v>
      </c>
      <c r="BV410" s="263" t="n">
        <v>0</v>
      </c>
      <c r="BW410" s="263" t="n">
        <v>0</v>
      </c>
      <c r="BX410" s="263" t="n">
        <v>0</v>
      </c>
      <c r="BY410" s="159" t="n">
        <f aca="false">BY570+BY568+BY566</f>
        <v>0</v>
      </c>
      <c r="BZ410" s="255" t="n">
        <v>0</v>
      </c>
      <c r="CA410" s="255" t="n">
        <v>0</v>
      </c>
      <c r="CB410" s="255" t="n">
        <v>0</v>
      </c>
      <c r="CC410" s="490"/>
    </row>
    <row r="411" s="491" customFormat="true" ht="15" hidden="false" customHeight="true" outlineLevel="0" collapsed="false">
      <c r="A411" s="483" t="s">
        <v>470</v>
      </c>
      <c r="B411" s="484"/>
      <c r="C411" s="262" t="n">
        <f aca="false">C565+C564</f>
        <v>11.073</v>
      </c>
      <c r="D411" s="262" t="n">
        <f aca="false">D565+D564</f>
        <v>31</v>
      </c>
      <c r="E411" s="262" t="n">
        <f aca="false">E565+E564</f>
        <v>-666.368</v>
      </c>
      <c r="F411" s="262" t="n">
        <f aca="false">F565+F564</f>
        <v>3372.293</v>
      </c>
      <c r="G411" s="262" t="n">
        <f aca="false">G565+G564</f>
        <v>-268.178</v>
      </c>
      <c r="H411" s="50" t="n">
        <f aca="false">H565+H564</f>
        <v>-139.5</v>
      </c>
      <c r="I411" s="50" t="n">
        <f aca="false">I565+I564</f>
        <v>-146.8</v>
      </c>
      <c r="J411" s="50" t="n">
        <f aca="false">J565+J564</f>
        <v>-160.5</v>
      </c>
      <c r="K411" s="50" t="n">
        <f aca="false">K565+K564</f>
        <v>-213.521</v>
      </c>
      <c r="L411" s="262" t="n">
        <f aca="false">L565+L564</f>
        <v>-660.321</v>
      </c>
      <c r="M411" s="50" t="n">
        <f aca="false">M565+M564</f>
        <v>-112.7</v>
      </c>
      <c r="N411" s="50" t="n">
        <f aca="false">N565+N564</f>
        <v>-155.5</v>
      </c>
      <c r="O411" s="50" t="n">
        <f aca="false">O565+O564</f>
        <v>-132.5</v>
      </c>
      <c r="P411" s="50" t="n">
        <f aca="false">P565+P564</f>
        <v>-130.957</v>
      </c>
      <c r="Q411" s="262" t="n">
        <f aca="false">Q565+Q564</f>
        <v>-531.657</v>
      </c>
      <c r="R411" s="50" t="n">
        <f aca="false">R565+R564</f>
        <v>-202.9</v>
      </c>
      <c r="S411" s="50" t="n">
        <f aca="false">S565+S564</f>
        <v>-159.8</v>
      </c>
      <c r="T411" s="50" t="n">
        <f aca="false">T565+T564</f>
        <v>-2.90000000000002</v>
      </c>
      <c r="U411" s="50" t="n">
        <f aca="false">U565+U564</f>
        <v>548.3</v>
      </c>
      <c r="V411" s="262" t="n">
        <f aca="false">V565+V564</f>
        <v>182.7</v>
      </c>
      <c r="W411" s="50" t="n">
        <f aca="false">W565+W564</f>
        <v>13</v>
      </c>
      <c r="X411" s="50" t="n">
        <f aca="false">X565+X564</f>
        <v>11.9</v>
      </c>
      <c r="Y411" s="50" t="n">
        <f aca="false">Y565+Y564</f>
        <v>-152.8</v>
      </c>
      <c r="Z411" s="50" t="n">
        <f aca="false">Z565+Z564</f>
        <v>-321.5</v>
      </c>
      <c r="AA411" s="262" t="n">
        <f aca="false">AA565+AA564</f>
        <v>-449.4</v>
      </c>
      <c r="AB411" s="50" t="n">
        <f aca="false">AB565+AB564</f>
        <v>-159.9</v>
      </c>
      <c r="AC411" s="50" t="n">
        <f aca="false">AC565+AC564</f>
        <v>-246.8</v>
      </c>
      <c r="AD411" s="50" t="n">
        <f aca="false">AD565+AD564</f>
        <v>-365.7</v>
      </c>
      <c r="AE411" s="50" t="n">
        <f aca="false">AE565+AE564</f>
        <v>-352</v>
      </c>
      <c r="AF411" s="262" t="n">
        <f aca="false">AF565+AF564</f>
        <v>-1124.4</v>
      </c>
      <c r="AG411" s="50" t="n">
        <f aca="false">AG565+AG564</f>
        <v>-47.4</v>
      </c>
      <c r="AH411" s="50" t="n">
        <f aca="false">AH565+AH564</f>
        <v>-10</v>
      </c>
      <c r="AI411" s="50" t="n">
        <f aca="false">AI565+AI564</f>
        <v>-141</v>
      </c>
      <c r="AJ411" s="50" t="n">
        <f aca="false">AJ565+AJ564</f>
        <v>-184.4</v>
      </c>
      <c r="AK411" s="262" t="n">
        <f aca="false">AK565+AK564</f>
        <v>-382.8</v>
      </c>
      <c r="AL411" s="50" t="n">
        <f aca="false">AL565+AL564</f>
        <v>-498.9</v>
      </c>
      <c r="AM411" s="50" t="n">
        <f aca="false">AM565+AM564</f>
        <v>11</v>
      </c>
      <c r="AN411" s="50" t="n">
        <f aca="false">AN565+AN564</f>
        <v>10.4</v>
      </c>
      <c r="AO411" s="50" t="n">
        <f aca="false">AO565+AO564</f>
        <v>-692.1</v>
      </c>
      <c r="AP411" s="262" t="n">
        <f aca="false">AP565+AP564</f>
        <v>-1169.6</v>
      </c>
      <c r="AQ411" s="50" t="n">
        <f aca="false">AQ565+AQ564</f>
        <v>-1556.6</v>
      </c>
      <c r="AR411" s="50" t="n">
        <f aca="false">AR565+AR564</f>
        <v>-1970.3</v>
      </c>
      <c r="AS411" s="50" t="n">
        <f aca="false">AS565+AS564</f>
        <v>-2389.3</v>
      </c>
      <c r="AT411" s="50" t="n">
        <f aca="false">AT565+AT564</f>
        <v>-2595.2</v>
      </c>
      <c r="AU411" s="262" t="n">
        <f aca="false">AU565+AU564</f>
        <v>-8511.4</v>
      </c>
      <c r="AV411" s="50" t="n">
        <f aca="false">AV565+AV564</f>
        <v>-2016.7</v>
      </c>
      <c r="AW411" s="50" t="n">
        <f aca="false">AW565+AW564</f>
        <v>-1157</v>
      </c>
      <c r="AX411" s="50" t="n">
        <f aca="false">AX565+AX564</f>
        <v>-1068.1</v>
      </c>
      <c r="AY411" s="50" t="n">
        <f aca="false">AY565+AY564</f>
        <v>-316.1</v>
      </c>
      <c r="AZ411" s="262" t="n">
        <f aca="false">AZ565+AZ564</f>
        <v>-4557.9</v>
      </c>
      <c r="BA411" s="50" t="n">
        <f aca="false">BA565+BA564</f>
        <v>-373.5</v>
      </c>
      <c r="BB411" s="50" t="n">
        <f aca="false">BB565+BB564</f>
        <v>-467.6</v>
      </c>
      <c r="BC411" s="50" t="n">
        <f aca="false">BC565+BC564</f>
        <v>-85.4</v>
      </c>
      <c r="BD411" s="50" t="n">
        <f aca="false">BD565+BD564</f>
        <v>25.9</v>
      </c>
      <c r="BE411" s="262" t="n">
        <f aca="false">BE565+BE564</f>
        <v>-900.6</v>
      </c>
      <c r="BF411" s="50" t="n">
        <f aca="false">BF565+BF564</f>
        <v>-355.8</v>
      </c>
      <c r="BG411" s="50" t="n">
        <f aca="false">BG565+BG564</f>
        <v>-83.7</v>
      </c>
      <c r="BH411" s="50" t="n">
        <f aca="false">BH565+BH564</f>
        <v>31.5</v>
      </c>
      <c r="BI411" s="50" t="n">
        <f aca="false">BI565+BI564</f>
        <v>32</v>
      </c>
      <c r="BJ411" s="262" t="n">
        <f aca="false">BJ565+BJ564</f>
        <v>-376</v>
      </c>
      <c r="BK411" s="50" t="n">
        <f aca="false">BK565+BK564</f>
        <v>-2554.6</v>
      </c>
      <c r="BL411" s="50" t="n">
        <f aca="false">BL565+BL564</f>
        <v>-1448.8</v>
      </c>
      <c r="BM411" s="50" t="n">
        <f aca="false">BM565+BM564</f>
        <v>-136.9</v>
      </c>
      <c r="BN411" s="50" t="n">
        <f aca="false">BN565+BN564</f>
        <v>-1667.4</v>
      </c>
      <c r="BO411" s="264" t="n">
        <f aca="false">BO565+BO564</f>
        <v>-5807.7</v>
      </c>
      <c r="BP411" s="263" t="n">
        <v>0</v>
      </c>
      <c r="BQ411" s="263" t="n">
        <v>0</v>
      </c>
      <c r="BR411" s="263" t="n">
        <v>0</v>
      </c>
      <c r="BS411" s="263" t="n">
        <v>0</v>
      </c>
      <c r="BT411" s="159" t="n">
        <f aca="false">BT565+BT564</f>
        <v>0</v>
      </c>
      <c r="BU411" s="263" t="n">
        <v>0</v>
      </c>
      <c r="BV411" s="263" t="n">
        <v>0</v>
      </c>
      <c r="BW411" s="263" t="n">
        <v>0</v>
      </c>
      <c r="BX411" s="263" t="n">
        <v>0</v>
      </c>
      <c r="BY411" s="159" t="n">
        <f aca="false">BY565+BY564</f>
        <v>0</v>
      </c>
      <c r="BZ411" s="159"/>
      <c r="CA411" s="159"/>
      <c r="CB411" s="159"/>
      <c r="CC411" s="490"/>
    </row>
    <row r="412" s="491" customFormat="true" ht="15" hidden="false" customHeight="true" outlineLevel="0" collapsed="false">
      <c r="A412" s="438" t="s">
        <v>471</v>
      </c>
      <c r="B412" s="439"/>
      <c r="C412" s="444"/>
      <c r="D412" s="444"/>
      <c r="E412" s="444"/>
      <c r="F412" s="444"/>
      <c r="G412" s="444"/>
      <c r="H412" s="443"/>
      <c r="I412" s="443"/>
      <c r="J412" s="443"/>
      <c r="K412" s="443"/>
      <c r="L412" s="444"/>
      <c r="M412" s="443"/>
      <c r="N412" s="443"/>
      <c r="O412" s="443"/>
      <c r="P412" s="443"/>
      <c r="Q412" s="444"/>
      <c r="R412" s="443"/>
      <c r="S412" s="443"/>
      <c r="T412" s="443"/>
      <c r="U412" s="443"/>
      <c r="V412" s="444"/>
      <c r="W412" s="443"/>
      <c r="X412" s="443"/>
      <c r="Y412" s="443"/>
      <c r="Z412" s="443"/>
      <c r="AA412" s="444"/>
      <c r="AB412" s="443"/>
      <c r="AC412" s="443"/>
      <c r="AD412" s="443"/>
      <c r="AE412" s="443"/>
      <c r="AF412" s="444"/>
      <c r="AG412" s="443"/>
      <c r="AH412" s="443"/>
      <c r="AI412" s="443"/>
      <c r="AJ412" s="443"/>
      <c r="AK412" s="444"/>
      <c r="AL412" s="443"/>
      <c r="AM412" s="443"/>
      <c r="AN412" s="443"/>
      <c r="AO412" s="443"/>
      <c r="AP412" s="444"/>
      <c r="AQ412" s="443"/>
      <c r="AR412" s="443"/>
      <c r="AS412" s="443"/>
      <c r="AT412" s="443"/>
      <c r="AU412" s="444"/>
      <c r="AV412" s="443"/>
      <c r="AW412" s="443"/>
      <c r="AX412" s="443"/>
      <c r="AY412" s="443"/>
      <c r="AZ412" s="444"/>
      <c r="BA412" s="443"/>
      <c r="BB412" s="443"/>
      <c r="BC412" s="443"/>
      <c r="BD412" s="443"/>
      <c r="BE412" s="444"/>
      <c r="BF412" s="443"/>
      <c r="BG412" s="443"/>
      <c r="BH412" s="443"/>
      <c r="BI412" s="443"/>
      <c r="BJ412" s="444"/>
      <c r="BK412" s="443"/>
      <c r="BL412" s="443"/>
      <c r="BM412" s="443"/>
      <c r="BN412" s="443"/>
      <c r="BO412" s="495"/>
      <c r="BP412" s="496" t="n">
        <v>1218</v>
      </c>
      <c r="BQ412" s="496" t="n">
        <v>1218</v>
      </c>
      <c r="BR412" s="496" t="n">
        <v>1218</v>
      </c>
      <c r="BS412" s="496" t="n">
        <v>1218</v>
      </c>
      <c r="BT412" s="444" t="n">
        <f aca="false">AVERAGE(BP412,BQ412,BR412,BS412)</f>
        <v>1218</v>
      </c>
      <c r="BU412" s="496" t="n">
        <v>1340</v>
      </c>
      <c r="BV412" s="496" t="n">
        <v>1340</v>
      </c>
      <c r="BW412" s="496" t="n">
        <v>1340</v>
      </c>
      <c r="BX412" s="496" t="n">
        <v>1340</v>
      </c>
      <c r="BY412" s="444" t="n">
        <f aca="false">AVERAGE(BU412,BV412,BW412,BX412)</f>
        <v>1340</v>
      </c>
      <c r="BZ412" s="497" t="n">
        <v>1474</v>
      </c>
      <c r="CA412" s="497" t="n">
        <v>1621</v>
      </c>
      <c r="CB412" s="497" t="n">
        <v>1783</v>
      </c>
      <c r="CC412" s="490"/>
    </row>
    <row r="413" s="51" customFormat="true" ht="15" hidden="false" customHeight="true" outlineLevel="0" collapsed="false">
      <c r="A413" s="210"/>
      <c r="B413" s="254"/>
      <c r="C413" s="159"/>
      <c r="D413" s="159"/>
      <c r="E413" s="159"/>
      <c r="F413" s="159"/>
      <c r="G413" s="159"/>
      <c r="H413" s="48"/>
      <c r="I413" s="48"/>
      <c r="J413" s="48"/>
      <c r="K413" s="48"/>
      <c r="L413" s="159"/>
      <c r="M413" s="48"/>
      <c r="N413" s="48"/>
      <c r="O413" s="48"/>
      <c r="P413" s="48"/>
      <c r="Q413" s="159"/>
      <c r="R413" s="48"/>
      <c r="S413" s="48"/>
      <c r="T413" s="48"/>
      <c r="U413" s="48"/>
      <c r="V413" s="159"/>
      <c r="W413" s="48"/>
      <c r="X413" s="48"/>
      <c r="Y413" s="48"/>
      <c r="Z413" s="48"/>
      <c r="AA413" s="159"/>
      <c r="AB413" s="48"/>
      <c r="AC413" s="48"/>
      <c r="AD413" s="48"/>
      <c r="AE413" s="48"/>
      <c r="AF413" s="159"/>
      <c r="AG413" s="48"/>
      <c r="AH413" s="48"/>
      <c r="AI413" s="48"/>
      <c r="AJ413" s="48"/>
      <c r="AK413" s="159"/>
      <c r="AL413" s="48"/>
      <c r="AM413" s="48"/>
      <c r="AN413" s="48"/>
      <c r="AO413" s="48"/>
      <c r="AP413" s="159"/>
      <c r="AQ413" s="48"/>
      <c r="AR413" s="48"/>
      <c r="AS413" s="48"/>
      <c r="AT413" s="48"/>
      <c r="AU413" s="159"/>
      <c r="AV413" s="48"/>
      <c r="AW413" s="48"/>
      <c r="AX413" s="48"/>
      <c r="AY413" s="48"/>
      <c r="AZ413" s="159"/>
      <c r="BA413" s="48"/>
      <c r="BB413" s="48"/>
      <c r="BC413" s="48"/>
      <c r="BD413" s="48"/>
      <c r="BE413" s="159"/>
      <c r="BF413" s="48"/>
      <c r="BG413" s="48"/>
      <c r="BH413" s="48"/>
      <c r="BI413" s="48"/>
      <c r="BJ413" s="159"/>
      <c r="BK413" s="48"/>
      <c r="BL413" s="48"/>
      <c r="BM413" s="48"/>
      <c r="BN413" s="48"/>
      <c r="BO413" s="160"/>
      <c r="BP413" s="48"/>
      <c r="BQ413" s="48"/>
      <c r="BR413" s="48"/>
      <c r="BS413" s="48"/>
      <c r="BT413" s="159"/>
      <c r="BU413" s="48"/>
      <c r="BV413" s="48"/>
      <c r="BW413" s="48"/>
      <c r="BX413" s="48"/>
      <c r="BY413" s="159"/>
      <c r="BZ413" s="159"/>
      <c r="CA413" s="159"/>
      <c r="CB413" s="159"/>
      <c r="CC413" s="50"/>
    </row>
    <row r="414" s="51" customFormat="true" ht="15" hidden="false" customHeight="true" outlineLevel="0" collapsed="false">
      <c r="A414" s="146" t="s">
        <v>472</v>
      </c>
      <c r="B414" s="254"/>
      <c r="C414" s="159" t="n">
        <f aca="false">C530</f>
        <v>13.394</v>
      </c>
      <c r="D414" s="159" t="n">
        <f aca="false">D530</f>
        <v>12.109</v>
      </c>
      <c r="E414" s="159" t="n">
        <f aca="false">E530</f>
        <v>12.43</v>
      </c>
      <c r="F414" s="159" t="n">
        <f aca="false">F530</f>
        <v>18.714</v>
      </c>
      <c r="G414" s="159" t="n">
        <f aca="false">G530</f>
        <v>52.371</v>
      </c>
      <c r="H414" s="48" t="n">
        <f aca="false">H530</f>
        <v>23.1</v>
      </c>
      <c r="I414" s="48" t="n">
        <f aca="false">I530</f>
        <v>13.5</v>
      </c>
      <c r="J414" s="48" t="n">
        <f aca="false">J530</f>
        <v>13.7</v>
      </c>
      <c r="K414" s="48" t="n">
        <f aca="false">K530</f>
        <v>13.08</v>
      </c>
      <c r="L414" s="159" t="n">
        <f aca="false">L530</f>
        <v>63.38</v>
      </c>
      <c r="M414" s="48" t="n">
        <f aca="false">M530</f>
        <v>14.6</v>
      </c>
      <c r="N414" s="48" t="n">
        <f aca="false">N530</f>
        <v>15</v>
      </c>
      <c r="O414" s="48" t="n">
        <f aca="false">O530</f>
        <v>14.8</v>
      </c>
      <c r="P414" s="48" t="n">
        <f aca="false">P530</f>
        <v>14.67</v>
      </c>
      <c r="Q414" s="159" t="n">
        <f aca="false">Q530</f>
        <v>59.07</v>
      </c>
      <c r="R414" s="48" t="n">
        <f aca="false">R530</f>
        <v>13.2</v>
      </c>
      <c r="S414" s="48" t="n">
        <f aca="false">S530</f>
        <v>10.9</v>
      </c>
      <c r="T414" s="48" t="n">
        <f aca="false">T530</f>
        <v>11.6</v>
      </c>
      <c r="U414" s="48" t="n">
        <f aca="false">U530</f>
        <v>12</v>
      </c>
      <c r="V414" s="159" t="n">
        <f aca="false">V530</f>
        <v>47.7</v>
      </c>
      <c r="W414" s="48" t="n">
        <f aca="false">W530</f>
        <v>13.5</v>
      </c>
      <c r="X414" s="48" t="n">
        <f aca="false">X530</f>
        <v>10.1</v>
      </c>
      <c r="Y414" s="48" t="n">
        <f aca="false">Y530</f>
        <v>14.8</v>
      </c>
      <c r="Z414" s="48" t="n">
        <f aca="false">Z530</f>
        <v>14.7</v>
      </c>
      <c r="AA414" s="159" t="n">
        <f aca="false">AA530</f>
        <v>53.1</v>
      </c>
      <c r="AB414" s="48" t="n">
        <f aca="false">AB530</f>
        <v>12.2</v>
      </c>
      <c r="AC414" s="48" t="n">
        <f aca="false">AC530</f>
        <v>9.2</v>
      </c>
      <c r="AD414" s="48" t="n">
        <f aca="false">AD530</f>
        <v>16.6</v>
      </c>
      <c r="AE414" s="48" t="n">
        <f aca="false">AE530</f>
        <v>8.3</v>
      </c>
      <c r="AF414" s="159" t="n">
        <f aca="false">AF530</f>
        <v>46.3</v>
      </c>
      <c r="AG414" s="48" t="n">
        <f aca="false">AG530</f>
        <v>14.9</v>
      </c>
      <c r="AH414" s="48" t="n">
        <f aca="false">AH530</f>
        <v>12.5</v>
      </c>
      <c r="AI414" s="48" t="n">
        <f aca="false">AI530</f>
        <v>18</v>
      </c>
      <c r="AJ414" s="48" t="n">
        <f aca="false">AJ530</f>
        <v>29.2</v>
      </c>
      <c r="AK414" s="159" t="n">
        <f aca="false">AK530</f>
        <v>74.6</v>
      </c>
      <c r="AL414" s="48" t="n">
        <f aca="false">AL530</f>
        <v>14.9</v>
      </c>
      <c r="AM414" s="48" t="n">
        <f aca="false">AM530</f>
        <v>10.3</v>
      </c>
      <c r="AN414" s="48" t="n">
        <f aca="false">AN530</f>
        <v>22.5</v>
      </c>
      <c r="AO414" s="48" t="n">
        <f aca="false">AO530</f>
        <v>6.2</v>
      </c>
      <c r="AP414" s="159" t="n">
        <f aca="false">AP530</f>
        <v>53.9</v>
      </c>
      <c r="AQ414" s="48" t="n">
        <f aca="false">AQ530</f>
        <v>21</v>
      </c>
      <c r="AR414" s="48" t="n">
        <f aca="false">AR530</f>
        <v>29</v>
      </c>
      <c r="AS414" s="48" t="n">
        <f aca="false">AS530</f>
        <v>34</v>
      </c>
      <c r="AT414" s="48" t="n">
        <f aca="false">AT530</f>
        <v>33.5</v>
      </c>
      <c r="AU414" s="159" t="n">
        <f aca="false">AU530</f>
        <v>117.5</v>
      </c>
      <c r="AV414" s="48" t="n">
        <f aca="false">AV530</f>
        <v>11.5</v>
      </c>
      <c r="AW414" s="48" t="n">
        <f aca="false">AW530</f>
        <v>13.9</v>
      </c>
      <c r="AX414" s="48" t="n">
        <f aca="false">AX530</f>
        <v>22.5</v>
      </c>
      <c r="AY414" s="48" t="n">
        <f aca="false">AY530</f>
        <v>21</v>
      </c>
      <c r="AZ414" s="159" t="n">
        <f aca="false">AZ530</f>
        <v>68.9</v>
      </c>
      <c r="BA414" s="48" t="n">
        <f aca="false">BA530</f>
        <v>18.3</v>
      </c>
      <c r="BB414" s="48" t="n">
        <f aca="false">BB530</f>
        <v>33.4</v>
      </c>
      <c r="BC414" s="48" t="n">
        <f aca="false">BC530</f>
        <v>41.5</v>
      </c>
      <c r="BD414" s="48" t="n">
        <f aca="false">BD530</f>
        <v>41.6</v>
      </c>
      <c r="BE414" s="159" t="n">
        <f aca="false">BE530</f>
        <v>134.8</v>
      </c>
      <c r="BF414" s="48" t="n">
        <f aca="false">BF530</f>
        <v>19.8</v>
      </c>
      <c r="BG414" s="48" t="n">
        <f aca="false">BG530</f>
        <v>46.5</v>
      </c>
      <c r="BH414" s="48" t="n">
        <f aca="false">BH530</f>
        <v>53.3</v>
      </c>
      <c r="BI414" s="48" t="n">
        <f aca="false">BI530</f>
        <v>53</v>
      </c>
      <c r="BJ414" s="159" t="n">
        <f aca="false">BJ530</f>
        <v>172.6</v>
      </c>
      <c r="BK414" s="48" t="n">
        <f aca="false">BK530</f>
        <v>40</v>
      </c>
      <c r="BL414" s="48" t="n">
        <f aca="false">BL530</f>
        <v>49</v>
      </c>
      <c r="BM414" s="48" t="n">
        <f aca="false">BM530</f>
        <v>57.7</v>
      </c>
      <c r="BN414" s="48" t="n">
        <f aca="false">BN530</f>
        <v>55.6</v>
      </c>
      <c r="BO414" s="160" t="n">
        <f aca="false">BO530</f>
        <v>202.3</v>
      </c>
      <c r="BP414" s="48" t="n">
        <f aca="false">BP415*BP329</f>
        <v>25.7685902276923</v>
      </c>
      <c r="BQ414" s="48" t="n">
        <f aca="false">BQ415*BQ329</f>
        <v>26.5903693450775</v>
      </c>
      <c r="BR414" s="48" t="n">
        <f aca="false">BR415*BR329</f>
        <v>28.1372378857416</v>
      </c>
      <c r="BS414" s="48" t="n">
        <f aca="false">BS415*BS329</f>
        <v>30.2475343758738</v>
      </c>
      <c r="BT414" s="159" t="n">
        <f aca="false">BT530</f>
        <v>110.743731834385</v>
      </c>
      <c r="BU414" s="48" t="n">
        <f aca="false">BU415*BU329</f>
        <v>26.6780658738462</v>
      </c>
      <c r="BV414" s="48" t="n">
        <f aca="false">BV415*BV329</f>
        <v>27.1105358626866</v>
      </c>
      <c r="BW414" s="48" t="n">
        <f aca="false">BW415*BW329</f>
        <v>29.8669949609282</v>
      </c>
      <c r="BX414" s="48" t="n">
        <f aca="false">BX415*BX329</f>
        <v>32.1569824690819</v>
      </c>
      <c r="BY414" s="159" t="n">
        <f aca="false">BY530</f>
        <v>115.812579166543</v>
      </c>
      <c r="BZ414" s="159" t="n">
        <f aca="false">BZ415*BZ329</f>
        <v>139.631869513985</v>
      </c>
      <c r="CA414" s="159" t="n">
        <f aca="false">CA415*CA329</f>
        <v>146.727103534985</v>
      </c>
      <c r="CB414" s="159" t="n">
        <f aca="false">CB415*CB329</f>
        <v>154.255047387228</v>
      </c>
      <c r="CC414" s="50"/>
    </row>
    <row r="415" s="139" customFormat="true" ht="15" hidden="false" customHeight="true" outlineLevel="0" collapsed="false">
      <c r="A415" s="498" t="s">
        <v>473</v>
      </c>
      <c r="B415" s="382"/>
      <c r="C415" s="167" t="n">
        <f aca="false">C414/C329</f>
        <v>0.00839189931725753</v>
      </c>
      <c r="D415" s="167" t="n">
        <f aca="false">D414/D329</f>
        <v>0.00268615051937272</v>
      </c>
      <c r="E415" s="167" t="n">
        <f aca="false">E414/E329</f>
        <v>0.00219959706496244</v>
      </c>
      <c r="F415" s="167" t="n">
        <f aca="false">F414/F329</f>
        <v>0.00395514793762304</v>
      </c>
      <c r="G415" s="167" t="n">
        <f aca="false">G414/G329</f>
        <v>0.00998431746663601</v>
      </c>
      <c r="H415" s="168" t="n">
        <f aca="false">H414/H329</f>
        <v>0.0165413533834587</v>
      </c>
      <c r="I415" s="168" t="n">
        <f aca="false">I414/I329</f>
        <v>0.00821367729374544</v>
      </c>
      <c r="J415" s="168" t="n">
        <f aca="false">J414/J329</f>
        <v>0.0103615186809862</v>
      </c>
      <c r="K415" s="168" t="n">
        <f aca="false">K414/K329</f>
        <v>0.00875502008032129</v>
      </c>
      <c r="L415" s="167" t="n">
        <f aca="false">L414/L329</f>
        <v>0.0108225755031738</v>
      </c>
      <c r="M415" s="168" t="n">
        <f aca="false">M414/M329</f>
        <v>0.00884902115279714</v>
      </c>
      <c r="N415" s="168" t="n">
        <f aca="false">N414/N329</f>
        <v>0.00906837555165952</v>
      </c>
      <c r="O415" s="168" t="n">
        <f aca="false">O414/O329</f>
        <v>0.00955331784146656</v>
      </c>
      <c r="P415" s="168" t="n">
        <f aca="false">P414/P329</f>
        <v>0.0102286989262307</v>
      </c>
      <c r="Q415" s="167" t="n">
        <f aca="false">Q414/Q329</f>
        <v>0.00939501779359431</v>
      </c>
      <c r="R415" s="168" t="n">
        <f aca="false">R414/R329</f>
        <v>0.0099009900990099</v>
      </c>
      <c r="S415" s="168" t="n">
        <f aca="false">S414/S329</f>
        <v>0.00626580823177742</v>
      </c>
      <c r="T415" s="168" t="n">
        <f aca="false">T414/T329</f>
        <v>0.00639259340901576</v>
      </c>
      <c r="U415" s="168" t="n">
        <f aca="false">U414/U329</f>
        <v>0.00629128656810318</v>
      </c>
      <c r="V415" s="167" t="n">
        <f aca="false">V414/V329</f>
        <v>0.00702007417436864</v>
      </c>
      <c r="W415" s="168" t="n">
        <f aca="false">W414/W329</f>
        <v>0.00694587363655073</v>
      </c>
      <c r="X415" s="168" t="n">
        <f aca="false">X414/X329</f>
        <v>0.00480631959645951</v>
      </c>
      <c r="Y415" s="168" t="n">
        <f aca="false">Y414/Y329</f>
        <v>0.00604723379913377</v>
      </c>
      <c r="Z415" s="168" t="n">
        <f aca="false">Z414/Z329</f>
        <v>0.00574129042337135</v>
      </c>
      <c r="AA415" s="167" t="n">
        <f aca="false">AA414/AA329</f>
        <v>0.00586558854718982</v>
      </c>
      <c r="AB415" s="168" t="n">
        <f aca="false">AB414/AB329</f>
        <v>0.00533916849015317</v>
      </c>
      <c r="AC415" s="168" t="n">
        <f aca="false">AC414/AC329</f>
        <v>0.00335717413516275</v>
      </c>
      <c r="AD415" s="168" t="n">
        <f aca="false">AD414/AD329</f>
        <v>0.00597961168545802</v>
      </c>
      <c r="AE415" s="168" t="n">
        <f aca="false">AE414/AE329</f>
        <v>0.0026412092283214</v>
      </c>
      <c r="AF415" s="167" t="n">
        <f aca="false">AF414/AF329</f>
        <v>0.00423062865497076</v>
      </c>
      <c r="AG415" s="168" t="n">
        <f aca="false">AG414/AG329</f>
        <v>0.00668431205419228</v>
      </c>
      <c r="AH415" s="168" t="n">
        <f aca="false">AH414/AH329</f>
        <v>0.0048677908018225</v>
      </c>
      <c r="AI415" s="168" t="n">
        <f aca="false">AI414/AI329</f>
        <v>0.0060271220492215</v>
      </c>
      <c r="AJ415" s="168" t="n">
        <f aca="false">AJ414/AJ329</f>
        <v>0.00723398984268549</v>
      </c>
      <c r="AK415" s="167" t="n">
        <f aca="false">AK414/AK329</f>
        <v>0.00631133671742809</v>
      </c>
      <c r="AL415" s="168" t="n">
        <f aca="false">AL414/AL329</f>
        <v>0.00610505613373761</v>
      </c>
      <c r="AM415" s="168" t="n">
        <f aca="false">AM414/AM329</f>
        <v>0.00309709234146195</v>
      </c>
      <c r="AN415" s="168" t="n">
        <f aca="false">AN414/AN329</f>
        <v>0.00568468923698838</v>
      </c>
      <c r="AO415" s="168" t="n">
        <f aca="false">AO414/AO329</f>
        <v>0.00145738329180574</v>
      </c>
      <c r="AP415" s="167" t="n">
        <f aca="false">AP414/AP329</f>
        <v>0.00385592159387631</v>
      </c>
      <c r="AQ415" s="168" t="n">
        <f aca="false">AQ414/AQ329</f>
        <v>0.00481220926235707</v>
      </c>
      <c r="AR415" s="168" t="n">
        <f aca="false">AR414/AR329</f>
        <v>0.00721357146410626</v>
      </c>
      <c r="AS415" s="168" t="n">
        <f aca="false">AS414/AS329</f>
        <v>0.00648694026291187</v>
      </c>
      <c r="AT415" s="168" t="n">
        <f aca="false">AT414/AT329</f>
        <v>0.00671935173299102</v>
      </c>
      <c r="AU415" s="167" t="n">
        <f aca="false">AU414/AU329</f>
        <v>0.00631347052818226</v>
      </c>
      <c r="AV415" s="168" t="n">
        <f aca="false">AV414/AV329</f>
        <v>0.00325373472159348</v>
      </c>
      <c r="AW415" s="168" t="n">
        <f aca="false">AW414/AW329</f>
        <v>0.0025596169781788</v>
      </c>
      <c r="AX415" s="168" t="n">
        <f aca="false">AX414/AX329</f>
        <v>0.00389387882249104</v>
      </c>
      <c r="AY415" s="168" t="n">
        <f aca="false">AY414/AY329</f>
        <v>0.00326583932070542</v>
      </c>
      <c r="AZ415" s="167" t="n">
        <f aca="false">AZ414/AZ329</f>
        <v>0.00325408295313932</v>
      </c>
      <c r="BA415" s="168" t="n">
        <f aca="false">BA414/BA329</f>
        <v>0.00271263822596425</v>
      </c>
      <c r="BB415" s="168" t="n">
        <f aca="false">BB414/BB329</f>
        <v>0.00483896672123785</v>
      </c>
      <c r="BC415" s="168" t="n">
        <f aca="false">BC414/BC329</f>
        <v>0.00621909186273041</v>
      </c>
      <c r="BD415" s="168" t="n">
        <f aca="false">BD414/BD329</f>
        <v>0.00574823822025702</v>
      </c>
      <c r="BE415" s="167" t="n">
        <f aca="false">BE414/BE329</f>
        <v>0.0048914128127438</v>
      </c>
      <c r="BF415" s="168" t="n">
        <f aca="false">BF414/BF329</f>
        <v>0.00374291115311909</v>
      </c>
      <c r="BG415" s="168" t="n">
        <f aca="false">BG414/BG329</f>
        <v>0.00744858076504133</v>
      </c>
      <c r="BH415" s="168" t="n">
        <f aca="false">BH414/BH329</f>
        <v>0.00713778741981707</v>
      </c>
      <c r="BI415" s="168" t="n">
        <f aca="false">BI414/BI329</f>
        <v>0.00572181197909919</v>
      </c>
      <c r="BJ415" s="167" t="n">
        <f aca="false">BJ414/BJ329</f>
        <v>0.0061069458548132</v>
      </c>
      <c r="BK415" s="168" t="n">
        <f aca="false">BK414/BK329</f>
        <v>0.00516695730801524</v>
      </c>
      <c r="BL415" s="168" t="n">
        <f aca="false">BL414/BL329</f>
        <v>0.00637050326975831</v>
      </c>
      <c r="BM415" s="168" t="n">
        <f aca="false">BM414/BM329</f>
        <v>0.00767695582756785</v>
      </c>
      <c r="BN415" s="168" t="n">
        <f aca="false">BN414/BN329</f>
        <v>0.00572128296683508</v>
      </c>
      <c r="BO415" s="169" t="n">
        <f aca="false">BO414/BO329</f>
        <v>0.00619273707958723</v>
      </c>
      <c r="BP415" s="454" t="n">
        <v>0.003</v>
      </c>
      <c r="BQ415" s="454" t="n">
        <v>0.003</v>
      </c>
      <c r="BR415" s="454" t="n">
        <v>0.003</v>
      </c>
      <c r="BS415" s="454" t="n">
        <v>0.003</v>
      </c>
      <c r="BT415" s="167" t="n">
        <f aca="false">BT414/BT329</f>
        <v>0.003</v>
      </c>
      <c r="BU415" s="454" t="n">
        <v>0.003</v>
      </c>
      <c r="BV415" s="454" t="n">
        <v>0.003</v>
      </c>
      <c r="BW415" s="454" t="n">
        <v>0.003</v>
      </c>
      <c r="BX415" s="454" t="n">
        <v>0.003</v>
      </c>
      <c r="BY415" s="167" t="n">
        <f aca="false">BY414/BY329</f>
        <v>0.003</v>
      </c>
      <c r="BZ415" s="455" t="n">
        <v>0.003</v>
      </c>
      <c r="CA415" s="455" t="n">
        <v>0.003</v>
      </c>
      <c r="CB415" s="455" t="n">
        <v>0.003</v>
      </c>
      <c r="CC415" s="138"/>
    </row>
    <row r="416" s="51" customFormat="true" ht="15" hidden="false" customHeight="true" outlineLevel="0" collapsed="false">
      <c r="A416" s="210"/>
      <c r="B416" s="254"/>
      <c r="C416" s="159"/>
      <c r="D416" s="159"/>
      <c r="E416" s="159"/>
      <c r="F416" s="159"/>
      <c r="G416" s="159"/>
      <c r="H416" s="48"/>
      <c r="I416" s="48"/>
      <c r="J416" s="48"/>
      <c r="K416" s="48"/>
      <c r="L416" s="159"/>
      <c r="M416" s="48"/>
      <c r="N416" s="48"/>
      <c r="O416" s="48"/>
      <c r="P416" s="48"/>
      <c r="Q416" s="159"/>
      <c r="R416" s="48"/>
      <c r="S416" s="48"/>
      <c r="T416" s="48"/>
      <c r="U416" s="48"/>
      <c r="V416" s="159"/>
      <c r="W416" s="48"/>
      <c r="X416" s="48"/>
      <c r="Y416" s="48"/>
      <c r="Z416" s="48"/>
      <c r="AA416" s="159"/>
      <c r="AB416" s="48"/>
      <c r="AC416" s="48"/>
      <c r="AD416" s="48"/>
      <c r="AE416" s="48"/>
      <c r="AF416" s="159"/>
      <c r="AG416" s="48"/>
      <c r="AH416" s="48"/>
      <c r="AI416" s="48"/>
      <c r="AJ416" s="48"/>
      <c r="AK416" s="159"/>
      <c r="AL416" s="48"/>
      <c r="AM416" s="48"/>
      <c r="AN416" s="48"/>
      <c r="AO416" s="48"/>
      <c r="AP416" s="159"/>
      <c r="AQ416" s="48"/>
      <c r="AR416" s="48"/>
      <c r="AS416" s="48"/>
      <c r="AT416" s="48"/>
      <c r="AU416" s="159"/>
      <c r="AV416" s="48"/>
      <c r="AW416" s="48"/>
      <c r="AX416" s="48"/>
      <c r="AY416" s="48"/>
      <c r="AZ416" s="159"/>
      <c r="BA416" s="48"/>
      <c r="BB416" s="48"/>
      <c r="BC416" s="48"/>
      <c r="BD416" s="48"/>
      <c r="BE416" s="159"/>
      <c r="BF416" s="48"/>
      <c r="BG416" s="48"/>
      <c r="BH416" s="48"/>
      <c r="BI416" s="48"/>
      <c r="BJ416" s="159"/>
      <c r="BK416" s="48"/>
      <c r="BL416" s="48"/>
      <c r="BM416" s="48"/>
      <c r="BN416" s="48"/>
      <c r="BO416" s="160"/>
      <c r="BP416" s="48"/>
      <c r="BQ416" s="48"/>
      <c r="BR416" s="48"/>
      <c r="BS416" s="48"/>
      <c r="BT416" s="159"/>
      <c r="BU416" s="48"/>
      <c r="BV416" s="48"/>
      <c r="BW416" s="48"/>
      <c r="BX416" s="48"/>
      <c r="BY416" s="159"/>
      <c r="BZ416" s="159"/>
      <c r="CA416" s="159"/>
      <c r="CB416" s="159"/>
      <c r="CC416" s="50"/>
    </row>
    <row r="417" s="51" customFormat="true" ht="15" hidden="true" customHeight="true" outlineLevel="1" collapsed="false">
      <c r="A417" s="48" t="s">
        <v>474</v>
      </c>
      <c r="B417" s="254"/>
      <c r="C417" s="159" t="n">
        <f aca="false">C397+C403</f>
        <v>-41.808</v>
      </c>
      <c r="D417" s="159" t="n">
        <f aca="false">D397+D403</f>
        <v>1150.609</v>
      </c>
      <c r="E417" s="159" t="n">
        <f aca="false">E397+E403</f>
        <v>1483.716</v>
      </c>
      <c r="F417" s="159" t="n">
        <f aca="false">F397+F403</f>
        <v>1236.615</v>
      </c>
      <c r="G417" s="159" t="n">
        <f aca="false">G397+G403</f>
        <v>1240.968</v>
      </c>
      <c r="H417" s="48" t="n">
        <f aca="false">H397+H403</f>
        <v>277.7</v>
      </c>
      <c r="I417" s="48" t="n">
        <f aca="false">I397+I403</f>
        <v>464.8</v>
      </c>
      <c r="J417" s="48" t="n">
        <f aca="false">J397+J403</f>
        <v>235.3</v>
      </c>
      <c r="K417" s="48" t="n">
        <f aca="false">K397+K403</f>
        <v>293.566</v>
      </c>
      <c r="L417" s="159" t="n">
        <f aca="false">L397+L403</f>
        <v>1271.366</v>
      </c>
      <c r="M417" s="48" t="n">
        <f aca="false">M397+M403</f>
        <v>451.5</v>
      </c>
      <c r="N417" s="48" t="n">
        <f aca="false">N397+N403</f>
        <v>431.9</v>
      </c>
      <c r="O417" s="48" t="n">
        <f aca="false">O397+O403</f>
        <v>426.6</v>
      </c>
      <c r="P417" s="48" t="n">
        <f aca="false">P397+P403</f>
        <v>325.187</v>
      </c>
      <c r="Q417" s="159" t="n">
        <f aca="false">Q397+Q403</f>
        <v>1635.187</v>
      </c>
      <c r="R417" s="48" t="n">
        <f aca="false">R397+R403</f>
        <v>269.1</v>
      </c>
      <c r="S417" s="48" t="n">
        <f aca="false">S397+S403</f>
        <v>366.6</v>
      </c>
      <c r="T417" s="48" t="n">
        <f aca="false">T397+T403</f>
        <v>470.2</v>
      </c>
      <c r="U417" s="48" t="n">
        <f aca="false">U397+U403</f>
        <v>530.2</v>
      </c>
      <c r="V417" s="159" t="n">
        <f aca="false">V397+V403</f>
        <v>1636.1</v>
      </c>
      <c r="W417" s="48" t="n">
        <f aca="false">W397+W403</f>
        <v>579.2</v>
      </c>
      <c r="X417" s="48" t="n">
        <f aca="false">X397+X403</f>
        <v>558.5</v>
      </c>
      <c r="Y417" s="48" t="n">
        <f aca="false">Y397+Y403</f>
        <v>612.6</v>
      </c>
      <c r="Z417" s="48" t="n">
        <f aca="false">Z397+Z403</f>
        <v>629.6</v>
      </c>
      <c r="AA417" s="159" t="n">
        <f aca="false">AA397+AA403</f>
        <v>2379.9</v>
      </c>
      <c r="AB417" s="48" t="n">
        <f aca="false">AB397+AB403</f>
        <v>609.2</v>
      </c>
      <c r="AC417" s="48" t="n">
        <f aca="false">AC397+AC403</f>
        <v>633.4</v>
      </c>
      <c r="AD417" s="48" t="n">
        <f aca="false">AD397+AD403</f>
        <v>681.7</v>
      </c>
      <c r="AE417" s="48" t="n">
        <f aca="false">AE397+AE403</f>
        <v>598.3</v>
      </c>
      <c r="AF417" s="159" t="n">
        <f aca="false">AF397+AF403</f>
        <v>2522.6</v>
      </c>
      <c r="AG417" s="48" t="n">
        <f aca="false">AG397+AG403</f>
        <v>223.9</v>
      </c>
      <c r="AH417" s="48" t="n">
        <f aca="false">AH397+AH403</f>
        <v>426.4</v>
      </c>
      <c r="AI417" s="48" t="n">
        <f aca="false">AI397+AI403</f>
        <v>612.5</v>
      </c>
      <c r="AJ417" s="48" t="n">
        <f aca="false">AJ397+AJ403</f>
        <v>1016.1</v>
      </c>
      <c r="AK417" s="159" t="n">
        <f aca="false">AK397+AK403</f>
        <v>2278.9</v>
      </c>
      <c r="AL417" s="48" t="n">
        <f aca="false">AL397+AL403</f>
        <v>267.6</v>
      </c>
      <c r="AM417" s="48" t="n">
        <f aca="false">AM397+AM403</f>
        <v>652.2</v>
      </c>
      <c r="AN417" s="48" t="n">
        <f aca="false">AN397+AN403</f>
        <v>884.8</v>
      </c>
      <c r="AO417" s="48" t="n">
        <f aca="false">AO397+AO403</f>
        <v>1290.6</v>
      </c>
      <c r="AP417" s="159" t="n">
        <f aca="false">AP397+AP403</f>
        <v>3095.2</v>
      </c>
      <c r="AQ417" s="48" t="n">
        <f aca="false">AQ397+AQ403</f>
        <v>1256.3</v>
      </c>
      <c r="AR417" s="48" t="n">
        <f aca="false">AR397+AR403</f>
        <v>946.7</v>
      </c>
      <c r="AS417" s="48" t="n">
        <f aca="false">AS397+AS403</f>
        <v>1331.2</v>
      </c>
      <c r="AT417" s="48" t="n">
        <f aca="false">AT397+AT403</f>
        <v>1478.9</v>
      </c>
      <c r="AU417" s="159" t="n">
        <f aca="false">AU397+AU403</f>
        <v>5013.1</v>
      </c>
      <c r="AV417" s="48" t="n">
        <f aca="false">AV397+AV403</f>
        <v>561.3</v>
      </c>
      <c r="AW417" s="48" t="n">
        <f aca="false">AW397+AW403</f>
        <v>1278.5</v>
      </c>
      <c r="AX417" s="48" t="n">
        <f aca="false">AX397+AX403</f>
        <v>1214.9</v>
      </c>
      <c r="AY417" s="48" t="n">
        <f aca="false">AY397+AY403</f>
        <v>1671.6</v>
      </c>
      <c r="AZ417" s="159" t="n">
        <f aca="false">AZ397+AZ403</f>
        <v>4726.3</v>
      </c>
      <c r="BA417" s="48" t="n">
        <f aca="false">BA397+BA403</f>
        <v>1655.8</v>
      </c>
      <c r="BB417" s="48" t="n">
        <f aca="false">BB397+BB403</f>
        <v>1677</v>
      </c>
      <c r="BC417" s="48" t="n">
        <f aca="false">BC397+BC403</f>
        <v>1531</v>
      </c>
      <c r="BD417" s="48" t="n">
        <f aca="false">BD397+BD403</f>
        <v>2047</v>
      </c>
      <c r="BE417" s="159" t="n">
        <f aca="false">BE397+BE403</f>
        <v>6910.8</v>
      </c>
      <c r="BF417" s="48" t="n">
        <f aca="false">BF397+BF403</f>
        <v>1123.3</v>
      </c>
      <c r="BG417" s="48" t="n">
        <f aca="false">BG397+BG403</f>
        <v>1388.5</v>
      </c>
      <c r="BH417" s="48" t="n">
        <f aca="false">BH397+BH403</f>
        <v>1915.7</v>
      </c>
      <c r="BI417" s="48" t="n">
        <f aca="false">BI397+BI403</f>
        <v>2602.3</v>
      </c>
      <c r="BJ417" s="159" t="n">
        <f aca="false">BJ397+BJ403</f>
        <v>7029.8</v>
      </c>
      <c r="BK417" s="48" t="n">
        <f aca="false">BK397+BK403</f>
        <v>2325.7</v>
      </c>
      <c r="BL417" s="48" t="n">
        <f aca="false">BL397+BL403</f>
        <v>2228.9</v>
      </c>
      <c r="BM417" s="48" t="n">
        <f aca="false">BM397+BM403</f>
        <v>2147</v>
      </c>
      <c r="BN417" s="48" t="n">
        <f aca="false">BN397+BN403</f>
        <v>3299.2</v>
      </c>
      <c r="BO417" s="160" t="n">
        <f aca="false">BO397+BO403</f>
        <v>10000.8</v>
      </c>
      <c r="BP417" s="48" t="n">
        <f aca="false">BP397+BP403</f>
        <v>2515.786893444</v>
      </c>
      <c r="BQ417" s="48" t="n">
        <f aca="false">BQ397+BQ403</f>
        <v>2936.36632898182</v>
      </c>
      <c r="BR417" s="48" t="n">
        <f aca="false">BR397+BR403</f>
        <v>2780.33265263297</v>
      </c>
      <c r="BS417" s="48" t="n">
        <f aca="false">BS397+BS403</f>
        <v>3066.16072239172</v>
      </c>
      <c r="BT417" s="159" t="n">
        <f aca="false">BT397+BT403</f>
        <v>11298.6465974505</v>
      </c>
      <c r="BU417" s="48" t="n">
        <f aca="false">BU397+BU403</f>
        <v>2619.31720878154</v>
      </c>
      <c r="BV417" s="48" t="n">
        <f aca="false">BV397+BV403</f>
        <v>3476.23671767299</v>
      </c>
      <c r="BW417" s="48" t="n">
        <f aca="false">BW397+BW403</f>
        <v>3255.81114633628</v>
      </c>
      <c r="BX417" s="48" t="n">
        <f aca="false">BX397+BX403</f>
        <v>3398.98844192984</v>
      </c>
      <c r="BY417" s="159" t="n">
        <f aca="false">BY397+BY403</f>
        <v>12750.3535147207</v>
      </c>
      <c r="BZ417" s="159" t="n">
        <f aca="false">BZ397+BZ403</f>
        <v>15131.1960103748</v>
      </c>
      <c r="CA417" s="159" t="n">
        <f aca="false">CA397+CA403</f>
        <v>16052.8065619229</v>
      </c>
      <c r="CB417" s="159" t="n">
        <f aca="false">CB397+CB403</f>
        <v>17052.4099338402</v>
      </c>
      <c r="CC417" s="48"/>
    </row>
    <row r="418" s="51" customFormat="true" ht="15" hidden="true" customHeight="true" outlineLevel="1" collapsed="false">
      <c r="A418" s="48" t="s">
        <v>475</v>
      </c>
      <c r="B418" s="254"/>
      <c r="C418" s="159" t="n">
        <f aca="false">C417+C407</f>
        <v>-128.294</v>
      </c>
      <c r="D418" s="159" t="n">
        <f aca="false">D417+D407</f>
        <v>1063.649</v>
      </c>
      <c r="E418" s="159" t="n">
        <f aca="false">E417+E407</f>
        <v>1311.071</v>
      </c>
      <c r="F418" s="159" t="n">
        <f aca="false">F417+F407</f>
        <v>1047.723</v>
      </c>
      <c r="G418" s="159" t="n">
        <f aca="false">G417+G407</f>
        <v>1024.883</v>
      </c>
      <c r="H418" s="48" t="n">
        <f aca="false">H417+H407</f>
        <v>277.7</v>
      </c>
      <c r="I418" s="48" t="n">
        <f aca="false">I417+I407</f>
        <v>196.8</v>
      </c>
      <c r="J418" s="48" t="n">
        <f aca="false">J417+J407</f>
        <v>235.3</v>
      </c>
      <c r="K418" s="48" t="n">
        <f aca="false">K417+K407</f>
        <v>293.604</v>
      </c>
      <c r="L418" s="159" t="n">
        <f aca="false">L417+L407</f>
        <v>1003.404</v>
      </c>
      <c r="M418" s="48" t="n">
        <f aca="false">M417+M407</f>
        <v>451.5</v>
      </c>
      <c r="N418" s="48" t="n">
        <f aca="false">N417+N407</f>
        <v>129.6</v>
      </c>
      <c r="O418" s="48" t="n">
        <f aca="false">O417+O407</f>
        <v>426.6</v>
      </c>
      <c r="P418" s="48" t="n">
        <f aca="false">P417+P407</f>
        <v>325.177</v>
      </c>
      <c r="Q418" s="159" t="n">
        <f aca="false">Q417+Q407</f>
        <v>1332.877</v>
      </c>
      <c r="R418" s="48" t="n">
        <f aca="false">R417+R407</f>
        <v>269.1</v>
      </c>
      <c r="S418" s="48" t="n">
        <f aca="false">S417+S407</f>
        <v>-79.3</v>
      </c>
      <c r="T418" s="48" t="n">
        <f aca="false">T417+T407</f>
        <v>470.2</v>
      </c>
      <c r="U418" s="48" t="n">
        <f aca="false">U417+U407</f>
        <v>530.2</v>
      </c>
      <c r="V418" s="159" t="n">
        <f aca="false">V417+V407</f>
        <v>1190.2</v>
      </c>
      <c r="W418" s="48" t="n">
        <f aca="false">W417+W407</f>
        <v>579.2</v>
      </c>
      <c r="X418" s="48" t="n">
        <f aca="false">X417+X407</f>
        <v>41.8</v>
      </c>
      <c r="Y418" s="48" t="n">
        <f aca="false">Y417+Y407</f>
        <v>612.6</v>
      </c>
      <c r="Z418" s="48" t="n">
        <f aca="false">Z417+Z407</f>
        <v>629.6</v>
      </c>
      <c r="AA418" s="159" t="n">
        <f aca="false">AA417+AA407</f>
        <v>1863.2</v>
      </c>
      <c r="AB418" s="48" t="n">
        <f aca="false">AB417+AB407</f>
        <v>609.2</v>
      </c>
      <c r="AC418" s="48" t="n">
        <f aca="false">AC417+AC407</f>
        <v>36.3000000000001</v>
      </c>
      <c r="AD418" s="48" t="n">
        <f aca="false">AD417+AD407</f>
        <v>681.7</v>
      </c>
      <c r="AE418" s="48" t="n">
        <f aca="false">AE417+AE407</f>
        <v>598.3</v>
      </c>
      <c r="AF418" s="159" t="n">
        <f aca="false">AF417+AF407</f>
        <v>1925.5</v>
      </c>
      <c r="AG418" s="48" t="n">
        <f aca="false">AG417+AG407</f>
        <v>223.9</v>
      </c>
      <c r="AH418" s="48" t="n">
        <f aca="false">AH417+AH407</f>
        <v>-458</v>
      </c>
      <c r="AI418" s="48" t="n">
        <f aca="false">AI417+AI407</f>
        <v>612.5</v>
      </c>
      <c r="AJ418" s="48" t="n">
        <f aca="false">AJ417+AJ407</f>
        <v>574.8</v>
      </c>
      <c r="AK418" s="159" t="n">
        <f aca="false">AK417+AK407</f>
        <v>953.2</v>
      </c>
      <c r="AL418" s="48" t="n">
        <f aca="false">AL417+AL407</f>
        <v>267.6</v>
      </c>
      <c r="AM418" s="48" t="n">
        <f aca="false">AM417+AM407</f>
        <v>87.3999999999999</v>
      </c>
      <c r="AN418" s="48" t="n">
        <f aca="false">AN417+AN407</f>
        <v>884.8</v>
      </c>
      <c r="AO418" s="48" t="n">
        <f aca="false">AO417+AO407</f>
        <v>789</v>
      </c>
      <c r="AP418" s="159" t="n">
        <f aca="false">AP417+AP407</f>
        <v>2028.8</v>
      </c>
      <c r="AQ418" s="48" t="n">
        <f aca="false">AQ417+AQ407</f>
        <v>1256.3</v>
      </c>
      <c r="AR418" s="48" t="n">
        <f aca="false">AR417+AR407</f>
        <v>307.6</v>
      </c>
      <c r="AS418" s="48" t="n">
        <f aca="false">AS417+AS407</f>
        <v>1331.2</v>
      </c>
      <c r="AT418" s="48" t="n">
        <f aca="false">AT417+AT407</f>
        <v>749.7</v>
      </c>
      <c r="AU418" s="159" t="n">
        <f aca="false">AU417+AU407</f>
        <v>3644.8</v>
      </c>
      <c r="AV418" s="48" t="n">
        <f aca="false">AV417+AV407</f>
        <v>561.3</v>
      </c>
      <c r="AW418" s="48" t="n">
        <f aca="false">AW417+AW407</f>
        <v>-196.8</v>
      </c>
      <c r="AX418" s="48" t="n">
        <f aca="false">AX417+AX407</f>
        <v>671.5</v>
      </c>
      <c r="AY418" s="48" t="n">
        <f aca="false">AY417+AY407</f>
        <v>1130.5</v>
      </c>
      <c r="AZ418" s="159" t="n">
        <f aca="false">AZ417+AZ407</f>
        <v>2166.5</v>
      </c>
      <c r="BA418" s="48" t="n">
        <f aca="false">BA417+BA407</f>
        <v>1114.7</v>
      </c>
      <c r="BB418" s="48" t="n">
        <f aca="false">BB417+BB407</f>
        <v>1011</v>
      </c>
      <c r="BC418" s="48" t="n">
        <f aca="false">BC417+BC407</f>
        <v>960.6</v>
      </c>
      <c r="BD418" s="48" t="n">
        <f aca="false">BD417+BD407</f>
        <v>1476.2</v>
      </c>
      <c r="BE418" s="159" t="n">
        <f aca="false">BE417+BE407</f>
        <v>4562.5</v>
      </c>
      <c r="BF418" s="48" t="n">
        <f aca="false">BF417+BF407</f>
        <v>552.3</v>
      </c>
      <c r="BG418" s="48" t="n">
        <f aca="false">BG417+BG407</f>
        <v>700.2</v>
      </c>
      <c r="BH418" s="48" t="n">
        <f aca="false">BH417+BH407</f>
        <v>1319.9</v>
      </c>
      <c r="BI418" s="48" t="n">
        <f aca="false">BI417+BI407</f>
        <v>2004.5</v>
      </c>
      <c r="BJ418" s="159" t="n">
        <f aca="false">BJ417+BJ407</f>
        <v>4576.9</v>
      </c>
      <c r="BK418" s="48" t="n">
        <f aca="false">BK417+BK407</f>
        <v>1728.5</v>
      </c>
      <c r="BL418" s="48" t="n">
        <f aca="false">BL417+BL407</f>
        <v>1514.5</v>
      </c>
      <c r="BM418" s="48" t="n">
        <f aca="false">BM417+BM407</f>
        <v>1527.4</v>
      </c>
      <c r="BN418" s="48" t="n">
        <f aca="false">BN417+BN407</f>
        <v>2680.1</v>
      </c>
      <c r="BO418" s="160" t="n">
        <f aca="false">BO417+BO407</f>
        <v>7450.5</v>
      </c>
      <c r="BP418" s="48" t="n">
        <f aca="false">BP417+BP407</f>
        <v>1894.155813444</v>
      </c>
      <c r="BQ418" s="48" t="n">
        <f aca="false">BQ417+BQ407</f>
        <v>2221.41909940762</v>
      </c>
      <c r="BR418" s="48" t="n">
        <f aca="false">BR417+BR407</f>
        <v>2158.57724020066</v>
      </c>
      <c r="BS418" s="48" t="n">
        <f aca="false">BS417+BS407</f>
        <v>2444.34313441817</v>
      </c>
      <c r="BT418" s="159" t="n">
        <f aca="false">BT417+BT407</f>
        <v>8718.49528747045</v>
      </c>
      <c r="BU418" s="48" t="n">
        <f aca="false">BU417+BU407</f>
        <v>1997.43743904919</v>
      </c>
      <c r="BV418" s="48" t="n">
        <f aca="false">BV417+BV407</f>
        <v>2761.00346630726</v>
      </c>
      <c r="BW418" s="48" t="n">
        <f aca="false">BW417+BW407</f>
        <v>2633.80699443119</v>
      </c>
      <c r="BX418" s="48" t="n">
        <f aca="false">BX417+BX407</f>
        <v>2776.92208960955</v>
      </c>
      <c r="BY418" s="159" t="n">
        <f aca="false">BY417+BY407</f>
        <v>10169.1699893972</v>
      </c>
      <c r="BZ418" s="159" t="n">
        <f aca="false">BZ417+BZ407</f>
        <v>12548.9752350442</v>
      </c>
      <c r="CA418" s="159" t="n">
        <f aca="false">CA417+CA407</f>
        <v>13469.5528982822</v>
      </c>
      <c r="CB418" s="159" t="n">
        <f aca="false">CB417+CB407</f>
        <v>14468.122968734</v>
      </c>
      <c r="CC418" s="48"/>
    </row>
    <row r="419" s="51" customFormat="true" ht="15" hidden="true" customHeight="true" outlineLevel="1" collapsed="false">
      <c r="A419" s="48" t="s">
        <v>476</v>
      </c>
      <c r="B419" s="254"/>
      <c r="C419" s="159" t="n">
        <f aca="false">C418+C405+C406</f>
        <v>-121.417</v>
      </c>
      <c r="D419" s="159" t="n">
        <f aca="false">D418+D405+D406</f>
        <v>1067.474</v>
      </c>
      <c r="E419" s="159" t="n">
        <f aca="false">E418+E405+E406</f>
        <v>1311.071</v>
      </c>
      <c r="F419" s="159" t="n">
        <f aca="false">F418+F405+F406</f>
        <v>1037.431</v>
      </c>
      <c r="G419" s="159" t="n">
        <f aca="false">G418+G405+G406</f>
        <v>581.171</v>
      </c>
      <c r="H419" s="48" t="n">
        <f aca="false">H418+H405+H406</f>
        <v>277.7</v>
      </c>
      <c r="I419" s="48" t="n">
        <f aca="false">I418+I405+I406</f>
        <v>196.8</v>
      </c>
      <c r="J419" s="48" t="n">
        <f aca="false">J418+J405+J406</f>
        <v>235.3</v>
      </c>
      <c r="K419" s="48" t="n">
        <f aca="false">K418+K405+K406</f>
        <v>293.604</v>
      </c>
      <c r="L419" s="159" t="n">
        <f aca="false">L418+L405+L406</f>
        <v>1003.404</v>
      </c>
      <c r="M419" s="48" t="n">
        <f aca="false">M418+M405+M406</f>
        <v>451.5</v>
      </c>
      <c r="N419" s="48" t="n">
        <f aca="false">N418+N405+N406</f>
        <v>129.6</v>
      </c>
      <c r="O419" s="48" t="n">
        <f aca="false">O418+O405+O406</f>
        <v>426.6</v>
      </c>
      <c r="P419" s="48" t="n">
        <f aca="false">P418+P405+P406</f>
        <v>325.177</v>
      </c>
      <c r="Q419" s="159" t="n">
        <f aca="false">Q418+Q405+Q406</f>
        <v>1332.877</v>
      </c>
      <c r="R419" s="48" t="n">
        <f aca="false">R418+R405+R406</f>
        <v>269.1</v>
      </c>
      <c r="S419" s="48" t="n">
        <f aca="false">S418+S405+S406</f>
        <v>-79.3</v>
      </c>
      <c r="T419" s="48" t="n">
        <f aca="false">T418+T405+T406</f>
        <v>470.2</v>
      </c>
      <c r="U419" s="48" t="n">
        <f aca="false">U418+U405+U406</f>
        <v>-2111.1</v>
      </c>
      <c r="V419" s="159" t="n">
        <f aca="false">V418+V405+V406</f>
        <v>-1451.1</v>
      </c>
      <c r="W419" s="48" t="n">
        <f aca="false">W418+W405+W406</f>
        <v>579.2</v>
      </c>
      <c r="X419" s="48" t="n">
        <f aca="false">X418+X405+X406</f>
        <v>41.8</v>
      </c>
      <c r="Y419" s="48" t="n">
        <f aca="false">Y418+Y405+Y406</f>
        <v>612.6</v>
      </c>
      <c r="Z419" s="48" t="n">
        <f aca="false">Z418+Z405+Z406</f>
        <v>629.6</v>
      </c>
      <c r="AA419" s="159" t="n">
        <f aca="false">AA418+AA405+AA406</f>
        <v>1863.2</v>
      </c>
      <c r="AB419" s="48" t="n">
        <f aca="false">AB418+AB405+AB406</f>
        <v>609.2</v>
      </c>
      <c r="AC419" s="48" t="n">
        <f aca="false">AC418+AC405+AC406</f>
        <v>36.3000000000001</v>
      </c>
      <c r="AD419" s="48" t="n">
        <f aca="false">AD418+AD405+AD406</f>
        <v>681.7</v>
      </c>
      <c r="AE419" s="48" t="n">
        <f aca="false">AE418+AE405+AE406</f>
        <v>598.3</v>
      </c>
      <c r="AF419" s="159" t="n">
        <f aca="false">AF418+AF405+AF406</f>
        <v>1925.5</v>
      </c>
      <c r="AG419" s="48" t="n">
        <f aca="false">AG418+AG405+AG406</f>
        <v>223.9</v>
      </c>
      <c r="AH419" s="48" t="n">
        <f aca="false">AH418+AH405+AH406</f>
        <v>-458</v>
      </c>
      <c r="AI419" s="48" t="n">
        <f aca="false">AI418+AI405+AI406</f>
        <v>612.5</v>
      </c>
      <c r="AJ419" s="48" t="n">
        <f aca="false">AJ418+AJ405+AJ406</f>
        <v>574.8</v>
      </c>
      <c r="AK419" s="159" t="n">
        <f aca="false">AK418+AK405+AK406</f>
        <v>953.2</v>
      </c>
      <c r="AL419" s="48" t="n">
        <f aca="false">AL418+AL405+AL406</f>
        <v>267.6</v>
      </c>
      <c r="AM419" s="48" t="n">
        <f aca="false">AM418+AM405+AM406</f>
        <v>87.3999999999999</v>
      </c>
      <c r="AN419" s="48" t="n">
        <f aca="false">AN418+AN405+AN406</f>
        <v>884.8</v>
      </c>
      <c r="AO419" s="48" t="n">
        <f aca="false">AO418+AO405+AO406</f>
        <v>566.2</v>
      </c>
      <c r="AP419" s="159" t="n">
        <f aca="false">AP418+AP405+AP406</f>
        <v>1806</v>
      </c>
      <c r="AQ419" s="48" t="n">
        <f aca="false">AQ418+AQ405+AQ406</f>
        <v>1256.3</v>
      </c>
      <c r="AR419" s="48" t="n">
        <f aca="false">AR418+AR405+AR406</f>
        <v>320.5</v>
      </c>
      <c r="AS419" s="48" t="n">
        <f aca="false">AS418+AS405+AS406</f>
        <v>1331.2</v>
      </c>
      <c r="AT419" s="48" t="n">
        <f aca="false">AT418+AT405+AT406</f>
        <v>1065.8</v>
      </c>
      <c r="AU419" s="159" t="n">
        <f aca="false">AU418+AU405+AU406</f>
        <v>3973.8</v>
      </c>
      <c r="AV419" s="48" t="n">
        <f aca="false">AV418+AV405+AV406</f>
        <v>561.3</v>
      </c>
      <c r="AW419" s="48" t="n">
        <f aca="false">AW418+AW405+AW406</f>
        <v>-196.8</v>
      </c>
      <c r="AX419" s="48" t="n">
        <f aca="false">AX418+AX405+AX406</f>
        <v>671.5</v>
      </c>
      <c r="AY419" s="48" t="n">
        <f aca="false">AY418+AY405+AY406</f>
        <v>1130.5</v>
      </c>
      <c r="AZ419" s="159" t="n">
        <f aca="false">AZ418+AZ405+AZ406</f>
        <v>2166.5</v>
      </c>
      <c r="BA419" s="48" t="n">
        <f aca="false">BA418+BA405+BA406</f>
        <v>1114.7</v>
      </c>
      <c r="BB419" s="48" t="n">
        <f aca="false">BB418+BB405+BB406</f>
        <v>1011</v>
      </c>
      <c r="BC419" s="48" t="n">
        <f aca="false">BC418+BC405+BC406</f>
        <v>933</v>
      </c>
      <c r="BD419" s="48" t="n">
        <f aca="false">BD418+BD405+BD406</f>
        <v>1470.2</v>
      </c>
      <c r="BE419" s="159" t="n">
        <f aca="false">BE418+BE405+BE406</f>
        <v>4528.9</v>
      </c>
      <c r="BF419" s="48" t="n">
        <f aca="false">BF418+BF405+BF406</f>
        <v>552.3</v>
      </c>
      <c r="BG419" s="48" t="n">
        <f aca="false">BG418+BG405+BG406</f>
        <v>700.2</v>
      </c>
      <c r="BH419" s="48" t="n">
        <f aca="false">BH418+BH405+BH406</f>
        <v>1319.9</v>
      </c>
      <c r="BI419" s="48" t="n">
        <f aca="false">BI418+BI405+BI406</f>
        <v>2004.5</v>
      </c>
      <c r="BJ419" s="159" t="n">
        <f aca="false">BJ418+BJ405+BJ406</f>
        <v>4576.9</v>
      </c>
      <c r="BK419" s="48" t="n">
        <f aca="false">BK418+BK405+BK406</f>
        <v>1728.5</v>
      </c>
      <c r="BL419" s="48" t="n">
        <f aca="false">BL418+BL405+BL406</f>
        <v>1514.5</v>
      </c>
      <c r="BM419" s="48" t="n">
        <f aca="false">BM418+BM405+BM406</f>
        <v>1527.4</v>
      </c>
      <c r="BN419" s="48" t="n">
        <f aca="false">BN418+BN405+BN406</f>
        <v>2680.1</v>
      </c>
      <c r="BO419" s="160" t="n">
        <f aca="false">BO418+BO405+BO406</f>
        <v>7450.5</v>
      </c>
      <c r="BP419" s="48" t="n">
        <f aca="false">BP418+BP405+BP406</f>
        <v>1894.155813444</v>
      </c>
      <c r="BQ419" s="48" t="n">
        <f aca="false">BQ418+BQ405+BQ406</f>
        <v>2221.41909940762</v>
      </c>
      <c r="BR419" s="48" t="n">
        <f aca="false">BR418+BR405+BR406</f>
        <v>2158.57724020066</v>
      </c>
      <c r="BS419" s="48" t="n">
        <f aca="false">BS418+BS405+BS406</f>
        <v>2444.34313441817</v>
      </c>
      <c r="BT419" s="159" t="n">
        <f aca="false">BT418+BT405+BT406</f>
        <v>8718.49528747045</v>
      </c>
      <c r="BU419" s="48" t="n">
        <f aca="false">BU418+BU405+BU406</f>
        <v>1997.43743904919</v>
      </c>
      <c r="BV419" s="48" t="n">
        <f aca="false">BV418+BV405+BV406</f>
        <v>2761.00346630726</v>
      </c>
      <c r="BW419" s="48" t="n">
        <f aca="false">BW418+BW405+BW406</f>
        <v>2633.80699443119</v>
      </c>
      <c r="BX419" s="48" t="n">
        <f aca="false">BX418+BX405+BX406</f>
        <v>2776.92208960955</v>
      </c>
      <c r="BY419" s="159" t="n">
        <f aca="false">BY418+BY405+BY406</f>
        <v>10169.1699893972</v>
      </c>
      <c r="BZ419" s="159" t="n">
        <f aca="false">BZ418+BZ405+BZ406</f>
        <v>12548.9752350442</v>
      </c>
      <c r="CA419" s="159" t="n">
        <f aca="false">CA418+CA405+CA406</f>
        <v>13469.5528982822</v>
      </c>
      <c r="CB419" s="159" t="n">
        <f aca="false">CB418+CB405+CB406</f>
        <v>14468.122968734</v>
      </c>
      <c r="CC419" s="48"/>
    </row>
    <row r="420" s="51" customFormat="true" ht="15" hidden="true" customHeight="true" outlineLevel="1" collapsed="false">
      <c r="A420" s="268" t="s">
        <v>477</v>
      </c>
      <c r="B420" s="266"/>
      <c r="C420" s="267" t="n">
        <f aca="false">C419+C410+C411</f>
        <v>-111.759</v>
      </c>
      <c r="D420" s="267" t="n">
        <f aca="false">D419+D410+D411</f>
        <v>1097.03</v>
      </c>
      <c r="E420" s="267" t="n">
        <f aca="false">E419+E410+E411</f>
        <v>642.166</v>
      </c>
      <c r="F420" s="267" t="n">
        <f aca="false">F419+F410+F411</f>
        <v>4406.948</v>
      </c>
      <c r="G420" s="267" t="n">
        <f aca="false">G419+G410+G411</f>
        <v>681.035</v>
      </c>
      <c r="H420" s="268" t="n">
        <f aca="false">H419+H410+H411</f>
        <v>137.1</v>
      </c>
      <c r="I420" s="268" t="n">
        <f aca="false">I419+I410+I411</f>
        <v>48.9999999999999</v>
      </c>
      <c r="J420" s="268" t="n">
        <f aca="false">J419+J410+J411</f>
        <v>73.6</v>
      </c>
      <c r="K420" s="268" t="n">
        <f aca="false">K419+K410+K411</f>
        <v>79.2550000000002</v>
      </c>
      <c r="L420" s="267" t="n">
        <f aca="false">L419+L410+L411</f>
        <v>338.955</v>
      </c>
      <c r="M420" s="268" t="n">
        <f aca="false">M419+M410+M411</f>
        <v>338</v>
      </c>
      <c r="N420" s="268" t="n">
        <f aca="false">N419+N410+N411</f>
        <v>-26.6</v>
      </c>
      <c r="O420" s="268" t="n">
        <f aca="false">O419+O410+O411</f>
        <v>293.1</v>
      </c>
      <c r="P420" s="268" t="n">
        <f aca="false">P419+P410+P411</f>
        <v>193.081</v>
      </c>
      <c r="Q420" s="267" t="n">
        <f aca="false">Q419+Q410+Q411</f>
        <v>797.581</v>
      </c>
      <c r="R420" s="268" t="n">
        <f aca="false">R419+R410+R411</f>
        <v>65</v>
      </c>
      <c r="S420" s="268" t="n">
        <f aca="false">S419+S410+S411</f>
        <v>-240.3</v>
      </c>
      <c r="T420" s="268" t="n">
        <f aca="false">T419+T410+T411</f>
        <v>1950.9</v>
      </c>
      <c r="U420" s="268" t="n">
        <f aca="false">U419+U410+U411</f>
        <v>-818.100000000001</v>
      </c>
      <c r="V420" s="267" t="n">
        <f aca="false">V419+V410+V411</f>
        <v>957.5</v>
      </c>
      <c r="W420" s="268" t="n">
        <f aca="false">W419+W410+W411</f>
        <v>591</v>
      </c>
      <c r="X420" s="268" t="n">
        <f aca="false">X419+X410+X411</f>
        <v>-185.8</v>
      </c>
      <c r="Y420" s="268" t="n">
        <f aca="false">Y419+Y410+Y411</f>
        <v>458.6</v>
      </c>
      <c r="Z420" s="268" t="n">
        <f aca="false">Z419+Z410+Z411</f>
        <v>307</v>
      </c>
      <c r="AA420" s="267" t="n">
        <f aca="false">AA419+AA410+AA411</f>
        <v>1170.8</v>
      </c>
      <c r="AB420" s="268" t="n">
        <f aca="false">AB419+AB410+AB411</f>
        <v>449</v>
      </c>
      <c r="AC420" s="268" t="n">
        <f aca="false">AC419+AC410+AC411</f>
        <v>-211.8</v>
      </c>
      <c r="AD420" s="268" t="n">
        <f aca="false">AD419+AD410+AD411</f>
        <v>315.8</v>
      </c>
      <c r="AE420" s="268" t="n">
        <f aca="false">AE419+AE410+AE411</f>
        <v>245.3</v>
      </c>
      <c r="AF420" s="267" t="n">
        <f aca="false">AF419+AF410+AF411</f>
        <v>798.3</v>
      </c>
      <c r="AG420" s="268" t="n">
        <f aca="false">AG419+AG410+AG411</f>
        <v>175.8</v>
      </c>
      <c r="AH420" s="268" t="n">
        <f aca="false">AH419+AH410+AH411</f>
        <v>-469.2</v>
      </c>
      <c r="AI420" s="268" t="n">
        <f aca="false">AI419+AI410+AI411</f>
        <v>470.5</v>
      </c>
      <c r="AJ420" s="268" t="n">
        <f aca="false">AJ419+AJ410+AJ411</f>
        <v>389.5</v>
      </c>
      <c r="AK420" s="267" t="n">
        <f aca="false">AK419+AK410+AK411</f>
        <v>566.6</v>
      </c>
      <c r="AL420" s="268" t="n">
        <f aca="false">AL419+AL410+AL411</f>
        <v>507.6</v>
      </c>
      <c r="AM420" s="268" t="n">
        <f aca="false">AM419+AM410+AM411</f>
        <v>844.1</v>
      </c>
      <c r="AN420" s="268" t="n">
        <f aca="false">AN419+AN410+AN411</f>
        <v>894.3</v>
      </c>
      <c r="AO420" s="268" t="n">
        <f aca="false">AO419+AO410+AO411</f>
        <v>-126.6</v>
      </c>
      <c r="AP420" s="267" t="n">
        <f aca="false">AP419+AP410+AP411</f>
        <v>2119.4</v>
      </c>
      <c r="AQ420" s="268" t="n">
        <f aca="false">AQ419+AQ410+AQ411</f>
        <v>-303.9</v>
      </c>
      <c r="AR420" s="268" t="n">
        <f aca="false">AR419+AR410+AR411</f>
        <v>-1653</v>
      </c>
      <c r="AS420" s="268" t="n">
        <f aca="false">AS419+AS410+AS411</f>
        <v>-1060.7</v>
      </c>
      <c r="AT420" s="268" t="n">
        <f aca="false">AT419+AT410+AT411</f>
        <v>-1532</v>
      </c>
      <c r="AU420" s="267" t="n">
        <f aca="false">AU419+AU410+AU411</f>
        <v>-4549.6</v>
      </c>
      <c r="AV420" s="268" t="n">
        <f aca="false">AV419+AV410+AV411</f>
        <v>-1468.9</v>
      </c>
      <c r="AW420" s="268" t="n">
        <f aca="false">AW419+AW410+AW411</f>
        <v>-1358.9</v>
      </c>
      <c r="AX420" s="268" t="n">
        <f aca="false">AX419+AX410+AX411</f>
        <v>-397.8</v>
      </c>
      <c r="AY420" s="268" t="n">
        <f aca="false">AY419+AY410+AY411</f>
        <v>813.6</v>
      </c>
      <c r="AZ420" s="267" t="n">
        <f aca="false">AZ419+AZ410+AZ411</f>
        <v>-2412</v>
      </c>
      <c r="BA420" s="268" t="n">
        <f aca="false">BA419+BA410+BA411</f>
        <v>739.7</v>
      </c>
      <c r="BB420" s="268" t="n">
        <f aca="false">BB419+BB410+BB411</f>
        <v>1540.5</v>
      </c>
      <c r="BC420" s="268" t="n">
        <f aca="false">BC419+BC410+BC411</f>
        <v>97.1999999999997</v>
      </c>
      <c r="BD420" s="268" t="n">
        <f aca="false">BD419+BD410+BD411</f>
        <v>1495.9</v>
      </c>
      <c r="BE420" s="267" t="n">
        <f aca="false">BE419+BE410+BE411</f>
        <v>3873.3</v>
      </c>
      <c r="BF420" s="268" t="n">
        <f aca="false">BF419+BF410+BF411</f>
        <v>195.9</v>
      </c>
      <c r="BG420" s="268" t="n">
        <f aca="false">BG419+BG410+BG411</f>
        <v>616.2</v>
      </c>
      <c r="BH420" s="268" t="n">
        <f aca="false">BH419+BH410+BH411</f>
        <v>1350.7</v>
      </c>
      <c r="BI420" s="268" t="n">
        <f aca="false">BI419+BI410+BI411</f>
        <v>2034.9</v>
      </c>
      <c r="BJ420" s="267" t="n">
        <f aca="false">BJ419+BJ410+BJ411</f>
        <v>4197.7</v>
      </c>
      <c r="BK420" s="268" t="n">
        <f aca="false">BK419+BK410+BK411</f>
        <v>-825.7</v>
      </c>
      <c r="BL420" s="268" t="n">
        <f aca="false">BL419+BL410+BL411</f>
        <v>65.1000000000001</v>
      </c>
      <c r="BM420" s="268" t="n">
        <f aca="false">BM419+BM410+BM411</f>
        <v>1405</v>
      </c>
      <c r="BN420" s="268" t="n">
        <f aca="false">BN419+BN410+BN411</f>
        <v>685.899999999999</v>
      </c>
      <c r="BO420" s="269" t="n">
        <f aca="false">BO419+BO410+BO411</f>
        <v>1330.3</v>
      </c>
      <c r="BP420" s="268" t="n">
        <f aca="false">BP419+BP410+BP411</f>
        <v>1894.155813444</v>
      </c>
      <c r="BQ420" s="268" t="n">
        <f aca="false">BQ419+BQ410+BQ411</f>
        <v>2221.41909940762</v>
      </c>
      <c r="BR420" s="268" t="n">
        <f aca="false">BR419+BR410+BR411</f>
        <v>2158.57724020066</v>
      </c>
      <c r="BS420" s="268" t="n">
        <f aca="false">BS419+BS410+BS411</f>
        <v>2444.34313441817</v>
      </c>
      <c r="BT420" s="267" t="n">
        <f aca="false">BT419+BT410+BT411</f>
        <v>8718.49528747045</v>
      </c>
      <c r="BU420" s="268" t="n">
        <f aca="false">BU419+BU410+BU411</f>
        <v>1997.43743904919</v>
      </c>
      <c r="BV420" s="268" t="n">
        <f aca="false">BV419+BV410+BV411</f>
        <v>2761.00346630726</v>
      </c>
      <c r="BW420" s="268" t="n">
        <f aca="false">BW419+BW410+BW411</f>
        <v>2633.80699443119</v>
      </c>
      <c r="BX420" s="268" t="n">
        <f aca="false">BX419+BX410+BX411</f>
        <v>2776.92208960955</v>
      </c>
      <c r="BY420" s="267" t="n">
        <f aca="false">BY419+BY410+BY411</f>
        <v>10169.1699893972</v>
      </c>
      <c r="BZ420" s="267" t="n">
        <f aca="false">BZ419+BZ410+BZ411</f>
        <v>12548.9752350442</v>
      </c>
      <c r="CA420" s="267" t="n">
        <f aca="false">CA419+CA410+CA411</f>
        <v>13469.5528982822</v>
      </c>
      <c r="CB420" s="267" t="n">
        <f aca="false">CB419+CB410+CB411</f>
        <v>14468.122968734</v>
      </c>
      <c r="CC420" s="48"/>
    </row>
    <row r="421" s="51" customFormat="true" ht="15" hidden="false" customHeight="true" outlineLevel="0" collapsed="false">
      <c r="A421" s="48" t="s">
        <v>478</v>
      </c>
      <c r="B421" s="254"/>
      <c r="C421" s="159" t="n">
        <f aca="false">C399+C403</f>
        <v>-5.76500000000004</v>
      </c>
      <c r="D421" s="159" t="n">
        <f aca="false">D399+D403</f>
        <v>811.32</v>
      </c>
      <c r="E421" s="159" t="n">
        <f aca="false">E399+E403</f>
        <v>1769.542</v>
      </c>
      <c r="F421" s="159" t="n">
        <f aca="false">F399+F403</f>
        <v>523.942</v>
      </c>
      <c r="G421" s="159" t="n">
        <f aca="false">G399+G403</f>
        <v>839.369</v>
      </c>
      <c r="H421" s="48" t="n">
        <f aca="false">H399+H403</f>
        <v>127.9</v>
      </c>
      <c r="I421" s="48" t="n">
        <f aca="false">I399+I403</f>
        <v>124.7</v>
      </c>
      <c r="J421" s="48" t="n">
        <f aca="false">J399+J403</f>
        <v>130</v>
      </c>
      <c r="K421" s="48" t="n">
        <f aca="false">K399+K403</f>
        <v>281.374</v>
      </c>
      <c r="L421" s="159" t="n">
        <f aca="false">L399+L403</f>
        <v>663.974</v>
      </c>
      <c r="M421" s="48" t="n">
        <f aca="false">M399+M403</f>
        <v>250.5</v>
      </c>
      <c r="N421" s="48" t="n">
        <f aca="false">N399+N403</f>
        <v>204.6</v>
      </c>
      <c r="O421" s="48" t="n">
        <f aca="false">O399+O403</f>
        <v>333.3</v>
      </c>
      <c r="P421" s="48" t="n">
        <f aca="false">P399+P403</f>
        <v>864.302</v>
      </c>
      <c r="Q421" s="159" t="n">
        <f aca="false">Q399+Q403</f>
        <v>1652.702</v>
      </c>
      <c r="R421" s="48" t="n">
        <f aca="false">R399+R403</f>
        <v>-64.6</v>
      </c>
      <c r="S421" s="48" t="n">
        <f aca="false">S399+S403</f>
        <v>380.9</v>
      </c>
      <c r="T421" s="48" t="n">
        <f aca="false">T399+T403</f>
        <v>-71.5999999999999</v>
      </c>
      <c r="U421" s="48" t="n">
        <f aca="false">U399+U403</f>
        <v>1096.5</v>
      </c>
      <c r="V421" s="159" t="n">
        <f aca="false">V399+V403</f>
        <v>1341.2</v>
      </c>
      <c r="W421" s="48" t="n">
        <f aca="false">W399+W403</f>
        <v>-212.2</v>
      </c>
      <c r="X421" s="48" t="n">
        <f aca="false">X399+X403</f>
        <v>469</v>
      </c>
      <c r="Y421" s="48" t="n">
        <f aca="false">Y399+Y403</f>
        <v>302.2</v>
      </c>
      <c r="Z421" s="48" t="n">
        <f aca="false">Z399+Z403</f>
        <v>881.6</v>
      </c>
      <c r="AA421" s="159" t="n">
        <f aca="false">AA399+AA403</f>
        <v>1440.6</v>
      </c>
      <c r="AB421" s="48" t="n">
        <f aca="false">AB399+AB403</f>
        <v>55.7</v>
      </c>
      <c r="AC421" s="48" t="n">
        <f aca="false">AC399+AC403</f>
        <v>623.7</v>
      </c>
      <c r="AD421" s="48" t="n">
        <f aca="false">AD399+AD403</f>
        <v>357.9</v>
      </c>
      <c r="AE421" s="48" t="n">
        <f aca="false">AE399+AE403</f>
        <v>1425.9</v>
      </c>
      <c r="AF421" s="159" t="n">
        <f aca="false">AF399+AF403</f>
        <v>2463.2</v>
      </c>
      <c r="AG421" s="48" t="n">
        <f aca="false">AG399+AG403</f>
        <v>-714.5</v>
      </c>
      <c r="AH421" s="48" t="n">
        <f aca="false">AH399+AH403</f>
        <v>-40.5</v>
      </c>
      <c r="AI421" s="48" t="n">
        <f aca="false">AI399+AI403</f>
        <v>-127.6</v>
      </c>
      <c r="AJ421" s="48" t="n">
        <f aca="false">AJ399+AJ403</f>
        <v>3273.1</v>
      </c>
      <c r="AK421" s="159" t="n">
        <f aca="false">AK399+AK403</f>
        <v>2390.5</v>
      </c>
      <c r="AL421" s="48" t="n">
        <f aca="false">AL399+AL403</f>
        <v>-848.1</v>
      </c>
      <c r="AM421" s="48" t="n">
        <f aca="false">AM399+AM403</f>
        <v>140.1</v>
      </c>
      <c r="AN421" s="48" t="n">
        <f aca="false">AN399+AN403</f>
        <v>-30.4999999999999</v>
      </c>
      <c r="AO421" s="48" t="n">
        <f aca="false">AO399+AO403</f>
        <v>4365.3</v>
      </c>
      <c r="AP421" s="159" t="n">
        <f aca="false">AP399+AP403</f>
        <v>3626.8</v>
      </c>
      <c r="AQ421" s="48" t="n">
        <f aca="false">AQ399+AQ403</f>
        <v>-1139</v>
      </c>
      <c r="AR421" s="48" t="n">
        <f aca="false">AR399+AR403</f>
        <v>3321.5</v>
      </c>
      <c r="AS421" s="48" t="n">
        <f aca="false">AS399+AS403</f>
        <v>1596.6</v>
      </c>
      <c r="AT421" s="48" t="n">
        <f aca="false">AT399+AT403</f>
        <v>6126.4</v>
      </c>
      <c r="AU421" s="159" t="n">
        <f aca="false">AU399+AU403</f>
        <v>9905.5</v>
      </c>
      <c r="AV421" s="48" t="n">
        <f aca="false">AV399+AV403</f>
        <v>-837.7</v>
      </c>
      <c r="AW421" s="48" t="n">
        <f aca="false">AW399+AW403</f>
        <v>2315.4</v>
      </c>
      <c r="AX421" s="48" t="n">
        <f aca="false">AX399+AX403</f>
        <v>805.2</v>
      </c>
      <c r="AY421" s="48" t="n">
        <f aca="false">AY399+AY403</f>
        <v>4884.6</v>
      </c>
      <c r="AZ421" s="159" t="n">
        <f aca="false">AZ399+AZ403</f>
        <v>7167.5</v>
      </c>
      <c r="BA421" s="48" t="n">
        <f aca="false">BA399+BA403</f>
        <v>194.2</v>
      </c>
      <c r="BB421" s="48" t="n">
        <f aca="false">BB399+BB403</f>
        <v>-159.7</v>
      </c>
      <c r="BC421" s="48" t="n">
        <f aca="false">BC399+BC403</f>
        <v>618</v>
      </c>
      <c r="BD421" s="48" t="n">
        <f aca="false">BD399+BD403</f>
        <v>2594.7</v>
      </c>
      <c r="BE421" s="159" t="n">
        <f aca="false">BE399+BE403</f>
        <v>3247.2</v>
      </c>
      <c r="BF421" s="48" t="n">
        <f aca="false">BF399+BF403</f>
        <v>-675.7</v>
      </c>
      <c r="BG421" s="48" t="n">
        <f aca="false">BG399+BG403</f>
        <v>385.4</v>
      </c>
      <c r="BH421" s="48" t="n">
        <f aca="false">BH399+BH403</f>
        <v>534.1</v>
      </c>
      <c r="BI421" s="48" t="n">
        <f aca="false">BI399+BI403</f>
        <v>8839.3</v>
      </c>
      <c r="BJ421" s="159" t="n">
        <f aca="false">BJ399+BJ403</f>
        <v>9083.1</v>
      </c>
      <c r="BK421" s="48" t="n">
        <f aca="false">BK399+BK403</f>
        <v>-475.1</v>
      </c>
      <c r="BL421" s="48" t="n">
        <f aca="false">BL399+BL403</f>
        <v>318.800000000001</v>
      </c>
      <c r="BM421" s="48" t="n">
        <f aca="false">BM399+BM403</f>
        <v>243.7</v>
      </c>
      <c r="BN421" s="48" t="n">
        <f aca="false">BN399+BN403</f>
        <v>10939.9</v>
      </c>
      <c r="BO421" s="160" t="n">
        <f aca="false">BO399+BO403</f>
        <v>11027.3</v>
      </c>
      <c r="BP421" s="48" t="n">
        <f aca="false">BP399+BP403</f>
        <v>4601.58331082869</v>
      </c>
      <c r="BQ421" s="48" t="n">
        <f aca="false">BQ399+BQ403</f>
        <v>2804.31153903595</v>
      </c>
      <c r="BR421" s="48" t="n">
        <f aca="false">BR399+BR403</f>
        <v>2886.41388174133</v>
      </c>
      <c r="BS421" s="48" t="n">
        <f aca="false">BS399+BS403</f>
        <v>1749.40160842435</v>
      </c>
      <c r="BT421" s="159" t="n">
        <f aca="false">BT399+BT403</f>
        <v>12041.7103400303</v>
      </c>
      <c r="BU421" s="48" t="n">
        <f aca="false">BU399+BU403</f>
        <v>4823.81435515345</v>
      </c>
      <c r="BV421" s="48" t="n">
        <f aca="false">BV399+BV403</f>
        <v>3080.24838981037</v>
      </c>
      <c r="BW421" s="48" t="n">
        <f aca="false">BW399+BW403</f>
        <v>3065.60289602693</v>
      </c>
      <c r="BX421" s="48" t="n">
        <f aca="false">BX399+BX403</f>
        <v>2076.2871814397</v>
      </c>
      <c r="BY421" s="159" t="n">
        <f aca="false">BY399+BY403</f>
        <v>13045.9528224304</v>
      </c>
      <c r="BZ421" s="159" t="n">
        <f aca="false">BZ399+BZ403</f>
        <v>16520.2624539768</v>
      </c>
      <c r="CA421" s="159" t="n">
        <f aca="false">CA399+CA403</f>
        <v>16466.5783974526</v>
      </c>
      <c r="CB421" s="159" t="n">
        <f aca="false">CB399+CB403</f>
        <v>17491.4160520722</v>
      </c>
      <c r="CC421" s="48"/>
    </row>
    <row r="422" s="51" customFormat="true" ht="15" hidden="false" customHeight="true" outlineLevel="0" collapsed="false">
      <c r="A422" s="48" t="s">
        <v>479</v>
      </c>
      <c r="B422" s="254"/>
      <c r="C422" s="159" t="n">
        <f aca="false">C421+C407</f>
        <v>-92.2510000000001</v>
      </c>
      <c r="D422" s="159" t="n">
        <f aca="false">D421+D407</f>
        <v>724.36</v>
      </c>
      <c r="E422" s="159" t="n">
        <f aca="false">E421+E407</f>
        <v>1596.897</v>
      </c>
      <c r="F422" s="159" t="n">
        <f aca="false">F421+F407</f>
        <v>335.05</v>
      </c>
      <c r="G422" s="159" t="n">
        <f aca="false">G421+G407</f>
        <v>623.284</v>
      </c>
      <c r="H422" s="48" t="n">
        <f aca="false">H421+H407</f>
        <v>127.9</v>
      </c>
      <c r="I422" s="48" t="n">
        <f aca="false">I421+I407</f>
        <v>-143.3</v>
      </c>
      <c r="J422" s="48" t="n">
        <f aca="false">J421+J407</f>
        <v>130</v>
      </c>
      <c r="K422" s="48" t="n">
        <f aca="false">K421+K407</f>
        <v>281.412</v>
      </c>
      <c r="L422" s="159" t="n">
        <f aca="false">L421+L407</f>
        <v>396.012</v>
      </c>
      <c r="M422" s="48" t="n">
        <f aca="false">M421+M407</f>
        <v>250.5</v>
      </c>
      <c r="N422" s="48" t="n">
        <f aca="false">N421+N407</f>
        <v>-97.7</v>
      </c>
      <c r="O422" s="48" t="n">
        <f aca="false">O421+O407</f>
        <v>333.3</v>
      </c>
      <c r="P422" s="48" t="n">
        <f aca="false">P421+P407</f>
        <v>864.292</v>
      </c>
      <c r="Q422" s="159" t="n">
        <f aca="false">Q421+Q407</f>
        <v>1350.392</v>
      </c>
      <c r="R422" s="48" t="n">
        <f aca="false">R421+R407</f>
        <v>-64.6</v>
      </c>
      <c r="S422" s="48" t="n">
        <f aca="false">S421+S407</f>
        <v>-65</v>
      </c>
      <c r="T422" s="48" t="n">
        <f aca="false">T421+T407</f>
        <v>-71.5999999999999</v>
      </c>
      <c r="U422" s="48" t="n">
        <f aca="false">U421+U407</f>
        <v>1096.5</v>
      </c>
      <c r="V422" s="159" t="n">
        <f aca="false">V421+V407</f>
        <v>895.3</v>
      </c>
      <c r="W422" s="48" t="n">
        <f aca="false">W421+W407</f>
        <v>-212.2</v>
      </c>
      <c r="X422" s="48" t="n">
        <f aca="false">X421+X407</f>
        <v>-47.7000000000001</v>
      </c>
      <c r="Y422" s="48" t="n">
        <f aca="false">Y421+Y407</f>
        <v>302.2</v>
      </c>
      <c r="Z422" s="48" t="n">
        <f aca="false">Z421+Z407</f>
        <v>881.6</v>
      </c>
      <c r="AA422" s="159" t="n">
        <f aca="false">AA421+AA407</f>
        <v>923.9</v>
      </c>
      <c r="AB422" s="48" t="n">
        <f aca="false">AB421+AB407</f>
        <v>55.7</v>
      </c>
      <c r="AC422" s="48" t="n">
        <f aca="false">AC421+AC407</f>
        <v>26.6</v>
      </c>
      <c r="AD422" s="48" t="n">
        <f aca="false">AD421+AD407</f>
        <v>357.9</v>
      </c>
      <c r="AE422" s="48" t="n">
        <f aca="false">AE421+AE407</f>
        <v>1425.9</v>
      </c>
      <c r="AF422" s="159" t="n">
        <f aca="false">AF421+AF407</f>
        <v>1866.1</v>
      </c>
      <c r="AG422" s="48" t="n">
        <f aca="false">AG421+AG407</f>
        <v>-714.5</v>
      </c>
      <c r="AH422" s="48" t="n">
        <f aca="false">AH421+AH407</f>
        <v>-924.9</v>
      </c>
      <c r="AI422" s="48" t="n">
        <f aca="false">AI421+AI407</f>
        <v>-127.6</v>
      </c>
      <c r="AJ422" s="48" t="n">
        <f aca="false">AJ421+AJ407</f>
        <v>2831.8</v>
      </c>
      <c r="AK422" s="159" t="n">
        <f aca="false">AK421+AK407</f>
        <v>1064.8</v>
      </c>
      <c r="AL422" s="48" t="n">
        <f aca="false">AL421+AL407</f>
        <v>-848.1</v>
      </c>
      <c r="AM422" s="48" t="n">
        <f aca="false">AM421+AM407</f>
        <v>-424.7</v>
      </c>
      <c r="AN422" s="48" t="n">
        <f aca="false">AN421+AN407</f>
        <v>-30.4999999999999</v>
      </c>
      <c r="AO422" s="48" t="n">
        <f aca="false">AO421+AO407</f>
        <v>3863.7</v>
      </c>
      <c r="AP422" s="159" t="n">
        <f aca="false">AP421+AP407</f>
        <v>2560.4</v>
      </c>
      <c r="AQ422" s="48" t="n">
        <f aca="false">AQ421+AQ407</f>
        <v>-1139</v>
      </c>
      <c r="AR422" s="48" t="n">
        <f aca="false">AR421+AR407</f>
        <v>2682.4</v>
      </c>
      <c r="AS422" s="48" t="n">
        <f aca="false">AS421+AS407</f>
        <v>1596.6</v>
      </c>
      <c r="AT422" s="48" t="n">
        <f aca="false">AT421+AT407</f>
        <v>5397.2</v>
      </c>
      <c r="AU422" s="159" t="n">
        <f aca="false">AU421+AU407</f>
        <v>8537.2</v>
      </c>
      <c r="AV422" s="48" t="n">
        <f aca="false">AV421+AV407</f>
        <v>-837.7</v>
      </c>
      <c r="AW422" s="48" t="n">
        <f aca="false">AW421+AW407</f>
        <v>840.1</v>
      </c>
      <c r="AX422" s="48" t="n">
        <f aca="false">AX421+AX407</f>
        <v>261.8</v>
      </c>
      <c r="AY422" s="48" t="n">
        <f aca="false">AY421+AY407</f>
        <v>4343.5</v>
      </c>
      <c r="AZ422" s="159" t="n">
        <f aca="false">AZ421+AZ407</f>
        <v>4607.7</v>
      </c>
      <c r="BA422" s="48" t="n">
        <f aca="false">BA421+BA407</f>
        <v>-346.9</v>
      </c>
      <c r="BB422" s="48" t="n">
        <f aca="false">BB421+BB407</f>
        <v>-825.7</v>
      </c>
      <c r="BC422" s="48" t="n">
        <f aca="false">BC421+BC407</f>
        <v>47.5999999999997</v>
      </c>
      <c r="BD422" s="48" t="n">
        <f aca="false">BD421+BD407</f>
        <v>2023.9</v>
      </c>
      <c r="BE422" s="159" t="n">
        <f aca="false">BE421+BE407</f>
        <v>898.9</v>
      </c>
      <c r="BF422" s="48" t="n">
        <f aca="false">BF421+BF407</f>
        <v>-1246.7</v>
      </c>
      <c r="BG422" s="48" t="n">
        <f aca="false">BG421+BG407</f>
        <v>-302.9</v>
      </c>
      <c r="BH422" s="48" t="n">
        <f aca="false">BH421+BH407</f>
        <v>-61.6999999999999</v>
      </c>
      <c r="BI422" s="48" t="n">
        <f aca="false">BI421+BI407</f>
        <v>8241.5</v>
      </c>
      <c r="BJ422" s="159" t="n">
        <f aca="false">BJ421+BJ407</f>
        <v>6630.2</v>
      </c>
      <c r="BK422" s="48" t="n">
        <f aca="false">BK421+BK407</f>
        <v>-1072.3</v>
      </c>
      <c r="BL422" s="48" t="n">
        <f aca="false">BL421+BL407</f>
        <v>-395.599999999999</v>
      </c>
      <c r="BM422" s="48" t="n">
        <f aca="false">BM421+BM407</f>
        <v>-375.9</v>
      </c>
      <c r="BN422" s="48" t="n">
        <f aca="false">BN421+BN407</f>
        <v>10320.8</v>
      </c>
      <c r="BO422" s="160" t="n">
        <f aca="false">BO421+BO407</f>
        <v>8477</v>
      </c>
      <c r="BP422" s="48" t="n">
        <f aca="false">BP421+BP407</f>
        <v>3979.95223082869</v>
      </c>
      <c r="BQ422" s="48" t="n">
        <f aca="false">BQ421+BQ407</f>
        <v>2089.36430946175</v>
      </c>
      <c r="BR422" s="48" t="n">
        <f aca="false">BR421+BR407</f>
        <v>2264.65846930902</v>
      </c>
      <c r="BS422" s="48" t="n">
        <f aca="false">BS421+BS407</f>
        <v>1127.5840204508</v>
      </c>
      <c r="BT422" s="159" t="n">
        <f aca="false">BT421+BT407</f>
        <v>9461.55903005026</v>
      </c>
      <c r="BU422" s="48" t="n">
        <f aca="false">BU421+BU407</f>
        <v>4201.9345854211</v>
      </c>
      <c r="BV422" s="48" t="n">
        <f aca="false">BV421+BV407</f>
        <v>2365.01513844464</v>
      </c>
      <c r="BW422" s="48" t="n">
        <f aca="false">BW421+BW407</f>
        <v>2443.59874412183</v>
      </c>
      <c r="BX422" s="48" t="n">
        <f aca="false">BX421+BX407</f>
        <v>1454.22082911941</v>
      </c>
      <c r="BY422" s="159" t="n">
        <f aca="false">BY421+BY407</f>
        <v>10464.769297107</v>
      </c>
      <c r="BZ422" s="159" t="n">
        <f aca="false">BZ421+BZ407</f>
        <v>13938.0416786463</v>
      </c>
      <c r="CA422" s="159" t="n">
        <f aca="false">CA421+CA407</f>
        <v>13883.3247338119</v>
      </c>
      <c r="CB422" s="159" t="n">
        <f aca="false">CB421+CB407</f>
        <v>14907.129086966</v>
      </c>
      <c r="CC422" s="48"/>
    </row>
    <row r="423" s="51" customFormat="true" ht="15" hidden="false" customHeight="true" outlineLevel="0" collapsed="false">
      <c r="A423" s="48" t="s">
        <v>480</v>
      </c>
      <c r="B423" s="254"/>
      <c r="C423" s="159" t="n">
        <f aca="false">C422+C405+C406</f>
        <v>-85.3740000000001</v>
      </c>
      <c r="D423" s="159" t="n">
        <f aca="false">D422+D405+D406</f>
        <v>728.185</v>
      </c>
      <c r="E423" s="159" t="n">
        <f aca="false">E422+E405+E406</f>
        <v>1596.897</v>
      </c>
      <c r="F423" s="159" t="n">
        <f aca="false">F422+F405+F406</f>
        <v>324.758</v>
      </c>
      <c r="G423" s="159" t="n">
        <f aca="false">G422+G405+G406</f>
        <v>179.572</v>
      </c>
      <c r="H423" s="48" t="n">
        <f aca="false">H422+H405+H406</f>
        <v>127.9</v>
      </c>
      <c r="I423" s="48" t="n">
        <f aca="false">I422+I405+I406</f>
        <v>-143.3</v>
      </c>
      <c r="J423" s="48" t="n">
        <f aca="false">J422+J405+J406</f>
        <v>130</v>
      </c>
      <c r="K423" s="48" t="n">
        <f aca="false">K422+K405+K406</f>
        <v>281.412</v>
      </c>
      <c r="L423" s="159" t="n">
        <f aca="false">L422+L405+L406</f>
        <v>396.012</v>
      </c>
      <c r="M423" s="48" t="n">
        <f aca="false">M422+M405+M406</f>
        <v>250.5</v>
      </c>
      <c r="N423" s="48" t="n">
        <f aca="false">N422+N405+N406</f>
        <v>-97.7</v>
      </c>
      <c r="O423" s="48" t="n">
        <f aca="false">O422+O405+O406</f>
        <v>333.3</v>
      </c>
      <c r="P423" s="48" t="n">
        <f aca="false">P422+P405+P406</f>
        <v>864.292</v>
      </c>
      <c r="Q423" s="159" t="n">
        <f aca="false">Q422+Q405+Q406</f>
        <v>1350.392</v>
      </c>
      <c r="R423" s="48" t="n">
        <f aca="false">R422+R405+R406</f>
        <v>-64.6</v>
      </c>
      <c r="S423" s="48" t="n">
        <f aca="false">S422+S405+S406</f>
        <v>-65</v>
      </c>
      <c r="T423" s="48" t="n">
        <f aca="false">T422+T405+T406</f>
        <v>-71.5999999999999</v>
      </c>
      <c r="U423" s="48" t="n">
        <f aca="false">U422+U405+U406</f>
        <v>-1544.8</v>
      </c>
      <c r="V423" s="159" t="n">
        <f aca="false">V422+V405+V406</f>
        <v>-1746</v>
      </c>
      <c r="W423" s="48" t="n">
        <f aca="false">W422+W405+W406</f>
        <v>-212.2</v>
      </c>
      <c r="X423" s="48" t="n">
        <f aca="false">X422+X405+X406</f>
        <v>-47.7000000000001</v>
      </c>
      <c r="Y423" s="48" t="n">
        <f aca="false">Y422+Y405+Y406</f>
        <v>302.2</v>
      </c>
      <c r="Z423" s="48" t="n">
        <f aca="false">Z422+Z405+Z406</f>
        <v>881.6</v>
      </c>
      <c r="AA423" s="159" t="n">
        <f aca="false">AA422+AA405+AA406</f>
        <v>923.9</v>
      </c>
      <c r="AB423" s="48" t="n">
        <f aca="false">AB422+AB405+AB406</f>
        <v>55.7</v>
      </c>
      <c r="AC423" s="48" t="n">
        <f aca="false">AC422+AC405+AC406</f>
        <v>26.6</v>
      </c>
      <c r="AD423" s="48" t="n">
        <f aca="false">AD422+AD405+AD406</f>
        <v>357.9</v>
      </c>
      <c r="AE423" s="48" t="n">
        <f aca="false">AE422+AE405+AE406</f>
        <v>1425.9</v>
      </c>
      <c r="AF423" s="159" t="n">
        <f aca="false">AF422+AF405+AF406</f>
        <v>1866.1</v>
      </c>
      <c r="AG423" s="48" t="n">
        <f aca="false">AG422+AG405+AG406</f>
        <v>-714.5</v>
      </c>
      <c r="AH423" s="48" t="n">
        <f aca="false">AH422+AH405+AH406</f>
        <v>-924.9</v>
      </c>
      <c r="AI423" s="48" t="n">
        <f aca="false">AI422+AI405+AI406</f>
        <v>-127.6</v>
      </c>
      <c r="AJ423" s="48" t="n">
        <f aca="false">AJ422+AJ405+AJ406</f>
        <v>2831.8</v>
      </c>
      <c r="AK423" s="159" t="n">
        <f aca="false">AK422+AK405+AK406</f>
        <v>1064.8</v>
      </c>
      <c r="AL423" s="48" t="n">
        <f aca="false">AL422+AL405+AL406</f>
        <v>-848.1</v>
      </c>
      <c r="AM423" s="48" t="n">
        <f aca="false">AM422+AM405+AM406</f>
        <v>-424.7</v>
      </c>
      <c r="AN423" s="48" t="n">
        <f aca="false">AN422+AN405+AN406</f>
        <v>-30.4999999999999</v>
      </c>
      <c r="AO423" s="48" t="n">
        <f aca="false">AO422+AO405+AO406</f>
        <v>3640.9</v>
      </c>
      <c r="AP423" s="159" t="n">
        <f aca="false">AP422+AP405+AP406</f>
        <v>2337.6</v>
      </c>
      <c r="AQ423" s="48" t="n">
        <f aca="false">AQ422+AQ405+AQ406</f>
        <v>-1139</v>
      </c>
      <c r="AR423" s="48" t="n">
        <f aca="false">AR422+AR405+AR406</f>
        <v>2695.3</v>
      </c>
      <c r="AS423" s="48" t="n">
        <f aca="false">AS422+AS405+AS406</f>
        <v>1596.6</v>
      </c>
      <c r="AT423" s="48" t="n">
        <f aca="false">AT422+AT405+AT406</f>
        <v>5713.3</v>
      </c>
      <c r="AU423" s="159" t="n">
        <f aca="false">AU422+AU405+AU406</f>
        <v>8866.2</v>
      </c>
      <c r="AV423" s="48" t="n">
        <f aca="false">AV422+AV405+AV406</f>
        <v>-837.7</v>
      </c>
      <c r="AW423" s="48" t="n">
        <f aca="false">AW422+AW405+AW406</f>
        <v>840.1</v>
      </c>
      <c r="AX423" s="48" t="n">
        <f aca="false">AX422+AX405+AX406</f>
        <v>261.8</v>
      </c>
      <c r="AY423" s="48" t="n">
        <f aca="false">AY422+AY405+AY406</f>
        <v>4343.5</v>
      </c>
      <c r="AZ423" s="159" t="n">
        <f aca="false">AZ422+AZ405+AZ406</f>
        <v>4607.7</v>
      </c>
      <c r="BA423" s="48" t="n">
        <f aca="false">BA422+BA405+BA406</f>
        <v>-346.9</v>
      </c>
      <c r="BB423" s="48" t="n">
        <f aca="false">BB422+BB405+BB406</f>
        <v>-825.7</v>
      </c>
      <c r="BC423" s="48" t="n">
        <f aca="false">BC422+BC405+BC406</f>
        <v>19.9999999999997</v>
      </c>
      <c r="BD423" s="48" t="n">
        <f aca="false">BD422+BD405+BD406</f>
        <v>2017.9</v>
      </c>
      <c r="BE423" s="159" t="n">
        <f aca="false">BE422+BE405+BE406</f>
        <v>865.3</v>
      </c>
      <c r="BF423" s="48" t="n">
        <f aca="false">BF422+BF405+BF406</f>
        <v>-1246.7</v>
      </c>
      <c r="BG423" s="48" t="n">
        <f aca="false">BG422+BG405+BG406</f>
        <v>-302.9</v>
      </c>
      <c r="BH423" s="48" t="n">
        <f aca="false">BH422+BH405+BH406</f>
        <v>-61.6999999999999</v>
      </c>
      <c r="BI423" s="48" t="n">
        <f aca="false">BI422+BI405+BI406</f>
        <v>8241.5</v>
      </c>
      <c r="BJ423" s="159" t="n">
        <f aca="false">BJ422+BJ405+BJ406</f>
        <v>6630.2</v>
      </c>
      <c r="BK423" s="48" t="n">
        <f aca="false">BK422+BK405+BK406</f>
        <v>-1072.3</v>
      </c>
      <c r="BL423" s="48" t="n">
        <f aca="false">BL422+BL405+BL406</f>
        <v>-395.599999999999</v>
      </c>
      <c r="BM423" s="48" t="n">
        <f aca="false">BM422+BM405+BM406</f>
        <v>-375.9</v>
      </c>
      <c r="BN423" s="48" t="n">
        <f aca="false">BN422+BN405+BN406</f>
        <v>10320.8</v>
      </c>
      <c r="BO423" s="160" t="n">
        <f aca="false">BO422+BO405+BO406</f>
        <v>8477</v>
      </c>
      <c r="BP423" s="48" t="n">
        <f aca="false">BP422+BP405+BP406</f>
        <v>3979.95223082869</v>
      </c>
      <c r="BQ423" s="48" t="n">
        <f aca="false">BQ422+BQ405+BQ406</f>
        <v>2089.36430946175</v>
      </c>
      <c r="BR423" s="48" t="n">
        <f aca="false">BR422+BR405+BR406</f>
        <v>2264.65846930902</v>
      </c>
      <c r="BS423" s="48" t="n">
        <f aca="false">BS422+BS405+BS406</f>
        <v>1127.5840204508</v>
      </c>
      <c r="BT423" s="159" t="n">
        <f aca="false">BT422+BT405+BT406</f>
        <v>9461.55903005026</v>
      </c>
      <c r="BU423" s="48" t="n">
        <f aca="false">BU422+BU405+BU406</f>
        <v>4201.9345854211</v>
      </c>
      <c r="BV423" s="48" t="n">
        <f aca="false">BV422+BV405+BV406</f>
        <v>2365.01513844464</v>
      </c>
      <c r="BW423" s="48" t="n">
        <f aca="false">BW422+BW405+BW406</f>
        <v>2443.59874412183</v>
      </c>
      <c r="BX423" s="48" t="n">
        <f aca="false">BX422+BX405+BX406</f>
        <v>1454.22082911941</v>
      </c>
      <c r="BY423" s="159" t="n">
        <f aca="false">BY422+BY405+BY406</f>
        <v>10464.769297107</v>
      </c>
      <c r="BZ423" s="159" t="n">
        <f aca="false">BZ422+BZ405+BZ406</f>
        <v>13938.0416786463</v>
      </c>
      <c r="CA423" s="159" t="n">
        <f aca="false">CA422+CA405+CA406</f>
        <v>13883.3247338119</v>
      </c>
      <c r="CB423" s="159" t="n">
        <f aca="false">CB422+CB405+CB406</f>
        <v>14907.129086966</v>
      </c>
      <c r="CC423" s="48"/>
    </row>
    <row r="424" s="51" customFormat="true" ht="15" hidden="false" customHeight="true" outlineLevel="0" collapsed="false">
      <c r="A424" s="268" t="s">
        <v>481</v>
      </c>
      <c r="B424" s="266"/>
      <c r="C424" s="267" t="n">
        <f aca="false">C423+C410+C411</f>
        <v>-75.7160000000001</v>
      </c>
      <c r="D424" s="267" t="n">
        <f aca="false">D423+D410+D411</f>
        <v>757.741</v>
      </c>
      <c r="E424" s="267" t="n">
        <f aca="false">E423+E410+E411</f>
        <v>927.992</v>
      </c>
      <c r="F424" s="267" t="n">
        <f aca="false">F423+F410+F411</f>
        <v>3694.275</v>
      </c>
      <c r="G424" s="267" t="n">
        <f aca="false">G423+G410+G411</f>
        <v>279.436</v>
      </c>
      <c r="H424" s="268" t="n">
        <f aca="false">H423+H410+H411</f>
        <v>-12.7</v>
      </c>
      <c r="I424" s="268" t="n">
        <f aca="false">I423+I410+I411</f>
        <v>-291.1</v>
      </c>
      <c r="J424" s="268" t="n">
        <f aca="false">J423+J410+J411</f>
        <v>-31.7000000000001</v>
      </c>
      <c r="K424" s="268" t="n">
        <f aca="false">K423+K410+K411</f>
        <v>67.0630000000002</v>
      </c>
      <c r="L424" s="267" t="n">
        <f aca="false">L423+L410+L411</f>
        <v>-268.437</v>
      </c>
      <c r="M424" s="268" t="n">
        <f aca="false">M423+M410+M411</f>
        <v>137</v>
      </c>
      <c r="N424" s="268" t="n">
        <f aca="false">N423+N410+N411</f>
        <v>-253.9</v>
      </c>
      <c r="O424" s="268" t="n">
        <f aca="false">O423+O410+O411</f>
        <v>199.8</v>
      </c>
      <c r="P424" s="268" t="n">
        <f aca="false">P423+P410+P411</f>
        <v>732.196</v>
      </c>
      <c r="Q424" s="267" t="n">
        <f aca="false">Q423+Q410+Q411</f>
        <v>815.096000000001</v>
      </c>
      <c r="R424" s="268" t="n">
        <f aca="false">R423+R410+R411</f>
        <v>-268.7</v>
      </c>
      <c r="S424" s="268" t="n">
        <f aca="false">S423+S410+S411</f>
        <v>-226</v>
      </c>
      <c r="T424" s="268" t="n">
        <f aca="false">T423+T410+T411</f>
        <v>1409.1</v>
      </c>
      <c r="U424" s="268" t="n">
        <f aca="false">U423+U410+U411</f>
        <v>-251.8</v>
      </c>
      <c r="V424" s="267" t="n">
        <f aca="false">V423+V410+V411</f>
        <v>662.6</v>
      </c>
      <c r="W424" s="268" t="n">
        <f aca="false">W423+W410+W411</f>
        <v>-200.4</v>
      </c>
      <c r="X424" s="268" t="n">
        <f aca="false">X423+X410+X411</f>
        <v>-275.3</v>
      </c>
      <c r="Y424" s="268" t="n">
        <f aca="false">Y423+Y410+Y411</f>
        <v>148.2</v>
      </c>
      <c r="Z424" s="268" t="n">
        <f aca="false">Z423+Z410+Z411</f>
        <v>559</v>
      </c>
      <c r="AA424" s="267" t="n">
        <f aca="false">AA423+AA410+AA411</f>
        <v>231.5</v>
      </c>
      <c r="AB424" s="268" t="n">
        <f aca="false">AB423+AB410+AB411</f>
        <v>-104.5</v>
      </c>
      <c r="AC424" s="268" t="n">
        <f aca="false">AC423+AC410+AC411</f>
        <v>-221.5</v>
      </c>
      <c r="AD424" s="268" t="n">
        <f aca="false">AD423+AD410+AD411</f>
        <v>-7.99999999999994</v>
      </c>
      <c r="AE424" s="268" t="n">
        <f aca="false">AE423+AE410+AE411</f>
        <v>1072.9</v>
      </c>
      <c r="AF424" s="267" t="n">
        <f aca="false">AF423+AF410+AF411</f>
        <v>738.9</v>
      </c>
      <c r="AG424" s="268" t="n">
        <f aca="false">AG423+AG410+AG411</f>
        <v>-762.6</v>
      </c>
      <c r="AH424" s="268" t="n">
        <f aca="false">AH423+AH410+AH411</f>
        <v>-936.1</v>
      </c>
      <c r="AI424" s="268" t="n">
        <f aca="false">AI423+AI410+AI411</f>
        <v>-269.6</v>
      </c>
      <c r="AJ424" s="268" t="n">
        <f aca="false">AJ423+AJ410+AJ411</f>
        <v>2646.5</v>
      </c>
      <c r="AK424" s="267" t="n">
        <f aca="false">AK423+AK410+AK411</f>
        <v>678.2</v>
      </c>
      <c r="AL424" s="268" t="n">
        <f aca="false">AL423+AL410+AL411</f>
        <v>-608.1</v>
      </c>
      <c r="AM424" s="268" t="n">
        <f aca="false">AM423+AM410+AM411</f>
        <v>332</v>
      </c>
      <c r="AN424" s="268" t="n">
        <f aca="false">AN423+AN410+AN411</f>
        <v>-20.9999999999999</v>
      </c>
      <c r="AO424" s="268" t="n">
        <f aca="false">AO423+AO410+AO411</f>
        <v>2948.1</v>
      </c>
      <c r="AP424" s="267" t="n">
        <f aca="false">AP423+AP410+AP411</f>
        <v>2651</v>
      </c>
      <c r="AQ424" s="268" t="n">
        <f aca="false">AQ423+AQ410+AQ411</f>
        <v>-2699.2</v>
      </c>
      <c r="AR424" s="268" t="n">
        <f aca="false">AR423+AR410+AR411</f>
        <v>721.8</v>
      </c>
      <c r="AS424" s="268" t="n">
        <f aca="false">AS423+AS410+AS411</f>
        <v>-795.3</v>
      </c>
      <c r="AT424" s="268" t="n">
        <f aca="false">AT423+AT410+AT411</f>
        <v>3115.5</v>
      </c>
      <c r="AU424" s="267" t="n">
        <f aca="false">AU423+AU410+AU411</f>
        <v>342.800000000001</v>
      </c>
      <c r="AV424" s="268" t="n">
        <f aca="false">AV423+AV410+AV411</f>
        <v>-2867.9</v>
      </c>
      <c r="AW424" s="268" t="n">
        <f aca="false">AW423+AW410+AW411</f>
        <v>-322</v>
      </c>
      <c r="AX424" s="268" t="n">
        <f aca="false">AX423+AX410+AX411</f>
        <v>-807.5</v>
      </c>
      <c r="AY424" s="268" t="n">
        <f aca="false">AY423+AY410+AY411</f>
        <v>4026.6</v>
      </c>
      <c r="AZ424" s="267" t="n">
        <f aca="false">AZ423+AZ410+AZ411</f>
        <v>29.1999999999989</v>
      </c>
      <c r="BA424" s="268" t="n">
        <f aca="false">BA423+BA410+BA411</f>
        <v>-721.9</v>
      </c>
      <c r="BB424" s="268" t="n">
        <f aca="false">BB423+BB410+BB411</f>
        <v>-296.2</v>
      </c>
      <c r="BC424" s="268" t="n">
        <f aca="false">BC423+BC410+BC411</f>
        <v>-815.8</v>
      </c>
      <c r="BD424" s="268" t="n">
        <f aca="false">BD423+BD410+BD411</f>
        <v>2043.6</v>
      </c>
      <c r="BE424" s="267" t="n">
        <f aca="false">BE423+BE410+BE411</f>
        <v>209.7</v>
      </c>
      <c r="BF424" s="268" t="n">
        <f aca="false">BF423+BF410+BF411</f>
        <v>-1603.1</v>
      </c>
      <c r="BG424" s="268" t="n">
        <f aca="false">BG423+BG410+BG411</f>
        <v>-386.9</v>
      </c>
      <c r="BH424" s="268" t="n">
        <f aca="false">BH423+BH410+BH411</f>
        <v>-30.8999999999999</v>
      </c>
      <c r="BI424" s="268" t="n">
        <f aca="false">BI423+BI410+BI411</f>
        <v>8271.9</v>
      </c>
      <c r="BJ424" s="267" t="n">
        <f aca="false">BJ423+BJ410+BJ411</f>
        <v>6251</v>
      </c>
      <c r="BK424" s="268" t="n">
        <f aca="false">BK423+BK410+BK411</f>
        <v>-3626.5</v>
      </c>
      <c r="BL424" s="268" t="n">
        <f aca="false">BL423+BL410+BL411</f>
        <v>-1845</v>
      </c>
      <c r="BM424" s="268" t="n">
        <f aca="false">BM423+BM410+BM411</f>
        <v>-498.3</v>
      </c>
      <c r="BN424" s="268" t="n">
        <f aca="false">BN423+BN410+BN411</f>
        <v>8326.6</v>
      </c>
      <c r="BO424" s="269" t="n">
        <f aca="false">BO423+BO410+BO411</f>
        <v>2356.8</v>
      </c>
      <c r="BP424" s="268" t="n">
        <f aca="false">BP423+BP410+BP411</f>
        <v>3979.95223082869</v>
      </c>
      <c r="BQ424" s="268" t="n">
        <f aca="false">BQ423+BQ410+BQ411</f>
        <v>2089.36430946175</v>
      </c>
      <c r="BR424" s="268" t="n">
        <f aca="false">BR423+BR410+BR411</f>
        <v>2264.65846930902</v>
      </c>
      <c r="BS424" s="268" t="n">
        <f aca="false">BS423+BS410+BS411</f>
        <v>1127.5840204508</v>
      </c>
      <c r="BT424" s="267" t="n">
        <f aca="false">BT423+BT410+BT411</f>
        <v>9461.55903005026</v>
      </c>
      <c r="BU424" s="268" t="n">
        <f aca="false">BU423+BU410+BU411</f>
        <v>4201.9345854211</v>
      </c>
      <c r="BV424" s="268" t="n">
        <f aca="false">BV423+BV410+BV411</f>
        <v>2365.01513844464</v>
      </c>
      <c r="BW424" s="268" t="n">
        <f aca="false">BW423+BW410+BW411</f>
        <v>2443.59874412183</v>
      </c>
      <c r="BX424" s="268" t="n">
        <f aca="false">BX423+BX410+BX411</f>
        <v>1454.22082911941</v>
      </c>
      <c r="BY424" s="267" t="n">
        <f aca="false">BY423+BY410+BY411</f>
        <v>10464.769297107</v>
      </c>
      <c r="BZ424" s="267" t="n">
        <f aca="false">BZ423+BZ410+BZ411</f>
        <v>13938.0416786463</v>
      </c>
      <c r="CA424" s="267" t="n">
        <f aca="false">CA423+CA410+CA411</f>
        <v>13883.3247338119</v>
      </c>
      <c r="CB424" s="267" t="n">
        <f aca="false">CB423+CB410+CB411</f>
        <v>14907.129086966</v>
      </c>
      <c r="CC424" s="48"/>
    </row>
    <row r="425" s="51" customFormat="true" ht="15" hidden="false" customHeight="true" outlineLevel="0" collapsed="false">
      <c r="A425" s="48"/>
      <c r="B425" s="254"/>
      <c r="C425" s="159"/>
      <c r="D425" s="159"/>
      <c r="E425" s="159"/>
      <c r="F425" s="159"/>
      <c r="G425" s="159"/>
      <c r="H425" s="48"/>
      <c r="I425" s="48"/>
      <c r="J425" s="48"/>
      <c r="K425" s="48"/>
      <c r="L425" s="159"/>
      <c r="M425" s="48"/>
      <c r="N425" s="48"/>
      <c r="O425" s="48"/>
      <c r="P425" s="48"/>
      <c r="Q425" s="159"/>
      <c r="R425" s="48"/>
      <c r="S425" s="48"/>
      <c r="T425" s="48"/>
      <c r="U425" s="48"/>
      <c r="V425" s="159"/>
      <c r="W425" s="48"/>
      <c r="X425" s="48"/>
      <c r="Y425" s="48"/>
      <c r="Z425" s="48"/>
      <c r="AA425" s="159"/>
      <c r="AB425" s="48"/>
      <c r="AC425" s="48"/>
      <c r="AD425" s="48"/>
      <c r="AE425" s="48"/>
      <c r="AF425" s="159"/>
      <c r="AG425" s="48"/>
      <c r="AH425" s="48"/>
      <c r="AI425" s="48"/>
      <c r="AJ425" s="48"/>
      <c r="AK425" s="159"/>
      <c r="AL425" s="48"/>
      <c r="AM425" s="48"/>
      <c r="AN425" s="48"/>
      <c r="AO425" s="48"/>
      <c r="AP425" s="159"/>
      <c r="AQ425" s="48"/>
      <c r="AR425" s="48"/>
      <c r="AS425" s="48"/>
      <c r="AT425" s="48"/>
      <c r="AU425" s="159"/>
      <c r="AV425" s="48"/>
      <c r="AW425" s="48"/>
      <c r="AX425" s="48"/>
      <c r="AY425" s="48"/>
      <c r="AZ425" s="159"/>
      <c r="BA425" s="48"/>
      <c r="BB425" s="48"/>
      <c r="BC425" s="48"/>
      <c r="BD425" s="48"/>
      <c r="BE425" s="159"/>
      <c r="BF425" s="48"/>
      <c r="BG425" s="48"/>
      <c r="BH425" s="48"/>
      <c r="BI425" s="48"/>
      <c r="BJ425" s="159"/>
      <c r="BK425" s="48"/>
      <c r="BL425" s="48"/>
      <c r="BM425" s="48"/>
      <c r="BN425" s="48"/>
      <c r="BO425" s="160"/>
      <c r="BP425" s="48"/>
      <c r="BQ425" s="48"/>
      <c r="BR425" s="48"/>
      <c r="BS425" s="48"/>
      <c r="BT425" s="159"/>
      <c r="BU425" s="48"/>
      <c r="BV425" s="48"/>
      <c r="BW425" s="48"/>
      <c r="BX425" s="48"/>
      <c r="BY425" s="159"/>
      <c r="BZ425" s="159"/>
      <c r="CA425" s="159"/>
      <c r="CB425" s="159"/>
      <c r="CC425" s="50"/>
    </row>
    <row r="426" s="157" customFormat="true" ht="15" hidden="false" customHeight="true" outlineLevel="0" collapsed="false">
      <c r="A426" s="219" t="s">
        <v>482</v>
      </c>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c r="AA426" s="219"/>
      <c r="AB426" s="219"/>
      <c r="AC426" s="219"/>
      <c r="AD426" s="219"/>
      <c r="AE426" s="219"/>
      <c r="AF426" s="219"/>
      <c r="AG426" s="219"/>
      <c r="AH426" s="219"/>
      <c r="AI426" s="219"/>
      <c r="AJ426" s="219"/>
      <c r="AK426" s="219"/>
      <c r="AL426" s="219"/>
      <c r="AM426" s="219"/>
      <c r="AN426" s="219"/>
      <c r="AO426" s="219"/>
      <c r="AP426" s="219"/>
      <c r="AQ426" s="219"/>
      <c r="AR426" s="219"/>
      <c r="AS426" s="219"/>
      <c r="AT426" s="219"/>
      <c r="AU426" s="219"/>
      <c r="AV426" s="219"/>
      <c r="AW426" s="219"/>
      <c r="AX426" s="219"/>
      <c r="AY426" s="219"/>
      <c r="AZ426" s="219"/>
      <c r="BA426" s="219"/>
      <c r="BB426" s="219"/>
      <c r="BC426" s="219"/>
      <c r="BD426" s="219"/>
      <c r="BE426" s="219"/>
      <c r="BF426" s="219"/>
      <c r="BG426" s="219"/>
      <c r="BH426" s="219"/>
      <c r="BI426" s="219"/>
      <c r="BJ426" s="219"/>
      <c r="BK426" s="219"/>
      <c r="BL426" s="219"/>
      <c r="BM426" s="219"/>
      <c r="BN426" s="219"/>
      <c r="BO426" s="220"/>
      <c r="BP426" s="219"/>
      <c r="BQ426" s="219"/>
      <c r="BR426" s="219"/>
      <c r="BS426" s="219"/>
      <c r="BT426" s="219"/>
      <c r="BU426" s="219"/>
      <c r="BV426" s="219"/>
      <c r="BW426" s="219"/>
      <c r="BX426" s="219"/>
      <c r="BY426" s="219"/>
      <c r="BZ426" s="219"/>
      <c r="CA426" s="219"/>
      <c r="CB426" s="219"/>
      <c r="CC426" s="156"/>
    </row>
    <row r="427" s="51" customFormat="true" ht="15" hidden="false" customHeight="true" outlineLevel="0" collapsed="false">
      <c r="A427" s="50" t="s">
        <v>483</v>
      </c>
      <c r="B427" s="254"/>
      <c r="C427" s="262" t="n">
        <f aca="false">C625+C626</f>
        <v>1037.074</v>
      </c>
      <c r="D427" s="262" t="n">
        <f aca="false">D625+D626</f>
        <v>1949.834</v>
      </c>
      <c r="E427" s="262" t="n">
        <f aca="false">E625+E626</f>
        <v>2731.782</v>
      </c>
      <c r="F427" s="262" t="n">
        <f aca="false">F625+F626</f>
        <v>2697.601</v>
      </c>
      <c r="G427" s="262" t="n">
        <f aca="false">G625+G626</f>
        <v>3010.578</v>
      </c>
      <c r="H427" s="50" t="n">
        <f aca="false">H625+H626</f>
        <v>2997.8</v>
      </c>
      <c r="I427" s="50" t="n">
        <f aca="false">I625+I626</f>
        <v>2710.7</v>
      </c>
      <c r="J427" s="50" t="n">
        <f aca="false">J625+J626</f>
        <v>2684.6</v>
      </c>
      <c r="K427" s="50" t="n">
        <f aca="false">K625+K626</f>
        <v>2754.351</v>
      </c>
      <c r="L427" s="262" t="n">
        <f aca="false">L625+L626</f>
        <v>2754.351</v>
      </c>
      <c r="M427" s="50" t="n">
        <f aca="false">M625+M626</f>
        <v>2838.5</v>
      </c>
      <c r="N427" s="50" t="n">
        <f aca="false">N625+N626</f>
        <v>2520</v>
      </c>
      <c r="O427" s="50" t="n">
        <f aca="false">O625+O626</f>
        <v>2680.9</v>
      </c>
      <c r="P427" s="50" t="n">
        <f aca="false">P625+P626</f>
        <v>3408.717</v>
      </c>
      <c r="Q427" s="262" t="n">
        <f aca="false">Q625+Q626</f>
        <v>3408.717</v>
      </c>
      <c r="R427" s="50" t="n">
        <f aca="false">R625+R626</f>
        <v>3138.4</v>
      </c>
      <c r="S427" s="50" t="n">
        <f aca="false">S625+S626</f>
        <v>2926.1</v>
      </c>
      <c r="T427" s="50" t="n">
        <f aca="false">T625+T626</f>
        <v>4313</v>
      </c>
      <c r="U427" s="50" t="n">
        <f aca="false">U625+U626</f>
        <v>4056.9</v>
      </c>
      <c r="V427" s="262" t="n">
        <f aca="false">V625+V626</f>
        <v>4056.9</v>
      </c>
      <c r="W427" s="50" t="n">
        <f aca="false">W625+W626</f>
        <v>3835.6</v>
      </c>
      <c r="X427" s="50" t="n">
        <f aca="false">X625+X626</f>
        <v>2514.2</v>
      </c>
      <c r="Y427" s="50" t="n">
        <f aca="false">Y625+Y626</f>
        <v>2677.6</v>
      </c>
      <c r="Z427" s="50" t="n">
        <f aca="false">Z625+Z626</f>
        <v>3288.3</v>
      </c>
      <c r="AA427" s="262" t="n">
        <f aca="false">AA625+AA626</f>
        <v>3288.3</v>
      </c>
      <c r="AB427" s="50" t="n">
        <f aca="false">AB625+AB626</f>
        <v>3194.1</v>
      </c>
      <c r="AC427" s="50" t="n">
        <f aca="false">AC625+AC626</f>
        <v>2980</v>
      </c>
      <c r="AD427" s="50" t="n">
        <f aca="false">AD625+AD626</f>
        <v>2947.5</v>
      </c>
      <c r="AE427" s="50" t="n">
        <f aca="false">AE625+AE626</f>
        <v>4034.4</v>
      </c>
      <c r="AF427" s="262" t="n">
        <f aca="false">AF625+AF626</f>
        <v>4034.4</v>
      </c>
      <c r="AG427" s="50" t="n">
        <f aca="false">AG625+AG626</f>
        <v>3275.1</v>
      </c>
      <c r="AH427" s="50" t="n">
        <f aca="false">AH625+AH626</f>
        <v>2334.6</v>
      </c>
      <c r="AI427" s="50" t="n">
        <f aca="false">AI625+AI626</f>
        <v>2069.9</v>
      </c>
      <c r="AJ427" s="50" t="n">
        <f aca="false">AJ625+AJ626</f>
        <v>4718.1</v>
      </c>
      <c r="AK427" s="262" t="n">
        <f aca="false">AK625+AK626</f>
        <v>4718.1</v>
      </c>
      <c r="AL427" s="50" t="n">
        <f aca="false">AL625+AL626</f>
        <v>4111.8</v>
      </c>
      <c r="AM427" s="50" t="n">
        <f aca="false">AM625+AM626</f>
        <v>4440.3</v>
      </c>
      <c r="AN427" s="50" t="n">
        <f aca="false">AN625+AN626</f>
        <v>4407.8</v>
      </c>
      <c r="AO427" s="50" t="n">
        <f aca="false">AO625+AO626</f>
        <v>7351.6</v>
      </c>
      <c r="AP427" s="262" t="n">
        <f aca="false">AP625+AP626</f>
        <v>7351.6</v>
      </c>
      <c r="AQ427" s="50" t="n">
        <f aca="false">AQ625+AQ626</f>
        <v>4655.4</v>
      </c>
      <c r="AR427" s="50" t="n">
        <f aca="false">AR625+AR626</f>
        <v>5373.3</v>
      </c>
      <c r="AS427" s="50" t="n">
        <f aca="false">AS625+AS626</f>
        <v>4455.7</v>
      </c>
      <c r="AT427" s="50" t="n">
        <f aca="false">AT625+AT626</f>
        <v>7590.3</v>
      </c>
      <c r="AU427" s="262" t="n">
        <f aca="false">AU625+AU626</f>
        <v>7590.3</v>
      </c>
      <c r="AV427" s="50" t="n">
        <f aca="false">AV625+AV626</f>
        <v>4722.6</v>
      </c>
      <c r="AW427" s="50" t="n">
        <f aca="false">AW625+AW626</f>
        <v>4401.9</v>
      </c>
      <c r="AX427" s="50" t="n">
        <f aca="false">AX625+AX626</f>
        <v>3362.8</v>
      </c>
      <c r="AY427" s="50" t="n">
        <f aca="false">AY625+AY626</f>
        <v>7376</v>
      </c>
      <c r="AZ427" s="262" t="n">
        <f aca="false">AZ625+AZ626</f>
        <v>7376</v>
      </c>
      <c r="BA427" s="50" t="n">
        <f aca="false">BA625+BA626</f>
        <v>6652.5</v>
      </c>
      <c r="BB427" s="50" t="n">
        <f aca="false">BB625+BB626</f>
        <v>6346.4</v>
      </c>
      <c r="BC427" s="50" t="n">
        <f aca="false">BC625+BC626</f>
        <v>4980.9</v>
      </c>
      <c r="BD427" s="50" t="n">
        <f aca="false">BD625+BD626</f>
        <v>7010.1</v>
      </c>
      <c r="BE427" s="262" t="n">
        <f aca="false">BE625+BE626</f>
        <v>7010.1</v>
      </c>
      <c r="BF427" s="50" t="n">
        <f aca="false">BF625+BF626</f>
        <v>5406.1</v>
      </c>
      <c r="BG427" s="50" t="n">
        <f aca="false">BG625+BG626</f>
        <v>5018.9</v>
      </c>
      <c r="BH427" s="50" t="n">
        <f aca="false">BH625+BH626</f>
        <v>4984.5</v>
      </c>
      <c r="BI427" s="50" t="n">
        <f aca="false">BI625+BI626</f>
        <v>12741.3</v>
      </c>
      <c r="BJ427" s="262" t="n">
        <f aca="false">BJ625+BJ626</f>
        <v>12741.3</v>
      </c>
      <c r="BK427" s="50" t="n">
        <f aca="false">BK625+BK626</f>
        <v>9103.6</v>
      </c>
      <c r="BL427" s="50" t="n">
        <f aca="false">BL625+BL626</f>
        <v>7248.9</v>
      </c>
      <c r="BM427" s="50" t="n">
        <f aca="false">BM625+BM626</f>
        <v>5128.2</v>
      </c>
      <c r="BN427" s="50" t="n">
        <f aca="false">BN625+BN626</f>
        <v>13321.9</v>
      </c>
      <c r="BO427" s="264" t="n">
        <f aca="false">BO625+BO626</f>
        <v>13321.9</v>
      </c>
      <c r="BP427" s="48" t="n">
        <f aca="false">BP625+BP626</f>
        <v>17301.8522308287</v>
      </c>
      <c r="BQ427" s="48" t="n">
        <f aca="false">BQ625+BQ626</f>
        <v>19391.2165402904</v>
      </c>
      <c r="BR427" s="48" t="n">
        <f aca="false">BR625+BR626</f>
        <v>21655.8750095995</v>
      </c>
      <c r="BS427" s="48" t="n">
        <f aca="false">BS625+BS626</f>
        <v>22783.4590300503</v>
      </c>
      <c r="BT427" s="159" t="n">
        <f aca="false">BT625+BT626</f>
        <v>22783.4590300503</v>
      </c>
      <c r="BU427" s="48" t="n">
        <f aca="false">BU625+BU626</f>
        <v>26985.3936154714</v>
      </c>
      <c r="BV427" s="48" t="n">
        <f aca="false">BV625+BV626</f>
        <v>29350.408753916</v>
      </c>
      <c r="BW427" s="48" t="n">
        <f aca="false">BW625+BW626</f>
        <v>31794.0074980378</v>
      </c>
      <c r="BX427" s="48" t="n">
        <f aca="false">BX625+BX626</f>
        <v>33248.2283271572</v>
      </c>
      <c r="BY427" s="159" t="n">
        <f aca="false">BY625+BY626</f>
        <v>33248.2283271572</v>
      </c>
      <c r="BZ427" s="159" t="n">
        <f aca="false">BZ625+BZ626</f>
        <v>47186.2700058035</v>
      </c>
      <c r="CA427" s="159" t="n">
        <f aca="false">CA625+CA626</f>
        <v>61069.5947396154</v>
      </c>
      <c r="CB427" s="159" t="n">
        <f aca="false">CB625+CB626</f>
        <v>75976.7238265814</v>
      </c>
      <c r="CC427" s="50"/>
    </row>
    <row r="428" s="51" customFormat="true" ht="15" hidden="false" customHeight="true" outlineLevel="0" collapsed="false">
      <c r="A428" s="270" t="s">
        <v>484</v>
      </c>
      <c r="B428" s="254"/>
      <c r="C428" s="262" t="n">
        <f aca="false">C659</f>
        <v>0</v>
      </c>
      <c r="D428" s="262" t="n">
        <f aca="false">D659</f>
        <v>1.429</v>
      </c>
      <c r="E428" s="262" t="n">
        <f aca="false">E659</f>
        <v>2.587</v>
      </c>
      <c r="F428" s="262" t="n">
        <f aca="false">F659</f>
        <v>3.61</v>
      </c>
      <c r="G428" s="262" t="n">
        <f aca="false">G659</f>
        <v>4.385</v>
      </c>
      <c r="H428" s="50" t="n">
        <f aca="false">H659</f>
        <v>4.385</v>
      </c>
      <c r="I428" s="50" t="n">
        <f aca="false">I659</f>
        <v>4.385</v>
      </c>
      <c r="J428" s="50" t="n">
        <f aca="false">J659</f>
        <v>4.385</v>
      </c>
      <c r="K428" s="50" t="n">
        <f aca="false">K659</f>
        <v>4.261</v>
      </c>
      <c r="L428" s="262" t="n">
        <f aca="false">L659</f>
        <v>4.261</v>
      </c>
      <c r="M428" s="50" t="n">
        <f aca="false">M659</f>
        <v>4.261</v>
      </c>
      <c r="N428" s="50" t="n">
        <f aca="false">N659</f>
        <v>4.261</v>
      </c>
      <c r="O428" s="50" t="n">
        <f aca="false">O659</f>
        <v>4.261</v>
      </c>
      <c r="P428" s="50" t="n">
        <f aca="false">P659</f>
        <v>4.211</v>
      </c>
      <c r="Q428" s="262" t="n">
        <f aca="false">Q659</f>
        <v>4.211</v>
      </c>
      <c r="R428" s="50" t="n">
        <f aca="false">R659</f>
        <v>4.211</v>
      </c>
      <c r="S428" s="50" t="n">
        <f aca="false">S659</f>
        <v>4.211</v>
      </c>
      <c r="T428" s="50" t="n">
        <f aca="false">T659</f>
        <v>4.211</v>
      </c>
      <c r="U428" s="50" t="n">
        <f aca="false">U659</f>
        <v>247.7</v>
      </c>
      <c r="V428" s="262" t="n">
        <f aca="false">V659</f>
        <v>247.7</v>
      </c>
      <c r="W428" s="50" t="n">
        <f aca="false">W659</f>
        <v>247.7</v>
      </c>
      <c r="X428" s="50" t="n">
        <f aca="false">X659</f>
        <v>247.7</v>
      </c>
      <c r="Y428" s="50" t="n">
        <f aca="false">Y659</f>
        <v>247.7</v>
      </c>
      <c r="Z428" s="50" t="n">
        <f aca="false">Z659</f>
        <v>25.2</v>
      </c>
      <c r="AA428" s="262" t="n">
        <f aca="false">AA659</f>
        <v>25.2</v>
      </c>
      <c r="AB428" s="50" t="n">
        <f aca="false">AB659</f>
        <v>25.2</v>
      </c>
      <c r="AC428" s="50" t="n">
        <f aca="false">AC659</f>
        <v>25.2</v>
      </c>
      <c r="AD428" s="50" t="n">
        <f aca="false">AD659</f>
        <v>25.2</v>
      </c>
      <c r="AE428" s="50" t="n">
        <f aca="false">AE659</f>
        <v>0</v>
      </c>
      <c r="AF428" s="262" t="n">
        <f aca="false">AF659</f>
        <v>0</v>
      </c>
      <c r="AG428" s="50" t="n">
        <f aca="false">AG659</f>
        <v>0</v>
      </c>
      <c r="AH428" s="50" t="n">
        <f aca="false">AH659</f>
        <v>0</v>
      </c>
      <c r="AI428" s="50" t="n">
        <f aca="false">AI659</f>
        <v>0</v>
      </c>
      <c r="AJ428" s="50" t="n">
        <f aca="false">AJ659</f>
        <v>0</v>
      </c>
      <c r="AK428" s="262" t="n">
        <f aca="false">AK659</f>
        <v>0</v>
      </c>
      <c r="AL428" s="50" t="n">
        <f aca="false">AL659</f>
        <v>0</v>
      </c>
      <c r="AM428" s="50" t="n">
        <f aca="false">AM659</f>
        <v>0</v>
      </c>
      <c r="AN428" s="50" t="n">
        <f aca="false">AN659</f>
        <v>0</v>
      </c>
      <c r="AO428" s="50" t="n">
        <f aca="false">AO659</f>
        <v>15.4</v>
      </c>
      <c r="AP428" s="262" t="n">
        <f aca="false">AP659</f>
        <v>15.4</v>
      </c>
      <c r="AQ428" s="50" t="n">
        <f aca="false">AQ659</f>
        <v>15.4</v>
      </c>
      <c r="AR428" s="50" t="n">
        <f aca="false">AR659</f>
        <v>15.4</v>
      </c>
      <c r="AS428" s="50" t="n">
        <f aca="false">AS659</f>
        <v>15.4</v>
      </c>
      <c r="AT428" s="50" t="n">
        <f aca="false">AT659</f>
        <v>509.1</v>
      </c>
      <c r="AU428" s="262" t="n">
        <f aca="false">AU659</f>
        <v>509.1</v>
      </c>
      <c r="AV428" s="50" t="n">
        <f aca="false">AV659</f>
        <v>509.1</v>
      </c>
      <c r="AW428" s="50" t="n">
        <f aca="false">AW659</f>
        <v>509.1</v>
      </c>
      <c r="AX428" s="50" t="n">
        <f aca="false">AX659</f>
        <v>509.1</v>
      </c>
      <c r="AY428" s="50" t="n">
        <f aca="false">AY659</f>
        <v>746.2</v>
      </c>
      <c r="AZ428" s="262" t="n">
        <f aca="false">AZ659</f>
        <v>746.2</v>
      </c>
      <c r="BA428" s="50" t="n">
        <f aca="false">BA659</f>
        <v>746.2</v>
      </c>
      <c r="BB428" s="50" t="n">
        <f aca="false">BB659</f>
        <v>746.2</v>
      </c>
      <c r="BC428" s="50" t="n">
        <f aca="false">BC659</f>
        <v>746.2</v>
      </c>
      <c r="BD428" s="50" t="n">
        <f aca="false">BD659</f>
        <v>0.1</v>
      </c>
      <c r="BE428" s="262" t="n">
        <f aca="false">BE659</f>
        <v>0.1</v>
      </c>
      <c r="BF428" s="50" t="n">
        <f aca="false">BF659</f>
        <v>0.1</v>
      </c>
      <c r="BG428" s="50" t="n">
        <f aca="false">BG659</f>
        <v>0.1</v>
      </c>
      <c r="BH428" s="50" t="n">
        <f aca="false">BH659</f>
        <v>0.1</v>
      </c>
      <c r="BI428" s="50" t="n">
        <f aca="false">BI659</f>
        <v>1010.3</v>
      </c>
      <c r="BJ428" s="262" t="n">
        <f aca="false">BJ659</f>
        <v>1010.3</v>
      </c>
      <c r="BK428" s="50" t="n">
        <f aca="false">BK659</f>
        <v>1010.3</v>
      </c>
      <c r="BL428" s="50" t="n">
        <f aca="false">BL659</f>
        <v>1010.3</v>
      </c>
      <c r="BM428" s="50" t="n">
        <f aca="false">BM659</f>
        <v>1010.3</v>
      </c>
      <c r="BN428" s="50" t="n">
        <f aca="false">BN659</f>
        <v>2050.136</v>
      </c>
      <c r="BO428" s="264" t="n">
        <f aca="false">BO659</f>
        <v>2050.136</v>
      </c>
      <c r="BP428" s="48" t="n">
        <f aca="false">BP430-BP429</f>
        <v>2050.136</v>
      </c>
      <c r="BQ428" s="48" t="n">
        <f aca="false">BQ430-BQ429</f>
        <v>2050.136</v>
      </c>
      <c r="BR428" s="48" t="n">
        <f aca="false">BR430-BR429</f>
        <v>2050.136</v>
      </c>
      <c r="BS428" s="48" t="n">
        <f aca="false">BS430-BS429</f>
        <v>2050.136</v>
      </c>
      <c r="BT428" s="159" t="n">
        <f aca="false">BT659</f>
        <v>2050.136</v>
      </c>
      <c r="BU428" s="48" t="n">
        <f aca="false">BU430-BU429</f>
        <v>2050.136</v>
      </c>
      <c r="BV428" s="48" t="n">
        <f aca="false">BV430-BV429</f>
        <v>2050.136</v>
      </c>
      <c r="BW428" s="48" t="n">
        <f aca="false">BW430-BW429</f>
        <v>2050.136</v>
      </c>
      <c r="BX428" s="48" t="n">
        <f aca="false">BX430-BX429</f>
        <v>2050.136</v>
      </c>
      <c r="BY428" s="159" t="n">
        <f aca="false">BY659</f>
        <v>2050.136</v>
      </c>
      <c r="BZ428" s="159" t="n">
        <f aca="false">BZ430-BZ429</f>
        <v>2050.136</v>
      </c>
      <c r="CA428" s="159" t="n">
        <f aca="false">CA430-CA429</f>
        <v>2050.136</v>
      </c>
      <c r="CB428" s="159" t="n">
        <f aca="false">CB430-CB429</f>
        <v>2050.136</v>
      </c>
      <c r="CC428" s="50"/>
    </row>
    <row r="429" s="51" customFormat="true" ht="15" hidden="false" customHeight="true" outlineLevel="0" collapsed="false">
      <c r="A429" s="226" t="s">
        <v>485</v>
      </c>
      <c r="B429" s="257"/>
      <c r="C429" s="403" t="n">
        <f aca="false">C667</f>
        <v>699.756</v>
      </c>
      <c r="D429" s="403" t="n">
        <f aca="false">D667</f>
        <v>708.631</v>
      </c>
      <c r="E429" s="403" t="n">
        <f aca="false">E667</f>
        <v>733.781</v>
      </c>
      <c r="F429" s="403" t="n">
        <f aca="false">F667</f>
        <v>755.88</v>
      </c>
      <c r="G429" s="403" t="n">
        <f aca="false">G667</f>
        <v>1070.185</v>
      </c>
      <c r="H429" s="391" t="n">
        <f aca="false">H667</f>
        <v>1097.3</v>
      </c>
      <c r="I429" s="391" t="n">
        <f aca="false">I667</f>
        <v>1118.4</v>
      </c>
      <c r="J429" s="391" t="n">
        <f aca="false">J667</f>
        <v>1137.4</v>
      </c>
      <c r="K429" s="391" t="n">
        <f aca="false">K667</f>
        <v>1149.876</v>
      </c>
      <c r="L429" s="403" t="n">
        <f aca="false">L667</f>
        <v>1149.876</v>
      </c>
      <c r="M429" s="391" t="n">
        <f aca="false">M667</f>
        <v>1155.5</v>
      </c>
      <c r="N429" s="391" t="n">
        <f aca="false">N667</f>
        <v>1115.8</v>
      </c>
      <c r="O429" s="391" t="n">
        <f aca="false">O667</f>
        <v>1125.3</v>
      </c>
      <c r="P429" s="391" t="n">
        <f aca="false">P667</f>
        <v>1125.474</v>
      </c>
      <c r="Q429" s="403" t="n">
        <f aca="false">Q667</f>
        <v>1125.474</v>
      </c>
      <c r="R429" s="391" t="n">
        <f aca="false">R667</f>
        <v>1144.3</v>
      </c>
      <c r="S429" s="391" t="n">
        <f aca="false">S667</f>
        <v>901.9</v>
      </c>
      <c r="T429" s="391" t="n">
        <f aca="false">T667</f>
        <v>2390.6</v>
      </c>
      <c r="U429" s="391" t="n">
        <f aca="false">U667</f>
        <v>3071.8</v>
      </c>
      <c r="V429" s="403" t="n">
        <f aca="false">V667</f>
        <v>3071.8</v>
      </c>
      <c r="W429" s="391" t="n">
        <f aca="false">W667</f>
        <v>3040.3</v>
      </c>
      <c r="X429" s="391" t="n">
        <f aca="false">X667</f>
        <v>2995.5</v>
      </c>
      <c r="Y429" s="391" t="n">
        <f aca="false">Y667</f>
        <v>2996.7</v>
      </c>
      <c r="Z429" s="391" t="n">
        <f aca="false">Z667</f>
        <v>3000.1</v>
      </c>
      <c r="AA429" s="403" t="n">
        <f aca="false">AA667</f>
        <v>3000.1</v>
      </c>
      <c r="AB429" s="391" t="n">
        <f aca="false">AB667</f>
        <v>2978.6</v>
      </c>
      <c r="AC429" s="391" t="n">
        <f aca="false">AC667</f>
        <v>3007.7</v>
      </c>
      <c r="AD429" s="391" t="n">
        <f aca="false">AD667</f>
        <v>2985.9</v>
      </c>
      <c r="AE429" s="391" t="n">
        <f aca="false">AE667</f>
        <v>3026.5</v>
      </c>
      <c r="AF429" s="403" t="n">
        <f aca="false">AF667</f>
        <v>3026.5</v>
      </c>
      <c r="AG429" s="391" t="n">
        <f aca="false">AG667</f>
        <v>3082.5</v>
      </c>
      <c r="AH429" s="391" t="n">
        <f aca="false">AH667</f>
        <v>3132.4</v>
      </c>
      <c r="AI429" s="391" t="n">
        <f aca="false">AI667</f>
        <v>3170</v>
      </c>
      <c r="AJ429" s="391" t="n">
        <f aca="false">AJ667</f>
        <v>3108.3</v>
      </c>
      <c r="AK429" s="403" t="n">
        <f aca="false">AK667</f>
        <v>3108.3</v>
      </c>
      <c r="AL429" s="391" t="n">
        <f aca="false">AL667</f>
        <v>3868.2</v>
      </c>
      <c r="AM429" s="391" t="n">
        <f aca="false">AM667</f>
        <v>4625</v>
      </c>
      <c r="AN429" s="391" t="n">
        <f aca="false">AN667</f>
        <v>4626.7</v>
      </c>
      <c r="AO429" s="391" t="n">
        <f aca="false">AO667</f>
        <v>4662.8</v>
      </c>
      <c r="AP429" s="403" t="n">
        <f aca="false">AP667</f>
        <v>4662.8</v>
      </c>
      <c r="AQ429" s="391" t="n">
        <f aca="false">AQ667</f>
        <v>4634.2</v>
      </c>
      <c r="AR429" s="391" t="n">
        <f aca="false">AR667</f>
        <v>4619.9</v>
      </c>
      <c r="AS429" s="391" t="n">
        <f aca="false">AS667</f>
        <v>4105.8</v>
      </c>
      <c r="AT429" s="391" t="n">
        <f aca="false">AT667</f>
        <v>4075</v>
      </c>
      <c r="AU429" s="403" t="n">
        <f aca="false">AU667</f>
        <v>4075</v>
      </c>
      <c r="AV429" s="391" t="n">
        <f aca="false">AV667</f>
        <v>3951.7</v>
      </c>
      <c r="AW429" s="391" t="n">
        <f aca="false">AW667</f>
        <v>4385.3</v>
      </c>
      <c r="AX429" s="391" t="n">
        <f aca="false">AX667</f>
        <v>3503.1</v>
      </c>
      <c r="AY429" s="391" t="n">
        <f aca="false">AY667</f>
        <v>3514.2</v>
      </c>
      <c r="AZ429" s="403" t="n">
        <f aca="false">AZ667</f>
        <v>3514.2</v>
      </c>
      <c r="BA429" s="391" t="n">
        <f aca="false">BA667</f>
        <v>3536</v>
      </c>
      <c r="BB429" s="391" t="n">
        <f aca="false">BB667</f>
        <v>4517.8</v>
      </c>
      <c r="BC429" s="391" t="n">
        <f aca="false">BC667</f>
        <v>4522.3</v>
      </c>
      <c r="BD429" s="391" t="n">
        <f aca="false">BD667</f>
        <v>4631.5</v>
      </c>
      <c r="BE429" s="403" t="n">
        <f aca="false">BE667</f>
        <v>4631.5</v>
      </c>
      <c r="BF429" s="391" t="n">
        <f aca="false">BF667</f>
        <v>4612</v>
      </c>
      <c r="BG429" s="391" t="n">
        <f aca="false">BG667</f>
        <v>4608.2</v>
      </c>
      <c r="BH429" s="391" t="n">
        <f aca="false">BH667</f>
        <v>4692.2</v>
      </c>
      <c r="BI429" s="391" t="n">
        <f aca="false">BI667</f>
        <v>3677.3</v>
      </c>
      <c r="BJ429" s="403" t="n">
        <f aca="false">BJ667</f>
        <v>3677.3</v>
      </c>
      <c r="BK429" s="391" t="n">
        <f aca="false">BK667</f>
        <v>3681</v>
      </c>
      <c r="BL429" s="391" t="n">
        <f aca="false">BL667</f>
        <v>3698.9</v>
      </c>
      <c r="BM429" s="391" t="n">
        <f aca="false">BM667</f>
        <v>2704.7</v>
      </c>
      <c r="BN429" s="391" t="n">
        <f aca="false">BN667</f>
        <v>2709</v>
      </c>
      <c r="BO429" s="404" t="n">
        <f aca="false">BO667</f>
        <v>2709</v>
      </c>
      <c r="BP429" s="259" t="n">
        <f aca="false">MAX(0,BO429+BP410)</f>
        <v>2709</v>
      </c>
      <c r="BQ429" s="259" t="n">
        <f aca="false">MAX(0,BP429+BQ410)</f>
        <v>2709</v>
      </c>
      <c r="BR429" s="259" t="n">
        <f aca="false">MAX(0,BQ429+BR410)</f>
        <v>2709</v>
      </c>
      <c r="BS429" s="259" t="n">
        <f aca="false">MAX(0,BR429+BS410)</f>
        <v>2709</v>
      </c>
      <c r="BT429" s="261" t="n">
        <f aca="false">BT667</f>
        <v>2709</v>
      </c>
      <c r="BU429" s="259" t="n">
        <f aca="false">MAX(0,BT429+BU410)</f>
        <v>2709</v>
      </c>
      <c r="BV429" s="259" t="n">
        <f aca="false">MAX(0,BU429+BV410)</f>
        <v>2709</v>
      </c>
      <c r="BW429" s="259" t="n">
        <f aca="false">MAX(0,BV429+BW410)</f>
        <v>2709</v>
      </c>
      <c r="BX429" s="259" t="n">
        <f aca="false">MAX(0,BW429+BX410)</f>
        <v>2709</v>
      </c>
      <c r="BY429" s="261" t="n">
        <f aca="false">BY667</f>
        <v>2709</v>
      </c>
      <c r="BZ429" s="261" t="n">
        <f aca="false">MAX(0,BY429+BZ410)</f>
        <v>2709</v>
      </c>
      <c r="CA429" s="261" t="n">
        <f aca="false">MAX(0,BZ429+CA410)</f>
        <v>2709</v>
      </c>
      <c r="CB429" s="261" t="n">
        <f aca="false">MAX(0,CA429+CB410)</f>
        <v>2709</v>
      </c>
      <c r="CC429" s="50"/>
    </row>
    <row r="430" s="51" customFormat="true" ht="15" hidden="false" customHeight="true" outlineLevel="0" collapsed="false">
      <c r="A430" s="50" t="s">
        <v>486</v>
      </c>
      <c r="B430" s="254"/>
      <c r="C430" s="262" t="n">
        <f aca="false">C659+C667</f>
        <v>699.756</v>
      </c>
      <c r="D430" s="262" t="n">
        <f aca="false">D659+D667</f>
        <v>710.06</v>
      </c>
      <c r="E430" s="262" t="n">
        <f aca="false">E659+E667</f>
        <v>736.368</v>
      </c>
      <c r="F430" s="262" t="n">
        <f aca="false">F659+F667</f>
        <v>759.49</v>
      </c>
      <c r="G430" s="262" t="n">
        <f aca="false">G659+G667</f>
        <v>1074.57</v>
      </c>
      <c r="H430" s="50" t="n">
        <f aca="false">H659+H667</f>
        <v>1101.685</v>
      </c>
      <c r="I430" s="50" t="n">
        <f aca="false">I659+I667</f>
        <v>1122.785</v>
      </c>
      <c r="J430" s="50" t="n">
        <f aca="false">J659+J667</f>
        <v>1141.785</v>
      </c>
      <c r="K430" s="50" t="n">
        <f aca="false">K659+K667</f>
        <v>1154.137</v>
      </c>
      <c r="L430" s="262" t="n">
        <f aca="false">L659+L667</f>
        <v>1154.137</v>
      </c>
      <c r="M430" s="50" t="n">
        <f aca="false">M659+M667</f>
        <v>1159.761</v>
      </c>
      <c r="N430" s="50" t="n">
        <f aca="false">N659+N667</f>
        <v>1120.061</v>
      </c>
      <c r="O430" s="50" t="n">
        <f aca="false">O659+O667</f>
        <v>1129.561</v>
      </c>
      <c r="P430" s="50" t="n">
        <f aca="false">P659+P667</f>
        <v>1129.685</v>
      </c>
      <c r="Q430" s="262" t="n">
        <f aca="false">Q659+Q667</f>
        <v>1129.685</v>
      </c>
      <c r="R430" s="50" t="n">
        <f aca="false">R659+R667</f>
        <v>1148.511</v>
      </c>
      <c r="S430" s="50" t="n">
        <f aca="false">S659+S667</f>
        <v>906.111</v>
      </c>
      <c r="T430" s="50" t="n">
        <f aca="false">T659+T667</f>
        <v>2394.811</v>
      </c>
      <c r="U430" s="50" t="n">
        <f aca="false">U659+U667</f>
        <v>3319.5</v>
      </c>
      <c r="V430" s="262" t="n">
        <f aca="false">V659+V667</f>
        <v>3319.5</v>
      </c>
      <c r="W430" s="50" t="n">
        <f aca="false">W659+W667</f>
        <v>3288</v>
      </c>
      <c r="X430" s="50" t="n">
        <f aca="false">X659+X667</f>
        <v>3243.2</v>
      </c>
      <c r="Y430" s="50" t="n">
        <f aca="false">Y659+Y667</f>
        <v>3244.4</v>
      </c>
      <c r="Z430" s="50" t="n">
        <f aca="false">Z659+Z667</f>
        <v>3025.3</v>
      </c>
      <c r="AA430" s="262" t="n">
        <f aca="false">AA659+AA667</f>
        <v>3025.3</v>
      </c>
      <c r="AB430" s="50" t="n">
        <f aca="false">AB659+AB667</f>
        <v>3003.8</v>
      </c>
      <c r="AC430" s="50" t="n">
        <f aca="false">AC659+AC667</f>
        <v>3032.9</v>
      </c>
      <c r="AD430" s="50" t="n">
        <f aca="false">AD659+AD667</f>
        <v>3011.1</v>
      </c>
      <c r="AE430" s="50" t="n">
        <f aca="false">AE659+AE667</f>
        <v>3026.5</v>
      </c>
      <c r="AF430" s="262" t="n">
        <f aca="false">AF659+AF667</f>
        <v>3026.5</v>
      </c>
      <c r="AG430" s="50" t="n">
        <f aca="false">AG659+AG667</f>
        <v>3082.5</v>
      </c>
      <c r="AH430" s="50" t="n">
        <f aca="false">AH659+AH667</f>
        <v>3132.4</v>
      </c>
      <c r="AI430" s="50" t="n">
        <f aca="false">AI659+AI667</f>
        <v>3170</v>
      </c>
      <c r="AJ430" s="50" t="n">
        <f aca="false">AJ659+AJ667</f>
        <v>3108.3</v>
      </c>
      <c r="AK430" s="262" t="n">
        <f aca="false">AK659+AK667</f>
        <v>3108.3</v>
      </c>
      <c r="AL430" s="50" t="n">
        <f aca="false">AL659+AL667</f>
        <v>3868.2</v>
      </c>
      <c r="AM430" s="50" t="n">
        <f aca="false">AM659+AM667</f>
        <v>4625</v>
      </c>
      <c r="AN430" s="50" t="n">
        <f aca="false">AN659+AN667</f>
        <v>4626.7</v>
      </c>
      <c r="AO430" s="50" t="n">
        <f aca="false">AO659+AO667</f>
        <v>4678.2</v>
      </c>
      <c r="AP430" s="262" t="n">
        <f aca="false">AP659+AP667</f>
        <v>4678.2</v>
      </c>
      <c r="AQ430" s="50" t="n">
        <f aca="false">AQ659+AQ667</f>
        <v>4649.6</v>
      </c>
      <c r="AR430" s="50" t="n">
        <f aca="false">AR659+AR667</f>
        <v>4635.3</v>
      </c>
      <c r="AS430" s="50" t="n">
        <f aca="false">AS659+AS667</f>
        <v>4121.2</v>
      </c>
      <c r="AT430" s="50" t="n">
        <f aca="false">AT659+AT667</f>
        <v>4584.1</v>
      </c>
      <c r="AU430" s="262" t="n">
        <f aca="false">AU659+AU667</f>
        <v>4584.1</v>
      </c>
      <c r="AV430" s="50" t="n">
        <f aca="false">AV659+AV667</f>
        <v>4460.8</v>
      </c>
      <c r="AW430" s="50" t="n">
        <f aca="false">AW659+AW667</f>
        <v>4894.4</v>
      </c>
      <c r="AX430" s="50" t="n">
        <f aca="false">AX659+AX667</f>
        <v>4012.2</v>
      </c>
      <c r="AY430" s="50" t="n">
        <f aca="false">AY659+AY667</f>
        <v>4260.4</v>
      </c>
      <c r="AZ430" s="262" t="n">
        <f aca="false">AZ659+AZ667</f>
        <v>4260.4</v>
      </c>
      <c r="BA430" s="50" t="n">
        <f aca="false">BA659+BA667</f>
        <v>4282.2</v>
      </c>
      <c r="BB430" s="50" t="n">
        <f aca="false">BB659+BB667</f>
        <v>5264</v>
      </c>
      <c r="BC430" s="50" t="n">
        <f aca="false">BC659+BC667</f>
        <v>5268.5</v>
      </c>
      <c r="BD430" s="50" t="n">
        <f aca="false">BD659+BD667</f>
        <v>4631.6</v>
      </c>
      <c r="BE430" s="262" t="n">
        <f aca="false">BE659+BE667</f>
        <v>4631.6</v>
      </c>
      <c r="BF430" s="50" t="n">
        <f aca="false">BF659+BF667</f>
        <v>4612.1</v>
      </c>
      <c r="BG430" s="50" t="n">
        <f aca="false">BG659+BG667</f>
        <v>4608.3</v>
      </c>
      <c r="BH430" s="50" t="n">
        <f aca="false">BH659+BH667</f>
        <v>4692.3</v>
      </c>
      <c r="BI430" s="50" t="n">
        <f aca="false">BI659+BI667</f>
        <v>4687.6</v>
      </c>
      <c r="BJ430" s="262" t="n">
        <f aca="false">BJ659+BJ667</f>
        <v>4687.6</v>
      </c>
      <c r="BK430" s="50" t="n">
        <f aca="false">BK659+BK667</f>
        <v>4691.3</v>
      </c>
      <c r="BL430" s="50" t="n">
        <f aca="false">BL659+BL667</f>
        <v>4709.2</v>
      </c>
      <c r="BM430" s="50" t="n">
        <f aca="false">BM659+BM667</f>
        <v>3715</v>
      </c>
      <c r="BN430" s="50" t="n">
        <f aca="false">BN659+BN667</f>
        <v>4759.136</v>
      </c>
      <c r="BO430" s="264" t="n">
        <f aca="false">BO659+BO667</f>
        <v>4759.136</v>
      </c>
      <c r="BP430" s="48" t="n">
        <f aca="false">BO430+BP410</f>
        <v>4759.136</v>
      </c>
      <c r="BQ430" s="48" t="n">
        <f aca="false">BP430+BQ410</f>
        <v>4759.136</v>
      </c>
      <c r="BR430" s="48" t="n">
        <f aca="false">BQ430+BR410</f>
        <v>4759.136</v>
      </c>
      <c r="BS430" s="48" t="n">
        <f aca="false">BR430+BS410</f>
        <v>4759.136</v>
      </c>
      <c r="BT430" s="159" t="n">
        <f aca="false">BT659+BT667</f>
        <v>4759.136</v>
      </c>
      <c r="BU430" s="48" t="n">
        <f aca="false">BT430+BU410</f>
        <v>4759.136</v>
      </c>
      <c r="BV430" s="48" t="n">
        <f aca="false">BU430+BV410</f>
        <v>4759.136</v>
      </c>
      <c r="BW430" s="48" t="n">
        <f aca="false">BV430+BW410</f>
        <v>4759.136</v>
      </c>
      <c r="BX430" s="48" t="n">
        <f aca="false">BW430+BX410</f>
        <v>4759.136</v>
      </c>
      <c r="BY430" s="159" t="n">
        <f aca="false">BY659+BY667</f>
        <v>4759.136</v>
      </c>
      <c r="BZ430" s="159" t="n">
        <f aca="false">BY430+BZ410</f>
        <v>4759.136</v>
      </c>
      <c r="CA430" s="159" t="n">
        <f aca="false">BZ430+CA410</f>
        <v>4759.136</v>
      </c>
      <c r="CB430" s="159" t="n">
        <f aca="false">CA430+CB410</f>
        <v>4759.136</v>
      </c>
      <c r="CC430" s="50"/>
    </row>
    <row r="431" s="51" customFormat="true" ht="15" hidden="false" customHeight="true" outlineLevel="0" collapsed="false">
      <c r="A431" s="50" t="s">
        <v>487</v>
      </c>
      <c r="B431" s="254"/>
      <c r="C431" s="262" t="n">
        <f aca="false">C430-C427</f>
        <v>-337.318</v>
      </c>
      <c r="D431" s="262" t="n">
        <f aca="false">D430-D427</f>
        <v>-1239.774</v>
      </c>
      <c r="E431" s="262" t="n">
        <f aca="false">E430-E427</f>
        <v>-1995.414</v>
      </c>
      <c r="F431" s="262" t="n">
        <f aca="false">F430-F427</f>
        <v>-1938.111</v>
      </c>
      <c r="G431" s="262" t="n">
        <f aca="false">G430-G427</f>
        <v>-1936.008</v>
      </c>
      <c r="H431" s="50" t="n">
        <f aca="false">H430-H427</f>
        <v>-1896.115</v>
      </c>
      <c r="I431" s="50" t="n">
        <f aca="false">I430-I427</f>
        <v>-1587.915</v>
      </c>
      <c r="J431" s="50" t="n">
        <f aca="false">J430-J427</f>
        <v>-1542.815</v>
      </c>
      <c r="K431" s="50" t="n">
        <f aca="false">K430-K427</f>
        <v>-1600.214</v>
      </c>
      <c r="L431" s="262" t="n">
        <f aca="false">L430-L427</f>
        <v>-1600.214</v>
      </c>
      <c r="M431" s="50" t="n">
        <f aca="false">M430-M427</f>
        <v>-1678.739</v>
      </c>
      <c r="N431" s="50" t="n">
        <f aca="false">N430-N427</f>
        <v>-1399.939</v>
      </c>
      <c r="O431" s="50" t="n">
        <f aca="false">O430-O427</f>
        <v>-1551.339</v>
      </c>
      <c r="P431" s="50" t="n">
        <f aca="false">P430-P427</f>
        <v>-2279.032</v>
      </c>
      <c r="Q431" s="262" t="n">
        <f aca="false">Q430-Q427</f>
        <v>-2279.032</v>
      </c>
      <c r="R431" s="50" t="n">
        <f aca="false">R430-R427</f>
        <v>-1989.889</v>
      </c>
      <c r="S431" s="50" t="n">
        <f aca="false">S430-S427</f>
        <v>-2019.989</v>
      </c>
      <c r="T431" s="50" t="n">
        <f aca="false">T430-T427</f>
        <v>-1918.189</v>
      </c>
      <c r="U431" s="50" t="n">
        <f aca="false">U430-U427</f>
        <v>-737.4</v>
      </c>
      <c r="V431" s="262" t="n">
        <f aca="false">V430-V427</f>
        <v>-737.4</v>
      </c>
      <c r="W431" s="50" t="n">
        <f aca="false">W430-W427</f>
        <v>-547.6</v>
      </c>
      <c r="X431" s="50" t="n">
        <f aca="false">X430-X427</f>
        <v>729</v>
      </c>
      <c r="Y431" s="50" t="n">
        <f aca="false">Y430-Y427</f>
        <v>566.8</v>
      </c>
      <c r="Z431" s="50" t="n">
        <f aca="false">Z430-Z427</f>
        <v>-263</v>
      </c>
      <c r="AA431" s="262" t="n">
        <f aca="false">AA430-AA427</f>
        <v>-263</v>
      </c>
      <c r="AB431" s="50" t="n">
        <f aca="false">AB430-AB427</f>
        <v>-190.300000000001</v>
      </c>
      <c r="AC431" s="50" t="n">
        <f aca="false">AC430-AC427</f>
        <v>52.8999999999996</v>
      </c>
      <c r="AD431" s="50" t="n">
        <f aca="false">AD430-AD427</f>
        <v>63.5999999999999</v>
      </c>
      <c r="AE431" s="50" t="n">
        <f aca="false">AE430-AE427</f>
        <v>-1007.9</v>
      </c>
      <c r="AF431" s="262" t="n">
        <f aca="false">AF430-AF427</f>
        <v>-1007.9</v>
      </c>
      <c r="AG431" s="50" t="n">
        <f aca="false">AG430-AG427</f>
        <v>-192.6</v>
      </c>
      <c r="AH431" s="50" t="n">
        <f aca="false">AH430-AH427</f>
        <v>797.8</v>
      </c>
      <c r="AI431" s="50" t="n">
        <f aca="false">AI430-AI427</f>
        <v>1100.1</v>
      </c>
      <c r="AJ431" s="50" t="n">
        <f aca="false">AJ430-AJ427</f>
        <v>-1609.8</v>
      </c>
      <c r="AK431" s="262" t="n">
        <f aca="false">AK430-AK427</f>
        <v>-1609.8</v>
      </c>
      <c r="AL431" s="50" t="n">
        <f aca="false">AL430-AL427</f>
        <v>-243.599999999999</v>
      </c>
      <c r="AM431" s="50" t="n">
        <f aca="false">AM430-AM427</f>
        <v>184.7</v>
      </c>
      <c r="AN431" s="50" t="n">
        <f aca="false">AN430-AN427</f>
        <v>218.9</v>
      </c>
      <c r="AO431" s="50" t="n">
        <f aca="false">AO430-AO427</f>
        <v>-2673.4</v>
      </c>
      <c r="AP431" s="262" t="n">
        <f aca="false">AP430-AP427</f>
        <v>-2673.4</v>
      </c>
      <c r="AQ431" s="50" t="n">
        <f aca="false">AQ430-AQ427</f>
        <v>-5.80000000000018</v>
      </c>
      <c r="AR431" s="50" t="n">
        <f aca="false">AR430-AR427</f>
        <v>-738.000000000001</v>
      </c>
      <c r="AS431" s="50" t="n">
        <f aca="false">AS430-AS427</f>
        <v>-334.5</v>
      </c>
      <c r="AT431" s="50" t="n">
        <f aca="false">AT430-AT427</f>
        <v>-3006.2</v>
      </c>
      <c r="AU431" s="262" t="n">
        <f aca="false">AU430-AU427</f>
        <v>-3006.2</v>
      </c>
      <c r="AV431" s="50" t="n">
        <f aca="false">AV430-AV427</f>
        <v>-261.8</v>
      </c>
      <c r="AW431" s="50" t="n">
        <f aca="false">AW430-AW427</f>
        <v>492.500000000001</v>
      </c>
      <c r="AX431" s="50" t="n">
        <f aca="false">AX430-AX427</f>
        <v>649.4</v>
      </c>
      <c r="AY431" s="50" t="n">
        <f aca="false">AY430-AY427</f>
        <v>-3115.6</v>
      </c>
      <c r="AZ431" s="262" t="n">
        <f aca="false">AZ430-AZ427</f>
        <v>-3115.6</v>
      </c>
      <c r="BA431" s="50" t="n">
        <f aca="false">BA430-BA427</f>
        <v>-2370.3</v>
      </c>
      <c r="BB431" s="50" t="n">
        <f aca="false">BB430-BB427</f>
        <v>-1082.4</v>
      </c>
      <c r="BC431" s="50" t="n">
        <f aca="false">BC430-BC427</f>
        <v>287.6</v>
      </c>
      <c r="BD431" s="50" t="n">
        <f aca="false">BD430-BD427</f>
        <v>-2378.5</v>
      </c>
      <c r="BE431" s="262" t="n">
        <f aca="false">BE430-BE427</f>
        <v>-2378.5</v>
      </c>
      <c r="BF431" s="50" t="n">
        <f aca="false">BF430-BF427</f>
        <v>-794</v>
      </c>
      <c r="BG431" s="50" t="n">
        <f aca="false">BG430-BG427</f>
        <v>-410.6</v>
      </c>
      <c r="BH431" s="50" t="n">
        <f aca="false">BH430-BH427</f>
        <v>-292.2</v>
      </c>
      <c r="BI431" s="50" t="n">
        <f aca="false">BI430-BI427</f>
        <v>-8053.7</v>
      </c>
      <c r="BJ431" s="262" t="n">
        <f aca="false">BJ430-BJ427</f>
        <v>-8053.7</v>
      </c>
      <c r="BK431" s="50" t="n">
        <f aca="false">BK430-BK427</f>
        <v>-4412.3</v>
      </c>
      <c r="BL431" s="50" t="n">
        <f aca="false">BL430-BL427</f>
        <v>-2539.7</v>
      </c>
      <c r="BM431" s="50" t="n">
        <f aca="false">BM430-BM427</f>
        <v>-1413.2</v>
      </c>
      <c r="BN431" s="50" t="n">
        <f aca="false">BN430-BN427</f>
        <v>-8562.764</v>
      </c>
      <c r="BO431" s="264" t="n">
        <f aca="false">BO430-BO427</f>
        <v>-8562.764</v>
      </c>
      <c r="BP431" s="48" t="n">
        <f aca="false">BP430-BP427</f>
        <v>-12542.7162308287</v>
      </c>
      <c r="BQ431" s="48" t="n">
        <f aca="false">BQ430-BQ427</f>
        <v>-14632.0805402904</v>
      </c>
      <c r="BR431" s="48" t="n">
        <f aca="false">BR430-BR427</f>
        <v>-16896.7390095995</v>
      </c>
      <c r="BS431" s="48" t="n">
        <f aca="false">BS430-BS427</f>
        <v>-18024.3230300503</v>
      </c>
      <c r="BT431" s="159" t="n">
        <f aca="false">BT430-BT427</f>
        <v>-18024.3230300503</v>
      </c>
      <c r="BU431" s="48" t="n">
        <f aca="false">BU430-BU427</f>
        <v>-22226.2576154714</v>
      </c>
      <c r="BV431" s="48" t="n">
        <f aca="false">BV430-BV427</f>
        <v>-24591.272753916</v>
      </c>
      <c r="BW431" s="48" t="n">
        <f aca="false">BW430-BW427</f>
        <v>-27034.8714980378</v>
      </c>
      <c r="BX431" s="48" t="n">
        <f aca="false">BX430-BX427</f>
        <v>-28489.0923271572</v>
      </c>
      <c r="BY431" s="159" t="n">
        <f aca="false">BY430-BY427</f>
        <v>-28489.0923271572</v>
      </c>
      <c r="BZ431" s="159" t="n">
        <f aca="false">BZ430-BZ427</f>
        <v>-42427.1340058035</v>
      </c>
      <c r="CA431" s="159" t="n">
        <f aca="false">CA430-CA427</f>
        <v>-56310.4587396154</v>
      </c>
      <c r="CB431" s="159" t="n">
        <f aca="false">CB430-CB427</f>
        <v>-71217.5878265814</v>
      </c>
      <c r="CC431" s="50"/>
    </row>
    <row r="432" s="51" customFormat="true" ht="15" hidden="false" customHeight="true" outlineLevel="0" collapsed="false">
      <c r="A432" s="48"/>
      <c r="B432" s="254"/>
      <c r="C432" s="159"/>
      <c r="D432" s="159"/>
      <c r="E432" s="159"/>
      <c r="F432" s="159"/>
      <c r="G432" s="159"/>
      <c r="H432" s="48"/>
      <c r="I432" s="48"/>
      <c r="J432" s="48"/>
      <c r="K432" s="48"/>
      <c r="L432" s="159"/>
      <c r="M432" s="48"/>
      <c r="N432" s="48"/>
      <c r="O432" s="48"/>
      <c r="P432" s="48"/>
      <c r="Q432" s="159"/>
      <c r="R432" s="48"/>
      <c r="S432" s="48"/>
      <c r="T432" s="48"/>
      <c r="U432" s="48"/>
      <c r="V432" s="159"/>
      <c r="W432" s="48"/>
      <c r="X432" s="48"/>
      <c r="Y432" s="48"/>
      <c r="Z432" s="48"/>
      <c r="AA432" s="159"/>
      <c r="AB432" s="48"/>
      <c r="AC432" s="48"/>
      <c r="AD432" s="48"/>
      <c r="AE432" s="48"/>
      <c r="AF432" s="159"/>
      <c r="AG432" s="48"/>
      <c r="AH432" s="48"/>
      <c r="AI432" s="48"/>
      <c r="AJ432" s="48"/>
      <c r="AK432" s="159"/>
      <c r="AL432" s="48"/>
      <c r="AM432" s="48"/>
      <c r="AN432" s="48"/>
      <c r="AO432" s="48"/>
      <c r="AP432" s="159"/>
      <c r="AQ432" s="48"/>
      <c r="AR432" s="48"/>
      <c r="AS432" s="48"/>
      <c r="AT432" s="48"/>
      <c r="AU432" s="159"/>
      <c r="AV432" s="48"/>
      <c r="AW432" s="48"/>
      <c r="AX432" s="48"/>
      <c r="AY432" s="48"/>
      <c r="AZ432" s="159"/>
      <c r="BA432" s="48"/>
      <c r="BB432" s="48"/>
      <c r="BC432" s="48"/>
      <c r="BD432" s="48"/>
      <c r="BE432" s="159"/>
      <c r="BF432" s="48"/>
      <c r="BG432" s="48"/>
      <c r="BH432" s="48"/>
      <c r="BI432" s="48"/>
      <c r="BJ432" s="159"/>
      <c r="BK432" s="48"/>
      <c r="BL432" s="48"/>
      <c r="BM432" s="48"/>
      <c r="BN432" s="48"/>
      <c r="BO432" s="160"/>
      <c r="BP432" s="48"/>
      <c r="BQ432" s="48"/>
      <c r="BR432" s="48"/>
      <c r="BS432" s="48"/>
      <c r="BT432" s="159"/>
      <c r="BU432" s="48"/>
      <c r="BV432" s="48"/>
      <c r="BW432" s="48"/>
      <c r="BX432" s="48"/>
      <c r="BY432" s="159"/>
      <c r="BZ432" s="159"/>
      <c r="CA432" s="159"/>
      <c r="CB432" s="159"/>
      <c r="CC432" s="50"/>
    </row>
    <row r="433" s="51" customFormat="true" ht="15" hidden="false" customHeight="true" outlineLevel="0" collapsed="false">
      <c r="A433" s="50" t="s">
        <v>488</v>
      </c>
      <c r="B433" s="254"/>
      <c r="C433" s="147" t="n">
        <f aca="false">-C309</f>
        <v>51.191</v>
      </c>
      <c r="D433" s="147" t="n">
        <f aca="false">-D309</f>
        <v>23.301</v>
      </c>
      <c r="E433" s="147" t="n">
        <f aca="false">-E309</f>
        <v>33.737</v>
      </c>
      <c r="F433" s="147" t="n">
        <f aca="false">-F309</f>
        <v>22.8</v>
      </c>
      <c r="G433" s="147" t="n">
        <f aca="false">-G309</f>
        <v>33.6</v>
      </c>
      <c r="H433" s="149"/>
      <c r="I433" s="149"/>
      <c r="J433" s="149"/>
      <c r="K433" s="149"/>
      <c r="L433" s="147" t="n">
        <f aca="false">-L309</f>
        <v>23.1</v>
      </c>
      <c r="M433" s="149"/>
      <c r="N433" s="149"/>
      <c r="O433" s="149"/>
      <c r="P433" s="149"/>
      <c r="Q433" s="147" t="n">
        <f aca="false">-Q309</f>
        <v>27.4</v>
      </c>
      <c r="R433" s="149"/>
      <c r="S433" s="149"/>
      <c r="T433" s="149"/>
      <c r="U433" s="149"/>
      <c r="V433" s="147" t="n">
        <f aca="false">-V309</f>
        <v>38</v>
      </c>
      <c r="W433" s="149"/>
      <c r="X433" s="149"/>
      <c r="Y433" s="149"/>
      <c r="Z433" s="149"/>
      <c r="AA433" s="147" t="n">
        <f aca="false">-AA309</f>
        <v>57.5</v>
      </c>
      <c r="AB433" s="149"/>
      <c r="AC433" s="149"/>
      <c r="AD433" s="149"/>
      <c r="AE433" s="149"/>
      <c r="AF433" s="147" t="n">
        <f aca="false">-AF309</f>
        <v>41.8</v>
      </c>
      <c r="AG433" s="149"/>
      <c r="AH433" s="149"/>
      <c r="AI433" s="149"/>
      <c r="AJ433" s="149"/>
      <c r="AK433" s="147" t="n">
        <f aca="false">-AK309</f>
        <v>36.6</v>
      </c>
      <c r="AL433" s="149"/>
      <c r="AM433" s="149"/>
      <c r="AN433" s="149"/>
      <c r="AO433" s="149"/>
      <c r="AP433" s="147" t="n">
        <f aca="false">-AP309</f>
        <v>43.3</v>
      </c>
      <c r="AQ433" s="149"/>
      <c r="AR433" s="149"/>
      <c r="AS433" s="149"/>
      <c r="AT433" s="149"/>
      <c r="AU433" s="147" t="n">
        <f aca="false">-AU309</f>
        <v>54.6</v>
      </c>
      <c r="AV433" s="149"/>
      <c r="AW433" s="149"/>
      <c r="AX433" s="149"/>
      <c r="AY433" s="149"/>
      <c r="AZ433" s="147" t="n">
        <f aca="false">-AZ309</f>
        <v>60.8</v>
      </c>
      <c r="BA433" s="149"/>
      <c r="BB433" s="149"/>
      <c r="BC433" s="149"/>
      <c r="BD433" s="149"/>
      <c r="BE433" s="147" t="n">
        <f aca="false">-BE309</f>
        <v>152.7</v>
      </c>
      <c r="BF433" s="149"/>
      <c r="BG433" s="149"/>
      <c r="BH433" s="149"/>
      <c r="BI433" s="149"/>
      <c r="BJ433" s="147" t="n">
        <f aca="false">-BJ309</f>
        <v>162.6</v>
      </c>
      <c r="BK433" s="149"/>
      <c r="BL433" s="149"/>
      <c r="BM433" s="149"/>
      <c r="BN433" s="149"/>
      <c r="BO433" s="150" t="n">
        <f aca="false">-BO309</f>
        <v>165</v>
      </c>
      <c r="BP433" s="149" t="n">
        <f aca="false">MAX(0,BP434*AVERAGE(BO430,BP430)*BP3/BT3)</f>
        <v>35.2045676712329</v>
      </c>
      <c r="BQ433" s="149" t="n">
        <f aca="false">MAX(0,BQ434*AVERAGE(BP430,BQ430)*BQ3/BT3)</f>
        <v>35.5957295342466</v>
      </c>
      <c r="BR433" s="149" t="n">
        <f aca="false">MAX(0,BR434*AVERAGE(BQ430,BR430)*BR3/BT3)</f>
        <v>35.9868913972603</v>
      </c>
      <c r="BS433" s="149" t="n">
        <f aca="false">MAX(0,BS434*AVERAGE(BR430,BS430)*BS3/BT3)</f>
        <v>35.9868913972603</v>
      </c>
      <c r="BT433" s="147" t="n">
        <f aca="false">IF(OR(ISBLANK(BP433),ISBLANK(BQ433),ISBLANK(BR433),ISBLANK(BS433)),"n/a",SUM(BP433,BQ433,BR433,BS433))</f>
        <v>142.77408</v>
      </c>
      <c r="BU433" s="149" t="n">
        <f aca="false">MAX(0,BU434*AVERAGE(BT430,BU430)*BU3/BY3)</f>
        <v>35.2045676712329</v>
      </c>
      <c r="BV433" s="149" t="n">
        <f aca="false">MAX(0,BV434*AVERAGE(BU430,BV430)*BV3/BY3)</f>
        <v>35.5957295342466</v>
      </c>
      <c r="BW433" s="149" t="n">
        <f aca="false">MAX(0,BW434*AVERAGE(BV430,BW430)*BW3/BY3)</f>
        <v>35.9868913972603</v>
      </c>
      <c r="BX433" s="149" t="n">
        <f aca="false">MAX(0,BX434*AVERAGE(BW430,BX430)*BX3/BY3)</f>
        <v>35.9868913972603</v>
      </c>
      <c r="BY433" s="147" t="n">
        <f aca="false">IF(OR(ISBLANK(BU433),ISBLANK(BV433),ISBLANK(BW433),ISBLANK(BX433)),"n/a",SUM(BU433,BV433,BW433,BX433))</f>
        <v>142.77408</v>
      </c>
      <c r="BZ433" s="147" t="n">
        <f aca="false">MAX(0,BZ434*AVERAGE(BY430,BZ430))</f>
        <v>142.77408</v>
      </c>
      <c r="CA433" s="147" t="n">
        <f aca="false">MAX(0,CA434*AVERAGE(BZ430,CA430))</f>
        <v>142.77408</v>
      </c>
      <c r="CB433" s="147" t="n">
        <f aca="false">MAX(0,CB434*AVERAGE(CA430,CB430))</f>
        <v>142.77408</v>
      </c>
      <c r="CC433" s="50"/>
    </row>
    <row r="434" s="51" customFormat="true" ht="15" hidden="false" customHeight="true" outlineLevel="0" collapsed="false">
      <c r="A434" s="156" t="s">
        <v>489</v>
      </c>
      <c r="B434" s="266"/>
      <c r="C434" s="142"/>
      <c r="D434" s="142" t="n">
        <f aca="false">IFERROR(D433/AVERAGE(D430,C430),"n/a")</f>
        <v>0.0330553774393254</v>
      </c>
      <c r="E434" s="142" t="n">
        <f aca="false">IFERROR(E433/AVERAGE(E430,D430),"n/a")</f>
        <v>0.0466487097871446</v>
      </c>
      <c r="F434" s="142" t="n">
        <f aca="false">IFERROR(F433/AVERAGE(F430,E430),"n/a")</f>
        <v>0.0304841769740176</v>
      </c>
      <c r="G434" s="142" t="n">
        <f aca="false">IFERROR(G433/AVERAGE(G430,F430),"n/a")</f>
        <v>0.0366400226819188</v>
      </c>
      <c r="H434" s="143"/>
      <c r="I434" s="143"/>
      <c r="J434" s="143"/>
      <c r="K434" s="143"/>
      <c r="L434" s="142" t="n">
        <f aca="false">IFERROR(L433/AVERAGE(H430,I430,J430,K430),"n/a")</f>
        <v>0.0204407051423859</v>
      </c>
      <c r="M434" s="143"/>
      <c r="N434" s="143"/>
      <c r="O434" s="143"/>
      <c r="P434" s="143"/>
      <c r="Q434" s="142" t="n">
        <f aca="false">IFERROR(Q433/AVERAGE(M430,N430,O430,P430),"n/a")</f>
        <v>0.0241459259918556</v>
      </c>
      <c r="R434" s="143"/>
      <c r="S434" s="143"/>
      <c r="T434" s="143"/>
      <c r="U434" s="143"/>
      <c r="V434" s="142" t="n">
        <f aca="false">IFERROR(V433/AVERAGE(R430,S430,T430,U430),"n/a")</f>
        <v>0.0195651063022425</v>
      </c>
      <c r="W434" s="143"/>
      <c r="X434" s="143"/>
      <c r="Y434" s="143"/>
      <c r="Z434" s="143"/>
      <c r="AA434" s="142" t="n">
        <f aca="false">IFERROR(AA433/AVERAGE(W430,X430,Y430,Z430),"n/a")</f>
        <v>0.0179674866610941</v>
      </c>
      <c r="AB434" s="143"/>
      <c r="AC434" s="143"/>
      <c r="AD434" s="143"/>
      <c r="AE434" s="143"/>
      <c r="AF434" s="142" t="n">
        <f aca="false">IFERROR(AF433/AVERAGE(AB430,AC430,AD430,AE430),"n/a")</f>
        <v>0.0138475936493213</v>
      </c>
      <c r="AG434" s="143"/>
      <c r="AH434" s="143"/>
      <c r="AI434" s="143"/>
      <c r="AJ434" s="143"/>
      <c r="AK434" s="142" t="n">
        <f aca="false">IFERROR(AK433/AVERAGE(AG430,AH430,AI430,AJ430),"n/a")</f>
        <v>0.011718374795889</v>
      </c>
      <c r="AL434" s="143"/>
      <c r="AM434" s="143"/>
      <c r="AN434" s="143"/>
      <c r="AO434" s="143"/>
      <c r="AP434" s="142" t="n">
        <f aca="false">IFERROR(AP433/AVERAGE(AL430,AM430,AN430,AO430),"n/a")</f>
        <v>0.0097313758210146</v>
      </c>
      <c r="AQ434" s="143"/>
      <c r="AR434" s="143"/>
      <c r="AS434" s="143"/>
      <c r="AT434" s="143"/>
      <c r="AU434" s="142" t="n">
        <f aca="false">IFERROR(AU433/AVERAGE(AQ430,AR430,AS430,AT430),"n/a")</f>
        <v>0.0121399428577781</v>
      </c>
      <c r="AV434" s="143"/>
      <c r="AW434" s="143"/>
      <c r="AX434" s="143"/>
      <c r="AY434" s="143"/>
      <c r="AZ434" s="142" t="n">
        <f aca="false">IFERROR(AZ433/AVERAGE(AV430,AW430,AX430,AY430),"n/a")</f>
        <v>0.0137963897933945</v>
      </c>
      <c r="BA434" s="143"/>
      <c r="BB434" s="143"/>
      <c r="BC434" s="143"/>
      <c r="BD434" s="143"/>
      <c r="BE434" s="142" t="n">
        <f aca="false">IFERROR(BE433/AVERAGE(BA430,BB430,BC430,BD430),"n/a")</f>
        <v>0.0314095740577899</v>
      </c>
      <c r="BF434" s="143"/>
      <c r="BG434" s="143"/>
      <c r="BH434" s="143"/>
      <c r="BI434" s="143"/>
      <c r="BJ434" s="142" t="n">
        <f aca="false">IFERROR(BJ433/AVERAGE(BF430,BG430,BH430,BI430),"n/a")</f>
        <v>0.0349671779487428</v>
      </c>
      <c r="BK434" s="143"/>
      <c r="BL434" s="143"/>
      <c r="BM434" s="143"/>
      <c r="BN434" s="143"/>
      <c r="BO434" s="144" t="n">
        <f aca="false">IFERROR(BO433/AVERAGE(BK430,BL430,BM430,BN430),"n/a")</f>
        <v>0.0369238288265003</v>
      </c>
      <c r="BP434" s="499" t="n">
        <v>0.03</v>
      </c>
      <c r="BQ434" s="499" t="n">
        <v>0.03</v>
      </c>
      <c r="BR434" s="499" t="n">
        <v>0.03</v>
      </c>
      <c r="BS434" s="499" t="n">
        <v>0.03</v>
      </c>
      <c r="BT434" s="142" t="n">
        <f aca="false">IFERROR(BT433/AVERAGE(BP430,BQ430,BR430,BS430),"n/a")</f>
        <v>0.03</v>
      </c>
      <c r="BU434" s="499" t="n">
        <v>0.03</v>
      </c>
      <c r="BV434" s="499" t="n">
        <v>0.03</v>
      </c>
      <c r="BW434" s="499" t="n">
        <v>0.03</v>
      </c>
      <c r="BX434" s="499" t="n">
        <v>0.03</v>
      </c>
      <c r="BY434" s="142" t="n">
        <f aca="false">IFERROR(BY433/AVERAGE(BU430,BV430,BW430,BX430),"n/a")</f>
        <v>0.03</v>
      </c>
      <c r="BZ434" s="500" t="n">
        <v>0.03</v>
      </c>
      <c r="CA434" s="500" t="n">
        <v>0.03</v>
      </c>
      <c r="CB434" s="500" t="n">
        <v>0.03</v>
      </c>
      <c r="CC434" s="50"/>
    </row>
    <row r="435" s="51" customFormat="true" ht="15" hidden="false" customHeight="true" outlineLevel="0" collapsed="false">
      <c r="A435" s="48" t="s">
        <v>490</v>
      </c>
      <c r="B435" s="254"/>
      <c r="C435" s="147" t="n">
        <f aca="false">C310</f>
        <v>42.766</v>
      </c>
      <c r="D435" s="147" t="n">
        <f aca="false">D310</f>
        <v>15.125</v>
      </c>
      <c r="E435" s="147" t="n">
        <f aca="false">E310</f>
        <v>41.156</v>
      </c>
      <c r="F435" s="147" t="n">
        <f aca="false">F310</f>
        <v>16.604</v>
      </c>
      <c r="G435" s="147" t="n">
        <f aca="false">G310</f>
        <v>9.129</v>
      </c>
      <c r="H435" s="149"/>
      <c r="I435" s="149"/>
      <c r="J435" s="149"/>
      <c r="K435" s="149"/>
      <c r="L435" s="147" t="n">
        <f aca="false">L310</f>
        <v>14.5</v>
      </c>
      <c r="M435" s="149"/>
      <c r="N435" s="149"/>
      <c r="O435" s="149"/>
      <c r="P435" s="149"/>
      <c r="Q435" s="147" t="n">
        <f aca="false">Q310</f>
        <v>10.885</v>
      </c>
      <c r="R435" s="149"/>
      <c r="S435" s="149"/>
      <c r="T435" s="149"/>
      <c r="U435" s="149"/>
      <c r="V435" s="147" t="n">
        <f aca="false">V310</f>
        <v>71.7</v>
      </c>
      <c r="W435" s="149"/>
      <c r="X435" s="149"/>
      <c r="Y435" s="149"/>
      <c r="Z435" s="149"/>
      <c r="AA435" s="147" t="n">
        <f aca="false">AA310</f>
        <v>7.2</v>
      </c>
      <c r="AB435" s="149"/>
      <c r="AC435" s="149"/>
      <c r="AD435" s="149"/>
      <c r="AE435" s="149"/>
      <c r="AF435" s="147" t="n">
        <f aca="false">AF310</f>
        <v>13.5</v>
      </c>
      <c r="AG435" s="149"/>
      <c r="AH435" s="149"/>
      <c r="AI435" s="149"/>
      <c r="AJ435" s="149"/>
      <c r="AK435" s="147" t="n">
        <f aca="false">AK310</f>
        <v>11.6</v>
      </c>
      <c r="AL435" s="149"/>
      <c r="AM435" s="149"/>
      <c r="AN435" s="149"/>
      <c r="AO435" s="149"/>
      <c r="AP435" s="147" t="n">
        <f aca="false">AP310</f>
        <v>8.4</v>
      </c>
      <c r="AQ435" s="149"/>
      <c r="AR435" s="149"/>
      <c r="AS435" s="149"/>
      <c r="AT435" s="149"/>
      <c r="AU435" s="147" t="n">
        <f aca="false">AU310</f>
        <v>10</v>
      </c>
      <c r="AV435" s="149"/>
      <c r="AW435" s="149"/>
      <c r="AX435" s="149"/>
      <c r="AY435" s="149"/>
      <c r="AZ435" s="147" t="n">
        <f aca="false">AZ310</f>
        <v>16.2</v>
      </c>
      <c r="BA435" s="149"/>
      <c r="BB435" s="149"/>
      <c r="BC435" s="149"/>
      <c r="BD435" s="149"/>
      <c r="BE435" s="147" t="n">
        <f aca="false">BE310</f>
        <v>193.9</v>
      </c>
      <c r="BF435" s="149"/>
      <c r="BG435" s="149"/>
      <c r="BH435" s="149"/>
      <c r="BI435" s="149"/>
      <c r="BJ435" s="147" t="n">
        <f aca="false">BJ310</f>
        <v>182.4</v>
      </c>
      <c r="BK435" s="149"/>
      <c r="BL435" s="149"/>
      <c r="BM435" s="149"/>
      <c r="BN435" s="149"/>
      <c r="BO435" s="150" t="n">
        <f aca="false">BO310</f>
        <v>269.7</v>
      </c>
      <c r="BP435" s="149" t="n">
        <f aca="false">MAX(0,BP436*BO427*BP3/BT3)</f>
        <v>16.4242602739726</v>
      </c>
      <c r="BQ435" s="149" t="n">
        <f aca="false">MAX(0,BQ436*BP427*BQ3/BT3)</f>
        <v>21.5680623699371</v>
      </c>
      <c r="BR435" s="149" t="n">
        <f aca="false">MAX(0,BR436*BQ427*BR3/BT3)</f>
        <v>24.4382455028318</v>
      </c>
      <c r="BS435" s="149" t="n">
        <f aca="false">MAX(0,BS436*BR427*BS3/BT3)</f>
        <v>27.2923356285363</v>
      </c>
      <c r="BT435" s="147" t="n">
        <f aca="false">IF(OR(ISBLANK(BP435),ISBLANK(BQ435),ISBLANK(BR435),ISBLANK(BS435)),"n/a",SUM(BP435,BQ435,BR435,BS435))</f>
        <v>89.7229037752778</v>
      </c>
      <c r="BU435" s="149" t="n">
        <f aca="false">MAX(0,BU436*BT427*BU3/BY3)</f>
        <v>28.0891960644455</v>
      </c>
      <c r="BV435" s="149" t="n">
        <f aca="false">MAX(0,BV436*BU427*BV3/BY3)</f>
        <v>33.6393262877794</v>
      </c>
      <c r="BW435" s="149" t="n">
        <f aca="false">MAX(0,BW436*BV427*BW3/BY3)</f>
        <v>36.989556237812</v>
      </c>
      <c r="BX435" s="149" t="n">
        <f aca="false">MAX(0,BX436*BW427*BX3/BY3)</f>
        <v>40.0691601345134</v>
      </c>
      <c r="BY435" s="147" t="n">
        <f aca="false">IF(OR(ISBLANK(BU435),ISBLANK(BV435),ISBLANK(BW435),ISBLANK(BX435)),"n/a",SUM(BU435,BV435,BW435,BX435))</f>
        <v>138.78723872455</v>
      </c>
      <c r="BZ435" s="147" t="n">
        <f aca="false">MAX(0,BZ436*BY427)</f>
        <v>166.241141635786</v>
      </c>
      <c r="CA435" s="147" t="n">
        <f aca="false">MAX(0,CA436*BZ427)</f>
        <v>235.931350029018</v>
      </c>
      <c r="CB435" s="147" t="n">
        <f aca="false">MAX(0,CB436*CA427)</f>
        <v>305.347973698077</v>
      </c>
      <c r="CC435" s="50"/>
    </row>
    <row r="436" s="51" customFormat="true" ht="15" hidden="false" customHeight="true" outlineLevel="0" collapsed="false">
      <c r="A436" s="268" t="s">
        <v>491</v>
      </c>
      <c r="B436" s="266"/>
      <c r="C436" s="142"/>
      <c r="D436" s="142" t="n">
        <f aca="false">IFERROR(D435/AVERAGE(D427,C427),"n/a")</f>
        <v>0.0101275298737022</v>
      </c>
      <c r="E436" s="142" t="n">
        <f aca="false">IFERROR(E435/AVERAGE(E427,D427),"n/a")</f>
        <v>0.0175819631511854</v>
      </c>
      <c r="F436" s="142" t="n">
        <f aca="false">IFERROR(F435/AVERAGE(F427,E427),"n/a")</f>
        <v>0.00611634876375456</v>
      </c>
      <c r="G436" s="142" t="n">
        <f aca="false">IFERROR(G435/AVERAGE(G427,F427),"n/a")</f>
        <v>0.00319856822990309</v>
      </c>
      <c r="H436" s="143"/>
      <c r="I436" s="143"/>
      <c r="J436" s="143"/>
      <c r="K436" s="143"/>
      <c r="L436" s="142" t="n">
        <f aca="false">IFERROR(L435/AVERAGE(H427,I427,J427,K427),"n/a")</f>
        <v>0.00520298317525684</v>
      </c>
      <c r="M436" s="143"/>
      <c r="N436" s="143"/>
      <c r="O436" s="143"/>
      <c r="P436" s="143"/>
      <c r="Q436" s="142" t="n">
        <f aca="false">IFERROR(Q435/AVERAGE(M427,N427,O427,P427),"n/a")</f>
        <v>0.00380324554684408</v>
      </c>
      <c r="R436" s="143"/>
      <c r="S436" s="143"/>
      <c r="T436" s="143"/>
      <c r="U436" s="143"/>
      <c r="V436" s="142" t="n">
        <f aca="false">IFERROR(V435/AVERAGE(R427,S427,T427,U427),"n/a")</f>
        <v>0.019869201352325</v>
      </c>
      <c r="W436" s="143"/>
      <c r="X436" s="143"/>
      <c r="Y436" s="143"/>
      <c r="Z436" s="143"/>
      <c r="AA436" s="142" t="n">
        <f aca="false">IFERROR(AA435/AVERAGE(W427,X427,Y427,Z427),"n/a")</f>
        <v>0.00233847852740811</v>
      </c>
      <c r="AB436" s="143"/>
      <c r="AC436" s="143"/>
      <c r="AD436" s="143"/>
      <c r="AE436" s="143"/>
      <c r="AF436" s="142" t="n">
        <f aca="false">IFERROR(AF435/AVERAGE(AB427,AC427,AD427,AE427),"n/a")</f>
        <v>0.0041045910611128</v>
      </c>
      <c r="AG436" s="143"/>
      <c r="AH436" s="143"/>
      <c r="AI436" s="143"/>
      <c r="AJ436" s="143"/>
      <c r="AK436" s="142" t="n">
        <f aca="false">IFERROR(AK435/AVERAGE(AG427,AH427,AI427,AJ427),"n/a")</f>
        <v>0.00374262968131186</v>
      </c>
      <c r="AL436" s="143"/>
      <c r="AM436" s="143"/>
      <c r="AN436" s="143"/>
      <c r="AO436" s="143"/>
      <c r="AP436" s="142" t="n">
        <f aca="false">IFERROR(AP435/AVERAGE(AL427,AM427,AN427,AO427),"n/a")</f>
        <v>0.00165423528542944</v>
      </c>
      <c r="AQ436" s="143"/>
      <c r="AR436" s="143"/>
      <c r="AS436" s="143"/>
      <c r="AT436" s="143"/>
      <c r="AU436" s="142" t="n">
        <f aca="false">IFERROR(AU435/AVERAGE(AQ427,AR427,AS427,AT427),"n/a")</f>
        <v>0.00181202915554911</v>
      </c>
      <c r="AV436" s="143"/>
      <c r="AW436" s="143"/>
      <c r="AX436" s="143"/>
      <c r="AY436" s="143"/>
      <c r="AZ436" s="142" t="n">
        <f aca="false">IFERROR(AZ435/AVERAGE(AV427,AW427,AX427,AY427),"n/a")</f>
        <v>0.0032622978055006</v>
      </c>
      <c r="BA436" s="143"/>
      <c r="BB436" s="143"/>
      <c r="BC436" s="143"/>
      <c r="BD436" s="143"/>
      <c r="BE436" s="142" t="n">
        <f aca="false">IFERROR(BE435/AVERAGE(BA427,BB427,BC427,BD427),"n/a")</f>
        <v>0.0310365387616597</v>
      </c>
      <c r="BF436" s="143"/>
      <c r="BG436" s="143"/>
      <c r="BH436" s="143"/>
      <c r="BI436" s="143"/>
      <c r="BJ436" s="142" t="n">
        <f aca="false">IFERROR(BJ435/AVERAGE(BF427,BG427,BH427,BI427),"n/a")</f>
        <v>0.0259175582931924</v>
      </c>
      <c r="BK436" s="143"/>
      <c r="BL436" s="143"/>
      <c r="BM436" s="143"/>
      <c r="BN436" s="143"/>
      <c r="BO436" s="144" t="n">
        <f aca="false">IFERROR(BO435/AVERAGE(BK427,BL427,BM427,BN427),"n/a")</f>
        <v>0.0309976840810744</v>
      </c>
      <c r="BP436" s="499" t="n">
        <v>0.005</v>
      </c>
      <c r="BQ436" s="499" t="n">
        <v>0.005</v>
      </c>
      <c r="BR436" s="499" t="n">
        <v>0.005</v>
      </c>
      <c r="BS436" s="499" t="n">
        <v>0.005</v>
      </c>
      <c r="BT436" s="142" t="n">
        <f aca="false">IFERROR(BT435/AVERAGE(BP427,BQ427,BR427,BS427),"n/a")</f>
        <v>0.00442352996666672</v>
      </c>
      <c r="BU436" s="499" t="n">
        <v>0.005</v>
      </c>
      <c r="BV436" s="499" t="n">
        <v>0.005</v>
      </c>
      <c r="BW436" s="499" t="n">
        <v>0.005</v>
      </c>
      <c r="BX436" s="499" t="n">
        <v>0.005</v>
      </c>
      <c r="BY436" s="142" t="n">
        <f aca="false">IFERROR(BY435/AVERAGE(BU427,BV427,BW427,BX427),"n/a")</f>
        <v>0.00457371830320932</v>
      </c>
      <c r="BZ436" s="500" t="n">
        <v>0.005</v>
      </c>
      <c r="CA436" s="500" t="n">
        <v>0.005</v>
      </c>
      <c r="CB436" s="500" t="n">
        <v>0.005</v>
      </c>
      <c r="CC436" s="50"/>
    </row>
    <row r="437" s="51" customFormat="true" ht="15" hidden="false" customHeight="true" outlineLevel="0" collapsed="false">
      <c r="A437" s="48" t="s">
        <v>492</v>
      </c>
      <c r="B437" s="254"/>
      <c r="C437" s="147" t="n">
        <f aca="false">IFERROR(C433-C435,"n/a")</f>
        <v>8.425</v>
      </c>
      <c r="D437" s="147" t="n">
        <f aca="false">IFERROR(D433-D435,"n/a")</f>
        <v>8.176</v>
      </c>
      <c r="E437" s="147" t="n">
        <f aca="false">IFERROR(E433-E435,"n/a")</f>
        <v>-7.419</v>
      </c>
      <c r="F437" s="147" t="n">
        <f aca="false">IFERROR(F433-F435,"n/a")</f>
        <v>6.196</v>
      </c>
      <c r="G437" s="147" t="n">
        <f aca="false">IFERROR(G433-G435,"n/a")</f>
        <v>24.471</v>
      </c>
      <c r="H437" s="149" t="n">
        <f aca="false">H348</f>
        <v>2.6</v>
      </c>
      <c r="I437" s="149" t="n">
        <f aca="false">I348</f>
        <v>1.4</v>
      </c>
      <c r="J437" s="149" t="n">
        <f aca="false">J348</f>
        <v>2</v>
      </c>
      <c r="K437" s="149" t="n">
        <f aca="false">K348</f>
        <v>2.6</v>
      </c>
      <c r="L437" s="147" t="n">
        <f aca="false">IFERROR(L433-L435,"n/a")</f>
        <v>8.6</v>
      </c>
      <c r="M437" s="149" t="n">
        <f aca="false">M348</f>
        <v>3.5</v>
      </c>
      <c r="N437" s="149" t="n">
        <f aca="false">N348</f>
        <v>4.2</v>
      </c>
      <c r="O437" s="149" t="n">
        <f aca="false">O348</f>
        <v>4.2</v>
      </c>
      <c r="P437" s="149" t="n">
        <f aca="false">P348</f>
        <v>4.6</v>
      </c>
      <c r="Q437" s="147" t="n">
        <f aca="false">IFERROR(Q433-Q435,"n/a")</f>
        <v>16.515</v>
      </c>
      <c r="R437" s="149" t="n">
        <f aca="false">R348</f>
        <v>3.6</v>
      </c>
      <c r="S437" s="149" t="n">
        <f aca="false">S348</f>
        <v>3.6</v>
      </c>
      <c r="T437" s="149" t="n">
        <f aca="false">T348</f>
        <v>33.9</v>
      </c>
      <c r="U437" s="149" t="n">
        <f aca="false">U348</f>
        <v>-74.8</v>
      </c>
      <c r="V437" s="147" t="n">
        <f aca="false">IFERROR(V433-V435,"n/a")</f>
        <v>-33.7</v>
      </c>
      <c r="W437" s="149" t="n">
        <f aca="false">W348</f>
        <v>14.1</v>
      </c>
      <c r="X437" s="149" t="n">
        <f aca="false">X348</f>
        <v>10.8</v>
      </c>
      <c r="Y437" s="149" t="n">
        <f aca="false">Y348</f>
        <v>12.5</v>
      </c>
      <c r="Z437" s="149" t="n">
        <f aca="false">Z348</f>
        <v>12.9</v>
      </c>
      <c r="AA437" s="147" t="n">
        <f aca="false">IFERROR(AA433-AA435,"n/a")</f>
        <v>50.3</v>
      </c>
      <c r="AB437" s="149" t="n">
        <f aca="false">AB348</f>
        <v>10.5</v>
      </c>
      <c r="AC437" s="149" t="n">
        <f aca="false">AC348</f>
        <v>2.2</v>
      </c>
      <c r="AD437" s="149" t="n">
        <f aca="false">AD348</f>
        <v>8.1</v>
      </c>
      <c r="AE437" s="149" t="n">
        <f aca="false">AE348</f>
        <v>7.5</v>
      </c>
      <c r="AF437" s="147" t="n">
        <f aca="false">IFERROR(AF433-AF435,"n/a")</f>
        <v>28.3</v>
      </c>
      <c r="AG437" s="149" t="n">
        <f aca="false">AG348</f>
        <v>7.9</v>
      </c>
      <c r="AH437" s="149" t="n">
        <f aca="false">AH348</f>
        <v>6.9</v>
      </c>
      <c r="AI437" s="149" t="n">
        <f aca="false">AI348</f>
        <v>5.4</v>
      </c>
      <c r="AJ437" s="149" t="n">
        <f aca="false">AJ348</f>
        <v>4.8</v>
      </c>
      <c r="AK437" s="147" t="n">
        <f aca="false">IFERROR(AK433-AK435,"n/a")</f>
        <v>25</v>
      </c>
      <c r="AL437" s="149" t="n">
        <f aca="false">AL348</f>
        <v>11.4</v>
      </c>
      <c r="AM437" s="149" t="n">
        <f aca="false">AM348</f>
        <v>7.1</v>
      </c>
      <c r="AN437" s="149" t="n">
        <f aca="false">AN348</f>
        <v>8.4</v>
      </c>
      <c r="AO437" s="149" t="n">
        <f aca="false">AO348</f>
        <v>8</v>
      </c>
      <c r="AP437" s="147" t="n">
        <f aca="false">IFERROR(AP433-AP435,"n/a")</f>
        <v>34.9</v>
      </c>
      <c r="AQ437" s="149" t="n">
        <f aca="false">AQ348</f>
        <v>12.1</v>
      </c>
      <c r="AR437" s="149" t="n">
        <f aca="false">AR348</f>
        <v>9.8</v>
      </c>
      <c r="AS437" s="149" t="n">
        <f aca="false">AS348</f>
        <v>10.5</v>
      </c>
      <c r="AT437" s="149" t="n">
        <f aca="false">AT348</f>
        <v>12.2</v>
      </c>
      <c r="AU437" s="147" t="n">
        <f aca="false">IFERROR(AU433-AU435,"n/a")</f>
        <v>44.6</v>
      </c>
      <c r="AV437" s="149" t="n">
        <f aca="false">AV348</f>
        <v>15.6</v>
      </c>
      <c r="AW437" s="149" t="n">
        <f aca="false">AW348</f>
        <v>10.8</v>
      </c>
      <c r="AX437" s="149" t="n">
        <f aca="false">AX348</f>
        <v>15.1</v>
      </c>
      <c r="AY437" s="149" t="n">
        <f aca="false">AY348</f>
        <v>3.1</v>
      </c>
      <c r="AZ437" s="147" t="n">
        <f aca="false">IFERROR(AZ433-AZ435,"n/a")</f>
        <v>44.6</v>
      </c>
      <c r="BA437" s="149" t="n">
        <f aca="false">BA348</f>
        <v>-12.2</v>
      </c>
      <c r="BB437" s="149" t="n">
        <f aca="false">BB348</f>
        <v>-16.7</v>
      </c>
      <c r="BC437" s="149" t="n">
        <f aca="false">BC348</f>
        <v>-7.1</v>
      </c>
      <c r="BD437" s="149" t="n">
        <f aca="false">BD348</f>
        <v>-5.2</v>
      </c>
      <c r="BE437" s="147" t="n">
        <f aca="false">IFERROR(BE433-BE435,"n/a")</f>
        <v>-41.2</v>
      </c>
      <c r="BF437" s="149" t="n">
        <f aca="false">BF348</f>
        <v>-26.2</v>
      </c>
      <c r="BG437" s="149" t="n">
        <f aca="false">BG348</f>
        <v>11.9</v>
      </c>
      <c r="BH437" s="149" t="n">
        <f aca="false">BH348</f>
        <v>0.8</v>
      </c>
      <c r="BI437" s="149" t="n">
        <f aca="false">BI348</f>
        <v>-6.3</v>
      </c>
      <c r="BJ437" s="147" t="n">
        <f aca="false">IFERROR(BJ433-BJ435,"n/a")</f>
        <v>-19.8</v>
      </c>
      <c r="BK437" s="149" t="n">
        <f aca="false">BK348</f>
        <v>-49.2</v>
      </c>
      <c r="BL437" s="149" t="n">
        <f aca="false">BL348</f>
        <v>-24.8</v>
      </c>
      <c r="BM437" s="149" t="n">
        <f aca="false">BM348</f>
        <v>-19.4</v>
      </c>
      <c r="BN437" s="149" t="n">
        <f aca="false">BN348</f>
        <v>-11.3</v>
      </c>
      <c r="BO437" s="150" t="n">
        <f aca="false">IFERROR(BO433-BO435,"n/a")</f>
        <v>-104.7</v>
      </c>
      <c r="BP437" s="149" t="n">
        <f aca="false">IFERROR(BP433-BP435,"n/a")</f>
        <v>18.7803073972603</v>
      </c>
      <c r="BQ437" s="149" t="n">
        <f aca="false">IFERROR(BQ433-BQ435,"n/a")</f>
        <v>14.0276671643094</v>
      </c>
      <c r="BR437" s="149" t="n">
        <f aca="false">IFERROR(BR433-BR435,"n/a")</f>
        <v>11.5486458944285</v>
      </c>
      <c r="BS437" s="149" t="n">
        <f aca="false">IFERROR(BS433-BS435,"n/a")</f>
        <v>8.69455576872395</v>
      </c>
      <c r="BT437" s="147" t="n">
        <f aca="false">SUM(BP437,BQ437,BR437,BS437)</f>
        <v>53.0511762247221</v>
      </c>
      <c r="BU437" s="149" t="n">
        <f aca="false">IFERROR(BU433-BU435,"n/a")</f>
        <v>7.11537160678734</v>
      </c>
      <c r="BV437" s="149" t="n">
        <f aca="false">IFERROR(BV433-BV435,"n/a")</f>
        <v>1.9564032464672</v>
      </c>
      <c r="BW437" s="149" t="n">
        <f aca="false">IFERROR(BW433-BW435,"n/a")</f>
        <v>-1.00266484055169</v>
      </c>
      <c r="BX437" s="149" t="n">
        <f aca="false">IFERROR(BX433-BX435,"n/a")</f>
        <v>-4.08226873725317</v>
      </c>
      <c r="BY437" s="147" t="n">
        <f aca="false">SUM(BU437,BV437,BW437,BX437)</f>
        <v>3.98684127544968</v>
      </c>
      <c r="BZ437" s="147" t="n">
        <f aca="false">IFERROR(BZ433-BZ435,"n/a")</f>
        <v>-23.4670616357863</v>
      </c>
      <c r="CA437" s="147" t="n">
        <f aca="false">IFERROR(CA433-CA435,"n/a")</f>
        <v>-93.1572700290177</v>
      </c>
      <c r="CB437" s="147" t="n">
        <f aca="false">IFERROR(CB433-CB435,"n/a")</f>
        <v>-162.573893698077</v>
      </c>
      <c r="CC437" s="50"/>
    </row>
    <row r="438" s="51" customFormat="true" ht="15" hidden="false" customHeight="true" outlineLevel="0" collapsed="false">
      <c r="A438" s="268" t="s">
        <v>493</v>
      </c>
      <c r="B438" s="266"/>
      <c r="C438" s="142"/>
      <c r="D438" s="142" t="n">
        <f aca="false">IFERROR(IF(D437/AVERAGE(D430,C430)&lt;0,"n/a",D437/AVERAGE(D430,C430)),"n/a")</f>
        <v>0.0115986767067475</v>
      </c>
      <c r="E438" s="142" t="str">
        <f aca="false">IFERROR(IF(E437/AVERAGE(E430,D430)&lt;0,"n/a",E437/AVERAGE(E430,D430)),"n/a")</f>
        <v>n/a</v>
      </c>
      <c r="F438" s="142" t="n">
        <f aca="false">IFERROR(IF(F437/AVERAGE(F430,E430)&lt;0,"n/a",F437/AVERAGE(F430,E430)),"n/a")</f>
        <v>0.00828420879521987</v>
      </c>
      <c r="G438" s="142" t="n">
        <f aca="false">IFERROR(IF(G437/AVERAGE(G430,F430)&lt;0,"n/a",G437/AVERAGE(G430,F430)),"n/a")</f>
        <v>0.0266850593764653</v>
      </c>
      <c r="H438" s="143" t="n">
        <f aca="false">IFERROR(IF(H437/AVERAGE(G430,H430)&lt;0,"n/a",H437/AVERAGE(G430,H430)*L3/H3),"n/a")</f>
        <v>0.00979933082135559</v>
      </c>
      <c r="I438" s="143" t="n">
        <f aca="false">IFERROR(IF(I437/AVERAGE(H430,I430)&lt;0,"n/a",I437/AVERAGE(H430,I430)*L3/I3),"n/a")</f>
        <v>0.00504873935398959</v>
      </c>
      <c r="J438" s="143" t="n">
        <f aca="false">IFERROR(IF(J437/AVERAGE(I430,J430)&lt;0,"n/a",J437/AVERAGE(I430,J430)*L3/J3),"n/a")</f>
        <v>0.00708476931336017</v>
      </c>
      <c r="K438" s="143" t="n">
        <f aca="false">IFERROR(IF(K437/AVERAGE(J430,K430)&lt;0,"n/a",K437/AVERAGE(J430,K430)*L3/K3),"n/a")</f>
        <v>0.00879450145157463</v>
      </c>
      <c r="L438" s="142" t="n">
        <f aca="false">IFERROR(IF(L437/AVERAGE(H430,I430,J430,K430)&lt;0,"n/a",L437/AVERAGE(H430,I430,J430,K430)),"n/a")</f>
        <v>0.0076099594902389</v>
      </c>
      <c r="M438" s="143" t="n">
        <f aca="false">IFERROR(IF(M437/AVERAGE(L430,M430)&lt;0,"n/a",M437/AVERAGE(L430,M430)*Q3/M3),"n/a")</f>
        <v>0.0125476969637775</v>
      </c>
      <c r="N438" s="143" t="n">
        <f aca="false">IFERROR(IF(N437/AVERAGE(M430,N430)&lt;0,"n/a",N437/AVERAGE(M430,N430)*Q3/N3),"n/a")</f>
        <v>0.0147784816938812</v>
      </c>
      <c r="O438" s="143" t="n">
        <f aca="false">IFERROR(IF(O437/AVERAGE(N430,O430)&lt;0,"n/a",O437/AVERAGE(N430,O430)*Q3/O3),"n/a")</f>
        <v>0.014976875089374</v>
      </c>
      <c r="P438" s="143" t="n">
        <f aca="false">IFERROR(IF(P437/AVERAGE(O430,P430)&lt;0,"n/a",P437/AVERAGE(O430,P430)*Q3/P3),"n/a")</f>
        <v>0.0156456483362381</v>
      </c>
      <c r="Q438" s="142" t="n">
        <f aca="false">IFERROR(IF(Q437/AVERAGE(M430,N430,O430,P430)&lt;0,"n/a",Q437/AVERAGE(M430,N430,O430,P430)),"n/a")</f>
        <v>0.0145536484582298</v>
      </c>
      <c r="R438" s="143" t="n">
        <f aca="false">IFERROR(IF(R437/AVERAGE(Q430,R430)&lt;0,"n/a",R437/AVERAGE(Q430,R430)*V3/R3),"n/a")</f>
        <v>0.0123053690521761</v>
      </c>
      <c r="S438" s="143" t="n">
        <f aca="false">IFERROR(IF(S437/AVERAGE(R430,S430)&lt;0,"n/a",S437/AVERAGE(R430,S430)*V3/S3),"n/a")</f>
        <v>0.0140941943375676</v>
      </c>
      <c r="T438" s="143" t="n">
        <f aca="false">IFERROR(IF(T437/AVERAGE(S430,T430)&lt;0,"n/a",T437/AVERAGE(S430,T430)*V3/T3),"n/a")</f>
        <v>0.0826102858201769</v>
      </c>
      <c r="U438" s="143" t="str">
        <f aca="false">IFERROR(IF(U437/AVERAGE(T430,U430)&lt;0,"n/a",U437/AVERAGE(T430,U430)*V3/U3),"n/a")</f>
        <v>n/a</v>
      </c>
      <c r="V438" s="142" t="str">
        <f aca="false">IFERROR(IF(V437/AVERAGE(R430,S430,T430,U430)&lt;0,"n/a",V437/AVERAGE(R430,S430,T430,U430)),"n/a")</f>
        <v>n/a</v>
      </c>
      <c r="W438" s="143" t="n">
        <f aca="false">IFERROR(IF(W437/AVERAGE(V430,W430)&lt;0,"n/a",W437/AVERAGE(V430,W430)*AA3/W3),"n/a")</f>
        <v>0.0169323397325174</v>
      </c>
      <c r="X438" s="143" t="n">
        <f aca="false">IFERROR(IF(X437/AVERAGE(W430,X430)&lt;0,"n/a",X437/AVERAGE(W430,X430)*AA3/X3),"n/a")</f>
        <v>0.01326515229014</v>
      </c>
      <c r="Y438" s="143" t="n">
        <f aca="false">IFERROR(IF(Y437/AVERAGE(X430,Y430)&lt;0,"n/a",Y437/AVERAGE(X430,Y430)*AA3/Y3),"n/a")</f>
        <v>0.0154563668035522</v>
      </c>
      <c r="Z438" s="143" t="n">
        <f aca="false">IFERROR(IF(Z437/AVERAGE(Y430,Z430)&lt;0,"n/a",Z437/AVERAGE(Y430,Z430)*AA3/Z3),"n/a")</f>
        <v>0.0165053378125774</v>
      </c>
      <c r="AA438" s="142" t="n">
        <f aca="false">IFERROR(IF(AA437/AVERAGE(W430,X430,Y430,Z430)&lt;0,"n/a",AA437/AVERAGE(W430,X430,Y430,Z430)),"n/a")</f>
        <v>0.0157176448530963</v>
      </c>
      <c r="AB438" s="143" t="n">
        <f aca="false">IFERROR(IF(AB437/AVERAGE(AA430,AB430)&lt;0,"n/a",AB437/AVERAGE(AA430,AB430)*AF3/AB3),"n/a")</f>
        <v>0.013970703625876</v>
      </c>
      <c r="AC438" s="143" t="n">
        <f aca="false">IFERROR(IF(AC437/AVERAGE(AB430,AC430)&lt;0,"n/a",AC437/AVERAGE(AB430,AC430)*AF3/AC3),"n/a")</f>
        <v>0.00292350980640941</v>
      </c>
      <c r="AD438" s="143" t="n">
        <f aca="false">IFERROR(IF(AD437/AVERAGE(AC430,AD430)&lt;0,"n/a",AD437/AVERAGE(AC430,AD430)*AF3/AD3),"n/a")</f>
        <v>0.010750830903048</v>
      </c>
      <c r="AE438" s="143" t="n">
        <f aca="false">IFERROR(IF(AE437/AVERAGE(AD430,AE430)&lt;0,"n/a",AE437/AVERAGE(AD430,AE430)*AF3/AE3),"n/a")</f>
        <v>0.00985670954770395</v>
      </c>
      <c r="AF438" s="142" t="n">
        <f aca="false">IFERROR(IF(AF437/AVERAGE(AB430,AC430,AD430,AE430)&lt;0,"n/a",AF437/AVERAGE(AB430,AC430,AD430,AE430)),"n/a")</f>
        <v>0.00937528469559312</v>
      </c>
      <c r="AG438" s="143" t="n">
        <f aca="false">IFERROR(IF(AG437/AVERAGE(AF430,AG430)&lt;0,"n/a",AG437/AVERAGE(AF430,AG430)*AK3/AG3),"n/a")</f>
        <v>0.0104890780451429</v>
      </c>
      <c r="AH438" s="143" t="n">
        <f aca="false">IFERROR(IF(AH437/AVERAGE(AG430,AH430)&lt;0,"n/a",AH437/AVERAGE(AG430,AH430)*AK3/AH3),"n/a")</f>
        <v>0.00890628141267733</v>
      </c>
      <c r="AI438" s="143" t="n">
        <f aca="false">IFERROR(IF(AI437/AVERAGE(AH430,AI430)&lt;0,"n/a",AI437/AVERAGE(AH430,AI430)*AK3/AI3),"n/a")</f>
        <v>0.00687336273779534</v>
      </c>
      <c r="AJ438" s="143" t="n">
        <f aca="false">IFERROR(IF(AJ437/AVERAGE(AI430,AJ430)&lt;0,"n/a",AJ437/AVERAGE(AI430,AJ430)*AK3/AJ3),"n/a")</f>
        <v>0.00600121360158621</v>
      </c>
      <c r="AK438" s="142" t="n">
        <f aca="false">IFERROR(IF(AK437/AVERAGE(AG430,AH430,AI430,AJ430)&lt;0,"n/a",AK437/AVERAGE(AG430,AH430,AI430,AJ430)),"n/a")</f>
        <v>0.00800435436877661</v>
      </c>
      <c r="AL438" s="143" t="n">
        <f aca="false">IFERROR(IF(AL437/AVERAGE(AK430,AL430)&lt;0,"n/a",AL437/AVERAGE(AK430,AL430)*AP3/AL3),"n/a")</f>
        <v>0.0134396613993849</v>
      </c>
      <c r="AM438" s="143" t="n">
        <f aca="false">IFERROR(IF(AM437/AVERAGE(AL430,AM430)&lt;0,"n/a",AM437/AVERAGE(AL430,AM430)*AP3/AM3),"n/a")</f>
        <v>0.00672444872510808</v>
      </c>
      <c r="AN438" s="143" t="n">
        <f aca="false">IFERROR(IF(AN437/AVERAGE(AM430,AN430)&lt;0,"n/a",AN437/AVERAGE(AM430,AN430)*AP3/AN3),"n/a")</f>
        <v>0.00730343945104476</v>
      </c>
      <c r="AO438" s="143" t="n">
        <f aca="false">IFERROR(IF(AO437/AVERAGE(AN430,AO430)&lt;0,"n/a",AO437/AVERAGE(AN430,AO430)*AP3/AO3),"n/a")</f>
        <v>0.00662469293202054</v>
      </c>
      <c r="AP438" s="142" t="n">
        <f aca="false">IFERROR(IF(AP437/AVERAGE(AL430,AM430,AN430,AO430)&lt;0,"n/a",AP437/AVERAGE(AL430,AM430,AN430,AO430)),"n/a")</f>
        <v>0.00784353386035588</v>
      </c>
      <c r="AQ438" s="143" t="n">
        <f aca="false">IFERROR(IF(AQ437/AVERAGE(AP430,AQ430)&lt;0,"n/a",AQ437/AVERAGE(AP430,AQ430)*AU3/AQ3),"n/a")</f>
        <v>0.0100739815504602</v>
      </c>
      <c r="AR438" s="143" t="n">
        <f aca="false">IFERROR(IF(AR437/AVERAGE(AQ430,AR430)&lt;0,"n/a",AR437/AVERAGE(AQ430,AR430)*AU3/AR3),"n/a")</f>
        <v>0.00846701468140579</v>
      </c>
      <c r="AS438" s="143" t="n">
        <f aca="false">IFERROR(IF(AS437/AVERAGE(AR430,AS430)&lt;0,"n/a",AS437/AVERAGE(AR430,AS430)*AU3/AS3),"n/a")</f>
        <v>0.00961922791420879</v>
      </c>
      <c r="AT438" s="143" t="n">
        <f aca="false">IFERROR(IF(AT437/AVERAGE(AS430,AT430)&lt;0,"n/a",AT437/AVERAGE(AS430,AT430)*AU3/AT3),"n/a")</f>
        <v>0.011494999107479</v>
      </c>
      <c r="AU438" s="142" t="n">
        <f aca="false">IFERROR(IF(AU437/AVERAGE(AQ430,AR430,AS430,AT430)&lt;0,"n/a",AU437/AVERAGE(AQ430,AR430,AS430,AT430)),"n/a")</f>
        <v>0.0099165100999433</v>
      </c>
      <c r="AV438" s="143" t="n">
        <f aca="false">IFERROR(IF(AV437/AVERAGE(AU430,AV430)&lt;0,"n/a",AV437/AVERAGE(AU430,AV430)*AZ3/AV3),"n/a")</f>
        <v>0.0135381942203038</v>
      </c>
      <c r="AW438" s="143" t="n">
        <f aca="false">IFERROR(IF(AW437/AVERAGE(AV430,AW430)&lt;0,"n/a",AW437/AVERAGE(AV430,AW430)*AZ3/AW3),"n/a")</f>
        <v>0.00926087765492589</v>
      </c>
      <c r="AX438" s="143" t="n">
        <f aca="false">IFERROR(IF(AX437/AVERAGE(AW430,AX430)&lt;0,"n/a",AX437/AVERAGE(AW430,AX430)*AZ3/AX3),"n/a")</f>
        <v>0.0136002366932239</v>
      </c>
      <c r="AY438" s="143" t="n">
        <f aca="false">IFERROR(IF(AY437/AVERAGE(AX430,AY430)&lt;0,"n/a",AY437/AVERAGE(AX430,AY430)*AZ3/AY3),"n/a")</f>
        <v>0.00303948510074758</v>
      </c>
      <c r="AZ438" s="142" t="n">
        <f aca="false">IFERROR(IF(AZ437/AVERAGE(AV430,AW430,AX430,AY430)&lt;0,"n/a",AZ437/AVERAGE(AV430,AW430,AX430,AY430)),"n/a")</f>
        <v>0.0101203780392335</v>
      </c>
      <c r="BA438" s="143" t="str">
        <f aca="false">IFERROR(IF(BA437/AVERAGE(AZ430,BA430)&lt;0,"n/a",BA437/AVERAGE(AZ430,BA430)*BE3/BA3),"n/a")</f>
        <v>n/a</v>
      </c>
      <c r="BB438" s="143" t="str">
        <f aca="false">IFERROR(IF(BB437/AVERAGE(BA430,BB430)&lt;0,"n/a",BB437/AVERAGE(BA430,BB430)*BE3/BB3),"n/a")</f>
        <v>n/a</v>
      </c>
      <c r="BC438" s="143" t="str">
        <f aca="false">IFERROR(IF(BC437/AVERAGE(BB430,BC430)&lt;0,"n/a",BC437/AVERAGE(BB430,BC430)*BE3/BC3),"n/a")</f>
        <v>n/a</v>
      </c>
      <c r="BD438" s="143" t="str">
        <f aca="false">IFERROR(IF(BD437/AVERAGE(BC430,BD430)&lt;0,"n/a",BD437/AVERAGE(BC430,BD430)*BE3/BD3),"n/a")</f>
        <v>n/a</v>
      </c>
      <c r="BE438" s="142" t="str">
        <f aca="false">IFERROR(IF(BE437/AVERAGE(BA430,BB430,BC430,BD430)&lt;0,"n/a",BE437/AVERAGE(BA430,BB430,BC430,BD430)),"n/a")</f>
        <v>n/a</v>
      </c>
      <c r="BF438" s="143" t="str">
        <f aca="false">IFERROR(IF(BF437/AVERAGE(BE430,BF430)&lt;0,"n/a",BF437/AVERAGE(BE430,BF430)*BJ3/BF3),"n/a")</f>
        <v>n/a</v>
      </c>
      <c r="BG438" s="143" t="n">
        <f aca="false">IFERROR(IF(BG437/AVERAGE(BF430,BG430)&lt;0,"n/a",BG437/AVERAGE(BF430,BG430)*BJ3/BG3),"n/a")</f>
        <v>0.0103816620670553</v>
      </c>
      <c r="BH438" s="143" t="n">
        <f aca="false">IFERROR(IF(BH437/AVERAGE(BG430,BH430)&lt;0,"n/a",BH437/AVERAGE(BG430,BH430)*BJ3/BH3),"n/a")</f>
        <v>0.000691908568819736</v>
      </c>
      <c r="BI438" s="143" t="str">
        <f aca="false">IFERROR(IF(BI437/AVERAGE(BH430,BI430)&lt;0,"n/a",BI437/AVERAGE(BH430,BI430)*BJ3/BI3),"n/a")</f>
        <v>n/a</v>
      </c>
      <c r="BJ438" s="142" t="str">
        <f aca="false">IFERROR(IF(BJ437/AVERAGE(BF430,BG430,BH430,BI430)&lt;0,"n/a",BJ437/AVERAGE(BF430,BG430,BH430,BI430)),"n/a")</f>
        <v>n/a</v>
      </c>
      <c r="BK438" s="143" t="str">
        <f aca="false">IFERROR(IF(BK437/AVERAGE(BJ430,BK430)&lt;0,"n/a",BK437/AVERAGE(BJ430,BK430)*BO3/BK3),"n/a")</f>
        <v>n/a</v>
      </c>
      <c r="BL438" s="143" t="str">
        <f aca="false">IFERROR(IF(BL437/AVERAGE(BK430,BL430)&lt;0,"n/a",BL437/AVERAGE(BK430,BL430)*BO3/BL3),"n/a")</f>
        <v>n/a</v>
      </c>
      <c r="BM438" s="143" t="str">
        <f aca="false">IFERROR(IF(BM437/AVERAGE(BL430,BM430)&lt;0,"n/a",BM437/AVERAGE(BL430,BM430)*BO3/BM3),"n/a")</f>
        <v>n/a</v>
      </c>
      <c r="BN438" s="143" t="str">
        <f aca="false">IFERROR(IF(BN437/AVERAGE(BM430,BN430)&lt;0,"n/a",BN437/AVERAGE(BM430,BN430)*BO3/BN3),"n/a")</f>
        <v>n/a</v>
      </c>
      <c r="BO438" s="144" t="str">
        <f aca="false">IFERROR(IF(BO437/AVERAGE(BK430,BL430,BM430,BN430)&lt;0,"n/a",BO437/AVERAGE(BK430,BL430,BM430,BN430)),"n/a")</f>
        <v>n/a</v>
      </c>
      <c r="BP438" s="143" t="n">
        <f aca="false">IFERROR(IF(BP437/AVERAGE(BO430,BP430)&lt;0,"n/a",BP437/AVERAGE(BO430,BP430)*BT3/BP3),"n/a")</f>
        <v>0.0160038670884799</v>
      </c>
      <c r="BQ438" s="143" t="n">
        <f aca="false">IFERROR(IF(BQ437/AVERAGE(BP430,BQ430)&lt;0,"n/a",BQ437/AVERAGE(BP430,BQ430)*BT3/BQ3),"n/a")</f>
        <v>0.0118224860239036</v>
      </c>
      <c r="BR438" s="143" t="n">
        <f aca="false">IFERROR(IF(BR437/AVERAGE(BQ430,BR430)&lt;0,"n/a",BR437/AVERAGE(BQ430,BR430)*BT3/BR3),"n/a")</f>
        <v>0.00962737717487959</v>
      </c>
      <c r="BS438" s="143" t="n">
        <f aca="false">IFERROR(IF(BS437/AVERAGE(BR430,BS430)&lt;0,"n/a",BS437/AVERAGE(BR430,BS430)*BT3/BS3),"n/a")</f>
        <v>0.00724810237656639</v>
      </c>
      <c r="BT438" s="142" t="n">
        <f aca="false">IFERROR(IF(BT437/AVERAGE(BP430,BQ430,BR430,BS430)&lt;0,"n/a",BT437/AVERAGE(BP430,BQ430,BR430,BS430)),"n/a")</f>
        <v>0.0111472284517026</v>
      </c>
      <c r="BU438" s="143" t="n">
        <f aca="false">IFERROR(IF(BU437/AVERAGE(BT430,BU430)&lt;0,"n/a",BU437/AVERAGE(BT430,BU430)*BY3/BU3),"n/a")</f>
        <v>0.00606345035101931</v>
      </c>
      <c r="BV438" s="143" t="n">
        <f aca="false">IFERROR(IF(BV437/AVERAGE(BU430,BV430)&lt;0,"n/a",BV437/AVERAGE(BU430,BV430)*BY3/BV3),"n/a")</f>
        <v>0.00164885221238544</v>
      </c>
      <c r="BW438" s="143" t="str">
        <f aca="false">IFERROR(IF(BW437/AVERAGE(BV430,BW430)&lt;0,"n/a",BW437/AVERAGE(BV430,BW430)*BY3/BW3),"n/a")</f>
        <v>n/a</v>
      </c>
      <c r="BX438" s="143" t="str">
        <f aca="false">IFERROR(IF(BX437/AVERAGE(BW430,BX430)&lt;0,"n/a",BX437/AVERAGE(BW430,BX430)*BY3/BX3),"n/a")</f>
        <v>n/a</v>
      </c>
      <c r="BY438" s="142" t="n">
        <f aca="false">IFERROR(IF(BY437/AVERAGE(BU430,BV430,BW430,BX430)&lt;0,"n/a",BY437/AVERAGE(BU430,BV430,BW430,BX430)),"n/a")</f>
        <v>0.000837723753943927</v>
      </c>
      <c r="BZ438" s="142" t="str">
        <f aca="false">IFERROR(IF(BZ437/AVERAGE(BY430,BZ430)&lt;0,"n/a",BZ437/AVERAGE(BY430,BZ430)),"n/a")</f>
        <v>n/a</v>
      </c>
      <c r="CA438" s="142" t="str">
        <f aca="false">IFERROR(IF(CA437/AVERAGE(BZ430,CA430)&lt;0,"n/a",CA437/AVERAGE(BZ430,CA430)),"n/a")</f>
        <v>n/a</v>
      </c>
      <c r="CB438" s="142" t="str">
        <f aca="false">IFERROR(IF(CB437/AVERAGE(CA430,CB430)&lt;0,"n/a",CB437/AVERAGE(CA430,CB430)),"n/a")</f>
        <v>n/a</v>
      </c>
      <c r="CC438" s="50"/>
    </row>
    <row r="439" s="51" customFormat="true" ht="15" hidden="false" customHeight="true" outlineLevel="0" collapsed="false">
      <c r="A439" s="268"/>
      <c r="B439" s="266"/>
      <c r="C439" s="142"/>
      <c r="D439" s="142"/>
      <c r="E439" s="142"/>
      <c r="F439" s="142"/>
      <c r="G439" s="142"/>
      <c r="H439" s="143"/>
      <c r="I439" s="143"/>
      <c r="J439" s="143"/>
      <c r="K439" s="143"/>
      <c r="L439" s="142"/>
      <c r="M439" s="143"/>
      <c r="N439" s="143"/>
      <c r="O439" s="143"/>
      <c r="P439" s="143"/>
      <c r="Q439" s="142"/>
      <c r="R439" s="143"/>
      <c r="S439" s="143"/>
      <c r="T439" s="143"/>
      <c r="U439" s="143"/>
      <c r="V439" s="142"/>
      <c r="W439" s="143"/>
      <c r="X439" s="143"/>
      <c r="Y439" s="143"/>
      <c r="Z439" s="143"/>
      <c r="AA439" s="142"/>
      <c r="AB439" s="143"/>
      <c r="AC439" s="143"/>
      <c r="AD439" s="143"/>
      <c r="AE439" s="143"/>
      <c r="AF439" s="142"/>
      <c r="AG439" s="143"/>
      <c r="AH439" s="143"/>
      <c r="AI439" s="143"/>
      <c r="AJ439" s="143"/>
      <c r="AK439" s="142"/>
      <c r="AL439" s="143"/>
      <c r="AM439" s="143"/>
      <c r="AN439" s="143"/>
      <c r="AO439" s="143"/>
      <c r="AP439" s="142"/>
      <c r="AQ439" s="143"/>
      <c r="AR439" s="143"/>
      <c r="AS439" s="143"/>
      <c r="AT439" s="143"/>
      <c r="AU439" s="142"/>
      <c r="AV439" s="143"/>
      <c r="AW439" s="143"/>
      <c r="AX439" s="143"/>
      <c r="AY439" s="143"/>
      <c r="AZ439" s="142"/>
      <c r="BA439" s="143"/>
      <c r="BB439" s="143"/>
      <c r="BC439" s="143"/>
      <c r="BD439" s="143"/>
      <c r="BE439" s="142"/>
      <c r="BF439" s="143"/>
      <c r="BG439" s="143"/>
      <c r="BH439" s="143"/>
      <c r="BI439" s="143"/>
      <c r="BJ439" s="142"/>
      <c r="BK439" s="143"/>
      <c r="BL439" s="143"/>
      <c r="BM439" s="143"/>
      <c r="BN439" s="143"/>
      <c r="BO439" s="144"/>
      <c r="BP439" s="143"/>
      <c r="BQ439" s="143"/>
      <c r="BR439" s="143"/>
      <c r="BS439" s="143"/>
      <c r="BT439" s="142"/>
      <c r="BU439" s="143"/>
      <c r="BV439" s="143"/>
      <c r="BW439" s="143"/>
      <c r="BX439" s="143"/>
      <c r="BY439" s="142"/>
      <c r="BZ439" s="142"/>
      <c r="CA439" s="142"/>
      <c r="CB439" s="142"/>
      <c r="CC439" s="50"/>
    </row>
    <row r="440" s="51" customFormat="true" ht="15" hidden="false" customHeight="true" outlineLevel="0" collapsed="false">
      <c r="A440" s="268" t="s">
        <v>494</v>
      </c>
      <c r="B440" s="266"/>
      <c r="C440" s="501" t="str">
        <f aca="false">IFERROR(IF(OR(C345&lt;0,C437&lt;0),"n/a",C345/C437),"n/a")</f>
        <v>n/a</v>
      </c>
      <c r="D440" s="501" t="n">
        <f aca="false">IFERROR(IF(OR(D345&lt;0,D437&lt;0),"n/a",D345/D437),"n/a")</f>
        <v>172.97602739726</v>
      </c>
      <c r="E440" s="501" t="str">
        <f aca="false">IFERROR(IF(OR(E345&lt;0,E437&lt;0),"n/a",E345/E437),"n/a")</f>
        <v>n/a</v>
      </c>
      <c r="F440" s="501" t="n">
        <f aca="false">IFERROR(IF(OR(F345&lt;0,F437&lt;0),"n/a",F345/F437),"n/a")</f>
        <v>219.836668818593</v>
      </c>
      <c r="G440" s="501" t="n">
        <f aca="false">IFERROR(IF(OR(G345&lt;0,G437&lt;0),"n/a",G345/G437),"n/a")</f>
        <v>54.3130235789301</v>
      </c>
      <c r="H440" s="502" t="n">
        <f aca="false">IFERROR(IF(OR(H345&lt;0,H437&lt;0),"n/a",H345/H437),"n/a")</f>
        <v>135.961538461538</v>
      </c>
      <c r="I440" s="502" t="n">
        <f aca="false">IFERROR(IF(OR(I345&lt;0,I437&lt;0),"n/a",I345/I437),"n/a")</f>
        <v>361.357142857143</v>
      </c>
      <c r="J440" s="502" t="n">
        <f aca="false">IFERROR(IF(OR(J345&lt;0,J437&lt;0),"n/a",J345/J437),"n/a")</f>
        <v>167.75</v>
      </c>
      <c r="K440" s="502" t="n">
        <f aca="false">IFERROR(IF(OR(K345&lt;0,K437&lt;0),"n/a",K345/K437),"n/a")</f>
        <v>155.893846153846</v>
      </c>
      <c r="L440" s="501" t="n">
        <f aca="false">IFERROR(IF(OR(L345&lt;0,L437&lt;0),"n/a",L345/L437),"n/a")</f>
        <v>186.076627906977</v>
      </c>
      <c r="M440" s="502" t="n">
        <f aca="false">IFERROR(IF(OR(M345&lt;0,M437&lt;0),"n/a",M345/M437),"n/a")</f>
        <v>153.257142857143</v>
      </c>
      <c r="N440" s="502" t="n">
        <f aca="false">IFERROR(IF(OR(N345&lt;0,N437&lt;0),"n/a",N345/N437),"n/a")</f>
        <v>120.642857142857</v>
      </c>
      <c r="O440" s="502" t="n">
        <f aca="false">IFERROR(IF(OR(O345&lt;0,O437&lt;0),"n/a",O345/O437),"n/a")</f>
        <v>110.642857142857</v>
      </c>
      <c r="P440" s="502" t="n">
        <f aca="false">IFERROR(IF(OR(P345&lt;0,P437&lt;0),"n/a",P345/P437),"n/a")</f>
        <v>89.8378260869565</v>
      </c>
      <c r="Q440" s="501" t="n">
        <f aca="false">IFERROR(IF(OR(Q345&lt;0,Q437&lt;0),"n/a",Q345/Q437),"n/a")</f>
        <v>116.323887375114</v>
      </c>
      <c r="R440" s="502" t="n">
        <f aca="false">IFERROR(IF(OR(R345&lt;0,R437&lt;0),"n/a",R345/R437),"n/a")</f>
        <v>89.7777777777777</v>
      </c>
      <c r="S440" s="502" t="n">
        <f aca="false">IFERROR(IF(OR(S345&lt;0,S437&lt;0),"n/a",S345/S437),"n/a")</f>
        <v>138.666666666667</v>
      </c>
      <c r="T440" s="502" t="n">
        <f aca="false">IFERROR(IF(OR(T345&lt;0,T437&lt;0),"n/a",T345/T437),"n/a")</f>
        <v>17.5486725663717</v>
      </c>
      <c r="U440" s="502" t="str">
        <f aca="false">IFERROR(IF(OR(U345&lt;0,U437&lt;0),"n/a",U345/U437),"n/a")</f>
        <v>n/a</v>
      </c>
      <c r="V440" s="501" t="str">
        <f aca="false">IFERROR(IF(OR(V345&lt;0,V437&lt;0),"n/a",V345/V437),"n/a")</f>
        <v>n/a</v>
      </c>
      <c r="W440" s="502" t="n">
        <f aca="false">IFERROR(IF(OR(W345&lt;0,W437&lt;0),"n/a",W345/W437),"n/a")</f>
        <v>46.6950354609929</v>
      </c>
      <c r="X440" s="502" t="n">
        <f aca="false">IFERROR(IF(OR(X345&lt;0,X437&lt;0),"n/a",X345/X437),"n/a")</f>
        <v>62.0185185185185</v>
      </c>
      <c r="Y440" s="502" t="n">
        <f aca="false">IFERROR(IF(OR(Y345&lt;0,Y437&lt;0),"n/a",Y345/Y437),"n/a")</f>
        <v>61.728</v>
      </c>
      <c r="Z440" s="502" t="n">
        <f aca="false">IFERROR(IF(OR(Z345&lt;0,Z437&lt;0),"n/a",Z345/Z437),"n/a")</f>
        <v>67.2093023255814</v>
      </c>
      <c r="AA440" s="501" t="n">
        <f aca="false">IFERROR(IF(OR(AA345&lt;0,AA437&lt;0),"n/a",AA345/AA437),"n/a")</f>
        <v>58.9821073558648</v>
      </c>
      <c r="AB440" s="502" t="n">
        <f aca="false">IFERROR(IF(OR(AB345&lt;0,AB437&lt;0),"n/a",AB345/AB437),"n/a")</f>
        <v>72.0952380952381</v>
      </c>
      <c r="AC440" s="502" t="n">
        <f aca="false">IFERROR(IF(OR(AC345&lt;0,AC437&lt;0),"n/a",AC345/AC437),"n/a")</f>
        <v>362.863636363636</v>
      </c>
      <c r="AD440" s="502" t="n">
        <f aca="false">IFERROR(IF(OR(AD345&lt;0,AD437&lt;0),"n/a",AD345/AD437),"n/a")</f>
        <v>116.592592592593</v>
      </c>
      <c r="AE440" s="502" t="n">
        <f aca="false">IFERROR(IF(OR(AE345&lt;0,AE437&lt;0),"n/a",AE345/AE437),"n/a")</f>
        <v>124.613333333333</v>
      </c>
      <c r="AF440" s="501" t="n">
        <f aca="false">IFERROR(IF(OR(AF345&lt;0,AF437&lt;0),"n/a",AF345/AF437),"n/a")</f>
        <v>121.353356890459</v>
      </c>
      <c r="AG440" s="502" t="n">
        <f aca="false">IFERROR(IF(OR(AG345&lt;0,AG437&lt;0),"n/a",AG345/AG437),"n/a")</f>
        <v>57.4683544303797</v>
      </c>
      <c r="AH440" s="502" t="n">
        <f aca="false">IFERROR(IF(OR(AH345&lt;0,AH437&lt;0),"n/a",AH345/AH437),"n/a")</f>
        <v>89.1594202898551</v>
      </c>
      <c r="AI440" s="502" t="n">
        <f aca="false">IFERROR(IF(OR(AI345&lt;0,AI437&lt;0),"n/a",AI345/AI437),"n/a")</f>
        <v>151.111111111111</v>
      </c>
      <c r="AJ440" s="502" t="n">
        <f aca="false">IFERROR(IF(OR(AJ345&lt;0,AJ437&lt;0),"n/a",AJ345/AJ437),"n/a")</f>
        <v>297.645833333334</v>
      </c>
      <c r="AK440" s="501" t="n">
        <f aca="false">IFERROR(IF(OR(AK345&lt;0,AK437&lt;0),"n/a",AK345/AK437),"n/a")</f>
        <v>132.556</v>
      </c>
      <c r="AL440" s="502" t="n">
        <f aca="false">IFERROR(IF(OR(AL345&lt;0,AL437&lt;0),"n/a",AL345/AL437),"n/a")</f>
        <v>49.1140350877193</v>
      </c>
      <c r="AM440" s="502" t="n">
        <f aca="false">IFERROR(IF(OR(AM345&lt;0,AM437&lt;0),"n/a",AM345/AM437),"n/a")</f>
        <v>146.549295774648</v>
      </c>
      <c r="AN440" s="502" t="n">
        <f aca="false">IFERROR(IF(OR(AN345&lt;0,AN437&lt;0),"n/a",AN345/AN437),"n/a")</f>
        <v>161.952380952381</v>
      </c>
      <c r="AO440" s="502" t="n">
        <f aca="false">IFERROR(IF(OR(AO345&lt;0,AO437&lt;0),"n/a",AO345/AO437),"n/a")</f>
        <v>204.425</v>
      </c>
      <c r="AP440" s="501" t="n">
        <f aca="false">IFERROR(IF(OR(AP345&lt;0,AP437&lt;0),"n/a",AP345/AP437),"n/a")</f>
        <v>131.696275071633</v>
      </c>
      <c r="AQ440" s="502" t="n">
        <f aca="false">IFERROR(IF(OR(AQ345&lt;0,AQ437&lt;0),"n/a",AQ345/AQ437),"n/a")</f>
        <v>140.454545454545</v>
      </c>
      <c r="AR440" s="502" t="n">
        <f aca="false">IFERROR(IF(OR(AR345&lt;0,AR437&lt;0),"n/a",AR345/AR437),"n/a")</f>
        <v>140.887755102041</v>
      </c>
      <c r="AS440" s="502" t="n">
        <f aca="false">IFERROR(IF(OR(AS345&lt;0,AS437&lt;0),"n/a",AS345/AS437),"n/a")</f>
        <v>197.095238095238</v>
      </c>
      <c r="AT440" s="502" t="n">
        <f aca="false">IFERROR(IF(OR(AT345&lt;0,AT437&lt;0),"n/a",AT345/AT437),"n/a")</f>
        <v>179.418032786885</v>
      </c>
      <c r="AU440" s="501" t="n">
        <f aca="false">IFERROR(IF(OR(AU345&lt;0,AU437&lt;0),"n/a",AU345/AU437),"n/a")</f>
        <v>164.542600896861</v>
      </c>
      <c r="AV440" s="502" t="n">
        <f aca="false">IFERROR(IF(OR(AV345&lt;0,AV437&lt;0),"n/a",AV345/AV437),"n/a")</f>
        <v>59.4294871794872</v>
      </c>
      <c r="AW440" s="502" t="n">
        <f aca="false">IFERROR(IF(OR(AW345&lt;0,AW437&lt;0),"n/a",AW345/AW437),"n/a")</f>
        <v>166.555555555556</v>
      </c>
      <c r="AX440" s="502" t="n">
        <f aca="false">IFERROR(IF(OR(AX345&lt;0,AX437&lt;0),"n/a",AX345/AX437),"n/a")</f>
        <v>139</v>
      </c>
      <c r="AY440" s="502" t="n">
        <f aca="false">IFERROR(IF(OR(AY345&lt;0,AY437&lt;0),"n/a",AY345/AY437),"n/a")</f>
        <v>751.096774193548</v>
      </c>
      <c r="AZ440" s="501" t="n">
        <f aca="false">IFERROR(IF(OR(AZ345&lt;0,AZ437&lt;0),"n/a",AZ345/AZ437),"n/a")</f>
        <v>160.385650224215</v>
      </c>
      <c r="BA440" s="502" t="str">
        <f aca="false">IFERROR(IF(OR(BA345&lt;0,BA437&lt;0),"n/a",BA345/BA437),"n/a")</f>
        <v>n/a</v>
      </c>
      <c r="BB440" s="502" t="str">
        <f aca="false">IFERROR(IF(OR(BB345&lt;0,BB437&lt;0),"n/a",BB345/BB437),"n/a")</f>
        <v>n/a</v>
      </c>
      <c r="BC440" s="502" t="str">
        <f aca="false">IFERROR(IF(OR(BC345&lt;0,BC437&lt;0),"n/a",BC345/BC437),"n/a")</f>
        <v>n/a</v>
      </c>
      <c r="BD440" s="502" t="str">
        <f aca="false">IFERROR(IF(OR(BD345&lt;0,BD437&lt;0),"n/a",BD345/BD437),"n/a")</f>
        <v>n/a</v>
      </c>
      <c r="BE440" s="501" t="str">
        <f aca="false">IFERROR(IF(OR(BE345&lt;0,BE437&lt;0),"n/a",BE345/BE437),"n/a")</f>
        <v>n/a</v>
      </c>
      <c r="BF440" s="502" t="str">
        <f aca="false">IFERROR(IF(OR(BF345&lt;0,BF437&lt;0),"n/a",BF345/BF437),"n/a")</f>
        <v>n/a</v>
      </c>
      <c r="BG440" s="502" t="n">
        <f aca="false">IFERROR(IF(OR(BG345&lt;0,BG437&lt;0),"n/a",BG345/BG437),"n/a")</f>
        <v>177.193277310924</v>
      </c>
      <c r="BH440" s="502" t="n">
        <f aca="false">IFERROR(IF(OR(BH345&lt;0,BH437&lt;0),"n/a",BH345/BH437),"n/a")</f>
        <v>3412.75</v>
      </c>
      <c r="BI440" s="502" t="str">
        <f aca="false">IFERROR(IF(OR(BI345&lt;0,BI437&lt;0),"n/a",BI345/BI437),"n/a")</f>
        <v>n/a</v>
      </c>
      <c r="BJ440" s="501" t="str">
        <f aca="false">IFERROR(IF(OR(BJ345&lt;0,BJ437&lt;0),"n/a",BJ345/BJ437),"n/a")</f>
        <v>n/a</v>
      </c>
      <c r="BK440" s="502" t="str">
        <f aca="false">IFERROR(IF(OR(BK345&lt;0,BK437&lt;0),"n/a",BK345/BK437),"n/a")</f>
        <v>n/a</v>
      </c>
      <c r="BL440" s="502" t="str">
        <f aca="false">IFERROR(IF(OR(BL345&lt;0,BL437&lt;0),"n/a",BL345/BL437),"n/a")</f>
        <v>n/a</v>
      </c>
      <c r="BM440" s="502" t="str">
        <f aca="false">IFERROR(IF(OR(BM345&lt;0,BM437&lt;0),"n/a",BM345/BM437),"n/a")</f>
        <v>n/a</v>
      </c>
      <c r="BN440" s="502" t="str">
        <f aca="false">IFERROR(IF(OR(BN345&lt;0,BN437&lt;0),"n/a",BN345/BN437),"n/a")</f>
        <v>n/a</v>
      </c>
      <c r="BO440" s="503" t="str">
        <f aca="false">IFERROR(IF(OR(BO345&lt;0,BO437&lt;0),"n/a",BO345/BO437),"n/a")</f>
        <v>n/a</v>
      </c>
      <c r="BP440" s="502" t="n">
        <f aca="false">IFERROR(IF(OR(BP345&lt;0,BP437&lt;0),"n/a",BP345/BP437),"n/a")</f>
        <v>174.66467256724</v>
      </c>
      <c r="BQ440" s="502" t="n">
        <f aca="false">IFERROR(IF(OR(BQ345&lt;0,BQ437&lt;0),"n/a",BQ345/BQ437),"n/a")</f>
        <v>271.853477072328</v>
      </c>
      <c r="BR440" s="502" t="n">
        <f aca="false">IFERROR(IF(OR(BR345&lt;0,BR437&lt;0),"n/a",BR345/BR437),"n/a")</f>
        <v>309.609192816827</v>
      </c>
      <c r="BS440" s="502" t="n">
        <f aca="false">IFERROR(IF(OR(BS345&lt;0,BS437&lt;0),"n/a",BS345/BS437),"n/a")</f>
        <v>452.436056877966</v>
      </c>
      <c r="BT440" s="501" t="n">
        <f aca="false">IFERROR(IF(OR(BT345&lt;0,BT437&lt;0),"n/a",BT345/BT437),"n/a")</f>
        <v>275.26295997729</v>
      </c>
      <c r="BU440" s="502" t="n">
        <f aca="false">IFERROR(IF(OR(BU345&lt;0,BU437&lt;0),"n/a",BU345/BU437),"n/a")</f>
        <v>480.218611689618</v>
      </c>
      <c r="BV440" s="502" t="n">
        <f aca="false">IFERROR(IF(OR(BV345&lt;0,BV437&lt;0),"n/a",BV345/BV437),"n/a")</f>
        <v>2301.38606028174</v>
      </c>
      <c r="BW440" s="502" t="str">
        <f aca="false">IFERROR(IF(OR(BW345&lt;0,BW437&lt;0),"n/a",BW345/BW437),"n/a")</f>
        <v>n/a</v>
      </c>
      <c r="BX440" s="502" t="str">
        <f aca="false">IFERROR(IF(OR(BX345&lt;0,BX437&lt;0),"n/a",BX345/BX437),"n/a")</f>
        <v>n/a</v>
      </c>
      <c r="BY440" s="501" t="n">
        <f aca="false">IFERROR(IF(OR(BY345&lt;0,BY437&lt;0),"n/a",BY345/BY437),"n/a")</f>
        <v>4089.03320670597</v>
      </c>
      <c r="BZ440" s="501" t="str">
        <f aca="false">IFERROR(IF(OR(BZ345&lt;0,BZ437&lt;0),"n/a",BZ345/BZ437),"n/a")</f>
        <v>n/a</v>
      </c>
      <c r="CA440" s="501" t="str">
        <f aca="false">IFERROR(IF(OR(CA345&lt;0,CA437&lt;0),"n/a",CA345/CA437),"n/a")</f>
        <v>n/a</v>
      </c>
      <c r="CB440" s="501" t="str">
        <f aca="false">IFERROR(IF(OR(CB345&lt;0,CB437&lt;0),"n/a",CB345/CB437),"n/a")</f>
        <v>n/a</v>
      </c>
      <c r="CC440" s="50"/>
    </row>
    <row r="441" s="510" customFormat="true" ht="15" hidden="false" customHeight="true" outlineLevel="0" collapsed="false">
      <c r="A441" s="504" t="s">
        <v>495</v>
      </c>
      <c r="B441" s="505"/>
      <c r="C441" s="506" t="str">
        <f aca="false">IF(C431&lt;0,"n/a",C431/C345)</f>
        <v>n/a</v>
      </c>
      <c r="D441" s="506" t="str">
        <f aca="false">IF(D431&lt;0,"n/a",D431/D345)</f>
        <v>n/a</v>
      </c>
      <c r="E441" s="506" t="str">
        <f aca="false">IF(E431&lt;0,"n/a",E431/E345)</f>
        <v>n/a</v>
      </c>
      <c r="F441" s="506" t="str">
        <f aca="false">IF(F431&lt;0,"n/a",F431/F345)</f>
        <v>n/a</v>
      </c>
      <c r="G441" s="506" t="str">
        <f aca="false">IF(G431&lt;0,"n/a",G431/G345)</f>
        <v>n/a</v>
      </c>
      <c r="H441" s="502"/>
      <c r="I441" s="502"/>
      <c r="J441" s="502"/>
      <c r="K441" s="502"/>
      <c r="L441" s="506" t="str">
        <f aca="false">IF(L431&lt;0,"n/a",L431/L345)</f>
        <v>n/a</v>
      </c>
      <c r="M441" s="502"/>
      <c r="N441" s="502"/>
      <c r="O441" s="502"/>
      <c r="P441" s="502"/>
      <c r="Q441" s="506" t="str">
        <f aca="false">IF(Q431&lt;0,"n/a",Q431/Q345)</f>
        <v>n/a</v>
      </c>
      <c r="R441" s="502"/>
      <c r="S441" s="507"/>
      <c r="T441" s="502"/>
      <c r="U441" s="502"/>
      <c r="V441" s="506" t="str">
        <f aca="false">IF(V431&lt;0,"n/a",V431/V345)</f>
        <v>n/a</v>
      </c>
      <c r="W441" s="502"/>
      <c r="X441" s="507"/>
      <c r="Y441" s="502"/>
      <c r="Z441" s="502"/>
      <c r="AA441" s="506" t="str">
        <f aca="false">IF(AA431&lt;0,"n/a",AA431/AA345)</f>
        <v>n/a</v>
      </c>
      <c r="AB441" s="502"/>
      <c r="AC441" s="507"/>
      <c r="AD441" s="502"/>
      <c r="AE441" s="502"/>
      <c r="AF441" s="506" t="str">
        <f aca="false">IF(AF431&lt;0,"n/a",AF431/AF345)</f>
        <v>n/a</v>
      </c>
      <c r="AG441" s="502"/>
      <c r="AH441" s="507"/>
      <c r="AI441" s="502"/>
      <c r="AJ441" s="502"/>
      <c r="AK441" s="506" t="str">
        <f aca="false">IF(AK431&lt;0,"n/a",AK431/AK345)</f>
        <v>n/a</v>
      </c>
      <c r="AL441" s="502"/>
      <c r="AM441" s="507"/>
      <c r="AN441" s="502"/>
      <c r="AO441" s="502"/>
      <c r="AP441" s="506" t="str">
        <f aca="false">IF(AP431&lt;0,"n/a",AP431/AP345)</f>
        <v>n/a</v>
      </c>
      <c r="AQ441" s="502"/>
      <c r="AR441" s="507"/>
      <c r="AS441" s="502"/>
      <c r="AT441" s="502"/>
      <c r="AU441" s="506" t="str">
        <f aca="false">IF(AU431&lt;0,"n/a",AU431/AU345)</f>
        <v>n/a</v>
      </c>
      <c r="AV441" s="502"/>
      <c r="AW441" s="507"/>
      <c r="AX441" s="502"/>
      <c r="AY441" s="502"/>
      <c r="AZ441" s="506" t="str">
        <f aca="false">IF(AZ431&lt;0,"n/a",AZ431/AZ345)</f>
        <v>n/a</v>
      </c>
      <c r="BA441" s="502"/>
      <c r="BB441" s="507"/>
      <c r="BC441" s="502"/>
      <c r="BD441" s="502"/>
      <c r="BE441" s="506" t="str">
        <f aca="false">IF(BE431&lt;0,"n/a",BE431/BE345)</f>
        <v>n/a</v>
      </c>
      <c r="BF441" s="502"/>
      <c r="BG441" s="507"/>
      <c r="BH441" s="502"/>
      <c r="BI441" s="502"/>
      <c r="BJ441" s="506" t="str">
        <f aca="false">IF(BJ431&lt;0,"n/a",BJ431/BJ345)</f>
        <v>n/a</v>
      </c>
      <c r="BK441" s="502"/>
      <c r="BL441" s="507"/>
      <c r="BM441" s="502"/>
      <c r="BN441" s="502"/>
      <c r="BO441" s="508" t="str">
        <f aca="false">IF(BO431&lt;0,"n/a",BO431/BO345)</f>
        <v>n/a</v>
      </c>
      <c r="BP441" s="507"/>
      <c r="BQ441" s="507"/>
      <c r="BR441" s="507"/>
      <c r="BS441" s="507"/>
      <c r="BT441" s="501" t="str">
        <f aca="false">IF(BT431&lt;0,"n/a",BT431/BT345)</f>
        <v>n/a</v>
      </c>
      <c r="BU441" s="507"/>
      <c r="BV441" s="507"/>
      <c r="BW441" s="507"/>
      <c r="BX441" s="507"/>
      <c r="BY441" s="501" t="str">
        <f aca="false">IF(BY431&lt;0,"n/a",BY431/BY345)</f>
        <v>n/a</v>
      </c>
      <c r="BZ441" s="501" t="str">
        <f aca="false">IF(BZ431&lt;0,"n/a",BZ431/BZ345)</f>
        <v>n/a</v>
      </c>
      <c r="CA441" s="501" t="str">
        <f aca="false">IF(CA431&lt;0,"n/a",CA431/CA345)</f>
        <v>n/a</v>
      </c>
      <c r="CB441" s="501" t="str">
        <f aca="false">IF(CB431&lt;0,"n/a",CB431/CB345)</f>
        <v>n/a</v>
      </c>
      <c r="CC441" s="509"/>
    </row>
    <row r="442" s="510" customFormat="true" ht="15" hidden="false" customHeight="true" outlineLevel="0" collapsed="false">
      <c r="A442" s="504" t="s">
        <v>496</v>
      </c>
      <c r="B442" s="505"/>
      <c r="C442" s="506" t="str">
        <f aca="false">IF(C431&lt;0,"n/a",C431/C399)</f>
        <v>n/a</v>
      </c>
      <c r="D442" s="506" t="str">
        <f aca="false">IF(D431&lt;0,"n/a",D431/D399)</f>
        <v>n/a</v>
      </c>
      <c r="E442" s="506" t="str">
        <f aca="false">IF(E431&lt;0,"n/a",E431/E399)</f>
        <v>n/a</v>
      </c>
      <c r="F442" s="506" t="str">
        <f aca="false">IF(F431&lt;0,"n/a",F431/F399)</f>
        <v>n/a</v>
      </c>
      <c r="G442" s="506" t="str">
        <f aca="false">IF(G431&lt;0,"n/a",G431/G399)</f>
        <v>n/a</v>
      </c>
      <c r="H442" s="502"/>
      <c r="I442" s="502"/>
      <c r="J442" s="502"/>
      <c r="K442" s="502"/>
      <c r="L442" s="506" t="str">
        <f aca="false">IF(L431&lt;0,"n/a",L431/L399)</f>
        <v>n/a</v>
      </c>
      <c r="M442" s="502"/>
      <c r="N442" s="502"/>
      <c r="O442" s="502"/>
      <c r="P442" s="502"/>
      <c r="Q442" s="506" t="str">
        <f aca="false">IF(Q431&lt;0,"n/a",Q431/Q399)</f>
        <v>n/a</v>
      </c>
      <c r="R442" s="502"/>
      <c r="S442" s="507"/>
      <c r="T442" s="502"/>
      <c r="U442" s="502"/>
      <c r="V442" s="506" t="str">
        <f aca="false">IF(V431&lt;0,"n/a",V431/V399)</f>
        <v>n/a</v>
      </c>
      <c r="W442" s="502"/>
      <c r="X442" s="507"/>
      <c r="Y442" s="502"/>
      <c r="Z442" s="502"/>
      <c r="AA442" s="506" t="str">
        <f aca="false">IF(AA431&lt;0,"n/a",AA431/AA399)</f>
        <v>n/a</v>
      </c>
      <c r="AB442" s="502"/>
      <c r="AC442" s="507"/>
      <c r="AD442" s="502"/>
      <c r="AE442" s="502"/>
      <c r="AF442" s="506" t="str">
        <f aca="false">IF(AF431&lt;0,"n/a",AF431/AF399)</f>
        <v>n/a</v>
      </c>
      <c r="AG442" s="502"/>
      <c r="AH442" s="507"/>
      <c r="AI442" s="502"/>
      <c r="AJ442" s="502"/>
      <c r="AK442" s="506" t="str">
        <f aca="false">IF(AK431&lt;0,"n/a",AK431/AK399)</f>
        <v>n/a</v>
      </c>
      <c r="AL442" s="502"/>
      <c r="AM442" s="507"/>
      <c r="AN442" s="502"/>
      <c r="AO442" s="502"/>
      <c r="AP442" s="506" t="str">
        <f aca="false">IF(AP431&lt;0,"n/a",AP431/AP399)</f>
        <v>n/a</v>
      </c>
      <c r="AQ442" s="502"/>
      <c r="AR442" s="507"/>
      <c r="AS442" s="502"/>
      <c r="AT442" s="502"/>
      <c r="AU442" s="506" t="str">
        <f aca="false">IF(AU431&lt;0,"n/a",AU431/AU399)</f>
        <v>n/a</v>
      </c>
      <c r="AV442" s="502"/>
      <c r="AW442" s="507"/>
      <c r="AX442" s="502"/>
      <c r="AY442" s="502"/>
      <c r="AZ442" s="506" t="str">
        <f aca="false">IF(AZ431&lt;0,"n/a",AZ431/AZ399)</f>
        <v>n/a</v>
      </c>
      <c r="BA442" s="502"/>
      <c r="BB442" s="507"/>
      <c r="BC442" s="502"/>
      <c r="BD442" s="502"/>
      <c r="BE442" s="506" t="str">
        <f aca="false">IF(BE431&lt;0,"n/a",BE431/BE399)</f>
        <v>n/a</v>
      </c>
      <c r="BF442" s="502"/>
      <c r="BG442" s="507"/>
      <c r="BH442" s="502"/>
      <c r="BI442" s="502"/>
      <c r="BJ442" s="506" t="str">
        <f aca="false">IF(BJ431&lt;0,"n/a",BJ431/BJ399)</f>
        <v>n/a</v>
      </c>
      <c r="BK442" s="502"/>
      <c r="BL442" s="507"/>
      <c r="BM442" s="502"/>
      <c r="BN442" s="502"/>
      <c r="BO442" s="508" t="str">
        <f aca="false">IF(BO431&lt;0,"n/a",BO431/BO399)</f>
        <v>n/a</v>
      </c>
      <c r="BP442" s="507"/>
      <c r="BQ442" s="507"/>
      <c r="BR442" s="507"/>
      <c r="BS442" s="507"/>
      <c r="BT442" s="501" t="str">
        <f aca="false">IF(BT431&lt;0,"n/a",BT431/BT399)</f>
        <v>n/a</v>
      </c>
      <c r="BU442" s="507"/>
      <c r="BV442" s="507"/>
      <c r="BW442" s="507"/>
      <c r="BX442" s="507"/>
      <c r="BY442" s="501" t="str">
        <f aca="false">IF(BY431&lt;0,"n/a",BY431/BY399)</f>
        <v>n/a</v>
      </c>
      <c r="BZ442" s="501" t="str">
        <f aca="false">IF(BZ431&lt;0,"n/a",BZ431/BZ399)</f>
        <v>n/a</v>
      </c>
      <c r="CA442" s="501" t="str">
        <f aca="false">IF(CA431&lt;0,"n/a",CA431/CA399)</f>
        <v>n/a</v>
      </c>
      <c r="CB442" s="501" t="str">
        <f aca="false">IF(CB431&lt;0,"n/a",CB431/CB399)</f>
        <v>n/a</v>
      </c>
      <c r="CC442" s="509"/>
    </row>
    <row r="443" s="45" customFormat="true" ht="15" hidden="false" customHeight="true" outlineLevel="0" collapsed="false">
      <c r="A443" s="85"/>
      <c r="B443" s="85"/>
      <c r="C443" s="214"/>
      <c r="D443" s="214"/>
      <c r="E443" s="214"/>
      <c r="F443" s="214"/>
      <c r="G443" s="214"/>
      <c r="H443" s="215"/>
      <c r="I443" s="215"/>
      <c r="J443" s="215"/>
      <c r="K443" s="215"/>
      <c r="L443" s="214"/>
      <c r="M443" s="215"/>
      <c r="N443" s="215"/>
      <c r="O443" s="215"/>
      <c r="P443" s="215"/>
      <c r="Q443" s="214"/>
      <c r="R443" s="215"/>
      <c r="S443" s="215"/>
      <c r="T443" s="215"/>
      <c r="U443" s="215"/>
      <c r="V443" s="214"/>
      <c r="W443" s="215"/>
      <c r="X443" s="215"/>
      <c r="Y443" s="215"/>
      <c r="Z443" s="215"/>
      <c r="AA443" s="214"/>
      <c r="AB443" s="215"/>
      <c r="AC443" s="215"/>
      <c r="AD443" s="215"/>
      <c r="AE443" s="215"/>
      <c r="AF443" s="214"/>
      <c r="AG443" s="215"/>
      <c r="AH443" s="215"/>
      <c r="AI443" s="215"/>
      <c r="AJ443" s="215"/>
      <c r="AK443" s="214"/>
      <c r="AL443" s="215"/>
      <c r="AM443" s="215"/>
      <c r="AN443" s="215"/>
      <c r="AO443" s="215"/>
      <c r="AP443" s="214"/>
      <c r="AQ443" s="215"/>
      <c r="AR443" s="215"/>
      <c r="AS443" s="215"/>
      <c r="AT443" s="215"/>
      <c r="AU443" s="214"/>
      <c r="AV443" s="215"/>
      <c r="AW443" s="215"/>
      <c r="AX443" s="215"/>
      <c r="AY443" s="215"/>
      <c r="AZ443" s="214"/>
      <c r="BA443" s="215"/>
      <c r="BB443" s="215"/>
      <c r="BC443" s="215"/>
      <c r="BD443" s="215"/>
      <c r="BE443" s="214"/>
      <c r="BF443" s="215"/>
      <c r="BG443" s="215"/>
      <c r="BH443" s="215"/>
      <c r="BI443" s="215"/>
      <c r="BJ443" s="214"/>
      <c r="BK443" s="215"/>
      <c r="BL443" s="215"/>
      <c r="BM443" s="215"/>
      <c r="BN443" s="215"/>
      <c r="BO443" s="218"/>
      <c r="BP443" s="215"/>
      <c r="BQ443" s="215"/>
      <c r="BR443" s="215"/>
      <c r="BS443" s="215"/>
      <c r="BT443" s="214"/>
      <c r="BU443" s="215"/>
      <c r="BV443" s="215"/>
      <c r="BW443" s="215"/>
      <c r="BX443" s="215"/>
      <c r="BY443" s="214"/>
      <c r="BZ443" s="214"/>
      <c r="CA443" s="214"/>
      <c r="CB443" s="214"/>
      <c r="CC443" s="92"/>
    </row>
    <row r="444" s="157" customFormat="true" ht="15" hidden="false" customHeight="true" outlineLevel="0" collapsed="false">
      <c r="A444" s="219" t="s">
        <v>497</v>
      </c>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c r="AA444" s="219"/>
      <c r="AB444" s="219"/>
      <c r="AC444" s="219"/>
      <c r="AD444" s="219"/>
      <c r="AE444" s="219"/>
      <c r="AF444" s="219"/>
      <c r="AG444" s="219"/>
      <c r="AH444" s="219"/>
      <c r="AI444" s="219"/>
      <c r="AJ444" s="219"/>
      <c r="AK444" s="219"/>
      <c r="AL444" s="219"/>
      <c r="AM444" s="219"/>
      <c r="AN444" s="219"/>
      <c r="AO444" s="219"/>
      <c r="AP444" s="219"/>
      <c r="AQ444" s="219"/>
      <c r="AR444" s="219"/>
      <c r="AS444" s="219"/>
      <c r="AT444" s="219"/>
      <c r="AU444" s="219"/>
      <c r="AV444" s="219"/>
      <c r="AW444" s="219"/>
      <c r="AX444" s="219"/>
      <c r="AY444" s="219"/>
      <c r="AZ444" s="219"/>
      <c r="BA444" s="219"/>
      <c r="BB444" s="219"/>
      <c r="BC444" s="219"/>
      <c r="BD444" s="219"/>
      <c r="BE444" s="219"/>
      <c r="BF444" s="219"/>
      <c r="BG444" s="219"/>
      <c r="BH444" s="219"/>
      <c r="BI444" s="219"/>
      <c r="BJ444" s="219"/>
      <c r="BK444" s="219"/>
      <c r="BL444" s="219"/>
      <c r="BM444" s="219"/>
      <c r="BN444" s="219"/>
      <c r="BO444" s="220"/>
      <c r="BP444" s="219"/>
      <c r="BQ444" s="219"/>
      <c r="BR444" s="219"/>
      <c r="BS444" s="219"/>
      <c r="BT444" s="219"/>
      <c r="BU444" s="219"/>
      <c r="BV444" s="219"/>
      <c r="BW444" s="219"/>
      <c r="BX444" s="219"/>
      <c r="BY444" s="219"/>
      <c r="BZ444" s="219"/>
      <c r="CA444" s="219"/>
      <c r="CB444" s="219"/>
      <c r="CC444" s="156"/>
    </row>
    <row r="445" s="445" customFormat="true" ht="15" hidden="false" customHeight="true" outlineLevel="0" collapsed="false">
      <c r="A445" s="511" t="str">
        <f aca="false">"Stock Price (Reporting Cur.) - "&amp;MO.ValuationToggle&amp;", "&amp;MO.ReportCurrency</f>
        <v>Stock Price (Reporting Cur.) - EoP, EUR</v>
      </c>
      <c r="B445" s="512" t="s">
        <v>498</v>
      </c>
      <c r="C445" s="513" t="n">
        <f aca="false">IF(MO.ValuationToggle="EoP",INDEX(MO_VA_StockPrice_TradingCurrency,1,COLUMN())/INDEX(MO_VA_FX_EoP,1,COLUMN()),INDEX(MO_VA_StockPrice_TradingCurrency,1,COLUMN())/INDEX(MO_VA_FX_Average,1,COLUMN()))</f>
        <v>31.103896</v>
      </c>
      <c r="D445" s="513" t="n">
        <f aca="false">IF(MO.ValuationToggle="EoP",INDEX(MO_VA_StockPrice_TradingCurrency,1,COLUMN())/INDEX(MO_VA_FX_EoP,1,COLUMN()),INDEX(MO_VA_StockPrice_TradingCurrency,1,COLUMN())/INDEX(MO_VA_FX_Average,1,COLUMN()))</f>
        <v>37.668831</v>
      </c>
      <c r="E445" s="513" t="n">
        <f aca="false">IF(MO.ValuationToggle="EoP",INDEX(MO_VA_StockPrice_TradingCurrency,1,COLUMN())/INDEX(MO_VA_FX_EoP,1,COLUMN()),INDEX(MO_VA_StockPrice_TradingCurrency,1,COLUMN())/INDEX(MO_VA_FX_Average,1,COLUMN()))</f>
        <v>42.175325</v>
      </c>
      <c r="F445" s="513" t="n">
        <f aca="false">IF(MO.ValuationToggle="EoP",INDEX(MO_VA_StockPrice_TradingCurrency,1,COLUMN())/INDEX(MO_VA_FX_EoP,1,COLUMN()),INDEX(MO_VA_StockPrice_TradingCurrency,1,COLUMN())/INDEX(MO_VA_FX_Average,1,COLUMN()))</f>
        <v>47.885</v>
      </c>
      <c r="G445" s="513" t="n">
        <f aca="false">IF(MO.ValuationToggle="EoP",INDEX(MO_VA_StockPrice_TradingCurrency,1,COLUMN())/INDEX(MO_VA_FX_EoP,1,COLUMN()),INDEX(MO_VA_StockPrice_TradingCurrency,1,COLUMN())/INDEX(MO_VA_FX_Average,1,COLUMN()))</f>
        <v>67.93</v>
      </c>
      <c r="H445" s="514" t="n">
        <f aca="false">IF(MO.ValuationToggle="EoP",INDEX(MO_VA_StockPrice_TradingCurrency,1,COLUMN())/INDEX(MO_VA_FX_EoP,1,COLUMN()),INDEX(MO_VA_StockPrice_TradingCurrency,1,COLUMN())/INDEX(MO_VA_FX_Average,1,COLUMN()))</f>
        <v>67.15</v>
      </c>
      <c r="I445" s="514" t="n">
        <f aca="false">IF(MO.ValuationToggle="EoP",INDEX(MO_VA_StockPrice_TradingCurrency,1,COLUMN())/INDEX(MO_VA_FX_EoP,1,COLUMN()),INDEX(MO_VA_StockPrice_TradingCurrency,1,COLUMN())/INDEX(MO_VA_FX_Average,1,COLUMN()))</f>
        <v>67.62</v>
      </c>
      <c r="J445" s="514" t="n">
        <f aca="false">IF(MO.ValuationToggle="EoP",INDEX(MO_VA_StockPrice_TradingCurrency,1,COLUMN())/INDEX(MO_VA_FX_EoP,1,COLUMN()),INDEX(MO_VA_StockPrice_TradingCurrency,1,COLUMN())/INDEX(MO_VA_FX_Average,1,COLUMN()))</f>
        <v>78.56</v>
      </c>
      <c r="K445" s="514" t="n">
        <f aca="false">IF(MO.ValuationToggle="EoP",INDEX(MO_VA_StockPrice_TradingCurrency,1,COLUMN())/INDEX(MO_VA_FX_EoP,1,COLUMN()),INDEX(MO_VA_StockPrice_TradingCurrency,1,COLUMN())/INDEX(MO_VA_FX_Average,1,COLUMN()))</f>
        <v>88.82</v>
      </c>
      <c r="L445" s="513" t="n">
        <f aca="false">IF(MO.ValuationToggle="EoP",INDEX(MO_VA_StockPrice_TradingCurrency,1,COLUMN())/INDEX(MO_VA_FX_EoP,1,COLUMN()),INDEX(MO_VA_StockPrice_TradingCurrency,1,COLUMN())/INDEX(MO_VA_FX_Average,1,COLUMN()))</f>
        <v>88.82</v>
      </c>
      <c r="M445" s="514" t="n">
        <f aca="false">IF(MO.ValuationToggle="EoP",INDEX(MO_VA_StockPrice_TradingCurrency,1,COLUMN())/INDEX(MO_VA_FX_EoP,1,COLUMN()),INDEX(MO_VA_StockPrice_TradingCurrency,1,COLUMN())/INDEX(MO_VA_FX_Average,1,COLUMN()))</f>
        <v>92.37</v>
      </c>
      <c r="N445" s="514" t="n">
        <f aca="false">IF(MO.ValuationToggle="EoP",INDEX(MO_VA_StockPrice_TradingCurrency,1,COLUMN())/INDEX(MO_VA_FX_EoP,1,COLUMN()),INDEX(MO_VA_StockPrice_TradingCurrency,1,COLUMN())/INDEX(MO_VA_FX_Average,1,COLUMN()))</f>
        <v>98.74</v>
      </c>
      <c r="O445" s="514" t="n">
        <f aca="false">IF(MO.ValuationToggle="EoP",INDEX(MO_VA_StockPrice_TradingCurrency,1,COLUMN())/INDEX(MO_VA_FX_EoP,1,COLUMN()),INDEX(MO_VA_StockPrice_TradingCurrency,1,COLUMN())/INDEX(MO_VA_FX_Average,1,COLUMN()))</f>
        <v>77.15</v>
      </c>
      <c r="P445" s="514" t="n">
        <f aca="false">IF(MO.ValuationToggle="EoP",INDEX(MO_VA_StockPrice_TradingCurrency,1,COLUMN())/INDEX(MO_VA_FX_EoP,1,COLUMN()),INDEX(MO_VA_StockPrice_TradingCurrency,1,COLUMN())/INDEX(MO_VA_FX_Average,1,COLUMN()))</f>
        <v>84.09</v>
      </c>
      <c r="Q445" s="513" t="n">
        <f aca="false">IF(MO.ValuationToggle="EoP",INDEX(MO_VA_StockPrice_TradingCurrency,1,COLUMN())/INDEX(MO_VA_FX_EoP,1,COLUMN()),INDEX(MO_VA_StockPrice_TradingCurrency,1,COLUMN())/INDEX(MO_VA_FX_Average,1,COLUMN()))</f>
        <v>84.09</v>
      </c>
      <c r="R445" s="514" t="n">
        <f aca="false">IF(MO.ValuationToggle="EoP",INDEX(MO_VA_StockPrice_TradingCurrency,1,COLUMN())/INDEX(MO_VA_FX_EoP,1,COLUMN()),INDEX(MO_VA_StockPrice_TradingCurrency,1,COLUMN())/INDEX(MO_VA_FX_Average,1,COLUMN()))</f>
        <v>87.91</v>
      </c>
      <c r="S445" s="514" t="n">
        <f aca="false">IF(MO.ValuationToggle="EoP",INDEX(MO_VA_StockPrice_TradingCurrency,1,COLUMN())/INDEX(MO_VA_FX_EoP,1,COLUMN()),INDEX(MO_VA_StockPrice_TradingCurrency,1,COLUMN())/INDEX(MO_VA_FX_Average,1,COLUMN()))</f>
        <v>88.09</v>
      </c>
      <c r="T445" s="514" t="n">
        <f aca="false">IF(MO.ValuationToggle="EoP",INDEX(MO_VA_StockPrice_TradingCurrency,1,COLUMN())/INDEX(MO_VA_FX_EoP,1,COLUMN()),INDEX(MO_VA_StockPrice_TradingCurrency,1,COLUMN())/INDEX(MO_VA_FX_Average,1,COLUMN()))</f>
        <v>97.69</v>
      </c>
      <c r="U445" s="514" t="n">
        <f aca="false">IF(MO.ValuationToggle="EoP",INDEX(MO_VA_StockPrice_TradingCurrency,1,COLUMN())/INDEX(MO_VA_FX_EoP,1,COLUMN()),INDEX(MO_VA_StockPrice_TradingCurrency,1,COLUMN())/INDEX(MO_VA_FX_Average,1,COLUMN()))</f>
        <v>106.65</v>
      </c>
      <c r="V445" s="513" t="n">
        <f aca="false">IF(MO.ValuationToggle="EoP",INDEX(MO_VA_StockPrice_TradingCurrency,1,COLUMN())/INDEX(MO_VA_FX_EoP,1,COLUMN()),INDEX(MO_VA_StockPrice_TradingCurrency,1,COLUMN())/INDEX(MO_VA_FX_Average,1,COLUMN()))</f>
        <v>106.65</v>
      </c>
      <c r="W445" s="514" t="n">
        <f aca="false">IF(MO.ValuationToggle="EoP",INDEX(MO_VA_StockPrice_TradingCurrency,1,COLUMN())/INDEX(MO_VA_FX_EoP,1,COLUMN()),INDEX(MO_VA_StockPrice_TradingCurrency,1,COLUMN())/INDEX(MO_VA_FX_Average,1,COLUMN()))</f>
        <v>124.4</v>
      </c>
      <c r="X445" s="514" t="n">
        <f aca="false">IF(MO.ValuationToggle="EoP",INDEX(MO_VA_StockPrice_TradingCurrency,1,COLUMN())/INDEX(MO_VA_FX_EoP,1,COLUMN()),INDEX(MO_VA_StockPrice_TradingCurrency,1,COLUMN())/INDEX(MO_VA_FX_Average,1,COLUMN()))</f>
        <v>114.1</v>
      </c>
      <c r="Y445" s="514" t="n">
        <f aca="false">IF(MO.ValuationToggle="EoP",INDEX(MO_VA_StockPrice_TradingCurrency,1,COLUMN())/INDEX(MO_VA_FX_EoP,1,COLUMN()),INDEX(MO_VA_StockPrice_TradingCurrency,1,COLUMN())/INDEX(MO_VA_FX_Average,1,COLUMN()))</f>
        <v>144.05</v>
      </c>
      <c r="Z445" s="514" t="n">
        <f aca="false">IF(MO.ValuationToggle="EoP",INDEX(MO_VA_StockPrice_TradingCurrency,1,COLUMN())/INDEX(MO_VA_FX_EoP,1,COLUMN()),INDEX(MO_VA_StockPrice_TradingCurrency,1,COLUMN())/INDEX(MO_VA_FX_Average,1,COLUMN()))</f>
        <v>145.25</v>
      </c>
      <c r="AA445" s="513" t="n">
        <f aca="false">IF(MO.ValuationToggle="EoP",INDEX(MO_VA_StockPrice_TradingCurrency,1,COLUMN())/INDEX(MO_VA_FX_EoP,1,COLUMN()),INDEX(MO_VA_StockPrice_TradingCurrency,1,COLUMN())/INDEX(MO_VA_FX_Average,1,COLUMN()))</f>
        <v>145.25</v>
      </c>
      <c r="AB445" s="514" t="n">
        <f aca="false">IF(MO.ValuationToggle="EoP",INDEX(MO_VA_StockPrice_TradingCurrency,1,COLUMN())/INDEX(MO_VA_FX_EoP,1,COLUMN()),INDEX(MO_VA_StockPrice_TradingCurrency,1,COLUMN())/INDEX(MO_VA_FX_Average,1,COLUMN()))</f>
        <v>160.15</v>
      </c>
      <c r="AC445" s="514" t="n">
        <f aca="false">IF(MO.ValuationToggle="EoP",INDEX(MO_VA_StockPrice_TradingCurrency,1,COLUMN())/INDEX(MO_VA_FX_EoP,1,COLUMN()),INDEX(MO_VA_StockPrice_TradingCurrency,1,COLUMN())/INDEX(MO_VA_FX_Average,1,COLUMN()))</f>
        <v>169.7</v>
      </c>
      <c r="AD445" s="514" t="n">
        <f aca="false">IF(MO.ValuationToggle="EoP",INDEX(MO_VA_StockPrice_TradingCurrency,1,COLUMN())/INDEX(MO_VA_FX_EoP,1,COLUMN()),INDEX(MO_VA_StockPrice_TradingCurrency,1,COLUMN())/INDEX(MO_VA_FX_Average,1,COLUMN()))</f>
        <v>160.9</v>
      </c>
      <c r="AE445" s="514" t="n">
        <f aca="false">IF(MO.ValuationToggle="EoP",INDEX(MO_VA_StockPrice_TradingCurrency,1,COLUMN())/INDEX(MO_VA_FX_EoP,1,COLUMN()),INDEX(MO_VA_StockPrice_TradingCurrency,1,COLUMN())/INDEX(MO_VA_FX_Average,1,COLUMN()))</f>
        <v>136.62</v>
      </c>
      <c r="AF445" s="513" t="n">
        <f aca="false">IF(MO.ValuationToggle="EoP",INDEX(MO_VA_StockPrice_TradingCurrency,1,COLUMN())/INDEX(MO_VA_FX_EoP,1,COLUMN()),INDEX(MO_VA_StockPrice_TradingCurrency,1,COLUMN())/INDEX(MO_VA_FX_Average,1,COLUMN()))</f>
        <v>136.62</v>
      </c>
      <c r="AG445" s="514" t="n">
        <f aca="false">IF(MO.ValuationToggle="EoP",INDEX(MO_VA_StockPrice_TradingCurrency,1,COLUMN())/INDEX(MO_VA_FX_EoP,1,COLUMN()),INDEX(MO_VA_StockPrice_TradingCurrency,1,COLUMN())/INDEX(MO_VA_FX_Average,1,COLUMN()))</f>
        <v>167.2</v>
      </c>
      <c r="AH445" s="514" t="n">
        <f aca="false">IF(MO.ValuationToggle="EoP",INDEX(MO_VA_StockPrice_TradingCurrency,1,COLUMN())/INDEX(MO_VA_FX_EoP,1,COLUMN()),INDEX(MO_VA_StockPrice_TradingCurrency,1,COLUMN())/INDEX(MO_VA_FX_Average,1,COLUMN()))</f>
        <v>183.74</v>
      </c>
      <c r="AI445" s="514" t="n">
        <f aca="false">IF(MO.ValuationToggle="EoP",INDEX(MO_VA_StockPrice_TradingCurrency,1,COLUMN())/INDEX(MO_VA_FX_EoP,1,COLUMN()),INDEX(MO_VA_StockPrice_TradingCurrency,1,COLUMN())/INDEX(MO_VA_FX_Average,1,COLUMN()))</f>
        <v>225.45</v>
      </c>
      <c r="AJ445" s="514" t="n">
        <f aca="false">IF(MO.ValuationToggle="EoP",INDEX(MO_VA_StockPrice_TradingCurrency,1,COLUMN())/INDEX(MO_VA_FX_EoP,1,COLUMN()),INDEX(MO_VA_StockPrice_TradingCurrency,1,COLUMN())/INDEX(MO_VA_FX_Average,1,COLUMN()))</f>
        <v>262.9</v>
      </c>
      <c r="AK445" s="513" t="n">
        <f aca="false">IF(MO.ValuationToggle="EoP",INDEX(MO_VA_StockPrice_TradingCurrency,1,COLUMN())/INDEX(MO_VA_FX_EoP,1,COLUMN()),INDEX(MO_VA_StockPrice_TradingCurrency,1,COLUMN())/INDEX(MO_VA_FX_Average,1,COLUMN()))</f>
        <v>262.9</v>
      </c>
      <c r="AL445" s="514" t="n">
        <f aca="false">IF(MO.ValuationToggle="EoP",INDEX(MO_VA_StockPrice_TradingCurrency,1,COLUMN())/INDEX(MO_VA_FX_EoP,1,COLUMN()),INDEX(MO_VA_StockPrice_TradingCurrency,1,COLUMN())/INDEX(MO_VA_FX_Average,1,COLUMN()))</f>
        <v>229.5</v>
      </c>
      <c r="AM445" s="514" t="n">
        <f aca="false">IF(MO.ValuationToggle="EoP",INDEX(MO_VA_StockPrice_TradingCurrency,1,COLUMN())/INDEX(MO_VA_FX_EoP,1,COLUMN()),INDEX(MO_VA_StockPrice_TradingCurrency,1,COLUMN())/INDEX(MO_VA_FX_Average,1,COLUMN()))</f>
        <v>324</v>
      </c>
      <c r="AN445" s="514" t="n">
        <f aca="false">IF(MO.ValuationToggle="EoP",INDEX(MO_VA_StockPrice_TradingCurrency,1,COLUMN())/INDEX(MO_VA_FX_EoP,1,COLUMN()),INDEX(MO_VA_StockPrice_TradingCurrency,1,COLUMN())/INDEX(MO_VA_FX_Average,1,COLUMN()))</f>
        <v>307.2</v>
      </c>
      <c r="AO445" s="514" t="n">
        <f aca="false">IF(MO.ValuationToggle="EoP",INDEX(MO_VA_StockPrice_TradingCurrency,1,COLUMN())/INDEX(MO_VA_FX_EoP,1,COLUMN()),INDEX(MO_VA_StockPrice_TradingCurrency,1,COLUMN())/INDEX(MO_VA_FX_Average,1,COLUMN()))</f>
        <v>398.5</v>
      </c>
      <c r="AP445" s="513" t="n">
        <f aca="false">IF(MO.ValuationToggle="EoP",INDEX(MO_VA_StockPrice_TradingCurrency,1,COLUMN())/INDEX(MO_VA_FX_EoP,1,COLUMN()),INDEX(MO_VA_StockPrice_TradingCurrency,1,COLUMN())/INDEX(MO_VA_FX_Average,1,COLUMN()))</f>
        <v>398.5</v>
      </c>
      <c r="AQ445" s="514" t="n">
        <f aca="false">IF(MO.ValuationToggle="EoP",INDEX(MO_VA_StockPrice_TradingCurrency,1,COLUMN())/INDEX(MO_VA_FX_EoP,1,COLUMN()),INDEX(MO_VA_StockPrice_TradingCurrency,1,COLUMN())/INDEX(MO_VA_FX_Average,1,COLUMN()))</f>
        <v>529.3</v>
      </c>
      <c r="AR445" s="514" t="n">
        <f aca="false">IF(MO.ValuationToggle="EoP",INDEX(MO_VA_StockPrice_TradingCurrency,1,COLUMN())/INDEX(MO_VA_FX_EoP,1,COLUMN()),INDEX(MO_VA_StockPrice_TradingCurrency,1,COLUMN())/INDEX(MO_VA_FX_Average,1,COLUMN()))</f>
        <v>579</v>
      </c>
      <c r="AS445" s="514" t="n">
        <f aca="false">IF(MO.ValuationToggle="EoP",INDEX(MO_VA_StockPrice_TradingCurrency,1,COLUMN())/INDEX(MO_VA_FX_EoP,1,COLUMN()),INDEX(MO_VA_StockPrice_TradingCurrency,1,COLUMN())/INDEX(MO_VA_FX_Average,1,COLUMN()))</f>
        <v>632.5</v>
      </c>
      <c r="AT445" s="514" t="n">
        <f aca="false">IF(MO.ValuationToggle="EoP",INDEX(MO_VA_StockPrice_TradingCurrency,1,COLUMN())/INDEX(MO_VA_FX_EoP,1,COLUMN()),INDEX(MO_VA_StockPrice_TradingCurrency,1,COLUMN())/INDEX(MO_VA_FX_Average,1,COLUMN()))</f>
        <v>710.4</v>
      </c>
      <c r="AU445" s="513" t="n">
        <f aca="false">IF(MO.ValuationToggle="EoP",INDEX(MO_VA_StockPrice_TradingCurrency,1,COLUMN())/INDEX(MO_VA_FX_EoP,1,COLUMN()),INDEX(MO_VA_StockPrice_TradingCurrency,1,COLUMN())/INDEX(MO_VA_FX_Average,1,COLUMN()))</f>
        <v>710.4</v>
      </c>
      <c r="AV445" s="514" t="n">
        <f aca="false">IF(MO.ValuationToggle="EoP",INDEX(MO_VA_StockPrice_TradingCurrency,1,COLUMN())/INDEX(MO_VA_FX_EoP,1,COLUMN()),INDEX(MO_VA_StockPrice_TradingCurrency,1,COLUMN())/INDEX(MO_VA_FX_Average,1,COLUMN()))</f>
        <v>606.7</v>
      </c>
      <c r="AW445" s="514" t="n">
        <f aca="false">IF(MO.ValuationToggle="EoP",INDEX(MO_VA_StockPrice_TradingCurrency,1,COLUMN())/INDEX(MO_VA_FX_EoP,1,COLUMN()),INDEX(MO_VA_StockPrice_TradingCurrency,1,COLUMN())/INDEX(MO_VA_FX_Average,1,COLUMN()))</f>
        <v>431.25</v>
      </c>
      <c r="AX445" s="514" t="n">
        <f aca="false">IF(MO.ValuationToggle="EoP",INDEX(MO_VA_StockPrice_TradingCurrency,1,COLUMN())/INDEX(MO_VA_FX_EoP,1,COLUMN()),INDEX(MO_VA_StockPrice_TradingCurrency,1,COLUMN())/INDEX(MO_VA_FX_Average,1,COLUMN()))</f>
        <v>433.6</v>
      </c>
      <c r="AY445" s="514" t="n">
        <f aca="false">IF(MO.ValuationToggle="EoP",INDEX(MO_VA_StockPrice_TradingCurrency,1,COLUMN())/INDEX(MO_VA_FX_EoP,1,COLUMN()),INDEX(MO_VA_StockPrice_TradingCurrency,1,COLUMN())/INDEX(MO_VA_FX_Average,1,COLUMN()))</f>
        <v>503.8</v>
      </c>
      <c r="AZ445" s="513" t="n">
        <f aca="false">IF(MO.ValuationToggle="EoP",INDEX(MO_VA_StockPrice_TradingCurrency,1,COLUMN())/INDEX(MO_VA_FX_EoP,1,COLUMN()),INDEX(MO_VA_StockPrice_TradingCurrency,1,COLUMN())/INDEX(MO_VA_FX_Average,1,COLUMN()))</f>
        <v>503.8</v>
      </c>
      <c r="BA445" s="514" t="n">
        <f aca="false">IF(MO.ValuationToggle="EoP",INDEX(MO_VA_StockPrice_TradingCurrency,1,COLUMN())/INDEX(MO_VA_FX_EoP,1,COLUMN()),INDEX(MO_VA_StockPrice_TradingCurrency,1,COLUMN())/INDEX(MO_VA_FX_Average,1,COLUMN()))</f>
        <v>625.2</v>
      </c>
      <c r="BB445" s="514" t="n">
        <f aca="false">IF(MO.ValuationToggle="EoP",INDEX(MO_VA_StockPrice_TradingCurrency,1,COLUMN())/INDEX(MO_VA_FX_EoP,1,COLUMN()),INDEX(MO_VA_StockPrice_TradingCurrency,1,COLUMN())/INDEX(MO_VA_FX_Average,1,COLUMN()))</f>
        <v>663</v>
      </c>
      <c r="BC445" s="514" t="n">
        <f aca="false">IF(MO.ValuationToggle="EoP",INDEX(MO_VA_StockPrice_TradingCurrency,1,COLUMN())/INDEX(MO_VA_FX_EoP,1,COLUMN()),INDEX(MO_VA_StockPrice_TradingCurrency,1,COLUMN())/INDEX(MO_VA_FX_Average,1,COLUMN()))</f>
        <v>559.1</v>
      </c>
      <c r="BD445" s="514" t="n">
        <f aca="false">IF(MO.ValuationToggle="EoP",INDEX(MO_VA_StockPrice_TradingCurrency,1,COLUMN())/INDEX(MO_VA_FX_EoP,1,COLUMN()),INDEX(MO_VA_StockPrice_TradingCurrency,1,COLUMN())/INDEX(MO_VA_FX_Average,1,COLUMN()))</f>
        <v>681.7</v>
      </c>
      <c r="BE445" s="513" t="n">
        <f aca="false">IF(MO.ValuationToggle="EoP",INDEX(MO_VA_StockPrice_TradingCurrency,1,COLUMN())/INDEX(MO_VA_FX_EoP,1,COLUMN()),INDEX(MO_VA_StockPrice_TradingCurrency,1,COLUMN())/INDEX(MO_VA_FX_Average,1,COLUMN()))</f>
        <v>681.7</v>
      </c>
      <c r="BF445" s="514" t="n">
        <f aca="false">IF(MO.ValuationToggle="EoP",INDEX(MO_VA_StockPrice_TradingCurrency,1,COLUMN())/INDEX(MO_VA_FX_EoP,1,COLUMN()),INDEX(MO_VA_StockPrice_TradingCurrency,1,COLUMN())/INDEX(MO_VA_FX_Average,1,COLUMN()))</f>
        <v>892.2</v>
      </c>
      <c r="BG445" s="514" t="n">
        <f aca="false">IF(MO.ValuationToggle="EoP",INDEX(MO_VA_StockPrice_TradingCurrency,1,COLUMN())/INDEX(MO_VA_FX_EoP,1,COLUMN()),INDEX(MO_VA_StockPrice_TradingCurrency,1,COLUMN())/INDEX(MO_VA_FX_Average,1,COLUMN()))</f>
        <v>964.2</v>
      </c>
      <c r="BH445" s="514" t="n">
        <f aca="false">IF(MO.ValuationToggle="EoP",INDEX(MO_VA_StockPrice_TradingCurrency,1,COLUMN())/INDEX(MO_VA_FX_EoP,1,COLUMN()),INDEX(MO_VA_StockPrice_TradingCurrency,1,COLUMN())/INDEX(MO_VA_FX_Average,1,COLUMN()))</f>
        <v>757.3</v>
      </c>
      <c r="BI445" s="514" t="n">
        <f aca="false">IF(MO.ValuationToggle="EoP",INDEX(MO_VA_StockPrice_TradingCurrency,1,COLUMN())/INDEX(MO_VA_FX_EoP,1,COLUMN()),INDEX(MO_VA_StockPrice_TradingCurrency,1,COLUMN())/INDEX(MO_VA_FX_Average,1,COLUMN()))</f>
        <v>671.9</v>
      </c>
      <c r="BJ445" s="513" t="n">
        <f aca="false">IF(MO.ValuationToggle="EoP",INDEX(MO_VA_StockPrice_TradingCurrency,1,COLUMN())/INDEX(MO_VA_FX_EoP,1,COLUMN()),INDEX(MO_VA_StockPrice_TradingCurrency,1,COLUMN())/INDEX(MO_VA_FX_Average,1,COLUMN()))</f>
        <v>671.9</v>
      </c>
      <c r="BK445" s="514" t="n">
        <f aca="false">IF(MO.ValuationToggle="EoP",INDEX(MO_VA_StockPrice_TradingCurrency,1,COLUMN())/INDEX(MO_VA_FX_EoP,1,COLUMN()),INDEX(MO_VA_StockPrice_TradingCurrency,1,COLUMN())/INDEX(MO_VA_FX_Average,1,COLUMN()))</f>
        <v>625.6</v>
      </c>
      <c r="BL445" s="514" t="n">
        <f aca="false">IF(MO.ValuationToggle="EoP",INDEX(MO_VA_StockPrice_TradingCurrency,1,COLUMN())/INDEX(MO_VA_FX_EoP,1,COLUMN()),INDEX(MO_VA_StockPrice_TradingCurrency,1,COLUMN())/INDEX(MO_VA_FX_Average,1,COLUMN()))</f>
        <v>682.5</v>
      </c>
      <c r="BM445" s="514" t="n">
        <f aca="false">IF(MO.ValuationToggle="EoP",INDEX(MO_VA_StockPrice_TradingCurrency,1,COLUMN())/INDEX(MO_VA_FX_EoP,1,COLUMN()),INDEX(MO_VA_StockPrice_TradingCurrency,1,COLUMN())/INDEX(MO_VA_FX_Average,1,COLUMN()))</f>
        <v>812.8</v>
      </c>
      <c r="BN445" s="514" t="n">
        <f aca="false">IF(MO.ValuationToggle="EoP",INDEX(MO_VA_StockPrice_TradingCurrency,1,COLUMN())/INDEX(MO_VA_FX_EoP,1,COLUMN()),INDEX(MO_VA_StockPrice_TradingCurrency,1,COLUMN())/INDEX(MO_VA_FX_Average,1,COLUMN()))</f>
        <v>918.4</v>
      </c>
      <c r="BO445" s="515" t="n">
        <f aca="false">IF(MO.ValuationToggle="EoP",INDEX(MO_VA_StockPrice_TradingCurrency,1,COLUMN())/INDEX(MO_VA_FX_EoP,1,COLUMN()),INDEX(MO_VA_StockPrice_TradingCurrency,1,COLUMN())/INDEX(MO_VA_FX_Average,1,COLUMN()))</f>
        <v>918.4</v>
      </c>
      <c r="BP445" s="516" t="n">
        <f aca="false">IF(MO.ValuationToggle="EoP",INDEX(MO_VA_StockPrice_TradingCurrency,1,COLUMN())/INDEX(MO_VA_FX_EoP,1,COLUMN()),INDEX(MO_VA_StockPrice_TradingCurrency,1,COLUMN())/INDEX(MO_VA_FX_Average,1,COLUMN()))</f>
        <v>1217.6</v>
      </c>
      <c r="BQ445" s="516" t="n">
        <f aca="false">IF(MO.ValuationToggle="EoP",INDEX(MO_VA_StockPrice_TradingCurrency,1,COLUMN())/INDEX(MO_VA_FX_EoP,1,COLUMN()),INDEX(MO_VA_StockPrice_TradingCurrency,1,COLUMN())/INDEX(MO_VA_FX_Average,1,COLUMN()))</f>
        <v>1217.6</v>
      </c>
      <c r="BR445" s="516" t="n">
        <f aca="false">IF(MO.ValuationToggle="EoP",INDEX(MO_VA_StockPrice_TradingCurrency,1,COLUMN())/INDEX(MO_VA_FX_EoP,1,COLUMN()),INDEX(MO_VA_StockPrice_TradingCurrency,1,COLUMN())/INDEX(MO_VA_FX_Average,1,COLUMN()))</f>
        <v>1217.6</v>
      </c>
      <c r="BS445" s="516" t="n">
        <f aca="false">IF(MO.ValuationToggle="EoP",INDEX(MO_VA_StockPrice_TradingCurrency,1,COLUMN())/INDEX(MO_VA_FX_EoP,1,COLUMN()),INDEX(MO_VA_StockPrice_TradingCurrency,1,COLUMN())/INDEX(MO_VA_FX_Average,1,COLUMN()))</f>
        <v>1217.6</v>
      </c>
      <c r="BT445" s="444" t="n">
        <f aca="false">IF(MO.ValuationToggle="EoP",INDEX(MO_VA_StockPrice_TradingCurrency,1,COLUMN())/INDEX(MO_VA_FX_EoP,1,COLUMN()),INDEX(MO_VA_StockPrice_TradingCurrency,1,COLUMN())/INDEX(MO_VA_FX_Average,1,COLUMN()))</f>
        <v>1217.6</v>
      </c>
      <c r="BU445" s="516" t="n">
        <f aca="false">IF(MO.ValuationToggle="EoP",INDEX(MO_VA_StockPrice_TradingCurrency,1,COLUMN())/INDEX(MO_VA_FX_EoP,1,COLUMN()),INDEX(MO_VA_StockPrice_TradingCurrency,1,COLUMN())/INDEX(MO_VA_FX_Average,1,COLUMN()))</f>
        <v>1217.6</v>
      </c>
      <c r="BV445" s="516" t="n">
        <f aca="false">IF(MO.ValuationToggle="EoP",INDEX(MO_VA_StockPrice_TradingCurrency,1,COLUMN())/INDEX(MO_VA_FX_EoP,1,COLUMN()),INDEX(MO_VA_StockPrice_TradingCurrency,1,COLUMN())/INDEX(MO_VA_FX_Average,1,COLUMN()))</f>
        <v>1217.6</v>
      </c>
      <c r="BW445" s="516" t="n">
        <f aca="false">IF(MO.ValuationToggle="EoP",INDEX(MO_VA_StockPrice_TradingCurrency,1,COLUMN())/INDEX(MO_VA_FX_EoP,1,COLUMN()),INDEX(MO_VA_StockPrice_TradingCurrency,1,COLUMN())/INDEX(MO_VA_FX_Average,1,COLUMN()))</f>
        <v>1217.6</v>
      </c>
      <c r="BX445" s="516" t="n">
        <f aca="false">IF(MO.ValuationToggle="EoP",INDEX(MO_VA_StockPrice_TradingCurrency,1,COLUMN())/INDEX(MO_VA_FX_EoP,1,COLUMN()),INDEX(MO_VA_StockPrice_TradingCurrency,1,COLUMN())/INDEX(MO_VA_FX_Average,1,COLUMN()))</f>
        <v>1217.6</v>
      </c>
      <c r="BY445" s="444" t="n">
        <f aca="false">IF(MO.ValuationToggle="EoP",INDEX(MO_VA_StockPrice_TradingCurrency,1,COLUMN())/INDEX(MO_VA_FX_EoP,1,COLUMN()),INDEX(MO_VA_StockPrice_TradingCurrency,1,COLUMN())/INDEX(MO_VA_FX_Average,1,COLUMN()))</f>
        <v>1217.6</v>
      </c>
      <c r="BZ445" s="444" t="n">
        <f aca="false">IF(MO.ValuationToggle="EoP",INDEX(MO_VA_StockPrice_TradingCurrency,1,COLUMN())/INDEX(MO_VA_FX_EoP,1,COLUMN()),INDEX(MO_VA_StockPrice_TradingCurrency,1,COLUMN())/INDEX(MO_VA_FX_Average,1,COLUMN()))</f>
        <v>1217.6</v>
      </c>
      <c r="CA445" s="444" t="n">
        <f aca="false">IF(MO.ValuationToggle="EoP",INDEX(MO_VA_StockPrice_TradingCurrency,1,COLUMN())/INDEX(MO_VA_FX_EoP,1,COLUMN()),INDEX(MO_VA_StockPrice_TradingCurrency,1,COLUMN())/INDEX(MO_VA_FX_Average,1,COLUMN()))</f>
        <v>1217.6</v>
      </c>
      <c r="CB445" s="444" t="n">
        <f aca="false">IF(MO.ValuationToggle="EoP",INDEX(MO_VA_StockPrice_TradingCurrency,1,COLUMN())/INDEX(MO_VA_FX_EoP,1,COLUMN()),INDEX(MO_VA_StockPrice_TradingCurrency,1,COLUMN())/INDEX(MO_VA_FX_Average,1,COLUMN()))</f>
        <v>1217.6</v>
      </c>
      <c r="CC445" s="441"/>
    </row>
    <row r="446" s="51" customFormat="true" ht="15" hidden="false" customHeight="true" outlineLevel="0" collapsed="false">
      <c r="A446" s="50" t="str">
        <f aca="false">"Market Cap - "&amp;MO.ValuationToggle</f>
        <v>Market Cap - EoP</v>
      </c>
      <c r="B446" s="254"/>
      <c r="C446" s="262" t="n">
        <f aca="false">INDEX(MO_VA_StockPrice,0,COLUMN())*INDEX(MO_SCA_ShareCount_EoP_Diluted,0,COLUMN())</f>
        <v>13487.8616110505</v>
      </c>
      <c r="D446" s="262" t="n">
        <f aca="false">INDEX(MO_VA_StockPrice,0,COLUMN())*INDEX(MO_SCA_ShareCount_EoP_Diluted,0,COLUMN())</f>
        <v>16590.1431631237</v>
      </c>
      <c r="E446" s="262" t="n">
        <f aca="false">INDEX(MO_VA_StockPrice,0,COLUMN())*INDEX(MO_SCA_ShareCount_EoP_Diluted,0,COLUMN())</f>
        <v>17591.5075978585</v>
      </c>
      <c r="F446" s="262" t="n">
        <f aca="false">INDEX(MO_VA_StockPrice,0,COLUMN())*INDEX(MO_SCA_ShareCount_EoP_Diluted,0,COLUMN())</f>
        <v>19635.494257585</v>
      </c>
      <c r="G446" s="262" t="n">
        <f aca="false">INDEX(MO_VA_StockPrice,0,COLUMN())*INDEX(MO_SCA_ShareCount_EoP_Diluted,0,COLUMN())</f>
        <v>30196.80972862</v>
      </c>
      <c r="H446" s="50" t="n">
        <f aca="false">INDEX(MO_VA_StockPrice,0,COLUMN())*INDEX(MO_SCA_ShareCount_EoP_Diluted,0,COLUMN())</f>
        <v>29781.025</v>
      </c>
      <c r="I446" s="50" t="n">
        <f aca="false">INDEX(MO_VA_StockPrice,0,COLUMN())*INDEX(MO_SCA_ShareCount_EoP_Diluted,0,COLUMN())</f>
        <v>29860.992</v>
      </c>
      <c r="J446" s="50" t="n">
        <f aca="false">INDEX(MO_VA_StockPrice,0,COLUMN())*INDEX(MO_SCA_ShareCount_EoP_Diluted,0,COLUMN())</f>
        <v>34487.84</v>
      </c>
      <c r="K446" s="50" t="n">
        <f aca="false">INDEX(MO_VA_StockPrice,0,COLUMN())*INDEX(MO_SCA_ShareCount_EoP_Diluted,0,COLUMN())</f>
        <v>38684.24428016</v>
      </c>
      <c r="L446" s="262" t="n">
        <f aca="false">INDEX(MO_VA_StockPrice,0,COLUMN())*INDEX(MO_SCA_ShareCount_EoP_Diluted,0,COLUMN())</f>
        <v>38684.24428016</v>
      </c>
      <c r="M446" s="50" t="n">
        <f aca="false">INDEX(MO_VA_StockPrice,0,COLUMN())*INDEX(MO_SCA_ShareCount_EoP_Diluted,0,COLUMN())</f>
        <v>40208.661</v>
      </c>
      <c r="N446" s="50" t="n">
        <f aca="false">INDEX(MO_VA_StockPrice,0,COLUMN())*INDEX(MO_SCA_ShareCount_EoP_Diluted,0,COLUMN())</f>
        <v>42833.412</v>
      </c>
      <c r="O446" s="50" t="n">
        <f aca="false">INDEX(MO_VA_StockPrice,0,COLUMN())*INDEX(MO_SCA_ShareCount_EoP_Diluted,0,COLUMN())</f>
        <v>33351.945</v>
      </c>
      <c r="P446" s="50" t="n">
        <f aca="false">INDEX(MO_VA_StockPrice,0,COLUMN())*INDEX(MO_SCA_ShareCount_EoP_Diluted,0,COLUMN())</f>
        <v>36157.58008938</v>
      </c>
      <c r="Q446" s="262" t="n">
        <f aca="false">INDEX(MO_VA_StockPrice,0,COLUMN())*INDEX(MO_SCA_ShareCount_EoP_Diluted,0,COLUMN())</f>
        <v>36157.58008938</v>
      </c>
      <c r="R446" s="50" t="n">
        <f aca="false">INDEX(MO_VA_StockPrice,0,COLUMN())*INDEX(MO_SCA_ShareCount_EoP_Diluted,0,COLUMN())</f>
        <v>37722.181</v>
      </c>
      <c r="S446" s="50" t="n">
        <f aca="false">INDEX(MO_VA_StockPrice,0,COLUMN())*INDEX(MO_SCA_ShareCount_EoP_Diluted,0,COLUMN())</f>
        <v>37570.385</v>
      </c>
      <c r="T446" s="50" t="n">
        <f aca="false">INDEX(MO_VA_StockPrice,0,COLUMN())*INDEX(MO_SCA_ShareCount_EoP_Diluted,0,COLUMN())</f>
        <v>41596.402</v>
      </c>
      <c r="U446" s="50" t="n">
        <f aca="false">INDEX(MO_VA_StockPrice,0,COLUMN())*INDEX(MO_SCA_ShareCount_EoP_Diluted,0,COLUMN())</f>
        <v>46077.1973928</v>
      </c>
      <c r="V446" s="262" t="n">
        <f aca="false">INDEX(MO_VA_StockPrice,0,COLUMN())*INDEX(MO_SCA_ShareCount_EoP_Diluted,0,COLUMN())</f>
        <v>46077.1973928</v>
      </c>
      <c r="W446" s="50" t="n">
        <f aca="false">INDEX(MO_VA_StockPrice,0,COLUMN())*INDEX(MO_SCA_ShareCount_EoP_Diluted,0,COLUMN())</f>
        <v>53778.12</v>
      </c>
      <c r="X446" s="50" t="n">
        <f aca="false">INDEX(MO_VA_StockPrice,0,COLUMN())*INDEX(MO_SCA_ShareCount_EoP_Diluted,0,COLUMN())</f>
        <v>49336.84</v>
      </c>
      <c r="Y446" s="50" t="n">
        <f aca="false">INDEX(MO_VA_StockPrice,0,COLUMN())*INDEX(MO_SCA_ShareCount_EoP_Diluted,0,COLUMN())</f>
        <v>62229.6</v>
      </c>
      <c r="Z446" s="50" t="n">
        <f aca="false">INDEX(MO_VA_StockPrice,0,COLUMN())*INDEX(MO_SCA_ShareCount_EoP_Diluted,0,COLUMN())</f>
        <v>62354.894238</v>
      </c>
      <c r="AA446" s="262" t="n">
        <f aca="false">INDEX(MO_VA_StockPrice,0,COLUMN())*INDEX(MO_SCA_ShareCount_EoP_Diluted,0,COLUMN())</f>
        <v>62354.894238</v>
      </c>
      <c r="AB446" s="50" t="n">
        <f aca="false">INDEX(MO_VA_StockPrice,0,COLUMN())*INDEX(MO_SCA_ShareCount_EoP_Diluted,0,COLUMN())</f>
        <v>68688.335</v>
      </c>
      <c r="AC446" s="50" t="n">
        <f aca="false">INDEX(MO_VA_StockPrice,0,COLUMN())*INDEX(MO_SCA_ShareCount_EoP_Diluted,0,COLUMN())</f>
        <v>72563.72</v>
      </c>
      <c r="AD446" s="50" t="n">
        <f aca="false">INDEX(MO_VA_StockPrice,0,COLUMN())*INDEX(MO_SCA_ShareCount_EoP_Diluted,0,COLUMN())</f>
        <v>68527.31</v>
      </c>
      <c r="AE446" s="50" t="n">
        <f aca="false">INDEX(MO_VA_StockPrice,0,COLUMN())*INDEX(MO_SCA_ShareCount_EoP_Diluted,0,COLUMN())</f>
        <v>57721.63973598</v>
      </c>
      <c r="AF446" s="262" t="n">
        <f aca="false">INDEX(MO_VA_StockPrice,0,COLUMN())*INDEX(MO_SCA_ShareCount_EoP_Diluted,0,COLUMN())</f>
        <v>57721.63973598</v>
      </c>
      <c r="AG446" s="50" t="n">
        <f aca="false">INDEX(MO_VA_StockPrice,0,COLUMN())*INDEX(MO_SCA_ShareCount_EoP_Diluted,0,COLUMN())</f>
        <v>70642</v>
      </c>
      <c r="AH446" s="50" t="n">
        <f aca="false">INDEX(MO_VA_StockPrice,0,COLUMN())*INDEX(MO_SCA_ShareCount_EoP_Diluted,0,COLUMN())</f>
        <v>77501.532</v>
      </c>
      <c r="AI446" s="50" t="n">
        <f aca="false">INDEX(MO_VA_StockPrice,0,COLUMN())*INDEX(MO_SCA_ShareCount_EoP_Diluted,0,COLUMN())</f>
        <v>95072.265</v>
      </c>
      <c r="AJ446" s="50" t="n">
        <f aca="false">INDEX(MO_VA_StockPrice,0,COLUMN())*INDEX(MO_SCA_ShareCount_EoP_Diluted,0,COLUMN())</f>
        <v>110631.1346074</v>
      </c>
      <c r="AK446" s="262" t="n">
        <f aca="false">INDEX(MO_VA_StockPrice,0,COLUMN())*INDEX(MO_SCA_ShareCount_EoP_Diluted,0,COLUMN())</f>
        <v>110631.1346074</v>
      </c>
      <c r="AL446" s="50" t="n">
        <f aca="false">INDEX(MO_VA_StockPrice,0,COLUMN())*INDEX(MO_SCA_ShareCount_EoP_Diluted,0,COLUMN())</f>
        <v>96321.15</v>
      </c>
      <c r="AM446" s="50" t="n">
        <f aca="false">INDEX(MO_VA_StockPrice,0,COLUMN())*INDEX(MO_SCA_ShareCount_EoP_Diluted,0,COLUMN())</f>
        <v>135756</v>
      </c>
      <c r="AN446" s="50" t="n">
        <f aca="false">INDEX(MO_VA_StockPrice,0,COLUMN())*INDEX(MO_SCA_ShareCount_EoP_Diluted,0,COLUMN())</f>
        <v>128778.24</v>
      </c>
      <c r="AO446" s="50" t="n">
        <f aca="false">INDEX(MO_VA_StockPrice,0,COLUMN())*INDEX(MO_SCA_ShareCount_EoP_Diluted,0,COLUMN())</f>
        <v>166339.492549</v>
      </c>
      <c r="AP446" s="262" t="n">
        <f aca="false">INDEX(MO_VA_StockPrice,0,COLUMN())*INDEX(MO_SCA_ShareCount_EoP_Diluted,0,COLUMN())</f>
        <v>166339.492549</v>
      </c>
      <c r="AQ446" s="50" t="n">
        <f aca="false">INDEX(MO_VA_StockPrice,0,COLUMN())*INDEX(MO_SCA_ShareCount_EoP_Diluted,0,COLUMN())</f>
        <v>220082.94</v>
      </c>
      <c r="AR446" s="50" t="n">
        <f aca="false">INDEX(MO_VA_StockPrice,0,COLUMN())*INDEX(MO_SCA_ShareCount_EoP_Diluted,0,COLUMN())</f>
        <v>238548</v>
      </c>
      <c r="AS446" s="50" t="n">
        <f aca="false">INDEX(MO_VA_StockPrice,0,COLUMN())*INDEX(MO_SCA_ShareCount_EoP_Diluted,0,COLUMN())</f>
        <v>258439.5</v>
      </c>
      <c r="AT446" s="50" t="n">
        <f aca="false">INDEX(MO_VA_StockPrice,0,COLUMN())*INDEX(MO_SCA_ShareCount_EoP_Diluted,0,COLUMN())</f>
        <v>286505.4658752</v>
      </c>
      <c r="AU446" s="262" t="n">
        <f aca="false">INDEX(MO_VA_StockPrice,0,COLUMN())*INDEX(MO_SCA_ShareCount_EoP_Diluted,0,COLUMN())</f>
        <v>286505.4658752</v>
      </c>
      <c r="AV446" s="50" t="n">
        <f aca="false">INDEX(MO_VA_StockPrice,0,COLUMN())*INDEX(MO_SCA_ShareCount_EoP_Diluted,0,COLUMN())</f>
        <v>243590.05</v>
      </c>
      <c r="AW446" s="50" t="n">
        <f aca="false">INDEX(MO_VA_StockPrice,0,COLUMN())*INDEX(MO_SCA_ShareCount_EoP_Diluted,0,COLUMN())</f>
        <v>171896.25</v>
      </c>
      <c r="AX446" s="50" t="n">
        <f aca="false">INDEX(MO_VA_StockPrice,0,COLUMN())*INDEX(MO_SCA_ShareCount_EoP_Diluted,0,COLUMN())</f>
        <v>171965.76</v>
      </c>
      <c r="AY446" s="50" t="n">
        <f aca="false">INDEX(MO_VA_StockPrice,0,COLUMN())*INDEX(MO_SCA_ShareCount_EoP_Diluted,0,COLUMN())</f>
        <v>198945.2852618</v>
      </c>
      <c r="AZ446" s="262" t="n">
        <f aca="false">INDEX(MO_VA_StockPrice,0,COLUMN())*INDEX(MO_SCA_ShareCount_EoP_Diluted,0,COLUMN())</f>
        <v>198945.2852618</v>
      </c>
      <c r="BA446" s="50" t="n">
        <f aca="false">INDEX(MO_VA_StockPrice,0,COLUMN())*INDEX(MO_SCA_ShareCount_EoP_Diluted,0,COLUMN())</f>
        <v>246828.96</v>
      </c>
      <c r="BB446" s="50" t="n">
        <f aca="false">INDEX(MO_VA_StockPrice,0,COLUMN())*INDEX(MO_SCA_ShareCount_EoP_Diluted,0,COLUMN())</f>
        <v>261222</v>
      </c>
      <c r="BC446" s="50" t="n">
        <f aca="false">INDEX(MO_VA_StockPrice,0,COLUMN())*INDEX(MO_SCA_ShareCount_EoP_Diluted,0,COLUMN())</f>
        <v>220117.67</v>
      </c>
      <c r="BD446" s="50" t="n">
        <f aca="false">INDEX(MO_VA_StockPrice,0,COLUMN())*INDEX(MO_SCA_ShareCount_EoP_Diluted,0,COLUMN())</f>
        <v>268468.2672057</v>
      </c>
      <c r="BE446" s="262" t="n">
        <f aca="false">INDEX(MO_VA_StockPrice,0,COLUMN())*INDEX(MO_SCA_ShareCount_EoP_Diluted,0,COLUMN())</f>
        <v>268468.2672057</v>
      </c>
      <c r="BF446" s="50" t="n">
        <f aca="false">INDEX(MO_VA_StockPrice,0,COLUMN())*INDEX(MO_SCA_ShareCount_EoP_Diluted,0,COLUMN())</f>
        <v>351259.14</v>
      </c>
      <c r="BG446" s="50" t="n">
        <f aca="false">INDEX(MO_VA_StockPrice,0,COLUMN())*INDEX(MO_SCA_ShareCount_EoP_Diluted,0,COLUMN())</f>
        <v>379412.7</v>
      </c>
      <c r="BH446" s="50" t="n">
        <f aca="false">INDEX(MO_VA_StockPrice,0,COLUMN())*INDEX(MO_SCA_ShareCount_EoP_Diluted,0,COLUMN())</f>
        <v>298073.28</v>
      </c>
      <c r="BI446" s="50" t="n">
        <f aca="false">INDEX(MO_VA_StockPrice,0,COLUMN())*INDEX(MO_SCA_ShareCount_EoP_Diluted,0,COLUMN())</f>
        <v>264448.901468</v>
      </c>
      <c r="BJ446" s="262" t="n">
        <f aca="false">INDEX(MO_VA_StockPrice,0,COLUMN())*INDEX(MO_SCA_ShareCount_EoP_Diluted,0,COLUMN())</f>
        <v>264448.901468</v>
      </c>
      <c r="BK446" s="50" t="n">
        <f aca="false">INDEX(MO_VA_StockPrice,0,COLUMN())*INDEX(MO_SCA_ShareCount_EoP_Diluted,0,COLUMN())</f>
        <v>245548</v>
      </c>
      <c r="BL446" s="50" t="n">
        <f aca="false">INDEX(MO_VA_StockPrice,0,COLUMN())*INDEX(MO_SCA_ShareCount_EoP_Diluted,0,COLUMN())</f>
        <v>265083</v>
      </c>
      <c r="BM446" s="50" t="n">
        <f aca="false">INDEX(MO_VA_StockPrice,0,COLUMN())*INDEX(MO_SCA_ShareCount_EoP_Diluted,0,COLUMN())</f>
        <v>315041.28</v>
      </c>
      <c r="BN446" s="50" t="n">
        <f aca="false">INDEX(MO_VA_StockPrice,0,COLUMN())*INDEX(MO_SCA_ShareCount_EoP_Diluted,0,COLUMN())</f>
        <v>357257.6</v>
      </c>
      <c r="BO446" s="264" t="n">
        <f aca="false">INDEX(MO_VA_StockPrice,0,COLUMN())*INDEX(MO_SCA_ShareCount_EoP_Diluted,0,COLUMN())</f>
        <v>357257.6</v>
      </c>
      <c r="BP446" s="48" t="n">
        <f aca="false">INDEX(MO_VA_StockPrice,0,COLUMN())*INDEX(MO_SCA_ShareCount_EoP_Diluted,0,COLUMN())</f>
        <v>473445.670082137</v>
      </c>
      <c r="BQ446" s="48" t="n">
        <f aca="false">INDEX(MO_VA_StockPrice,0,COLUMN())*INDEX(MO_SCA_ShareCount_EoP_Diluted,0,COLUMN())</f>
        <v>473493.014649145</v>
      </c>
      <c r="BR446" s="48" t="n">
        <f aca="false">INDEX(MO_VA_StockPrice,0,COLUMN())*INDEX(MO_SCA_ShareCount_EoP_Diluted,0,COLUMN())</f>
        <v>473540.36395061</v>
      </c>
      <c r="BS446" s="48" t="n">
        <f aca="false">INDEX(MO_VA_StockPrice,0,COLUMN())*INDEX(MO_SCA_ShareCount_EoP_Diluted,0,COLUMN())</f>
        <v>473587.717987005</v>
      </c>
      <c r="BT446" s="159" t="n">
        <f aca="false">INDEX(MO_VA_StockPrice,0,COLUMN())*INDEX(MO_SCA_ShareCount_EoP_Diluted,0,COLUMN())</f>
        <v>473587.717987005</v>
      </c>
      <c r="BU446" s="48" t="n">
        <f aca="false">INDEX(MO_VA_StockPrice,0,COLUMN())*INDEX(MO_SCA_ShareCount_EoP_Diluted,0,COLUMN())</f>
        <v>473635.076758804</v>
      </c>
      <c r="BV446" s="48" t="n">
        <f aca="false">INDEX(MO_VA_StockPrice,0,COLUMN())*INDEX(MO_SCA_ShareCount_EoP_Diluted,0,COLUMN())</f>
        <v>473682.44026648</v>
      </c>
      <c r="BW446" s="48" t="n">
        <f aca="false">INDEX(MO_VA_StockPrice,0,COLUMN())*INDEX(MO_SCA_ShareCount_EoP_Diluted,0,COLUMN())</f>
        <v>473729.808510506</v>
      </c>
      <c r="BX446" s="48" t="n">
        <f aca="false">INDEX(MO_VA_StockPrice,0,COLUMN())*INDEX(MO_SCA_ShareCount_EoP_Diluted,0,COLUMN())</f>
        <v>473777.181491357</v>
      </c>
      <c r="BY446" s="159" t="n">
        <f aca="false">INDEX(MO_VA_StockPrice,0,COLUMN())*INDEX(MO_SCA_ShareCount_EoP_Diluted,0,COLUMN())</f>
        <v>473777.181491357</v>
      </c>
      <c r="BZ446" s="159" t="n">
        <f aca="false">INDEX(MO_VA_StockPrice,0,COLUMN())*INDEX(MO_SCA_ShareCount_EoP_Diluted,0,COLUMN())</f>
        <v>473966.692363954</v>
      </c>
      <c r="CA446" s="159" t="n">
        <f aca="false">INDEX(MO_VA_StockPrice,0,COLUMN())*INDEX(MO_SCA_ShareCount_EoP_Diluted,0,COLUMN())</f>
        <v>474156.279040899</v>
      </c>
      <c r="CB446" s="159" t="n">
        <f aca="false">INDEX(MO_VA_StockPrice,0,COLUMN())*INDEX(MO_SCA_ShareCount_EoP_Diluted,0,COLUMN())</f>
        <v>474345.941552516</v>
      </c>
      <c r="CC446" s="50"/>
    </row>
    <row r="447" s="51" customFormat="true" ht="15" hidden="false" customHeight="true" outlineLevel="0" collapsed="false">
      <c r="A447" s="50" t="str">
        <f aca="false">"Enterprise Value - "&amp;MO.ValuationToggle</f>
        <v>Enterprise Value - EoP</v>
      </c>
      <c r="B447" s="254"/>
      <c r="C447" s="262" t="n">
        <f aca="false">C431+C446+C464+C465+C466</f>
        <v>13150.5436110505</v>
      </c>
      <c r="D447" s="262" t="n">
        <f aca="false">D431+D446+D464+D465+D466</f>
        <v>15350.3691631237</v>
      </c>
      <c r="E447" s="262" t="n">
        <f aca="false">E431+E446+E464+E465+E466</f>
        <v>15596.0935978585</v>
      </c>
      <c r="F447" s="262" t="n">
        <f aca="false">F431+F446+F464+F465+F466</f>
        <v>17697.383257585</v>
      </c>
      <c r="G447" s="262" t="n">
        <f aca="false">G431+G446+G464+G465+G466</f>
        <v>28260.80172862</v>
      </c>
      <c r="H447" s="50" t="n">
        <f aca="false">H431+H446+H464+H465+H466</f>
        <v>27884.91</v>
      </c>
      <c r="I447" s="50" t="n">
        <f aca="false">I431+I446+I464+I465+I466</f>
        <v>28273.077</v>
      </c>
      <c r="J447" s="50" t="n">
        <f aca="false">J431+J446+J464+J465+J466</f>
        <v>32945.025</v>
      </c>
      <c r="K447" s="50" t="n">
        <f aca="false">K431+K446+K464+K465+K466</f>
        <v>37084.03028016</v>
      </c>
      <c r="L447" s="262" t="n">
        <f aca="false">L431+L446+L464+L465+L466</f>
        <v>37084.03028016</v>
      </c>
      <c r="M447" s="50" t="n">
        <f aca="false">M431+M446+M464+M465+M466</f>
        <v>38529.922</v>
      </c>
      <c r="N447" s="50" t="n">
        <f aca="false">N431+N446+N464+N465+N466</f>
        <v>41433.473</v>
      </c>
      <c r="O447" s="50" t="n">
        <f aca="false">O431+O446+O464+O465+O466</f>
        <v>31800.606</v>
      </c>
      <c r="P447" s="50" t="n">
        <f aca="false">P431+P446+P464+P465+P466</f>
        <v>33878.54808938</v>
      </c>
      <c r="Q447" s="262" t="n">
        <f aca="false">Q431+Q446+Q464+Q465+Q466</f>
        <v>33878.54808938</v>
      </c>
      <c r="R447" s="50" t="n">
        <f aca="false">R431+R446+R464+R465+R466</f>
        <v>35732.292</v>
      </c>
      <c r="S447" s="50" t="n">
        <f aca="false">S431+S446+S464+S465+S466</f>
        <v>35550.396</v>
      </c>
      <c r="T447" s="50" t="n">
        <f aca="false">T431+T446+T464+T465+T466</f>
        <v>39678.213</v>
      </c>
      <c r="U447" s="50" t="n">
        <f aca="false">U431+U446+U464+U465+U466</f>
        <v>45339.7973928</v>
      </c>
      <c r="V447" s="262" t="n">
        <f aca="false">V431+V446+V464+V465+V466</f>
        <v>45339.7973928</v>
      </c>
      <c r="W447" s="50" t="n">
        <f aca="false">W431+W446+W464+W465+W466</f>
        <v>53230.52</v>
      </c>
      <c r="X447" s="50" t="n">
        <f aca="false">X431+X446+X464+X465+X466</f>
        <v>50065.84</v>
      </c>
      <c r="Y447" s="50" t="n">
        <f aca="false">Y431+Y446+Y464+Y465+Y466</f>
        <v>62796.4</v>
      </c>
      <c r="Z447" s="50" t="n">
        <f aca="false">Z431+Z446+Z464+Z465+Z466</f>
        <v>62091.894238</v>
      </c>
      <c r="AA447" s="262" t="n">
        <f aca="false">AA431+AA446+AA464+AA465+AA466</f>
        <v>62091.894238</v>
      </c>
      <c r="AB447" s="50" t="n">
        <f aca="false">AB431+AB446+AB464+AB465+AB466</f>
        <v>68498.035</v>
      </c>
      <c r="AC447" s="50" t="n">
        <f aca="false">AC431+AC446+AC464+AC465+AC466</f>
        <v>72616.62</v>
      </c>
      <c r="AD447" s="50" t="n">
        <f aca="false">AD431+AD446+AD464+AD465+AD466</f>
        <v>68590.91</v>
      </c>
      <c r="AE447" s="50" t="n">
        <f aca="false">AE431+AE446+AE464+AE465+AE466</f>
        <v>56713.73973598</v>
      </c>
      <c r="AF447" s="262" t="n">
        <f aca="false">AF431+AF446+AF464+AF465+AF466</f>
        <v>56713.73973598</v>
      </c>
      <c r="AG447" s="50" t="n">
        <f aca="false">AG431+AG446+AG464+AG465+AG466</f>
        <v>70449.4</v>
      </c>
      <c r="AH447" s="50" t="n">
        <f aca="false">AH431+AH446+AH464+AH465+AH466</f>
        <v>78299.332</v>
      </c>
      <c r="AI447" s="50" t="n">
        <f aca="false">AI431+AI446+AI464+AI465+AI466</f>
        <v>96172.365</v>
      </c>
      <c r="AJ447" s="50" t="n">
        <f aca="false">AJ431+AJ446+AJ464+AJ465+AJ466</f>
        <v>109021.3346074</v>
      </c>
      <c r="AK447" s="262" t="n">
        <f aca="false">AK431+AK446+AK464+AK465+AK466</f>
        <v>109021.3346074</v>
      </c>
      <c r="AL447" s="50" t="n">
        <f aca="false">AL431+AL446+AL464+AL465+AL466</f>
        <v>96077.55</v>
      </c>
      <c r="AM447" s="50" t="n">
        <f aca="false">AM431+AM446+AM464+AM465+AM466</f>
        <v>135940.7</v>
      </c>
      <c r="AN447" s="50" t="n">
        <f aca="false">AN431+AN446+AN464+AN465+AN466</f>
        <v>128997.14</v>
      </c>
      <c r="AO447" s="50" t="n">
        <f aca="false">AO431+AO446+AO464+AO465+AO466</f>
        <v>163666.092549</v>
      </c>
      <c r="AP447" s="262" t="n">
        <f aca="false">AP431+AP446+AP464+AP465+AP466</f>
        <v>163666.092549</v>
      </c>
      <c r="AQ447" s="50" t="n">
        <f aca="false">AQ431+AQ446+AQ464+AQ465+AQ466</f>
        <v>220077.14</v>
      </c>
      <c r="AR447" s="50" t="n">
        <f aca="false">AR431+AR446+AR464+AR465+AR466</f>
        <v>237810</v>
      </c>
      <c r="AS447" s="50" t="n">
        <f aca="false">AS431+AS446+AS464+AS465+AS466</f>
        <v>258105</v>
      </c>
      <c r="AT447" s="50" t="n">
        <f aca="false">AT431+AT446+AT464+AT465+AT466</f>
        <v>283499.2658752</v>
      </c>
      <c r="AU447" s="262" t="n">
        <f aca="false">AU431+AU446+AU464+AU465+AU466</f>
        <v>283499.2658752</v>
      </c>
      <c r="AV447" s="50" t="n">
        <f aca="false">AV431+AV446+AV464+AV465+AV466</f>
        <v>243328.25</v>
      </c>
      <c r="AW447" s="50" t="n">
        <f aca="false">AW431+AW446+AW464+AW465+AW466</f>
        <v>172388.75</v>
      </c>
      <c r="AX447" s="50" t="n">
        <f aca="false">AX431+AX446+AX464+AX465+AX466</f>
        <v>172615.16</v>
      </c>
      <c r="AY447" s="50" t="n">
        <f aca="false">AY431+AY446+AY464+AY465+AY466</f>
        <v>195829.6852618</v>
      </c>
      <c r="AZ447" s="262" t="n">
        <f aca="false">AZ431+AZ446+AZ464+AZ465+AZ466</f>
        <v>195829.6852618</v>
      </c>
      <c r="BA447" s="50" t="n">
        <f aca="false">BA431+BA446+BA464+BA465+BA466</f>
        <v>244458.66</v>
      </c>
      <c r="BB447" s="50" t="n">
        <f aca="false">BB431+BB446+BB464+BB465+BB466</f>
        <v>260139.6</v>
      </c>
      <c r="BC447" s="50" t="n">
        <f aca="false">BC431+BC446+BC464+BC465+BC466</f>
        <v>220405.27</v>
      </c>
      <c r="BD447" s="50" t="n">
        <f aca="false">BD431+BD446+BD464+BD465+BD466</f>
        <v>266089.7672057</v>
      </c>
      <c r="BE447" s="262" t="n">
        <f aca="false">BE431+BE446+BE464+BE465+BE466</f>
        <v>266089.7672057</v>
      </c>
      <c r="BF447" s="50" t="n">
        <f aca="false">BF431+BF446+BF464+BF465+BF466</f>
        <v>350465.14</v>
      </c>
      <c r="BG447" s="50" t="n">
        <f aca="false">BG431+BG446+BG464+BG465+BG466</f>
        <v>379002.1</v>
      </c>
      <c r="BH447" s="50" t="n">
        <f aca="false">BH431+BH446+BH464+BH465+BH466</f>
        <v>297781.08</v>
      </c>
      <c r="BI447" s="50" t="n">
        <f aca="false">BI431+BI446+BI464+BI465+BI466</f>
        <v>256395.201468</v>
      </c>
      <c r="BJ447" s="262" t="n">
        <f aca="false">BJ431+BJ446+BJ464+BJ465+BJ466</f>
        <v>256395.201468</v>
      </c>
      <c r="BK447" s="50" t="n">
        <f aca="false">BK431+BK446+BK464+BK465+BK466</f>
        <v>241135.7</v>
      </c>
      <c r="BL447" s="50" t="n">
        <f aca="false">BL431+BL446+BL464+BL465+BL466</f>
        <v>262543.3</v>
      </c>
      <c r="BM447" s="50" t="n">
        <f aca="false">BM431+BM446+BM464+BM465+BM466</f>
        <v>313628.08</v>
      </c>
      <c r="BN447" s="50" t="n">
        <f aca="false">BN431+BN446+BN464+BN465+BN466</f>
        <v>348694.836</v>
      </c>
      <c r="BO447" s="264" t="n">
        <f aca="false">BO431+BO446+BO464+BO465+BO466</f>
        <v>348694.836</v>
      </c>
      <c r="BP447" s="48" t="n">
        <f aca="false">BP431+BP446+BP464+BP465+BP466</f>
        <v>460902.953851308</v>
      </c>
      <c r="BQ447" s="48" t="n">
        <f aca="false">BQ431+BQ446+BQ464+BQ465+BQ466</f>
        <v>458860.934108855</v>
      </c>
      <c r="BR447" s="48" t="n">
        <f aca="false">BR431+BR446+BR464+BR465+BR466</f>
        <v>456643.624941011</v>
      </c>
      <c r="BS447" s="48" t="n">
        <f aca="false">BS431+BS446+BS464+BS465+BS466</f>
        <v>455563.394956955</v>
      </c>
      <c r="BT447" s="159" t="n">
        <f aca="false">BT431+BT446+BT464+BT465+BT466</f>
        <v>455563.394956955</v>
      </c>
      <c r="BU447" s="48" t="n">
        <f aca="false">BU431+BU446+BU464+BU465+BU466</f>
        <v>451408.819143332</v>
      </c>
      <c r="BV447" s="48" t="n">
        <f aca="false">BV431+BV446+BV464+BV465+BV466</f>
        <v>449091.167512564</v>
      </c>
      <c r="BW447" s="48" t="n">
        <f aca="false">BW431+BW446+BW464+BW465+BW466</f>
        <v>446694.937012468</v>
      </c>
      <c r="BX447" s="48" t="n">
        <f aca="false">BX431+BX446+BX464+BX465+BX466</f>
        <v>445288.0891642</v>
      </c>
      <c r="BY447" s="159" t="n">
        <f aca="false">BY431+BY446+BY464+BY465+BY466</f>
        <v>445288.0891642</v>
      </c>
      <c r="BZ447" s="159" t="n">
        <f aca="false">BZ431+BZ446+BZ464+BZ465+BZ466</f>
        <v>431539.55835815</v>
      </c>
      <c r="CA447" s="159" t="n">
        <f aca="false">CA431+CA446+CA464+CA465+CA466</f>
        <v>417845.820301284</v>
      </c>
      <c r="CB447" s="159" t="n">
        <f aca="false">CB431+CB446+CB464+CB465+CB466</f>
        <v>403128.353725934</v>
      </c>
      <c r="CC447" s="50"/>
    </row>
    <row r="448" s="523" customFormat="true" ht="15" hidden="false" customHeight="true" outlineLevel="0" collapsed="false">
      <c r="A448" s="517"/>
      <c r="B448" s="518"/>
      <c r="C448" s="519"/>
      <c r="D448" s="519"/>
      <c r="E448" s="519"/>
      <c r="F448" s="519"/>
      <c r="G448" s="519"/>
      <c r="H448" s="520"/>
      <c r="I448" s="520"/>
      <c r="J448" s="520"/>
      <c r="K448" s="520"/>
      <c r="L448" s="519"/>
      <c r="M448" s="520"/>
      <c r="N448" s="520"/>
      <c r="O448" s="520"/>
      <c r="P448" s="520"/>
      <c r="Q448" s="519"/>
      <c r="R448" s="520"/>
      <c r="S448" s="517"/>
      <c r="T448" s="520"/>
      <c r="U448" s="520"/>
      <c r="V448" s="519"/>
      <c r="W448" s="520"/>
      <c r="X448" s="517"/>
      <c r="Y448" s="520"/>
      <c r="Z448" s="520"/>
      <c r="AA448" s="519"/>
      <c r="AB448" s="520"/>
      <c r="AC448" s="517"/>
      <c r="AD448" s="520"/>
      <c r="AE448" s="520"/>
      <c r="AF448" s="519"/>
      <c r="AG448" s="520"/>
      <c r="AH448" s="517"/>
      <c r="AI448" s="520"/>
      <c r="AJ448" s="520"/>
      <c r="AK448" s="519"/>
      <c r="AL448" s="520"/>
      <c r="AM448" s="517"/>
      <c r="AN448" s="520"/>
      <c r="AO448" s="520"/>
      <c r="AP448" s="519"/>
      <c r="AQ448" s="520"/>
      <c r="AR448" s="517"/>
      <c r="AS448" s="520"/>
      <c r="AT448" s="520"/>
      <c r="AU448" s="519"/>
      <c r="AV448" s="520"/>
      <c r="AW448" s="517"/>
      <c r="AX448" s="520"/>
      <c r="AY448" s="520"/>
      <c r="AZ448" s="519"/>
      <c r="BA448" s="520"/>
      <c r="BB448" s="517"/>
      <c r="BC448" s="520"/>
      <c r="BD448" s="520"/>
      <c r="BE448" s="519"/>
      <c r="BF448" s="520"/>
      <c r="BG448" s="517"/>
      <c r="BH448" s="520"/>
      <c r="BI448" s="520"/>
      <c r="BJ448" s="519"/>
      <c r="BK448" s="520"/>
      <c r="BL448" s="517"/>
      <c r="BM448" s="520"/>
      <c r="BN448" s="520"/>
      <c r="BO448" s="521"/>
      <c r="BP448" s="517"/>
      <c r="BQ448" s="517"/>
      <c r="BR448" s="517"/>
      <c r="BS448" s="517"/>
      <c r="BT448" s="519"/>
      <c r="BU448" s="517"/>
      <c r="BV448" s="517"/>
      <c r="BW448" s="517"/>
      <c r="BX448" s="517"/>
      <c r="BY448" s="519"/>
      <c r="BZ448" s="519"/>
      <c r="CA448" s="519"/>
      <c r="CB448" s="519"/>
      <c r="CC448" s="522"/>
    </row>
    <row r="449" s="523" customFormat="true" ht="15" hidden="false" customHeight="true" outlineLevel="0" collapsed="false">
      <c r="A449" s="524" t="str">
        <f aca="false">"P/E - "&amp;MO.ValuationToggle</f>
        <v>P/E - EoP</v>
      </c>
      <c r="B449" s="518"/>
      <c r="C449" s="525" t="n">
        <f aca="false">C445/C372</f>
        <v>-89.1569452909722</v>
      </c>
      <c r="D449" s="525" t="n">
        <f aca="false">D445/D372</f>
        <v>16.1825345162494</v>
      </c>
      <c r="E449" s="525" t="n">
        <f aca="false">E445/E372</f>
        <v>12.3353395574692</v>
      </c>
      <c r="F449" s="525" t="n">
        <f aca="false">F445/F372</f>
        <v>17.8364644740194</v>
      </c>
      <c r="G449" s="525" t="n">
        <f aca="false">G445/G372</f>
        <v>28.9948564535348</v>
      </c>
      <c r="H449" s="520"/>
      <c r="I449" s="520"/>
      <c r="J449" s="520"/>
      <c r="K449" s="520"/>
      <c r="L449" s="525" t="n">
        <f aca="false">L445/L372</f>
        <v>32.6359909914427</v>
      </c>
      <c r="M449" s="520"/>
      <c r="N449" s="520"/>
      <c r="O449" s="520"/>
      <c r="P449" s="520"/>
      <c r="Q449" s="525" t="n">
        <f aca="false">Q445/Q372</f>
        <v>26.2267271157043</v>
      </c>
      <c r="R449" s="520"/>
      <c r="S449" s="517"/>
      <c r="T449" s="520"/>
      <c r="U449" s="520"/>
      <c r="V449" s="525" t="n">
        <f aca="false">V445/V372</f>
        <v>30.9900163054555</v>
      </c>
      <c r="W449" s="520"/>
      <c r="X449" s="517"/>
      <c r="Y449" s="520"/>
      <c r="Z449" s="520"/>
      <c r="AA449" s="525" t="n">
        <f aca="false">AA445/AA372</f>
        <v>29.5916450318622</v>
      </c>
      <c r="AB449" s="520"/>
      <c r="AC449" s="517"/>
      <c r="AD449" s="520"/>
      <c r="AE449" s="520"/>
      <c r="AF449" s="525" t="n">
        <f aca="false">AF445/AF372</f>
        <v>22.4783022071307</v>
      </c>
      <c r="AG449" s="520"/>
      <c r="AH449" s="517"/>
      <c r="AI449" s="520"/>
      <c r="AJ449" s="520"/>
      <c r="AK449" s="525" t="n">
        <f aca="false">AK445/AK372</f>
        <v>42.7568722755854</v>
      </c>
      <c r="AL449" s="520"/>
      <c r="AM449" s="517"/>
      <c r="AN449" s="520"/>
      <c r="AO449" s="520"/>
      <c r="AP449" s="525" t="n">
        <f aca="false">AP445/AP372</f>
        <v>46.9964684694825</v>
      </c>
      <c r="AQ449" s="520"/>
      <c r="AR449" s="517"/>
      <c r="AS449" s="520"/>
      <c r="AT449" s="520"/>
      <c r="AU449" s="525" t="n">
        <f aca="false">AU445/AU372</f>
        <v>49.5560511286375</v>
      </c>
      <c r="AV449" s="520"/>
      <c r="AW449" s="517"/>
      <c r="AX449" s="520"/>
      <c r="AY449" s="520"/>
      <c r="AZ449" s="525" t="n">
        <f aca="false">AZ445/AZ372</f>
        <v>35.6606770740727</v>
      </c>
      <c r="BA449" s="520"/>
      <c r="BB449" s="517"/>
      <c r="BC449" s="520"/>
      <c r="BD449" s="520"/>
      <c r="BE449" s="525" t="n">
        <f aca="false">BE445/BE372</f>
        <v>34.2719696389846</v>
      </c>
      <c r="BF449" s="520"/>
      <c r="BG449" s="517"/>
      <c r="BH449" s="520"/>
      <c r="BI449" s="520"/>
      <c r="BJ449" s="525" t="n">
        <f aca="false">BJ445/BJ372</f>
        <v>34.9278672935707</v>
      </c>
      <c r="BK449" s="520"/>
      <c r="BL449" s="517"/>
      <c r="BM449" s="520"/>
      <c r="BN449" s="520"/>
      <c r="BO449" s="526" t="n">
        <f aca="false">BO445/BO372</f>
        <v>37.1683726351281</v>
      </c>
      <c r="BP449" s="517"/>
      <c r="BQ449" s="517"/>
      <c r="BR449" s="517"/>
      <c r="BS449" s="517"/>
      <c r="BT449" s="519" t="n">
        <f aca="false">BT445/BT372</f>
        <v>42.9306944024206</v>
      </c>
      <c r="BU449" s="517"/>
      <c r="BV449" s="517"/>
      <c r="BW449" s="517"/>
      <c r="BX449" s="517"/>
      <c r="BY449" s="519" t="n">
        <f aca="false">BY445/BY372</f>
        <v>36.8991114298793</v>
      </c>
      <c r="BZ449" s="519" t="n">
        <f aca="false">BZ445/BZ372</f>
        <v>30.5952230120502</v>
      </c>
      <c r="CA449" s="519" t="n">
        <f aca="false">CA445/CA372</f>
        <v>28.6881638589611</v>
      </c>
      <c r="CB449" s="519" t="n">
        <f aca="false">CB445/CB372</f>
        <v>26.8936746119654</v>
      </c>
      <c r="CC449" s="522"/>
    </row>
    <row r="450" s="523" customFormat="true" ht="15" hidden="false" customHeight="true" outlineLevel="0" collapsed="false">
      <c r="A450" s="524" t="str">
        <f aca="false">"EV/EBITDA - "&amp;MO.ValuationToggle</f>
        <v>EV/EBITDA - EoP</v>
      </c>
      <c r="B450" s="518"/>
      <c r="C450" s="525" t="n">
        <f aca="false">C447/C345</f>
        <v>-1623.52390259878</v>
      </c>
      <c r="D450" s="525" t="n">
        <f aca="false">D447/D345</f>
        <v>10.8540551210985</v>
      </c>
      <c r="E450" s="525" t="n">
        <f aca="false">E447/E345</f>
        <v>8.57478985010621</v>
      </c>
      <c r="F450" s="525" t="n">
        <f aca="false">F447/F345</f>
        <v>12.9926432100722</v>
      </c>
      <c r="G450" s="525" t="n">
        <f aca="false">G447/G345</f>
        <v>21.2632076652366</v>
      </c>
      <c r="H450" s="520"/>
      <c r="I450" s="520"/>
      <c r="J450" s="520"/>
      <c r="K450" s="520"/>
      <c r="L450" s="525" t="n">
        <f aca="false">L447/L345</f>
        <v>23.1737676714582</v>
      </c>
      <c r="M450" s="520"/>
      <c r="N450" s="520"/>
      <c r="O450" s="520"/>
      <c r="P450" s="520"/>
      <c r="Q450" s="525" t="n">
        <f aca="false">Q447/Q345</f>
        <v>17.6350747359336</v>
      </c>
      <c r="R450" s="520"/>
      <c r="S450" s="517"/>
      <c r="T450" s="520"/>
      <c r="U450" s="520"/>
      <c r="V450" s="525" t="n">
        <f aca="false">V447/V345</f>
        <v>21.9850639542259</v>
      </c>
      <c r="W450" s="520"/>
      <c r="X450" s="517"/>
      <c r="Y450" s="520"/>
      <c r="Z450" s="520"/>
      <c r="AA450" s="525" t="n">
        <f aca="false">AA447/AA345</f>
        <v>20.9289113651072</v>
      </c>
      <c r="AB450" s="520"/>
      <c r="AC450" s="517"/>
      <c r="AD450" s="520"/>
      <c r="AE450" s="520"/>
      <c r="AF450" s="525" t="n">
        <f aca="false">AF447/AF345</f>
        <v>16.5139154226422</v>
      </c>
      <c r="AG450" s="520"/>
      <c r="AH450" s="517"/>
      <c r="AI450" s="520"/>
      <c r="AJ450" s="520"/>
      <c r="AK450" s="525" t="n">
        <f aca="false">AK447/AK345</f>
        <v>32.8981968699719</v>
      </c>
      <c r="AL450" s="520"/>
      <c r="AM450" s="517"/>
      <c r="AN450" s="520"/>
      <c r="AO450" s="520"/>
      <c r="AP450" s="525" t="n">
        <f aca="false">AP447/AP345</f>
        <v>35.6090014683869</v>
      </c>
      <c r="AQ450" s="520"/>
      <c r="AR450" s="517"/>
      <c r="AS450" s="520"/>
      <c r="AT450" s="520"/>
      <c r="AU450" s="525" t="n">
        <f aca="false">AU447/AU345</f>
        <v>38.6312465422833</v>
      </c>
      <c r="AV450" s="520"/>
      <c r="AW450" s="517"/>
      <c r="AX450" s="520"/>
      <c r="AY450" s="520"/>
      <c r="AZ450" s="525" t="n">
        <f aca="false">AZ447/AZ345</f>
        <v>27.3765147433037</v>
      </c>
      <c r="BA450" s="520"/>
      <c r="BB450" s="517"/>
      <c r="BC450" s="520"/>
      <c r="BD450" s="520"/>
      <c r="BE450" s="525" t="n">
        <f aca="false">BE447/BE345</f>
        <v>26.831950226956</v>
      </c>
      <c r="BF450" s="520"/>
      <c r="BG450" s="517"/>
      <c r="BH450" s="520"/>
      <c r="BI450" s="520"/>
      <c r="BJ450" s="525" t="n">
        <f aca="false">BJ447/BJ345</f>
        <v>25.3510254768732</v>
      </c>
      <c r="BK450" s="520"/>
      <c r="BL450" s="517"/>
      <c r="BM450" s="520"/>
      <c r="BN450" s="520"/>
      <c r="BO450" s="526" t="n">
        <f aca="false">BO447/BO345</f>
        <v>27.8296861831184</v>
      </c>
      <c r="BP450" s="517"/>
      <c r="BQ450" s="517"/>
      <c r="BR450" s="517"/>
      <c r="BS450" s="517"/>
      <c r="BT450" s="519" t="n">
        <f aca="false">BT447/BT345</f>
        <v>31.1965111652191</v>
      </c>
      <c r="BU450" s="517"/>
      <c r="BV450" s="517"/>
      <c r="BW450" s="517"/>
      <c r="BX450" s="517"/>
      <c r="BY450" s="519" t="n">
        <f aca="false">BY447/BY345</f>
        <v>27.3143893202442</v>
      </c>
      <c r="BZ450" s="519" t="n">
        <f aca="false">BZ447/BZ345</f>
        <v>21.94334697894</v>
      </c>
      <c r="CA450" s="519" t="n">
        <f aca="false">CA447/CA345</f>
        <v>20.04370102524</v>
      </c>
      <c r="CB450" s="519" t="n">
        <f aca="false">CB447/CB345</f>
        <v>18.2215127261682</v>
      </c>
      <c r="CC450" s="522"/>
    </row>
    <row r="451" s="523" customFormat="true" ht="15" hidden="false" customHeight="true" outlineLevel="0" collapsed="false">
      <c r="A451" s="524" t="str">
        <f aca="false">"P/CF - "&amp;MO.ValuationToggle</f>
        <v>P/CF - EoP</v>
      </c>
      <c r="B451" s="518"/>
      <c r="C451" s="525" t="n">
        <f aca="false">C445/C401</f>
        <v>135.653486783878</v>
      </c>
      <c r="D451" s="525" t="n">
        <f aca="false">D445/D401</f>
        <v>17.590205414398</v>
      </c>
      <c r="E451" s="525" t="n">
        <f aca="false">E445/E401</f>
        <v>8.73990539075028</v>
      </c>
      <c r="F451" s="525" t="n">
        <f aca="false">F445/F401</f>
        <v>29.0644833384981</v>
      </c>
      <c r="G451" s="525" t="n">
        <f aca="false">G445/G401</f>
        <v>27.9308868468458</v>
      </c>
      <c r="H451" s="520"/>
      <c r="I451" s="520"/>
      <c r="J451" s="520"/>
      <c r="K451" s="520"/>
      <c r="L451" s="525" t="n">
        <f aca="false">L445/L401</f>
        <v>38.093351248432</v>
      </c>
      <c r="M451" s="520"/>
      <c r="N451" s="520"/>
      <c r="O451" s="520"/>
      <c r="P451" s="520"/>
      <c r="Q451" s="525" t="n">
        <f aca="false">Q445/Q401</f>
        <v>17.9607983688623</v>
      </c>
      <c r="R451" s="520"/>
      <c r="S451" s="517"/>
      <c r="T451" s="520"/>
      <c r="U451" s="520"/>
      <c r="V451" s="525" t="n">
        <f aca="false">V445/V401</f>
        <v>27.3811183144246</v>
      </c>
      <c r="W451" s="520"/>
      <c r="X451" s="517"/>
      <c r="Y451" s="520"/>
      <c r="Z451" s="520"/>
      <c r="AA451" s="525" t="n">
        <f aca="false">AA445/AA401</f>
        <v>34.8548315356388</v>
      </c>
      <c r="AB451" s="520"/>
      <c r="AC451" s="517"/>
      <c r="AD451" s="520"/>
      <c r="AE451" s="520"/>
      <c r="AF451" s="525" t="n">
        <f aca="false">AF445/AF401</f>
        <v>18.9588205812478</v>
      </c>
      <c r="AG451" s="520"/>
      <c r="AH451" s="517"/>
      <c r="AI451" s="520"/>
      <c r="AJ451" s="520"/>
      <c r="AK451" s="525" t="n">
        <f aca="false">AK445/AK401</f>
        <v>33.8293981198877</v>
      </c>
      <c r="AL451" s="520"/>
      <c r="AM451" s="517"/>
      <c r="AN451" s="520"/>
      <c r="AO451" s="520"/>
      <c r="AP451" s="525" t="n">
        <f aca="false">AP445/AP401</f>
        <v>36.0902735759357</v>
      </c>
      <c r="AQ451" s="520"/>
      <c r="AR451" s="517"/>
      <c r="AS451" s="520"/>
      <c r="AT451" s="520"/>
      <c r="AU451" s="525" t="n">
        <f aca="false">AU445/AU401</f>
        <v>26.8812037839532</v>
      </c>
      <c r="AV451" s="520"/>
      <c r="AW451" s="517"/>
      <c r="AX451" s="520"/>
      <c r="AY451" s="520"/>
      <c r="AZ451" s="525" t="n">
        <f aca="false">AZ445/AZ401</f>
        <v>23.6323207805062</v>
      </c>
      <c r="BA451" s="520"/>
      <c r="BB451" s="517"/>
      <c r="BC451" s="520"/>
      <c r="BD451" s="520"/>
      <c r="BE451" s="525" t="n">
        <f aca="false">BE445/BE401</f>
        <v>49.3548094940662</v>
      </c>
      <c r="BF451" s="520"/>
      <c r="BG451" s="517"/>
      <c r="BH451" s="520"/>
      <c r="BI451" s="520"/>
      <c r="BJ451" s="525" t="n">
        <f aca="false">BJ445/BJ401</f>
        <v>23.6839605237234</v>
      </c>
      <c r="BK451" s="520"/>
      <c r="BL451" s="517"/>
      <c r="BM451" s="520"/>
      <c r="BN451" s="520"/>
      <c r="BO451" s="526" t="n">
        <f aca="false">BO445/BO401</f>
        <v>28.2154884069992</v>
      </c>
      <c r="BP451" s="517"/>
      <c r="BQ451" s="517"/>
      <c r="BR451" s="517"/>
      <c r="BS451" s="517"/>
      <c r="BT451" s="519" t="n">
        <f aca="false">BT445/BT401</f>
        <v>37.6868263041828</v>
      </c>
      <c r="BU451" s="517"/>
      <c r="BV451" s="517"/>
      <c r="BW451" s="517"/>
      <c r="BX451" s="517"/>
      <c r="BY451" s="519" t="n">
        <f aca="false">BY445/BY401</f>
        <v>34.9093186633057</v>
      </c>
      <c r="BZ451" s="519" t="n">
        <f aca="false">BZ445/BZ401</f>
        <v>27.6790112418855</v>
      </c>
      <c r="CA451" s="519" t="n">
        <f aca="false">CA445/CA401</f>
        <v>27.7771838421453</v>
      </c>
      <c r="CB451" s="519" t="n">
        <f aca="false">CB445/CB401</f>
        <v>26.2141508951914</v>
      </c>
      <c r="CC451" s="522"/>
    </row>
    <row r="452" s="237" customFormat="true" ht="15" hidden="false" customHeight="true" outlineLevel="0" collapsed="false">
      <c r="A452" s="241" t="str">
        <f aca="false">"FCF Yield % to "&amp;MO.ValuationToggle&amp;" Market Cap"</f>
        <v>FCF Yield % to EoP Market Cap</v>
      </c>
      <c r="B452" s="232"/>
      <c r="C452" s="317" t="n">
        <f aca="false">C421/C446</f>
        <v>-0.000427421348635193</v>
      </c>
      <c r="D452" s="317" t="n">
        <f aca="false">D421/D446</f>
        <v>0.0489037371180369</v>
      </c>
      <c r="E452" s="317" t="n">
        <f aca="false">E421/E446</f>
        <v>0.100590696400314</v>
      </c>
      <c r="F452" s="317" t="n">
        <f aca="false">F421/F446</f>
        <v>0.0266834128607487</v>
      </c>
      <c r="G452" s="317" t="n">
        <f aca="false">G421/G446</f>
        <v>0.0277966118786536</v>
      </c>
      <c r="H452" s="234"/>
      <c r="I452" s="234"/>
      <c r="J452" s="234"/>
      <c r="K452" s="234"/>
      <c r="L452" s="317" t="n">
        <f aca="false">L421/L446</f>
        <v>0.0171639387651301</v>
      </c>
      <c r="M452" s="234"/>
      <c r="N452" s="234"/>
      <c r="O452" s="234"/>
      <c r="P452" s="234"/>
      <c r="Q452" s="317" t="n">
        <f aca="false">Q421/Q446</f>
        <v>0.0457083133305545</v>
      </c>
      <c r="R452" s="234"/>
      <c r="S452" s="234"/>
      <c r="T452" s="234"/>
      <c r="U452" s="234"/>
      <c r="V452" s="317" t="n">
        <f aca="false">V421/V446</f>
        <v>0.0291076731201012</v>
      </c>
      <c r="W452" s="234"/>
      <c r="X452" s="234"/>
      <c r="Y452" s="234"/>
      <c r="Z452" s="234"/>
      <c r="AA452" s="317" t="n">
        <f aca="false">AA421/AA446</f>
        <v>0.0231032386086877</v>
      </c>
      <c r="AB452" s="234"/>
      <c r="AC452" s="234"/>
      <c r="AD452" s="234"/>
      <c r="AE452" s="234"/>
      <c r="AF452" s="317" t="n">
        <f aca="false">AF421/AF446</f>
        <v>0.0426737703791287</v>
      </c>
      <c r="AG452" s="234"/>
      <c r="AH452" s="234"/>
      <c r="AI452" s="234"/>
      <c r="AJ452" s="234"/>
      <c r="AK452" s="317" t="n">
        <f aca="false">AK421/AK446</f>
        <v>0.0216078413051013</v>
      </c>
      <c r="AL452" s="234"/>
      <c r="AM452" s="234"/>
      <c r="AN452" s="234"/>
      <c r="AO452" s="234"/>
      <c r="AP452" s="317" t="n">
        <f aca="false">AP421/AP446</f>
        <v>0.0218036014443871</v>
      </c>
      <c r="AQ452" s="234"/>
      <c r="AR452" s="234"/>
      <c r="AS452" s="234"/>
      <c r="AT452" s="234"/>
      <c r="AU452" s="317" t="n">
        <f aca="false">AU421/AU446</f>
        <v>0.0345735114328143</v>
      </c>
      <c r="AV452" s="234"/>
      <c r="AW452" s="234"/>
      <c r="AX452" s="234"/>
      <c r="AY452" s="234"/>
      <c r="AZ452" s="317" t="n">
        <f aca="false">AZ421/AZ446</f>
        <v>0.0360274936426264</v>
      </c>
      <c r="BA452" s="234"/>
      <c r="BB452" s="234"/>
      <c r="BC452" s="234"/>
      <c r="BD452" s="234"/>
      <c r="BE452" s="317" t="n">
        <f aca="false">IFERROR(BE421/BE446,"N/A")</f>
        <v>0.0120952842352575</v>
      </c>
      <c r="BF452" s="234"/>
      <c r="BG452" s="234"/>
      <c r="BH452" s="234"/>
      <c r="BI452" s="234"/>
      <c r="BJ452" s="317" t="n">
        <f aca="false">IFERROR(BJ421/BJ446,"N/A")</f>
        <v>0.0343472782438429</v>
      </c>
      <c r="BK452" s="234"/>
      <c r="BL452" s="234"/>
      <c r="BM452" s="234"/>
      <c r="BN452" s="234"/>
      <c r="BO452" s="332" t="n">
        <f aca="false">IFERROR(BO421/BO446,"N/A")</f>
        <v>0.0308665232034252</v>
      </c>
      <c r="BP452" s="234"/>
      <c r="BQ452" s="234"/>
      <c r="BR452" s="234"/>
      <c r="BS452" s="234"/>
      <c r="BT452" s="233" t="n">
        <f aca="false">BT421/BT446</f>
        <v>0.0254265680520894</v>
      </c>
      <c r="BU452" s="234"/>
      <c r="BV452" s="234"/>
      <c r="BW452" s="234"/>
      <c r="BX452" s="234"/>
      <c r="BY452" s="233" t="n">
        <f aca="false">BY421/BY446</f>
        <v>0.0275360514015562</v>
      </c>
      <c r="BZ452" s="233" t="n">
        <f aca="false">BZ421/BZ446</f>
        <v>0.0348553236337779</v>
      </c>
      <c r="CA452" s="233" t="n">
        <f aca="false">CA421/CA446</f>
        <v>0.0347281669047184</v>
      </c>
      <c r="CB452" s="233" t="n">
        <f aca="false">CB421/CB446</f>
        <v>0.0368748091210045</v>
      </c>
      <c r="CC452" s="236"/>
    </row>
    <row r="453" s="237" customFormat="true" ht="15" hidden="false" customHeight="true" outlineLevel="0" collapsed="false">
      <c r="A453" s="241" t="str">
        <f aca="false">"FCF Yield % to "&amp;MO.ValuationToggle&amp;" Enterprise Value"</f>
        <v>FCF Yield % to EoP Enterprise Value</v>
      </c>
      <c r="B453" s="232"/>
      <c r="C453" s="317" t="n">
        <f aca="false">C421/C447</f>
        <v>-0.000438384919324223</v>
      </c>
      <c r="D453" s="317" t="n">
        <f aca="false">D421/D447</f>
        <v>0.0528534520165833</v>
      </c>
      <c r="E453" s="317" t="n">
        <f aca="false">E421/E447</f>
        <v>0.113460591198489</v>
      </c>
      <c r="F453" s="317" t="n">
        <f aca="false">F421/F447</f>
        <v>0.0296056197898885</v>
      </c>
      <c r="G453" s="317" t="n">
        <f aca="false">G421/G447</f>
        <v>0.0297008205237845</v>
      </c>
      <c r="H453" s="234"/>
      <c r="I453" s="234"/>
      <c r="J453" s="234"/>
      <c r="K453" s="234"/>
      <c r="L453" s="317" t="n">
        <f aca="false">L421/L447</f>
        <v>0.0179045803539651</v>
      </c>
      <c r="M453" s="234"/>
      <c r="N453" s="234"/>
      <c r="O453" s="234"/>
      <c r="P453" s="234"/>
      <c r="Q453" s="317" t="n">
        <f aca="false">Q421/Q447</f>
        <v>0.0487831413447756</v>
      </c>
      <c r="R453" s="234"/>
      <c r="S453" s="234"/>
      <c r="T453" s="234"/>
      <c r="U453" s="234"/>
      <c r="V453" s="317" t="n">
        <f aca="false">V421/V447</f>
        <v>0.0295810761653951</v>
      </c>
      <c r="W453" s="234"/>
      <c r="X453" s="234"/>
      <c r="Y453" s="234"/>
      <c r="Z453" s="234"/>
      <c r="AA453" s="317" t="n">
        <f aca="false">AA421/AA447</f>
        <v>0.0232010960154982</v>
      </c>
      <c r="AB453" s="234"/>
      <c r="AC453" s="234"/>
      <c r="AD453" s="234"/>
      <c r="AE453" s="234"/>
      <c r="AF453" s="317" t="n">
        <f aca="false">AF421/AF447</f>
        <v>0.0434321561488796</v>
      </c>
      <c r="AG453" s="234"/>
      <c r="AH453" s="234"/>
      <c r="AI453" s="234"/>
      <c r="AJ453" s="234"/>
      <c r="AK453" s="317" t="n">
        <f aca="false">AK421/AK447</f>
        <v>0.0219269009007136</v>
      </c>
      <c r="AL453" s="234"/>
      <c r="AM453" s="234"/>
      <c r="AN453" s="234"/>
      <c r="AO453" s="234"/>
      <c r="AP453" s="317" t="n">
        <f aca="false">AP421/AP447</f>
        <v>0.0221597518674442</v>
      </c>
      <c r="AQ453" s="234"/>
      <c r="AR453" s="234"/>
      <c r="AS453" s="234"/>
      <c r="AT453" s="234"/>
      <c r="AU453" s="317" t="n">
        <f aca="false">AU421/AU447</f>
        <v>0.0349401257510153</v>
      </c>
      <c r="AV453" s="234"/>
      <c r="AW453" s="234"/>
      <c r="AX453" s="234"/>
      <c r="AY453" s="234"/>
      <c r="AZ453" s="317" t="n">
        <f aca="false">AZ421/AZ447</f>
        <v>0.0366006818139852</v>
      </c>
      <c r="BA453" s="234"/>
      <c r="BB453" s="234"/>
      <c r="BC453" s="234"/>
      <c r="BD453" s="234"/>
      <c r="BE453" s="317" t="n">
        <f aca="false">BE421/BE447</f>
        <v>0.012203400506904</v>
      </c>
      <c r="BF453" s="234"/>
      <c r="BG453" s="234"/>
      <c r="BH453" s="234"/>
      <c r="BI453" s="234"/>
      <c r="BJ453" s="317" t="n">
        <f aca="false">BJ421/BJ447</f>
        <v>0.0354261700218818</v>
      </c>
      <c r="BK453" s="234"/>
      <c r="BL453" s="234"/>
      <c r="BM453" s="234"/>
      <c r="BN453" s="234"/>
      <c r="BO453" s="332" t="n">
        <f aca="false">BO421/BO447</f>
        <v>0.0316245004557509</v>
      </c>
      <c r="BP453" s="234"/>
      <c r="BQ453" s="234"/>
      <c r="BR453" s="234"/>
      <c r="BS453" s="234"/>
      <c r="BT453" s="233" t="n">
        <f aca="false">BT421/BT447</f>
        <v>0.0264325678343145</v>
      </c>
      <c r="BU453" s="234"/>
      <c r="BV453" s="234"/>
      <c r="BW453" s="234"/>
      <c r="BX453" s="234"/>
      <c r="BY453" s="233" t="n">
        <f aca="false">BY421/BY447</f>
        <v>0.0292977807848342</v>
      </c>
      <c r="BZ453" s="233" t="n">
        <f aca="false">BZ421/BZ447</f>
        <v>0.0382821508109949</v>
      </c>
      <c r="CA453" s="233" t="n">
        <f aca="false">CA421/CA447</f>
        <v>0.0394082639993371</v>
      </c>
      <c r="CB453" s="233" t="n">
        <f aca="false">CB421/CB447</f>
        <v>0.0433891982303078</v>
      </c>
      <c r="CC453" s="236"/>
    </row>
    <row r="454" s="237" customFormat="true" ht="15" hidden="true" customHeight="true" outlineLevel="1" collapsed="false">
      <c r="A454" s="231"/>
      <c r="B454" s="232"/>
      <c r="C454" s="233"/>
      <c r="D454" s="233"/>
      <c r="E454" s="233"/>
      <c r="F454" s="233"/>
      <c r="G454" s="233"/>
      <c r="H454" s="234"/>
      <c r="I454" s="234"/>
      <c r="J454" s="234"/>
      <c r="K454" s="234"/>
      <c r="L454" s="233"/>
      <c r="M454" s="234"/>
      <c r="N454" s="234"/>
      <c r="O454" s="234"/>
      <c r="P454" s="234"/>
      <c r="Q454" s="233"/>
      <c r="R454" s="234"/>
      <c r="S454" s="234"/>
      <c r="T454" s="234"/>
      <c r="U454" s="234"/>
      <c r="V454" s="233"/>
      <c r="W454" s="234"/>
      <c r="X454" s="234"/>
      <c r="Y454" s="234"/>
      <c r="Z454" s="234"/>
      <c r="AA454" s="233"/>
      <c r="AB454" s="234"/>
      <c r="AC454" s="234"/>
      <c r="AD454" s="234"/>
      <c r="AE454" s="234"/>
      <c r="AF454" s="233"/>
      <c r="AG454" s="234"/>
      <c r="AH454" s="234"/>
      <c r="AI454" s="234"/>
      <c r="AJ454" s="234"/>
      <c r="AK454" s="233"/>
      <c r="AL454" s="234"/>
      <c r="AM454" s="234"/>
      <c r="AN454" s="234"/>
      <c r="AO454" s="234"/>
      <c r="AP454" s="233"/>
      <c r="AQ454" s="234"/>
      <c r="AR454" s="234"/>
      <c r="AS454" s="234"/>
      <c r="AT454" s="234"/>
      <c r="AU454" s="233"/>
      <c r="AV454" s="234"/>
      <c r="AW454" s="234"/>
      <c r="AX454" s="234"/>
      <c r="AY454" s="234"/>
      <c r="AZ454" s="233"/>
      <c r="BA454" s="234"/>
      <c r="BB454" s="234"/>
      <c r="BC454" s="234"/>
      <c r="BD454" s="234"/>
      <c r="BE454" s="233"/>
      <c r="BF454" s="234"/>
      <c r="BG454" s="234"/>
      <c r="BH454" s="234"/>
      <c r="BI454" s="234"/>
      <c r="BJ454" s="233"/>
      <c r="BK454" s="234"/>
      <c r="BL454" s="234"/>
      <c r="BM454" s="234"/>
      <c r="BN454" s="234"/>
      <c r="BO454" s="235"/>
      <c r="BP454" s="234"/>
      <c r="BQ454" s="234"/>
      <c r="BR454" s="234"/>
      <c r="BS454" s="234"/>
      <c r="BT454" s="233"/>
      <c r="BU454" s="234"/>
      <c r="BV454" s="234"/>
      <c r="BW454" s="234"/>
      <c r="BX454" s="234"/>
      <c r="BY454" s="233"/>
      <c r="BZ454" s="233"/>
      <c r="CA454" s="233"/>
      <c r="CB454" s="233"/>
      <c r="CC454" s="236"/>
    </row>
    <row r="455" s="46" customFormat="true" ht="15" hidden="true" customHeight="true" outlineLevel="1" collapsed="false">
      <c r="A455" s="527" t="str">
        <f aca="false">"Stock High, "&amp;HP.TradeCurrency</f>
        <v>Stock High, EUR</v>
      </c>
      <c r="B455" s="528"/>
      <c r="C455" s="529" t="n">
        <f aca="false">IF(INDEX(MO_SNA_IsHistoricalPeriod,1,COLUMN())=FALSE(),0,INDEX(MO_SPT_StockHigh,1,COLUMN()))</f>
        <v>25.325766058</v>
      </c>
      <c r="D455" s="529" t="n">
        <f aca="false">IF(INDEX(MO_SNA_IsHistoricalPeriod,1,COLUMN())=FALSE(),0,INDEX(MO_SPT_StockHigh,1,COLUMN()))</f>
        <v>30.441457349</v>
      </c>
      <c r="E455" s="529" t="n">
        <f aca="false">IF(INDEX(MO_SNA_IsHistoricalPeriod,1,COLUMN())=FALSE(),0,INDEX(MO_SPT_StockHigh,1,COLUMN()))</f>
        <v>33.984279846</v>
      </c>
      <c r="F455" s="529" t="n">
        <f aca="false">IF(INDEX(MO_SNA_IsHistoricalPeriod,1,COLUMN())=FALSE(),0,INDEX(MO_SPT_StockHigh,1,COLUMN()))</f>
        <v>49.95</v>
      </c>
      <c r="G455" s="529" t="n">
        <f aca="false">IF(INDEX(MO_SNA_IsHistoricalPeriod,1,COLUMN())=FALSE(),0,INDEX(MO_SPT_StockHigh,1,COLUMN()))</f>
        <v>75.05</v>
      </c>
      <c r="H455" s="530" t="n">
        <f aca="false">IF(INDEX(MO_SNA_IsHistoricalPeriod,1,COLUMN())=FALSE(),0,INDEX(MO_SPT_StockHigh,1,COLUMN()))</f>
        <v>68.97</v>
      </c>
      <c r="I455" s="530" t="n">
        <f aca="false">IF(INDEX(MO_SNA_IsHistoricalPeriod,1,COLUMN())=FALSE(),0,INDEX(MO_SPT_StockHigh,1,COLUMN()))</f>
        <v>69.92</v>
      </c>
      <c r="J455" s="530" t="n">
        <f aca="false">IF(INDEX(MO_SNA_IsHistoricalPeriod,1,COLUMN())=FALSE(),0,INDEX(MO_SPT_StockHigh,1,COLUMN()))</f>
        <v>79.43</v>
      </c>
      <c r="K455" s="530" t="n">
        <f aca="false">IF(INDEX(MO_SNA_IsHistoricalPeriod,1,COLUMN())=FALSE(),0,INDEX(MO_SPT_StockHigh,1,COLUMN()))</f>
        <v>89.95</v>
      </c>
      <c r="L455" s="529" t="n">
        <f aca="false">IF(INDEX(MO_SNA_IsHistoricalPeriod,1,COLUMN())=FALSE(),0,INDEX(MO_SPT_StockHigh,1,COLUMN()))</f>
        <v>89.95</v>
      </c>
      <c r="M455" s="530" t="n">
        <f aca="false">IF(INDEX(MO_SNA_IsHistoricalPeriod,1,COLUMN())=FALSE(),0,INDEX(MO_SPT_StockHigh,1,COLUMN()))</f>
        <v>102.4</v>
      </c>
      <c r="N455" s="530" t="n">
        <f aca="false">IF(INDEX(MO_SNA_IsHistoricalPeriod,1,COLUMN())=FALSE(),0,INDEX(MO_SPT_StockHigh,1,COLUMN()))</f>
        <v>104.85</v>
      </c>
      <c r="O455" s="530" t="n">
        <f aca="false">IF(INDEX(MO_SNA_IsHistoricalPeriod,1,COLUMN())=FALSE(),0,INDEX(MO_SPT_StockHigh,1,COLUMN()))</f>
        <v>98.92</v>
      </c>
      <c r="P455" s="530" t="n">
        <f aca="false">IF(INDEX(MO_SNA_IsHistoricalPeriod,1,COLUMN())=FALSE(),0,INDEX(MO_SPT_StockHigh,1,COLUMN()))</f>
        <v>90.24</v>
      </c>
      <c r="Q455" s="529" t="n">
        <f aca="false">IF(INDEX(MO_SNA_IsHistoricalPeriod,1,COLUMN())=FALSE(),0,INDEX(MO_SPT_StockHigh,1,COLUMN()))</f>
        <v>104.85</v>
      </c>
      <c r="R455" s="530" t="n">
        <f aca="false">IF(INDEX(MO_SNA_IsHistoricalPeriod,1,COLUMN())=FALSE(),0,INDEX(MO_SPT_StockHigh,1,COLUMN()))</f>
        <v>89.9</v>
      </c>
      <c r="S455" s="530" t="n">
        <f aca="false">IF(INDEX(MO_SNA_IsHistoricalPeriod,1,COLUMN())=FALSE(),0,INDEX(MO_SPT_StockHigh,1,COLUMN()))</f>
        <v>90.67</v>
      </c>
      <c r="T455" s="530" t="n">
        <f aca="false">IF(INDEX(MO_SNA_IsHistoricalPeriod,1,COLUMN())=FALSE(),0,INDEX(MO_SPT_StockHigh,1,COLUMN()))</f>
        <v>100.5</v>
      </c>
      <c r="U455" s="530" t="n">
        <f aca="false">IF(INDEX(MO_SNA_IsHistoricalPeriod,1,COLUMN())=FALSE(),0,INDEX(MO_SPT_StockHigh,1,COLUMN()))</f>
        <v>107.15</v>
      </c>
      <c r="V455" s="529" t="n">
        <f aca="false">IF(INDEX(MO_SNA_IsHistoricalPeriod,1,COLUMN())=FALSE(),0,INDEX(MO_SPT_StockHigh,1,COLUMN()))</f>
        <v>107.15</v>
      </c>
      <c r="W455" s="530" t="n">
        <f aca="false">IF(INDEX(MO_SNA_IsHistoricalPeriod,1,COLUMN())=FALSE(),0,INDEX(MO_SPT_StockHigh,1,COLUMN()))</f>
        <v>124.4</v>
      </c>
      <c r="X455" s="530" t="n">
        <f aca="false">IF(INDEX(MO_SNA_IsHistoricalPeriod,1,COLUMN())=FALSE(),0,INDEX(MO_SPT_StockHigh,1,COLUMN()))</f>
        <v>124.95</v>
      </c>
      <c r="Y455" s="530" t="n">
        <f aca="false">IF(INDEX(MO_SNA_IsHistoricalPeriod,1,COLUMN())=FALSE(),0,INDEX(MO_SPT_StockHigh,1,COLUMN()))</f>
        <v>144.7</v>
      </c>
      <c r="Z455" s="530" t="n">
        <f aca="false">IF(INDEX(MO_SNA_IsHistoricalPeriod,1,COLUMN())=FALSE(),0,INDEX(MO_SPT_StockHigh,1,COLUMN()))</f>
        <v>159.95</v>
      </c>
      <c r="AA455" s="529" t="n">
        <f aca="false">IF(INDEX(MO_SNA_IsHistoricalPeriod,1,COLUMN())=FALSE(),0,INDEX(MO_SPT_StockHigh,1,COLUMN()))</f>
        <v>159.95</v>
      </c>
      <c r="AB455" s="530" t="n">
        <f aca="false">IF(INDEX(MO_SNA_IsHistoricalPeriod,1,COLUMN())=FALSE(),0,INDEX(MO_SPT_StockHigh,1,COLUMN()))</f>
        <v>175.25</v>
      </c>
      <c r="AC455" s="530" t="n">
        <f aca="false">IF(INDEX(MO_SNA_IsHistoricalPeriod,1,COLUMN())=FALSE(),0,INDEX(MO_SPT_StockHigh,1,COLUMN()))</f>
        <v>188.85</v>
      </c>
      <c r="AD455" s="530" t="n">
        <f aca="false">IF(INDEX(MO_SNA_IsHistoricalPeriod,1,COLUMN())=FALSE(),0,INDEX(MO_SPT_StockHigh,1,COLUMN()))</f>
        <v>189.5</v>
      </c>
      <c r="AE455" s="530" t="n">
        <f aca="false">IF(INDEX(MO_SNA_IsHistoricalPeriod,1,COLUMN())=FALSE(),0,INDEX(MO_SPT_StockHigh,1,COLUMN()))</f>
        <v>166.76</v>
      </c>
      <c r="AF455" s="529" t="n">
        <f aca="false">IF(INDEX(MO_SNA_IsHistoricalPeriod,1,COLUMN())=FALSE(),0,INDEX(MO_SPT_StockHigh,1,COLUMN()))</f>
        <v>189.5</v>
      </c>
      <c r="AG455" s="530" t="n">
        <f aca="false">IF(INDEX(MO_SNA_IsHistoricalPeriod,1,COLUMN())=FALSE(),0,INDEX(MO_SPT_StockHigh,1,COLUMN()))</f>
        <v>171.98</v>
      </c>
      <c r="AH455" s="530" t="n">
        <f aca="false">IF(INDEX(MO_SNA_IsHistoricalPeriod,1,COLUMN())=FALSE(),0,INDEX(MO_SPT_StockHigh,1,COLUMN()))</f>
        <v>186.02</v>
      </c>
      <c r="AI455" s="530" t="n">
        <f aca="false">IF(INDEX(MO_SNA_IsHistoricalPeriod,1,COLUMN())=FALSE(),0,INDEX(MO_SPT_StockHigh,1,COLUMN()))</f>
        <v>228.65</v>
      </c>
      <c r="AJ455" s="530" t="n">
        <f aca="false">IF(INDEX(MO_SNA_IsHistoricalPeriod,1,COLUMN())=FALSE(),0,INDEX(MO_SPT_StockHigh,1,COLUMN()))</f>
        <v>267.8</v>
      </c>
      <c r="AK455" s="529" t="n">
        <f aca="false">IF(INDEX(MO_SNA_IsHistoricalPeriod,1,COLUMN())=FALSE(),0,INDEX(MO_SPT_StockHigh,1,COLUMN()))</f>
        <v>267.8</v>
      </c>
      <c r="AL455" s="530" t="n">
        <f aca="false">IF(INDEX(MO_SNA_IsHistoricalPeriod,1,COLUMN())=FALSE(),0,INDEX(MO_SPT_StockHigh,1,COLUMN()))</f>
        <v>294.4</v>
      </c>
      <c r="AM455" s="530" t="n">
        <f aca="false">IF(INDEX(MO_SNA_IsHistoricalPeriod,1,COLUMN())=FALSE(),0,INDEX(MO_SPT_StockHigh,1,COLUMN()))</f>
        <v>330.35</v>
      </c>
      <c r="AN455" s="530" t="n">
        <f aca="false">IF(INDEX(MO_SNA_IsHistoricalPeriod,1,COLUMN())=FALSE(),0,INDEX(MO_SPT_StockHigh,1,COLUMN()))</f>
        <v>355.5</v>
      </c>
      <c r="AO455" s="530" t="n">
        <f aca="false">IF(INDEX(MO_SNA_IsHistoricalPeriod,1,COLUMN())=FALSE(),0,INDEX(MO_SPT_StockHigh,1,COLUMN()))</f>
        <v>401.8</v>
      </c>
      <c r="AP455" s="529" t="n">
        <f aca="false">IF(INDEX(MO_SNA_IsHistoricalPeriod,1,COLUMN())=FALSE(),0,INDEX(MO_SPT_StockHigh,1,COLUMN()))</f>
        <v>401.8</v>
      </c>
      <c r="AQ455" s="530" t="n">
        <f aca="false">IF(INDEX(MO_SNA_IsHistoricalPeriod,1,COLUMN())=FALSE(),0,INDEX(MO_SPT_StockHigh,1,COLUMN()))</f>
        <v>526.3</v>
      </c>
      <c r="AR455" s="530" t="n">
        <f aca="false">IF(INDEX(MO_SNA_IsHistoricalPeriod,1,COLUMN())=FALSE(),0,INDEX(MO_SPT_StockHigh,1,COLUMN()))</f>
        <v>594.1</v>
      </c>
      <c r="AS455" s="530" t="n">
        <f aca="false">IF(INDEX(MO_SNA_IsHistoricalPeriod,1,COLUMN())=FALSE(),0,INDEX(MO_SPT_StockHigh,1,COLUMN()))</f>
        <v>764.4</v>
      </c>
      <c r="AT455" s="530" t="n">
        <f aca="false">IF(INDEX(MO_SNA_IsHistoricalPeriod,1,COLUMN())=FALSE(),0,INDEX(MO_SPT_StockHigh,1,COLUMN()))</f>
        <v>770.5</v>
      </c>
      <c r="AU455" s="529" t="n">
        <f aca="false">IF(INDEX(MO_SNA_IsHistoricalPeriod,1,COLUMN())=FALSE(),0,INDEX(MO_SPT_StockHigh,1,COLUMN()))</f>
        <v>770.5</v>
      </c>
      <c r="AV455" s="530" t="n">
        <f aca="false">IF(INDEX(MO_SNA_IsHistoricalPeriod,1,COLUMN())=FALSE(),0,INDEX(MO_SPT_StockHigh,1,COLUMN()))</f>
        <v>716.9</v>
      </c>
      <c r="AW455" s="530" t="n">
        <f aca="false">IF(INDEX(MO_SNA_IsHistoricalPeriod,1,COLUMN())=FALSE(),0,INDEX(MO_SPT_StockHigh,1,COLUMN()))</f>
        <v>627</v>
      </c>
      <c r="AX455" s="530" t="n">
        <f aca="false">IF(INDEX(MO_SNA_IsHistoricalPeriod,1,COLUMN())=FALSE(),0,INDEX(MO_SPT_StockHigh,1,COLUMN()))</f>
        <v>580.5</v>
      </c>
      <c r="AY455" s="530" t="n">
        <f aca="false">IF(INDEX(MO_SNA_IsHistoricalPeriod,1,COLUMN())=FALSE(),0,INDEX(MO_SPT_StockHigh,1,COLUMN()))</f>
        <v>628.27002</v>
      </c>
      <c r="AZ455" s="529" t="n">
        <f aca="false">IF(INDEX(MO_SNA_IsHistoricalPeriod,1,COLUMN())=FALSE(),0,INDEX(MO_SPT_StockHigh,1,COLUMN()))</f>
        <v>787.371033</v>
      </c>
      <c r="BA455" s="530" t="n">
        <f aca="false">IF(INDEX(MO_SNA_IsHistoricalPeriod,1,COLUMN())=FALSE(),0,INDEX(MO_SPT_StockHigh,1,COLUMN()))</f>
        <v>639.5</v>
      </c>
      <c r="BB455" s="530" t="n">
        <f aca="false">IF(INDEX(MO_SNA_IsHistoricalPeriod,1,COLUMN())=FALSE(),0,INDEX(MO_SPT_StockHigh,1,COLUMN()))</f>
        <v>683.1</v>
      </c>
      <c r="BC455" s="530" t="n">
        <f aca="false">IF(INDEX(MO_SNA_IsHistoricalPeriod,1,COLUMN())=FALSE(),0,INDEX(MO_SPT_StockHigh,1,COLUMN()))</f>
        <v>684.9</v>
      </c>
      <c r="BD455" s="530" t="n">
        <f aca="false">IF(INDEX(MO_SNA_IsHistoricalPeriod,1,COLUMN())=FALSE(),0,INDEX(MO_SPT_StockHigh,1,COLUMN()))</f>
        <v>694.7</v>
      </c>
      <c r="BE455" s="529" t="n">
        <f aca="false">IF(INDEX(MO_SNA_IsHistoricalPeriod,1,COLUMN())=FALSE(),0,INDEX(MO_SPT_StockHigh,1,COLUMN()))</f>
        <v>694.7</v>
      </c>
      <c r="BF455" s="530" t="n">
        <f aca="false">IF(INDEX(MO_SNA_IsHistoricalPeriod,1,COLUMN())=FALSE(),0,INDEX(MO_SPT_StockHigh,1,COLUMN()))</f>
        <v>949.2</v>
      </c>
      <c r="BG455" s="530" t="n">
        <f aca="false">IF(INDEX(MO_SNA_IsHistoricalPeriod,1,COLUMN())=FALSE(),0,INDEX(MO_SPT_StockHigh,1,COLUMN()))</f>
        <v>988.9</v>
      </c>
      <c r="BH455" s="530" t="n">
        <f aca="false">IF(INDEX(MO_SNA_IsHistoricalPeriod,1,COLUMN())=FALSE(),0,INDEX(MO_SPT_StockHigh,1,COLUMN()))</f>
        <v>1002.2</v>
      </c>
      <c r="BI455" s="530" t="n">
        <f aca="false">IF(INDEX(MO_SNA_IsHistoricalPeriod,1,COLUMN())=FALSE(),0,INDEX(MO_SPT_StockHigh,1,COLUMN()))</f>
        <v>792</v>
      </c>
      <c r="BJ455" s="529" t="n">
        <f aca="false">IF(INDEX(MO_SNA_IsHistoricalPeriod,1,COLUMN())=FALSE(),0,INDEX(MO_SPT_StockHigh,1,COLUMN()))</f>
        <v>1002.2</v>
      </c>
      <c r="BK455" s="530" t="n">
        <f aca="false">IF(INDEX(MO_SNA_IsHistoricalPeriod,1,COLUMN())=FALSE(),0,INDEX(MO_SPT_StockHigh,1,COLUMN()))</f>
        <v>748.1</v>
      </c>
      <c r="BL455" s="530" t="n">
        <f aca="false">IF(INDEX(MO_SNA_IsHistoricalPeriod,1,COLUMN())=FALSE(),0,INDEX(MO_SPT_StockHigh,1,COLUMN()))</f>
        <v>694.5</v>
      </c>
      <c r="BM455" s="530" t="n">
        <f aca="false">IF(INDEX(MO_SNA_IsHistoricalPeriod,1,COLUMN())=FALSE(),0,INDEX(MO_SPT_StockHigh,1,COLUMN()))</f>
        <v>819.8</v>
      </c>
      <c r="BN455" s="530" t="n">
        <f aca="false">IF(INDEX(MO_SNA_IsHistoricalPeriod,1,COLUMN())=FALSE(),0,INDEX(MO_SPT_StockHigh,1,COLUMN()))</f>
        <v>963.4</v>
      </c>
      <c r="BO455" s="531" t="n">
        <f aca="false">IF(INDEX(MO_SNA_IsHistoricalPeriod,1,COLUMN())=FALSE(),0,INDEX(MO_SPT_StockHigh,1,COLUMN()))</f>
        <v>963.4</v>
      </c>
      <c r="BP455" s="532" t="n">
        <f aca="false">IF(INDEX(MO_SNA_IsHistoricalPeriod,1,COLUMN())=FALSE(),0,INDEX(MO_SPT_StockHigh,1,COLUMN()))</f>
        <v>0</v>
      </c>
      <c r="BQ455" s="532" t="n">
        <f aca="false">IF(INDEX(MO_SNA_IsHistoricalPeriod,1,COLUMN())=FALSE(),0,INDEX(MO_SPT_StockHigh,1,COLUMN()))</f>
        <v>0</v>
      </c>
      <c r="BR455" s="532" t="n">
        <f aca="false">IF(INDEX(MO_SNA_IsHistoricalPeriod,1,COLUMN())=FALSE(),0,INDEX(MO_SPT_StockHigh,1,COLUMN()))</f>
        <v>0</v>
      </c>
      <c r="BS455" s="532" t="n">
        <f aca="false">IF(INDEX(MO_SNA_IsHistoricalPeriod,1,COLUMN())=FALSE(),0,INDEX(MO_SPT_StockHigh,1,COLUMN()))</f>
        <v>0</v>
      </c>
      <c r="BT455" s="533" t="n">
        <f aca="false">IF(INDEX(MO_SNA_IsHistoricalPeriod,1,COLUMN())=FALSE(),0,INDEX(MO_SPT_StockHigh,1,COLUMN()))</f>
        <v>0</v>
      </c>
      <c r="BU455" s="532" t="n">
        <f aca="false">IF(INDEX(MO_SNA_IsHistoricalPeriod,1,COLUMN())=FALSE(),0,INDEX(MO_SPT_StockHigh,1,COLUMN()))</f>
        <v>0</v>
      </c>
      <c r="BV455" s="532" t="n">
        <f aca="false">IF(INDEX(MO_SNA_IsHistoricalPeriod,1,COLUMN())=FALSE(),0,INDEX(MO_SPT_StockHigh,1,COLUMN()))</f>
        <v>0</v>
      </c>
      <c r="BW455" s="532" t="n">
        <f aca="false">IF(INDEX(MO_SNA_IsHistoricalPeriod,1,COLUMN())=FALSE(),0,INDEX(MO_SPT_StockHigh,1,COLUMN()))</f>
        <v>0</v>
      </c>
      <c r="BX455" s="532" t="n">
        <f aca="false">IF(INDEX(MO_SNA_IsHistoricalPeriod,1,COLUMN())=FALSE(),0,INDEX(MO_SPT_StockHigh,1,COLUMN()))</f>
        <v>0</v>
      </c>
      <c r="BY455" s="533" t="n">
        <f aca="false">IF(INDEX(MO_SNA_IsHistoricalPeriod,1,COLUMN())=FALSE(),0,INDEX(MO_SPT_StockHigh,1,COLUMN()))</f>
        <v>0</v>
      </c>
      <c r="BZ455" s="533" t="n">
        <f aca="false">IF(INDEX(MO_SNA_IsHistoricalPeriod,1,COLUMN())=FALSE(),0,INDEX(MO_SPT_StockHigh,1,COLUMN()))</f>
        <v>0</v>
      </c>
      <c r="CA455" s="533" t="n">
        <f aca="false">IF(INDEX(MO_SNA_IsHistoricalPeriod,1,COLUMN())=FALSE(),0,INDEX(MO_SPT_StockHigh,1,COLUMN()))</f>
        <v>0</v>
      </c>
      <c r="CB455" s="533" t="n">
        <f aca="false">IF(INDEX(MO_SNA_IsHistoricalPeriod,1,COLUMN())=FALSE(),0,INDEX(MO_SPT_StockHigh,1,COLUMN()))</f>
        <v>0</v>
      </c>
      <c r="CC455" s="534"/>
    </row>
    <row r="456" s="46" customFormat="true" ht="15" hidden="true" customHeight="true" outlineLevel="1" collapsed="false">
      <c r="A456" s="527" t="str">
        <f aca="false">"Stock Low, "&amp;HP.TradeCurrency</f>
        <v>Stock Low, EUR</v>
      </c>
      <c r="B456" s="528"/>
      <c r="C456" s="529" t="n">
        <f aca="false">IF(INDEX(MO_SNA_IsHistoricalPeriod,1,COLUMN())=FALSE(),0,INDEX(MO_SPT_StockLow,1,COLUMN()))</f>
        <v>11.618601289</v>
      </c>
      <c r="D456" s="529" t="n">
        <f aca="false">IF(INDEX(MO_SNA_IsHistoricalPeriod,1,COLUMN())=FALSE(),0,INDEX(MO_SPT_StockLow,1,COLUMN()))</f>
        <v>19.947070477</v>
      </c>
      <c r="E456" s="529" t="n">
        <f aca="false">IF(INDEX(MO_SNA_IsHistoricalPeriod,1,COLUMN())=FALSE(),0,INDEX(MO_SPT_StockLow,1,COLUMN()))</f>
        <v>21.886082499</v>
      </c>
      <c r="F456" s="529" t="n">
        <f aca="false">IF(INDEX(MO_SNA_IsHistoricalPeriod,1,COLUMN())=FALSE(),0,INDEX(MO_SPT_StockLow,1,COLUMN()))</f>
        <v>32.725984811</v>
      </c>
      <c r="G456" s="529" t="n">
        <f aca="false">IF(INDEX(MO_SNA_IsHistoricalPeriod,1,COLUMN())=FALSE(),0,INDEX(MO_SPT_StockLow,1,COLUMN()))</f>
        <v>45.68</v>
      </c>
      <c r="H456" s="530" t="n">
        <f aca="false">IF(INDEX(MO_SNA_IsHistoricalPeriod,1,COLUMN())=FALSE(),0,INDEX(MO_SPT_StockLow,1,COLUMN()))</f>
        <v>61.09</v>
      </c>
      <c r="I456" s="530" t="n">
        <f aca="false">IF(INDEX(MO_SNA_IsHistoricalPeriod,1,COLUMN())=FALSE(),0,INDEX(MO_SPT_StockLow,1,COLUMN()))</f>
        <v>57.51</v>
      </c>
      <c r="J456" s="530" t="n">
        <f aca="false">IF(INDEX(MO_SNA_IsHistoricalPeriod,1,COLUMN())=FALSE(),0,INDEX(MO_SPT_StockLow,1,COLUMN()))</f>
        <v>61.58</v>
      </c>
      <c r="K456" s="530" t="n">
        <f aca="false">IF(INDEX(MO_SNA_IsHistoricalPeriod,1,COLUMN())=FALSE(),0,INDEX(MO_SPT_StockLow,1,COLUMN()))</f>
        <v>68.29</v>
      </c>
      <c r="L456" s="529" t="n">
        <f aca="false">IF(INDEX(MO_SNA_IsHistoricalPeriod,1,COLUMN())=FALSE(),0,INDEX(MO_SPT_StockLow,1,COLUMN()))</f>
        <v>57.51</v>
      </c>
      <c r="M456" s="530" t="n">
        <f aca="false">IF(INDEX(MO_SNA_IsHistoricalPeriod,1,COLUMN())=FALSE(),0,INDEX(MO_SPT_StockLow,1,COLUMN()))</f>
        <v>84.67</v>
      </c>
      <c r="N456" s="530" t="n">
        <f aca="false">IF(INDEX(MO_SNA_IsHistoricalPeriod,1,COLUMN())=FALSE(),0,INDEX(MO_SPT_StockLow,1,COLUMN()))</f>
        <v>86.94</v>
      </c>
      <c r="O456" s="530" t="n">
        <f aca="false">IF(INDEX(MO_SNA_IsHistoricalPeriod,1,COLUMN())=FALSE(),0,INDEX(MO_SPT_StockLow,1,COLUMN()))</f>
        <v>70.25</v>
      </c>
      <c r="P456" s="530" t="n">
        <f aca="false">IF(INDEX(MO_SNA_IsHistoricalPeriod,1,COLUMN())=FALSE(),0,INDEX(MO_SPT_StockLow,1,COLUMN()))</f>
        <v>72.16</v>
      </c>
      <c r="Q456" s="529" t="n">
        <f aca="false">IF(INDEX(MO_SNA_IsHistoricalPeriod,1,COLUMN())=FALSE(),0,INDEX(MO_SPT_StockLow,1,COLUMN()))</f>
        <v>70.25</v>
      </c>
      <c r="R456" s="530" t="n">
        <f aca="false">IF(INDEX(MO_SNA_IsHistoricalPeriod,1,COLUMN())=FALSE(),0,INDEX(MO_SPT_StockLow,1,COLUMN()))</f>
        <v>70.54</v>
      </c>
      <c r="S456" s="530" t="n">
        <f aca="false">IF(INDEX(MO_SNA_IsHistoricalPeriod,1,COLUMN())=FALSE(),0,INDEX(MO_SPT_StockLow,1,COLUMN()))</f>
        <v>79.38</v>
      </c>
      <c r="T456" s="530" t="n">
        <f aca="false">IF(INDEX(MO_SNA_IsHistoricalPeriod,1,COLUMN())=FALSE(),0,INDEX(MO_SPT_StockLow,1,COLUMN()))</f>
        <v>83.54</v>
      </c>
      <c r="U456" s="530" t="n">
        <f aca="false">IF(INDEX(MO_SNA_IsHistoricalPeriod,1,COLUMN())=FALSE(),0,INDEX(MO_SPT_StockLow,1,COLUMN()))</f>
        <v>90.5</v>
      </c>
      <c r="V456" s="529" t="n">
        <f aca="false">IF(INDEX(MO_SNA_IsHistoricalPeriod,1,COLUMN())=FALSE(),0,INDEX(MO_SPT_StockLow,1,COLUMN()))</f>
        <v>70.54</v>
      </c>
      <c r="W456" s="530" t="n">
        <f aca="false">IF(INDEX(MO_SNA_IsHistoricalPeriod,1,COLUMN())=FALSE(),0,INDEX(MO_SPT_StockLow,1,COLUMN()))</f>
        <v>103.95</v>
      </c>
      <c r="X456" s="530" t="n">
        <f aca="false">IF(INDEX(MO_SNA_IsHistoricalPeriod,1,COLUMN())=FALSE(),0,INDEX(MO_SPT_StockLow,1,COLUMN()))</f>
        <v>112.6</v>
      </c>
      <c r="Y456" s="530" t="n">
        <f aca="false">IF(INDEX(MO_SNA_IsHistoricalPeriod,1,COLUMN())=FALSE(),0,INDEX(MO_SPT_StockLow,1,COLUMN()))</f>
        <v>113.75</v>
      </c>
      <c r="Z456" s="530" t="n">
        <f aca="false">IF(INDEX(MO_SNA_IsHistoricalPeriod,1,COLUMN())=FALSE(),0,INDEX(MO_SPT_StockLow,1,COLUMN()))</f>
        <v>141.5</v>
      </c>
      <c r="AA456" s="529" t="n">
        <f aca="false">IF(INDEX(MO_SNA_IsHistoricalPeriod,1,COLUMN())=FALSE(),0,INDEX(MO_SPT_StockLow,1,COLUMN()))</f>
        <v>103.95</v>
      </c>
      <c r="AB456" s="530" t="n">
        <f aca="false">IF(INDEX(MO_SNA_IsHistoricalPeriod,1,COLUMN())=FALSE(),0,INDEX(MO_SPT_StockLow,1,COLUMN()))</f>
        <v>142.2</v>
      </c>
      <c r="AC456" s="530" t="n">
        <f aca="false">IF(INDEX(MO_SNA_IsHistoricalPeriod,1,COLUMN())=FALSE(),0,INDEX(MO_SPT_StockLow,1,COLUMN()))</f>
        <v>155.5</v>
      </c>
      <c r="AD456" s="530" t="n">
        <f aca="false">IF(INDEX(MO_SNA_IsHistoricalPeriod,1,COLUMN())=FALSE(),0,INDEX(MO_SPT_StockLow,1,COLUMN()))</f>
        <v>148.58</v>
      </c>
      <c r="AE456" s="530" t="n">
        <f aca="false">IF(INDEX(MO_SNA_IsHistoricalPeriod,1,COLUMN())=FALSE(),0,INDEX(MO_SPT_StockLow,1,COLUMN()))</f>
        <v>130.3</v>
      </c>
      <c r="AF456" s="529" t="n">
        <f aca="false">IF(INDEX(MO_SNA_IsHistoricalPeriod,1,COLUMN())=FALSE(),0,INDEX(MO_SPT_StockLow,1,COLUMN()))</f>
        <v>130.3</v>
      </c>
      <c r="AG456" s="530" t="n">
        <f aca="false">IF(INDEX(MO_SNA_IsHistoricalPeriod,1,COLUMN())=FALSE(),0,INDEX(MO_SPT_StockLow,1,COLUMN()))</f>
        <v>130.12</v>
      </c>
      <c r="AH456" s="530" t="n">
        <f aca="false">IF(INDEX(MO_SNA_IsHistoricalPeriod,1,COLUMN())=FALSE(),0,INDEX(MO_SPT_StockLow,1,COLUMN()))</f>
        <v>165.04</v>
      </c>
      <c r="AI456" s="530" t="n">
        <f aca="false">IF(INDEX(MO_SNA_IsHistoricalPeriod,1,COLUMN())=FALSE(),0,INDEX(MO_SPT_StockLow,1,COLUMN()))</f>
        <v>182.14</v>
      </c>
      <c r="AJ456" s="530" t="n">
        <f aca="false">IF(INDEX(MO_SNA_IsHistoricalPeriod,1,COLUMN())=FALSE(),0,INDEX(MO_SPT_StockLow,1,COLUMN()))</f>
        <v>217</v>
      </c>
      <c r="AK456" s="529" t="n">
        <f aca="false">IF(INDEX(MO_SNA_IsHistoricalPeriod,1,COLUMN())=FALSE(),0,INDEX(MO_SPT_StockLow,1,COLUMN()))</f>
        <v>130.12</v>
      </c>
      <c r="AL456" s="530" t="n">
        <f aca="false">IF(INDEX(MO_SNA_IsHistoricalPeriod,1,COLUMN())=FALSE(),0,INDEX(MO_SPT_StockLow,1,COLUMN()))</f>
        <v>177.52</v>
      </c>
      <c r="AM456" s="530" t="n">
        <f aca="false">IF(INDEX(MO_SNA_IsHistoricalPeriod,1,COLUMN())=FALSE(),0,INDEX(MO_SPT_StockLow,1,COLUMN()))</f>
        <v>222.4</v>
      </c>
      <c r="AN456" s="530" t="n">
        <f aca="false">IF(INDEX(MO_SNA_IsHistoricalPeriod,1,COLUMN())=FALSE(),0,INDEX(MO_SPT_StockLow,1,COLUMN()))</f>
        <v>289.2</v>
      </c>
      <c r="AO456" s="530" t="n">
        <f aca="false">IF(INDEX(MO_SNA_IsHistoricalPeriod,1,COLUMN())=FALSE(),0,INDEX(MO_SPT_StockLow,1,COLUMN()))</f>
        <v>304.5</v>
      </c>
      <c r="AP456" s="529" t="n">
        <f aca="false">IF(INDEX(MO_SNA_IsHistoricalPeriod,1,COLUMN())=FALSE(),0,INDEX(MO_SPT_StockLow,1,COLUMN()))</f>
        <v>177.52</v>
      </c>
      <c r="AQ456" s="530" t="n">
        <f aca="false">IF(INDEX(MO_SNA_IsHistoricalPeriod,1,COLUMN())=FALSE(),0,INDEX(MO_SPT_StockLow,1,COLUMN()))</f>
        <v>399.2</v>
      </c>
      <c r="AR456" s="530" t="n">
        <f aca="false">IF(INDEX(MO_SNA_IsHistoricalPeriod,1,COLUMN())=FALSE(),0,INDEX(MO_SPT_StockLow,1,COLUMN()))</f>
        <v>492.15</v>
      </c>
      <c r="AS456" s="530" t="n">
        <f aca="false">IF(INDEX(MO_SNA_IsHistoricalPeriod,1,COLUMN())=FALSE(),0,INDEX(MO_SPT_StockLow,1,COLUMN()))</f>
        <v>559.7</v>
      </c>
      <c r="AT456" s="530" t="n">
        <f aca="false">IF(INDEX(MO_SNA_IsHistoricalPeriod,1,COLUMN())=FALSE(),0,INDEX(MO_SPT_StockLow,1,COLUMN()))</f>
        <v>611.6</v>
      </c>
      <c r="AU456" s="529" t="n">
        <f aca="false">IF(INDEX(MO_SNA_IsHistoricalPeriod,1,COLUMN())=FALSE(),0,INDEX(MO_SPT_StockLow,1,COLUMN()))</f>
        <v>402.85</v>
      </c>
      <c r="AV456" s="530" t="n">
        <f aca="false">IF(INDEX(MO_SNA_IsHistoricalPeriod,1,COLUMN())=FALSE(),0,INDEX(MO_SPT_StockLow,1,COLUMN()))</f>
        <v>513.7</v>
      </c>
      <c r="AW456" s="530" t="n">
        <f aca="false">IF(INDEX(MO_SNA_IsHistoricalPeriod,1,COLUMN())=FALSE(),0,INDEX(MO_SPT_StockLow,1,COLUMN()))</f>
        <v>442.2</v>
      </c>
      <c r="AX456" s="530" t="n">
        <f aca="false">IF(INDEX(MO_SNA_IsHistoricalPeriod,1,COLUMN())=FALSE(),0,INDEX(MO_SPT_StockLow,1,COLUMN()))</f>
        <v>403.45</v>
      </c>
      <c r="AY456" s="530" t="n">
        <f aca="false">IF(INDEX(MO_SNA_IsHistoricalPeriod,1,COLUMN())=FALSE(),0,INDEX(MO_SPT_StockLow,1,COLUMN()))</f>
        <v>377.99176</v>
      </c>
      <c r="AZ456" s="529" t="n">
        <f aca="false">IF(INDEX(MO_SNA_IsHistoricalPeriod,1,COLUMN())=FALSE(),0,INDEX(MO_SPT_StockLow,1,COLUMN()))</f>
        <v>377.99176</v>
      </c>
      <c r="BA456" s="530" t="n">
        <f aca="false">IF(INDEX(MO_SNA_IsHistoricalPeriod,1,COLUMN())=FALSE(),0,INDEX(MO_SPT_StockLow,1,COLUMN()))</f>
        <v>516.9</v>
      </c>
      <c r="BB456" s="530" t="n">
        <f aca="false">IF(INDEX(MO_SNA_IsHistoricalPeriod,1,COLUMN())=FALSE(),0,INDEX(MO_SPT_StockLow,1,COLUMN()))</f>
        <v>556.6</v>
      </c>
      <c r="BC456" s="530" t="n">
        <f aca="false">IF(INDEX(MO_SNA_IsHistoricalPeriod,1,COLUMN())=FALSE(),0,INDEX(MO_SPT_StockLow,1,COLUMN()))</f>
        <v>542.6</v>
      </c>
      <c r="BD456" s="530" t="n">
        <f aca="false">IF(INDEX(MO_SNA_IsHistoricalPeriod,1,COLUMN())=FALSE(),0,INDEX(MO_SPT_StockLow,1,COLUMN()))</f>
        <v>547.1</v>
      </c>
      <c r="BE456" s="529" t="n">
        <f aca="false">IF(INDEX(MO_SNA_IsHistoricalPeriod,1,COLUMN())=FALSE(),0,INDEX(MO_SPT_StockLow,1,COLUMN()))</f>
        <v>516.9</v>
      </c>
      <c r="BF456" s="530" t="n">
        <f aca="false">IF(INDEX(MO_SNA_IsHistoricalPeriod,1,COLUMN())=FALSE(),0,INDEX(MO_SPT_StockLow,1,COLUMN()))</f>
        <v>644.2</v>
      </c>
      <c r="BG456" s="530" t="n">
        <f aca="false">IF(INDEX(MO_SNA_IsHistoricalPeriod,1,COLUMN())=FALSE(),0,INDEX(MO_SPT_StockLow,1,COLUMN()))</f>
        <v>811.4</v>
      </c>
      <c r="BH456" s="530" t="n">
        <f aca="false">IF(INDEX(MO_SNA_IsHistoricalPeriod,1,COLUMN())=FALSE(),0,INDEX(MO_SPT_StockLow,1,COLUMN()))</f>
        <v>672.5</v>
      </c>
      <c r="BI456" s="530" t="n">
        <f aca="false">IF(INDEX(MO_SNA_IsHistoricalPeriod,1,COLUMN())=FALSE(),0,INDEX(MO_SPT_StockLow,1,COLUMN()))</f>
        <v>610.8</v>
      </c>
      <c r="BJ456" s="529" t="n">
        <f aca="false">IF(INDEX(MO_SNA_IsHistoricalPeriod,1,COLUMN())=FALSE(),0,INDEX(MO_SPT_StockLow,1,COLUMN()))</f>
        <v>610.8</v>
      </c>
      <c r="BK456" s="530" t="n">
        <f aca="false">IF(INDEX(MO_SNA_IsHistoricalPeriod,1,COLUMN())=FALSE(),0,INDEX(MO_SPT_StockLow,1,COLUMN()))</f>
        <v>625.6</v>
      </c>
      <c r="BL456" s="530" t="n">
        <f aca="false">IF(INDEX(MO_SNA_IsHistoricalPeriod,1,COLUMN())=FALSE(),0,INDEX(MO_SPT_StockLow,1,COLUMN()))</f>
        <v>550</v>
      </c>
      <c r="BM456" s="530" t="n">
        <f aca="false">IF(INDEX(MO_SNA_IsHistoricalPeriod,1,COLUMN())=FALSE(),0,INDEX(MO_SPT_StockLow,1,COLUMN()))</f>
        <v>592.9</v>
      </c>
      <c r="BN456" s="530" t="n">
        <f aca="false">IF(INDEX(MO_SNA_IsHistoricalPeriod,1,COLUMN())=FALSE(),0,INDEX(MO_SPT_StockLow,1,COLUMN()))</f>
        <v>813.9</v>
      </c>
      <c r="BO456" s="531" t="n">
        <f aca="false">IF(INDEX(MO_SNA_IsHistoricalPeriod,1,COLUMN())=FALSE(),0,INDEX(MO_SPT_StockLow,1,COLUMN()))</f>
        <v>550</v>
      </c>
      <c r="BP456" s="532" t="n">
        <f aca="false">IF(INDEX(MO_SNA_IsHistoricalPeriod,1,COLUMN())=FALSE(),0,INDEX(MO_SPT_StockLow,1,COLUMN()))</f>
        <v>0</v>
      </c>
      <c r="BQ456" s="532" t="n">
        <f aca="false">IF(INDEX(MO_SNA_IsHistoricalPeriod,1,COLUMN())=FALSE(),0,INDEX(MO_SPT_StockLow,1,COLUMN()))</f>
        <v>0</v>
      </c>
      <c r="BR456" s="532" t="n">
        <f aca="false">IF(INDEX(MO_SNA_IsHistoricalPeriod,1,COLUMN())=FALSE(),0,INDEX(MO_SPT_StockLow,1,COLUMN()))</f>
        <v>0</v>
      </c>
      <c r="BS456" s="532" t="n">
        <f aca="false">IF(INDEX(MO_SNA_IsHistoricalPeriod,1,COLUMN())=FALSE(),0,INDEX(MO_SPT_StockLow,1,COLUMN()))</f>
        <v>0</v>
      </c>
      <c r="BT456" s="533" t="n">
        <f aca="false">IF(INDEX(MO_SNA_IsHistoricalPeriod,1,COLUMN())=FALSE(),0,INDEX(MO_SPT_StockLow,1,COLUMN()))</f>
        <v>0</v>
      </c>
      <c r="BU456" s="532" t="n">
        <f aca="false">IF(INDEX(MO_SNA_IsHistoricalPeriod,1,COLUMN())=FALSE(),0,INDEX(MO_SPT_StockLow,1,COLUMN()))</f>
        <v>0</v>
      </c>
      <c r="BV456" s="532" t="n">
        <f aca="false">IF(INDEX(MO_SNA_IsHistoricalPeriod,1,COLUMN())=FALSE(),0,INDEX(MO_SPT_StockLow,1,COLUMN()))</f>
        <v>0</v>
      </c>
      <c r="BW456" s="532" t="n">
        <f aca="false">IF(INDEX(MO_SNA_IsHistoricalPeriod,1,COLUMN())=FALSE(),0,INDEX(MO_SPT_StockLow,1,COLUMN()))</f>
        <v>0</v>
      </c>
      <c r="BX456" s="532" t="n">
        <f aca="false">IF(INDEX(MO_SNA_IsHistoricalPeriod,1,COLUMN())=FALSE(),0,INDEX(MO_SPT_StockLow,1,COLUMN()))</f>
        <v>0</v>
      </c>
      <c r="BY456" s="533" t="n">
        <f aca="false">IF(INDEX(MO_SNA_IsHistoricalPeriod,1,COLUMN())=FALSE(),0,INDEX(MO_SPT_StockLow,1,COLUMN()))</f>
        <v>0</v>
      </c>
      <c r="BZ456" s="533" t="n">
        <f aca="false">IF(INDEX(MO_SNA_IsHistoricalPeriod,1,COLUMN())=FALSE(),0,INDEX(MO_SPT_StockLow,1,COLUMN()))</f>
        <v>0</v>
      </c>
      <c r="CA456" s="533" t="n">
        <f aca="false">IF(INDEX(MO_SNA_IsHistoricalPeriod,1,COLUMN())=FALSE(),0,INDEX(MO_SPT_StockLow,1,COLUMN()))</f>
        <v>0</v>
      </c>
      <c r="CB456" s="533" t="n">
        <f aca="false">IF(INDEX(MO_SNA_IsHistoricalPeriod,1,COLUMN())=FALSE(),0,INDEX(MO_SPT_StockLow,1,COLUMN()))</f>
        <v>0</v>
      </c>
      <c r="CC456" s="534"/>
    </row>
    <row r="457" s="46" customFormat="true" ht="15" hidden="true" customHeight="true" outlineLevel="1" collapsed="false">
      <c r="A457" s="527" t="str">
        <f aca="false">"Stock Average, "&amp;HP.TradeCurrency</f>
        <v>Stock Average, EUR</v>
      </c>
      <c r="B457" s="528"/>
      <c r="C457" s="529" t="n">
        <f aca="false">IF(INDEX(MO_SNA_IsHistoricalPeriod,1,COLUMN())=FALSE(),0,INDEX(MO_SPT_StockAverage,1,COLUMN()))</f>
        <v>17.2649534508281</v>
      </c>
      <c r="D457" s="529" t="n">
        <f aca="false">IF(INDEX(MO_SNA_IsHistoricalPeriod,1,COLUMN())=FALSE(),0,INDEX(MO_SPT_StockAverage,1,COLUMN()))</f>
        <v>24.8111107562403</v>
      </c>
      <c r="E457" s="529" t="n">
        <f aca="false">IF(INDEX(MO_SNA_IsHistoricalPeriod,1,COLUMN())=FALSE(),0,INDEX(MO_SPT_StockAverage,1,COLUMN()))</f>
        <v>28.9175494513463</v>
      </c>
      <c r="F457" s="529" t="n">
        <f aca="false">IF(INDEX(MO_SNA_IsHistoricalPeriod,1,COLUMN())=FALSE(),0,INDEX(MO_SPT_StockAverage,1,COLUMN()))</f>
        <v>41.3919978909922</v>
      </c>
      <c r="G457" s="529" t="n">
        <f aca="false">IF(INDEX(MO_SNA_IsHistoricalPeriod,1,COLUMN())=FALSE(),0,INDEX(MO_SPT_StockAverage,1,COLUMN()))</f>
        <v>62.0350588235294</v>
      </c>
      <c r="H457" s="530" t="n">
        <f aca="false">IF(INDEX(MO_SNA_IsHistoricalPeriod,1,COLUMN())=FALSE(),0,INDEX(MO_SPT_StockAverage,1,COLUMN()))</f>
        <v>64.9831746031746</v>
      </c>
      <c r="I457" s="530" t="n">
        <f aca="false">IF(INDEX(MO_SNA_IsHistoricalPeriod,1,COLUMN())=FALSE(),0,INDEX(MO_SPT_StockAverage,1,COLUMN()))</f>
        <v>63.1291935483871</v>
      </c>
      <c r="J457" s="530" t="n">
        <f aca="false">IF(INDEX(MO_SNA_IsHistoricalPeriod,1,COLUMN())=FALSE(),0,INDEX(MO_SPT_StockAverage,1,COLUMN()))</f>
        <v>71.119393939394</v>
      </c>
      <c r="K457" s="530" t="n">
        <f aca="false">IF(INDEX(MO_SNA_IsHistoricalPeriod,1,COLUMN())=FALSE(),0,INDEX(MO_SPT_StockAverage,1,COLUMN()))</f>
        <v>81.10328125</v>
      </c>
      <c r="L457" s="529" t="n">
        <f aca="false">IF(INDEX(MO_SNA_IsHistoricalPeriod,1,COLUMN())=FALSE(),0,INDEX(MO_SPT_StockAverage,1,COLUMN()))</f>
        <v>70.1664313725491</v>
      </c>
      <c r="M457" s="530" t="n">
        <f aca="false">IF(INDEX(MO_SNA_IsHistoricalPeriod,1,COLUMN())=FALSE(),0,INDEX(MO_SPT_StockAverage,1,COLUMN()))</f>
        <v>93.5625396825397</v>
      </c>
      <c r="N457" s="530" t="n">
        <f aca="false">IF(INDEX(MO_SNA_IsHistoricalPeriod,1,COLUMN())=FALSE(),0,INDEX(MO_SPT_StockAverage,1,COLUMN()))</f>
        <v>96.8222580645161</v>
      </c>
      <c r="O457" s="530" t="n">
        <f aca="false">IF(INDEX(MO_SNA_IsHistoricalPeriod,1,COLUMN())=FALSE(),0,INDEX(MO_SPT_StockAverage,1,COLUMN()))</f>
        <v>85.445</v>
      </c>
      <c r="P457" s="530" t="n">
        <f aca="false">IF(INDEX(MO_SNA_IsHistoricalPeriod,1,COLUMN())=FALSE(),0,INDEX(MO_SPT_StockAverage,1,COLUMN()))</f>
        <v>83.1427692307692</v>
      </c>
      <c r="Q457" s="529" t="n">
        <f aca="false">IF(INDEX(MO_SNA_IsHistoricalPeriod,1,COLUMN())=FALSE(),0,INDEX(MO_SPT_StockAverage,1,COLUMN()))</f>
        <v>89.6135546875</v>
      </c>
      <c r="R457" s="530" t="n">
        <f aca="false">IF(INDEX(MO_SNA_IsHistoricalPeriod,1,COLUMN())=FALSE(),0,INDEX(MO_SPT_StockAverage,1,COLUMN()))</f>
        <v>81.3245161290322</v>
      </c>
      <c r="S457" s="530" t="n">
        <f aca="false">IF(INDEX(MO_SNA_IsHistoricalPeriod,1,COLUMN())=FALSE(),0,INDEX(MO_SPT_StockAverage,1,COLUMN()))</f>
        <v>86.0596923076923</v>
      </c>
      <c r="T457" s="530" t="n">
        <f aca="false">IF(INDEX(MO_SNA_IsHistoricalPeriod,1,COLUMN())=FALSE(),0,INDEX(MO_SPT_StockAverage,1,COLUMN()))</f>
        <v>94.7318181818182</v>
      </c>
      <c r="U457" s="530" t="n">
        <f aca="false">IF(INDEX(MO_SNA_IsHistoricalPeriod,1,COLUMN())=FALSE(),0,INDEX(MO_SPT_StockAverage,1,COLUMN()))</f>
        <v>97.1596875</v>
      </c>
      <c r="V457" s="529" t="n">
        <f aca="false">IF(INDEX(MO_SNA_IsHistoricalPeriod,1,COLUMN())=FALSE(),0,INDEX(MO_SPT_StockAverage,1,COLUMN()))</f>
        <v>89.9086381322956</v>
      </c>
      <c r="W457" s="530" t="n">
        <f aca="false">IF(INDEX(MO_SNA_IsHistoricalPeriod,1,COLUMN())=FALSE(),0,INDEX(MO_SPT_StockAverage,1,COLUMN()))</f>
        <v>115.037692307692</v>
      </c>
      <c r="X457" s="530" t="n">
        <f aca="false">IF(INDEX(MO_SNA_IsHistoricalPeriod,1,COLUMN())=FALSE(),0,INDEX(MO_SPT_StockAverage,1,COLUMN()))</f>
        <v>120.241935483871</v>
      </c>
      <c r="Y457" s="530" t="n">
        <f aca="false">IF(INDEX(MO_SNA_IsHistoricalPeriod,1,COLUMN())=FALSE(),0,INDEX(MO_SPT_StockAverage,1,COLUMN()))</f>
        <v>129.830769230769</v>
      </c>
      <c r="Z457" s="530" t="n">
        <f aca="false">IF(INDEX(MO_SNA_IsHistoricalPeriod,1,COLUMN())=FALSE(),0,INDEX(MO_SPT_StockAverage,1,COLUMN()))</f>
        <v>149.753968253968</v>
      </c>
      <c r="AA457" s="529" t="n">
        <f aca="false">IF(INDEX(MO_SNA_IsHistoricalPeriod,1,COLUMN())=FALSE(),0,INDEX(MO_SPT_StockAverage,1,COLUMN()))</f>
        <v>128.650784313725</v>
      </c>
      <c r="AB457" s="530" t="n">
        <f aca="false">IF(INDEX(MO_SNA_IsHistoricalPeriod,1,COLUMN())=FALSE(),0,INDEX(MO_SPT_StockAverage,1,COLUMN()))</f>
        <v>160.047619047619</v>
      </c>
      <c r="AC457" s="530" t="n">
        <f aca="false">IF(INDEX(MO_SNA_IsHistoricalPeriod,1,COLUMN())=FALSE(),0,INDEX(MO_SPT_StockAverage,1,COLUMN()))</f>
        <v>168.905555555556</v>
      </c>
      <c r="AD457" s="530" t="n">
        <f aca="false">IF(INDEX(MO_SNA_IsHistoricalPeriod,1,COLUMN())=FALSE(),0,INDEX(MO_SPT_StockAverage,1,COLUMN()))</f>
        <v>172.465692307692</v>
      </c>
      <c r="AE457" s="530" t="n">
        <f aca="false">IF(INDEX(MO_SNA_IsHistoricalPeriod,1,COLUMN())=FALSE(),0,INDEX(MO_SPT_StockAverage,1,COLUMN()))</f>
        <v>148.7953125</v>
      </c>
      <c r="AF457" s="529" t="n">
        <f aca="false">IF(INDEX(MO_SNA_IsHistoricalPeriod,1,COLUMN())=FALSE(),0,INDEX(MO_SPT_StockAverage,1,COLUMN()))</f>
        <v>162.577333333333</v>
      </c>
      <c r="AG457" s="530" t="n">
        <f aca="false">IF(INDEX(MO_SNA_IsHistoricalPeriod,1,COLUMN())=FALSE(),0,INDEX(MO_SPT_StockAverage,1,COLUMN()))</f>
        <v>155.612380952381</v>
      </c>
      <c r="AH457" s="530" t="n">
        <f aca="false">IF(INDEX(MO_SNA_IsHistoricalPeriod,1,COLUMN())=FALSE(),0,INDEX(MO_SPT_StockAverage,1,COLUMN()))</f>
        <v>176.773225806452</v>
      </c>
      <c r="AI457" s="530" t="n">
        <f aca="false">IF(INDEX(MO_SNA_IsHistoricalPeriod,1,COLUMN())=FALSE(),0,INDEX(MO_SPT_StockAverage,1,COLUMN()))</f>
        <v>202.614848484848</v>
      </c>
      <c r="AJ457" s="530" t="n">
        <f aca="false">IF(INDEX(MO_SNA_IsHistoricalPeriod,1,COLUMN())=FALSE(),0,INDEX(MO_SPT_StockAverage,1,COLUMN()))</f>
        <v>243.4921875</v>
      </c>
      <c r="AK457" s="529" t="n">
        <f aca="false">IF(INDEX(MO_SNA_IsHistoricalPeriod,1,COLUMN())=FALSE(),0,INDEX(MO_SPT_StockAverage,1,COLUMN()))</f>
        <v>194.978823529412</v>
      </c>
      <c r="AL457" s="530" t="n">
        <f aca="false">IF(INDEX(MO_SNA_IsHistoricalPeriod,1,COLUMN())=FALSE(),0,INDEX(MO_SPT_StockAverage,1,COLUMN()))</f>
        <v>258.9875</v>
      </c>
      <c r="AM457" s="530" t="n">
        <f aca="false">IF(INDEX(MO_SNA_IsHistoricalPeriod,1,COLUMN())=FALSE(),0,INDEX(MO_SPT_StockAverage,1,COLUMN()))</f>
        <v>285.835483870968</v>
      </c>
      <c r="AN457" s="530" t="n">
        <f aca="false">IF(INDEX(MO_SNA_IsHistoricalPeriod,1,COLUMN())=FALSE(),0,INDEX(MO_SPT_StockAverage,1,COLUMN()))</f>
        <v>319.692424242424</v>
      </c>
      <c r="AO457" s="530" t="n">
        <f aca="false">IF(INDEX(MO_SNA_IsHistoricalPeriod,1,COLUMN())=FALSE(),0,INDEX(MO_SPT_StockAverage,1,COLUMN()))</f>
        <v>352.354615384615</v>
      </c>
      <c r="AP457" s="529" t="n">
        <f aca="false">IF(INDEX(MO_SNA_IsHistoricalPeriod,1,COLUMN())=FALSE(),0,INDEX(MO_SPT_StockAverage,1,COLUMN()))</f>
        <v>304.668287937743</v>
      </c>
      <c r="AQ457" s="530" t="n">
        <f aca="false">IF(INDEX(MO_SNA_IsHistoricalPeriod,1,COLUMN())=FALSE(),0,INDEX(MO_SPT_StockAverage,1,COLUMN()))</f>
        <v>460.376984126984</v>
      </c>
      <c r="AR457" s="530" t="n">
        <f aca="false">IF(INDEX(MO_SNA_IsHistoricalPeriod,1,COLUMN())=FALSE(),0,INDEX(MO_SPT_StockAverage,1,COLUMN()))</f>
        <v>545.942857142857</v>
      </c>
      <c r="AS457" s="530" t="n">
        <f aca="false">IF(INDEX(MO_SNA_IsHistoricalPeriod,1,COLUMN())=FALSE(),0,INDEX(MO_SPT_StockAverage,1,COLUMN()))</f>
        <v>666.209090909091</v>
      </c>
      <c r="AT457" s="530" t="n">
        <f aca="false">IF(INDEX(MO_SNA_IsHistoricalPeriod,1,COLUMN())=FALSE(),0,INDEX(MO_SPT_StockAverage,1,COLUMN()))</f>
        <v>693.7</v>
      </c>
      <c r="AU457" s="529" t="n">
        <f aca="false">IF(INDEX(MO_SNA_IsHistoricalPeriod,1,COLUMN())=FALSE(),0,INDEX(MO_SPT_StockAverage,1,COLUMN()))</f>
        <v>593.61</v>
      </c>
      <c r="AV457" s="530" t="n">
        <f aca="false">IF(INDEX(MO_SNA_IsHistoricalPeriod,1,COLUMN())=FALSE(),0,INDEX(MO_SPT_StockAverage,1,COLUMN()))</f>
        <v>596.25</v>
      </c>
      <c r="AW457" s="530" t="n">
        <f aca="false">IF(INDEX(MO_SNA_IsHistoricalPeriod,1,COLUMN())=FALSE(),0,INDEX(MO_SPT_StockAverage,1,COLUMN()))</f>
        <v>523.353968253968</v>
      </c>
      <c r="AX457" s="530" t="n">
        <f aca="false">IF(INDEX(MO_SNA_IsHistoricalPeriod,1,COLUMN())=FALSE(),0,INDEX(MO_SPT_StockAverage,1,COLUMN()))</f>
        <v>495.160606060606</v>
      </c>
      <c r="AY457" s="530" t="n">
        <f aca="false">IF(INDEX(MO_SNA_IsHistoricalPeriod,1,COLUMN())=FALSE(),0,INDEX(MO_SPT_StockAverage,1,COLUMN()))</f>
        <v>523.317617714286</v>
      </c>
      <c r="AZ457" s="529" t="n">
        <f aca="false">IF(INDEX(MO_SNA_IsHistoricalPeriod,1,COLUMN())=FALSE(),0,INDEX(MO_SPT_StockAverage,1,COLUMN()))</f>
        <v>558.69047250996</v>
      </c>
      <c r="BA457" s="530" t="n">
        <f aca="false">IF(INDEX(MO_SNA_IsHistoricalPeriod,1,COLUMN())=FALSE(),0,INDEX(MO_SPT_StockAverage,1,COLUMN()))</f>
        <v>596.383076923077</v>
      </c>
      <c r="BB457" s="530" t="n">
        <f aca="false">IF(INDEX(MO_SNA_IsHistoricalPeriod,1,COLUMN())=FALSE(),0,INDEX(MO_SPT_StockAverage,1,COLUMN()))</f>
        <v>626.446774193548</v>
      </c>
      <c r="BC457" s="530" t="n">
        <f aca="false">IF(INDEX(MO_SNA_IsHistoricalPeriod,1,COLUMN())=FALSE(),0,INDEX(MO_SPT_StockAverage,1,COLUMN()))</f>
        <v>611.198461538462</v>
      </c>
      <c r="BD457" s="530" t="n">
        <f aca="false">IF(INDEX(MO_SNA_IsHistoricalPeriod,1,COLUMN())=FALSE(),0,INDEX(MO_SPT_StockAverage,1,COLUMN()))</f>
        <v>612.004761904762</v>
      </c>
      <c r="BE457" s="529" t="n">
        <f aca="false">IF(INDEX(MO_SNA_IsHistoricalPeriod,1,COLUMN())=FALSE(),0,INDEX(MO_SPT_StockAverage,1,COLUMN()))</f>
        <v>611.328627450981</v>
      </c>
      <c r="BF457" s="530" t="n">
        <f aca="false">IF(INDEX(MO_SNA_IsHistoricalPeriod,1,COLUMN())=FALSE(),0,INDEX(MO_SPT_StockAverage,1,COLUMN()))</f>
        <v>813.612698412699</v>
      </c>
      <c r="BG457" s="530" t="n">
        <f aca="false">IF(INDEX(MO_SNA_IsHistoricalPeriod,1,COLUMN())=FALSE(),0,INDEX(MO_SPT_StockAverage,1,COLUMN()))</f>
        <v>894.15873015873</v>
      </c>
      <c r="BH457" s="530" t="n">
        <f aca="false">IF(INDEX(MO_SNA_IsHistoricalPeriod,1,COLUMN())=FALSE(),0,INDEX(MO_SPT_StockAverage,1,COLUMN()))</f>
        <v>819.115384615385</v>
      </c>
      <c r="BI457" s="530" t="n">
        <f aca="false">IF(INDEX(MO_SNA_IsHistoricalPeriod,1,COLUMN())=FALSE(),0,INDEX(MO_SPT_StockAverage,1,COLUMN()))</f>
        <v>673.523076923077</v>
      </c>
      <c r="BJ457" s="529" t="n">
        <f aca="false">IF(INDEX(MO_SNA_IsHistoricalPeriod,1,COLUMN())=FALSE(),0,INDEX(MO_SPT_StockAverage,1,COLUMN()))</f>
        <v>799.262109375</v>
      </c>
      <c r="BK457" s="530" t="n">
        <f aca="false">IF(INDEX(MO_SNA_IsHistoricalPeriod,1,COLUMN())=FALSE(),0,INDEX(MO_SPT_StockAverage,1,COLUMN()))</f>
        <v>696.237096774194</v>
      </c>
      <c r="BL457" s="530" t="n">
        <f aca="false">IF(INDEX(MO_SNA_IsHistoricalPeriod,1,COLUMN())=FALSE(),0,INDEX(MO_SPT_StockAverage,1,COLUMN()))</f>
        <v>633.43870967742</v>
      </c>
      <c r="BM457" s="530" t="n">
        <f aca="false">IF(INDEX(MO_SNA_IsHistoricalPeriod,1,COLUMN())=FALSE(),0,INDEX(MO_SPT_StockAverage,1,COLUMN()))</f>
        <v>666.3</v>
      </c>
      <c r="BN457" s="530" t="n">
        <f aca="false">IF(INDEX(MO_SNA_IsHistoricalPeriod,1,COLUMN())=FALSE(),0,INDEX(MO_SPT_StockAverage,1,COLUMN()))</f>
        <v>894.351515151515</v>
      </c>
      <c r="BO457" s="531" t="n">
        <f aca="false">IF(INDEX(MO_SNA_IsHistoricalPeriod,1,COLUMN())=FALSE(),0,INDEX(MO_SPT_StockAverage,1,COLUMN()))</f>
        <v>724.614117647059</v>
      </c>
      <c r="BP457" s="532" t="n">
        <f aca="false">IF(INDEX(MO_SNA_IsHistoricalPeriod,1,COLUMN())=FALSE(),0,INDEX(MO_SPT_StockAverage,1,COLUMN()))</f>
        <v>0</v>
      </c>
      <c r="BQ457" s="532" t="n">
        <f aca="false">IF(INDEX(MO_SNA_IsHistoricalPeriod,1,COLUMN())=FALSE(),0,INDEX(MO_SPT_StockAverage,1,COLUMN()))</f>
        <v>0</v>
      </c>
      <c r="BR457" s="532" t="n">
        <f aca="false">IF(INDEX(MO_SNA_IsHistoricalPeriod,1,COLUMN())=FALSE(),0,INDEX(MO_SPT_StockAverage,1,COLUMN()))</f>
        <v>0</v>
      </c>
      <c r="BS457" s="532" t="n">
        <f aca="false">IF(INDEX(MO_SNA_IsHistoricalPeriod,1,COLUMN())=FALSE(),0,INDEX(MO_SPT_StockAverage,1,COLUMN()))</f>
        <v>0</v>
      </c>
      <c r="BT457" s="533" t="n">
        <f aca="false">IF(INDEX(MO_SNA_IsHistoricalPeriod,1,COLUMN())=FALSE(),0,INDEX(MO_SPT_StockAverage,1,COLUMN()))</f>
        <v>0</v>
      </c>
      <c r="BU457" s="532" t="n">
        <f aca="false">IF(INDEX(MO_SNA_IsHistoricalPeriod,1,COLUMN())=FALSE(),0,INDEX(MO_SPT_StockAverage,1,COLUMN()))</f>
        <v>0</v>
      </c>
      <c r="BV457" s="532" t="n">
        <f aca="false">IF(INDEX(MO_SNA_IsHistoricalPeriod,1,COLUMN())=FALSE(),0,INDEX(MO_SPT_StockAverage,1,COLUMN()))</f>
        <v>0</v>
      </c>
      <c r="BW457" s="532" t="n">
        <f aca="false">IF(INDEX(MO_SNA_IsHistoricalPeriod,1,COLUMN())=FALSE(),0,INDEX(MO_SPT_StockAverage,1,COLUMN()))</f>
        <v>0</v>
      </c>
      <c r="BX457" s="532" t="n">
        <f aca="false">IF(INDEX(MO_SNA_IsHistoricalPeriod,1,COLUMN())=FALSE(),0,INDEX(MO_SPT_StockAverage,1,COLUMN()))</f>
        <v>0</v>
      </c>
      <c r="BY457" s="533" t="n">
        <f aca="false">IF(INDEX(MO_SNA_IsHistoricalPeriod,1,COLUMN())=FALSE(),0,INDEX(MO_SPT_StockAverage,1,COLUMN()))</f>
        <v>0</v>
      </c>
      <c r="BZ457" s="533" t="n">
        <f aca="false">IF(INDEX(MO_SNA_IsHistoricalPeriod,1,COLUMN())=FALSE(),0,INDEX(MO_SPT_StockAverage,1,COLUMN()))</f>
        <v>0</v>
      </c>
      <c r="CA457" s="533" t="n">
        <f aca="false">IF(INDEX(MO_SNA_IsHistoricalPeriod,1,COLUMN())=FALSE(),0,INDEX(MO_SPT_StockAverage,1,COLUMN()))</f>
        <v>0</v>
      </c>
      <c r="CB457" s="533" t="n">
        <f aca="false">IF(INDEX(MO_SNA_IsHistoricalPeriod,1,COLUMN())=FALSE(),0,INDEX(MO_SPT_StockAverage,1,COLUMN()))</f>
        <v>0</v>
      </c>
      <c r="CC457" s="534"/>
    </row>
    <row r="458" s="46" customFormat="true" ht="15" hidden="true" customHeight="true" outlineLevel="1" collapsed="false">
      <c r="A458" s="527" t="str">
        <f aca="false">"Stock EoP, "&amp;HP.TradeCurrency</f>
        <v>Stock EoP, EUR</v>
      </c>
      <c r="B458" s="528"/>
      <c r="C458" s="529" t="n">
        <f aca="false">IF(INDEX(MO_SNA_IsHistoricalPeriod,1,COLUMN())=FALSE(),MO.LastPrice,INDEX(MO_SPT_StockEoP,1,COLUMN()))</f>
        <v>31.103896</v>
      </c>
      <c r="D458" s="529" t="n">
        <f aca="false">IF(INDEX(MO_SNA_IsHistoricalPeriod,1,COLUMN())=FALSE(),MO.LastPrice,INDEX(MO_SPT_StockEoP,1,COLUMN()))</f>
        <v>37.668831</v>
      </c>
      <c r="E458" s="529" t="n">
        <f aca="false">IF(INDEX(MO_SNA_IsHistoricalPeriod,1,COLUMN())=FALSE(),MO.LastPrice,INDEX(MO_SPT_StockEoP,1,COLUMN()))</f>
        <v>42.175325</v>
      </c>
      <c r="F458" s="529" t="n">
        <f aca="false">IF(INDEX(MO_SNA_IsHistoricalPeriod,1,COLUMN())=FALSE(),MO.LastPrice,INDEX(MO_SPT_StockEoP,1,COLUMN()))</f>
        <v>47.885</v>
      </c>
      <c r="G458" s="529" t="n">
        <f aca="false">IF(INDEX(MO_SNA_IsHistoricalPeriod,1,COLUMN())=FALSE(),MO.LastPrice,INDEX(MO_SPT_StockEoP,1,COLUMN()))</f>
        <v>67.93</v>
      </c>
      <c r="H458" s="530" t="n">
        <f aca="false">IF(INDEX(MO_SNA_IsHistoricalPeriod,1,COLUMN())=FALSE(),MO.LastPrice,INDEX(MO_SPT_StockEoP,1,COLUMN()))</f>
        <v>67.15</v>
      </c>
      <c r="I458" s="530" t="n">
        <f aca="false">IF(INDEX(MO_SNA_IsHistoricalPeriod,1,COLUMN())=FALSE(),MO.LastPrice,INDEX(MO_SPT_StockEoP,1,COLUMN()))</f>
        <v>67.62</v>
      </c>
      <c r="J458" s="530" t="n">
        <f aca="false">IF(INDEX(MO_SNA_IsHistoricalPeriod,1,COLUMN())=FALSE(),MO.LastPrice,INDEX(MO_SPT_StockEoP,1,COLUMN()))</f>
        <v>78.56</v>
      </c>
      <c r="K458" s="530" t="n">
        <f aca="false">IF(INDEX(MO_SNA_IsHistoricalPeriod,1,COLUMN())=FALSE(),MO.LastPrice,INDEX(MO_SPT_StockEoP,1,COLUMN()))</f>
        <v>88.82</v>
      </c>
      <c r="L458" s="529" t="n">
        <f aca="false">IF(INDEX(MO_SNA_IsHistoricalPeriod,1,COLUMN())=FALSE(),MO.LastPrice,INDEX(MO_SPT_StockEoP,1,COLUMN()))</f>
        <v>88.82</v>
      </c>
      <c r="M458" s="530" t="n">
        <f aca="false">IF(INDEX(MO_SNA_IsHistoricalPeriod,1,COLUMN())=FALSE(),MO.LastPrice,INDEX(MO_SPT_StockEoP,1,COLUMN()))</f>
        <v>92.37</v>
      </c>
      <c r="N458" s="530" t="n">
        <f aca="false">IF(INDEX(MO_SNA_IsHistoricalPeriod,1,COLUMN())=FALSE(),MO.LastPrice,INDEX(MO_SPT_StockEoP,1,COLUMN()))</f>
        <v>98.74</v>
      </c>
      <c r="O458" s="530" t="n">
        <f aca="false">IF(INDEX(MO_SNA_IsHistoricalPeriod,1,COLUMN())=FALSE(),MO.LastPrice,INDEX(MO_SPT_StockEoP,1,COLUMN()))</f>
        <v>77.15</v>
      </c>
      <c r="P458" s="530" t="n">
        <f aca="false">IF(INDEX(MO_SNA_IsHistoricalPeriod,1,COLUMN())=FALSE(),MO.LastPrice,INDEX(MO_SPT_StockEoP,1,COLUMN()))</f>
        <v>84.09</v>
      </c>
      <c r="Q458" s="529" t="n">
        <f aca="false">IF(INDEX(MO_SNA_IsHistoricalPeriod,1,COLUMN())=FALSE(),MO.LastPrice,INDEX(MO_SPT_StockEoP,1,COLUMN()))</f>
        <v>84.09</v>
      </c>
      <c r="R458" s="530" t="n">
        <f aca="false">IF(INDEX(MO_SNA_IsHistoricalPeriod,1,COLUMN())=FALSE(),MO.LastPrice,INDEX(MO_SPT_StockEoP,1,COLUMN()))</f>
        <v>87.91</v>
      </c>
      <c r="S458" s="530" t="n">
        <f aca="false">IF(INDEX(MO_SNA_IsHistoricalPeriod,1,COLUMN())=FALSE(),MO.LastPrice,INDEX(MO_SPT_StockEoP,1,COLUMN()))</f>
        <v>88.09</v>
      </c>
      <c r="T458" s="530" t="n">
        <f aca="false">IF(INDEX(MO_SNA_IsHistoricalPeriod,1,COLUMN())=FALSE(),MO.LastPrice,INDEX(MO_SPT_StockEoP,1,COLUMN()))</f>
        <v>97.69</v>
      </c>
      <c r="U458" s="530" t="n">
        <f aca="false">IF(INDEX(MO_SNA_IsHistoricalPeriod,1,COLUMN())=FALSE(),MO.LastPrice,INDEX(MO_SPT_StockEoP,1,COLUMN()))</f>
        <v>106.65</v>
      </c>
      <c r="V458" s="529" t="n">
        <f aca="false">IF(INDEX(MO_SNA_IsHistoricalPeriod,1,COLUMN())=FALSE(),MO.LastPrice,INDEX(MO_SPT_StockEoP,1,COLUMN()))</f>
        <v>106.65</v>
      </c>
      <c r="W458" s="530" t="n">
        <f aca="false">IF(INDEX(MO_SNA_IsHistoricalPeriod,1,COLUMN())=FALSE(),MO.LastPrice,INDEX(MO_SPT_StockEoP,1,COLUMN()))</f>
        <v>124.4</v>
      </c>
      <c r="X458" s="530" t="n">
        <f aca="false">IF(INDEX(MO_SNA_IsHistoricalPeriod,1,COLUMN())=FALSE(),MO.LastPrice,INDEX(MO_SPT_StockEoP,1,COLUMN()))</f>
        <v>114.1</v>
      </c>
      <c r="Y458" s="530" t="n">
        <f aca="false">IF(INDEX(MO_SNA_IsHistoricalPeriod,1,COLUMN())=FALSE(),MO.LastPrice,INDEX(MO_SPT_StockEoP,1,COLUMN()))</f>
        <v>144.05</v>
      </c>
      <c r="Z458" s="530" t="n">
        <f aca="false">IF(INDEX(MO_SNA_IsHistoricalPeriod,1,COLUMN())=FALSE(),MO.LastPrice,INDEX(MO_SPT_StockEoP,1,COLUMN()))</f>
        <v>145.25</v>
      </c>
      <c r="AA458" s="529" t="n">
        <f aca="false">IF(INDEX(MO_SNA_IsHistoricalPeriod,1,COLUMN())=FALSE(),MO.LastPrice,INDEX(MO_SPT_StockEoP,1,COLUMN()))</f>
        <v>145.25</v>
      </c>
      <c r="AB458" s="530" t="n">
        <f aca="false">IF(INDEX(MO_SNA_IsHistoricalPeriod,1,COLUMN())=FALSE(),MO.LastPrice,INDEX(MO_SPT_StockEoP,1,COLUMN()))</f>
        <v>160.15</v>
      </c>
      <c r="AC458" s="530" t="n">
        <f aca="false">IF(INDEX(MO_SNA_IsHistoricalPeriod,1,COLUMN())=FALSE(),MO.LastPrice,INDEX(MO_SPT_StockEoP,1,COLUMN()))</f>
        <v>169.7</v>
      </c>
      <c r="AD458" s="530" t="n">
        <f aca="false">IF(INDEX(MO_SNA_IsHistoricalPeriod,1,COLUMN())=FALSE(),MO.LastPrice,INDEX(MO_SPT_StockEoP,1,COLUMN()))</f>
        <v>160.9</v>
      </c>
      <c r="AE458" s="530" t="n">
        <f aca="false">IF(INDEX(MO_SNA_IsHistoricalPeriod,1,COLUMN())=FALSE(),MO.LastPrice,INDEX(MO_SPT_StockEoP,1,COLUMN()))</f>
        <v>136.62</v>
      </c>
      <c r="AF458" s="529" t="n">
        <f aca="false">IF(INDEX(MO_SNA_IsHistoricalPeriod,1,COLUMN())=FALSE(),MO.LastPrice,INDEX(MO_SPT_StockEoP,1,COLUMN()))</f>
        <v>136.62</v>
      </c>
      <c r="AG458" s="530" t="n">
        <f aca="false">IF(INDEX(MO_SNA_IsHistoricalPeriod,1,COLUMN())=FALSE(),MO.LastPrice,INDEX(MO_SPT_StockEoP,1,COLUMN()))</f>
        <v>167.2</v>
      </c>
      <c r="AH458" s="530" t="n">
        <f aca="false">IF(INDEX(MO_SNA_IsHistoricalPeriod,1,COLUMN())=FALSE(),MO.LastPrice,INDEX(MO_SPT_StockEoP,1,COLUMN()))</f>
        <v>183.74</v>
      </c>
      <c r="AI458" s="530" t="n">
        <f aca="false">IF(INDEX(MO_SNA_IsHistoricalPeriod,1,COLUMN())=FALSE(),MO.LastPrice,INDEX(MO_SPT_StockEoP,1,COLUMN()))</f>
        <v>225.45</v>
      </c>
      <c r="AJ458" s="530" t="n">
        <f aca="false">IF(INDEX(MO_SNA_IsHistoricalPeriod,1,COLUMN())=FALSE(),MO.LastPrice,INDEX(MO_SPT_StockEoP,1,COLUMN()))</f>
        <v>262.9</v>
      </c>
      <c r="AK458" s="529" t="n">
        <f aca="false">IF(INDEX(MO_SNA_IsHistoricalPeriod,1,COLUMN())=FALSE(),MO.LastPrice,INDEX(MO_SPT_StockEoP,1,COLUMN()))</f>
        <v>262.9</v>
      </c>
      <c r="AL458" s="530" t="n">
        <f aca="false">IF(INDEX(MO_SNA_IsHistoricalPeriod,1,COLUMN())=FALSE(),MO.LastPrice,INDEX(MO_SPT_StockEoP,1,COLUMN()))</f>
        <v>229.5</v>
      </c>
      <c r="AM458" s="530" t="n">
        <f aca="false">IF(INDEX(MO_SNA_IsHistoricalPeriod,1,COLUMN())=FALSE(),MO.LastPrice,INDEX(MO_SPT_StockEoP,1,COLUMN()))</f>
        <v>324</v>
      </c>
      <c r="AN458" s="530" t="n">
        <f aca="false">IF(INDEX(MO_SNA_IsHistoricalPeriod,1,COLUMN())=FALSE(),MO.LastPrice,INDEX(MO_SPT_StockEoP,1,COLUMN()))</f>
        <v>307.2</v>
      </c>
      <c r="AO458" s="530" t="n">
        <f aca="false">IF(INDEX(MO_SNA_IsHistoricalPeriod,1,COLUMN())=FALSE(),MO.LastPrice,INDEX(MO_SPT_StockEoP,1,COLUMN()))</f>
        <v>398.5</v>
      </c>
      <c r="AP458" s="529" t="n">
        <f aca="false">IF(INDEX(MO_SNA_IsHistoricalPeriod,1,COLUMN())=FALSE(),MO.LastPrice,INDEX(MO_SPT_StockEoP,1,COLUMN()))</f>
        <v>398.5</v>
      </c>
      <c r="AQ458" s="530" t="n">
        <f aca="false">IF(INDEX(MO_SNA_IsHistoricalPeriod,1,COLUMN())=FALSE(),MO.LastPrice,INDEX(MO_SPT_StockEoP,1,COLUMN()))</f>
        <v>529.3</v>
      </c>
      <c r="AR458" s="530" t="n">
        <f aca="false">IF(INDEX(MO_SNA_IsHistoricalPeriod,1,COLUMN())=FALSE(),MO.LastPrice,INDEX(MO_SPT_StockEoP,1,COLUMN()))</f>
        <v>579</v>
      </c>
      <c r="AS458" s="530" t="n">
        <f aca="false">IF(INDEX(MO_SNA_IsHistoricalPeriod,1,COLUMN())=FALSE(),MO.LastPrice,INDEX(MO_SPT_StockEoP,1,COLUMN()))</f>
        <v>632.5</v>
      </c>
      <c r="AT458" s="530" t="n">
        <f aca="false">IF(INDEX(MO_SNA_IsHistoricalPeriod,1,COLUMN())=FALSE(),MO.LastPrice,INDEX(MO_SPT_StockEoP,1,COLUMN()))</f>
        <v>710.4</v>
      </c>
      <c r="AU458" s="529" t="n">
        <f aca="false">IF(INDEX(MO_SNA_IsHistoricalPeriod,1,COLUMN())=FALSE(),MO.LastPrice,INDEX(MO_SPT_StockEoP,1,COLUMN()))</f>
        <v>710.4</v>
      </c>
      <c r="AV458" s="530" t="n">
        <f aca="false">IF(INDEX(MO_SNA_IsHistoricalPeriod,1,COLUMN())=FALSE(),MO.LastPrice,INDEX(MO_SPT_StockEoP,1,COLUMN()))</f>
        <v>606.7</v>
      </c>
      <c r="AW458" s="530" t="n">
        <f aca="false">IF(INDEX(MO_SNA_IsHistoricalPeriod,1,COLUMN())=FALSE(),MO.LastPrice,INDEX(MO_SPT_StockEoP,1,COLUMN()))</f>
        <v>431.25</v>
      </c>
      <c r="AX458" s="530" t="n">
        <f aca="false">IF(INDEX(MO_SNA_IsHistoricalPeriod,1,COLUMN())=FALSE(),MO.LastPrice,INDEX(MO_SPT_StockEoP,1,COLUMN()))</f>
        <v>433.6</v>
      </c>
      <c r="AY458" s="530" t="n">
        <f aca="false">IF(INDEX(MO_SNA_IsHistoricalPeriod,1,COLUMN())=FALSE(),MO.LastPrice,INDEX(MO_SPT_StockEoP,1,COLUMN()))</f>
        <v>503.8</v>
      </c>
      <c r="AZ458" s="529" t="n">
        <f aca="false">IF(INDEX(MO_SNA_IsHistoricalPeriod,1,COLUMN())=FALSE(),MO.LastPrice,INDEX(MO_SPT_StockEoP,1,COLUMN()))</f>
        <v>503.8</v>
      </c>
      <c r="BA458" s="530" t="n">
        <f aca="false">IF(INDEX(MO_SNA_IsHistoricalPeriod,1,COLUMN())=FALSE(),MO.LastPrice,INDEX(MO_SPT_StockEoP,1,COLUMN()))</f>
        <v>625.2</v>
      </c>
      <c r="BB458" s="530" t="n">
        <f aca="false">IF(INDEX(MO_SNA_IsHistoricalPeriod,1,COLUMN())=FALSE(),MO.LastPrice,INDEX(MO_SPT_StockEoP,1,COLUMN()))</f>
        <v>663</v>
      </c>
      <c r="BC458" s="530" t="n">
        <f aca="false">IF(INDEX(MO_SNA_IsHistoricalPeriod,1,COLUMN())=FALSE(),MO.LastPrice,INDEX(MO_SPT_StockEoP,1,COLUMN()))</f>
        <v>559.1</v>
      </c>
      <c r="BD458" s="530" t="n">
        <f aca="false">IF(INDEX(MO_SNA_IsHistoricalPeriod,1,COLUMN())=FALSE(),MO.LastPrice,INDEX(MO_SPT_StockEoP,1,COLUMN()))</f>
        <v>681.7</v>
      </c>
      <c r="BE458" s="529" t="n">
        <f aca="false">IF(INDEX(MO_SNA_IsHistoricalPeriod,1,COLUMN())=FALSE(),MO.LastPrice,INDEX(MO_SPT_StockEoP,1,COLUMN()))</f>
        <v>681.7</v>
      </c>
      <c r="BF458" s="530" t="n">
        <f aca="false">IF(INDEX(MO_SNA_IsHistoricalPeriod,1,COLUMN())=FALSE(),MO.LastPrice,INDEX(MO_SPT_StockEoP,1,COLUMN()))</f>
        <v>892.2</v>
      </c>
      <c r="BG458" s="530" t="n">
        <f aca="false">IF(INDEX(MO_SNA_IsHistoricalPeriod,1,COLUMN())=FALSE(),MO.LastPrice,INDEX(MO_SPT_StockEoP,1,COLUMN()))</f>
        <v>964.2</v>
      </c>
      <c r="BH458" s="530" t="n">
        <f aca="false">IF(INDEX(MO_SNA_IsHistoricalPeriod,1,COLUMN())=FALSE(),MO.LastPrice,INDEX(MO_SPT_StockEoP,1,COLUMN()))</f>
        <v>757.3</v>
      </c>
      <c r="BI458" s="530" t="n">
        <f aca="false">IF(INDEX(MO_SNA_IsHistoricalPeriod,1,COLUMN())=FALSE(),MO.LastPrice,INDEX(MO_SPT_StockEoP,1,COLUMN()))</f>
        <v>671.9</v>
      </c>
      <c r="BJ458" s="529" t="n">
        <f aca="false">IF(INDEX(MO_SNA_IsHistoricalPeriod,1,COLUMN())=FALSE(),MO.LastPrice,INDEX(MO_SPT_StockEoP,1,COLUMN()))</f>
        <v>671.9</v>
      </c>
      <c r="BK458" s="530" t="n">
        <f aca="false">IF(INDEX(MO_SNA_IsHistoricalPeriod,1,COLUMN())=FALSE(),MO.LastPrice,INDEX(MO_SPT_StockEoP,1,COLUMN()))</f>
        <v>625.6</v>
      </c>
      <c r="BL458" s="530" t="n">
        <f aca="false">IF(INDEX(MO_SNA_IsHistoricalPeriod,1,COLUMN())=FALSE(),MO.LastPrice,INDEX(MO_SPT_StockEoP,1,COLUMN()))</f>
        <v>682.5</v>
      </c>
      <c r="BM458" s="530" t="n">
        <f aca="false">IF(INDEX(MO_SNA_IsHistoricalPeriod,1,COLUMN())=FALSE(),MO.LastPrice,INDEX(MO_SPT_StockEoP,1,COLUMN()))</f>
        <v>812.8</v>
      </c>
      <c r="BN458" s="530" t="n">
        <f aca="false">IF(INDEX(MO_SNA_IsHistoricalPeriod,1,COLUMN())=FALSE(),MO.LastPrice,INDEX(MO_SPT_StockEoP,1,COLUMN()))</f>
        <v>918.4</v>
      </c>
      <c r="BO458" s="531" t="n">
        <f aca="false">IF(INDEX(MO_SNA_IsHistoricalPeriod,1,COLUMN())=FALSE(),MO.LastPrice,INDEX(MO_SPT_StockEoP,1,COLUMN()))</f>
        <v>918.4</v>
      </c>
      <c r="BP458" s="532" t="n">
        <f aca="false">IF(INDEX(MO_SNA_IsHistoricalPeriod,1,COLUMN())=FALSE(),MO.LastPrice,INDEX(MO_SPT_StockEoP,1,COLUMN()))</f>
        <v>1217.6</v>
      </c>
      <c r="BQ458" s="532" t="n">
        <f aca="false">IF(INDEX(MO_SNA_IsHistoricalPeriod,1,COLUMN())=FALSE(),MO.LastPrice,INDEX(MO_SPT_StockEoP,1,COLUMN()))</f>
        <v>1217.6</v>
      </c>
      <c r="BR458" s="532" t="n">
        <f aca="false">IF(INDEX(MO_SNA_IsHistoricalPeriod,1,COLUMN())=FALSE(),MO.LastPrice,INDEX(MO_SPT_StockEoP,1,COLUMN()))</f>
        <v>1217.6</v>
      </c>
      <c r="BS458" s="532" t="n">
        <f aca="false">IF(INDEX(MO_SNA_IsHistoricalPeriod,1,COLUMN())=FALSE(),MO.LastPrice,INDEX(MO_SPT_StockEoP,1,COLUMN()))</f>
        <v>1217.6</v>
      </c>
      <c r="BT458" s="533" t="n">
        <f aca="false">IF(INDEX(MO_SNA_IsHistoricalPeriod,1,COLUMN())=FALSE(),MO.LastPrice,INDEX(MO_SPT_StockEoP,1,COLUMN()))</f>
        <v>1217.6</v>
      </c>
      <c r="BU458" s="532" t="n">
        <f aca="false">IF(INDEX(MO_SNA_IsHistoricalPeriod,1,COLUMN())=FALSE(),MO.LastPrice,INDEX(MO_SPT_StockEoP,1,COLUMN()))</f>
        <v>1217.6</v>
      </c>
      <c r="BV458" s="532" t="n">
        <f aca="false">IF(INDEX(MO_SNA_IsHistoricalPeriod,1,COLUMN())=FALSE(),MO.LastPrice,INDEX(MO_SPT_StockEoP,1,COLUMN()))</f>
        <v>1217.6</v>
      </c>
      <c r="BW458" s="532" t="n">
        <f aca="false">IF(INDEX(MO_SNA_IsHistoricalPeriod,1,COLUMN())=FALSE(),MO.LastPrice,INDEX(MO_SPT_StockEoP,1,COLUMN()))</f>
        <v>1217.6</v>
      </c>
      <c r="BX458" s="532" t="n">
        <f aca="false">IF(INDEX(MO_SNA_IsHistoricalPeriod,1,COLUMN())=FALSE(),MO.LastPrice,INDEX(MO_SPT_StockEoP,1,COLUMN()))</f>
        <v>1217.6</v>
      </c>
      <c r="BY458" s="533" t="n">
        <f aca="false">IF(INDEX(MO_SNA_IsHistoricalPeriod,1,COLUMN())=FALSE(),MO.LastPrice,INDEX(MO_SPT_StockEoP,1,COLUMN()))</f>
        <v>1217.6</v>
      </c>
      <c r="BZ458" s="533" t="n">
        <f aca="false">IF(INDEX(MO_SNA_IsHistoricalPeriod,1,COLUMN())=FALSE(),MO.LastPrice,INDEX(MO_SPT_StockEoP,1,COLUMN()))</f>
        <v>1217.6</v>
      </c>
      <c r="CA458" s="533" t="n">
        <f aca="false">IF(INDEX(MO_SNA_IsHistoricalPeriod,1,COLUMN())=FALSE(),MO.LastPrice,INDEX(MO_SPT_StockEoP,1,COLUMN()))</f>
        <v>1217.6</v>
      </c>
      <c r="CB458" s="533" t="n">
        <f aca="false">IF(INDEX(MO_SNA_IsHistoricalPeriod,1,COLUMN())=FALSE(),MO.LastPrice,INDEX(MO_SPT_StockEoP,1,COLUMN()))</f>
        <v>1217.6</v>
      </c>
      <c r="CC458" s="534"/>
    </row>
    <row r="459" s="543" customFormat="true" ht="15" hidden="true" customHeight="true" outlineLevel="1" collapsed="false">
      <c r="A459" s="535" t="str">
        <f aca="false">"Average FX Rate, "&amp;HP.TradeCurrency&amp;"/"&amp;MO.ReportCurrency</f>
        <v>Average FX Rate, EUR/EUR</v>
      </c>
      <c r="B459" s="536"/>
      <c r="C459" s="537" t="n">
        <f aca="false">IF(INDEX(MO_SPT_FXAverage,1,COLUMN())=0,1,INDEX(MO_SPT_FXAverage,1,COLUMN()))</f>
        <v>1</v>
      </c>
      <c r="D459" s="537" t="n">
        <f aca="false">IF(INDEX(MO_SPT_FXAverage,1,COLUMN())=0,1,INDEX(MO_SPT_FXAverage,1,COLUMN()))</f>
        <v>1</v>
      </c>
      <c r="E459" s="537" t="n">
        <f aca="false">IF(INDEX(MO_SPT_FXAverage,1,COLUMN())=0,1,INDEX(MO_SPT_FXAverage,1,COLUMN()))</f>
        <v>1</v>
      </c>
      <c r="F459" s="537" t="n">
        <f aca="false">IF(INDEX(MO_SPT_FXAverage,1,COLUMN())=0,1,INDEX(MO_SPT_FXAverage,1,COLUMN()))</f>
        <v>1</v>
      </c>
      <c r="G459" s="537" t="n">
        <f aca="false">IF(INDEX(MO_SPT_FXAverage,1,COLUMN())=0,1,INDEX(MO_SPT_FXAverage,1,COLUMN()))</f>
        <v>1</v>
      </c>
      <c r="H459" s="538" t="n">
        <f aca="false">IF(INDEX(MO_SPT_FXAverage,1,COLUMN())=0,1,INDEX(MO_SPT_FXAverage,1,COLUMN()))</f>
        <v>1</v>
      </c>
      <c r="I459" s="538" t="n">
        <f aca="false">IF(INDEX(MO_SPT_FXAverage,1,COLUMN())=0,1,INDEX(MO_SPT_FXAverage,1,COLUMN()))</f>
        <v>1</v>
      </c>
      <c r="J459" s="538" t="n">
        <f aca="false">IF(INDEX(MO_SPT_FXAverage,1,COLUMN())=0,1,INDEX(MO_SPT_FXAverage,1,COLUMN()))</f>
        <v>1</v>
      </c>
      <c r="K459" s="538" t="n">
        <f aca="false">IF(INDEX(MO_SPT_FXAverage,1,COLUMN())=0,1,INDEX(MO_SPT_FXAverage,1,COLUMN()))</f>
        <v>1</v>
      </c>
      <c r="L459" s="537" t="n">
        <f aca="false">IF(INDEX(MO_SPT_FXAverage,1,COLUMN())=0,1,INDEX(MO_SPT_FXAverage,1,COLUMN()))</f>
        <v>1</v>
      </c>
      <c r="M459" s="538" t="n">
        <f aca="false">IF(INDEX(MO_SPT_FXAverage,1,COLUMN())=0,1,INDEX(MO_SPT_FXAverage,1,COLUMN()))</f>
        <v>1</v>
      </c>
      <c r="N459" s="538" t="n">
        <f aca="false">IF(INDEX(MO_SPT_FXAverage,1,COLUMN())=0,1,INDEX(MO_SPT_FXAverage,1,COLUMN()))</f>
        <v>1</v>
      </c>
      <c r="O459" s="538" t="n">
        <f aca="false">IF(INDEX(MO_SPT_FXAverage,1,COLUMN())=0,1,INDEX(MO_SPT_FXAverage,1,COLUMN()))</f>
        <v>1</v>
      </c>
      <c r="P459" s="538" t="n">
        <f aca="false">IF(INDEX(MO_SPT_FXAverage,1,COLUMN())=0,1,INDEX(MO_SPT_FXAverage,1,COLUMN()))</f>
        <v>1</v>
      </c>
      <c r="Q459" s="537" t="n">
        <f aca="false">IF(INDEX(MO_SPT_FXAverage,1,COLUMN())=0,1,INDEX(MO_SPT_FXAverage,1,COLUMN()))</f>
        <v>1</v>
      </c>
      <c r="R459" s="538" t="n">
        <f aca="false">IF(INDEX(MO_SPT_FXAverage,1,COLUMN())=0,1,INDEX(MO_SPT_FXAverage,1,COLUMN()))</f>
        <v>1</v>
      </c>
      <c r="S459" s="538" t="n">
        <f aca="false">IF(INDEX(MO_SPT_FXAverage,1,COLUMN())=0,1,INDEX(MO_SPT_FXAverage,1,COLUMN()))</f>
        <v>1</v>
      </c>
      <c r="T459" s="538" t="n">
        <f aca="false">IF(INDEX(MO_SPT_FXAverage,1,COLUMN())=0,1,INDEX(MO_SPT_FXAverage,1,COLUMN()))</f>
        <v>1</v>
      </c>
      <c r="U459" s="538" t="n">
        <f aca="false">IF(INDEX(MO_SPT_FXAverage,1,COLUMN())=0,1,INDEX(MO_SPT_FXAverage,1,COLUMN()))</f>
        <v>1</v>
      </c>
      <c r="V459" s="537" t="n">
        <f aca="false">IF(INDEX(MO_SPT_FXAverage,1,COLUMN())=0,1,INDEX(MO_SPT_FXAverage,1,COLUMN()))</f>
        <v>1</v>
      </c>
      <c r="W459" s="538" t="n">
        <f aca="false">IF(INDEX(MO_SPT_FXAverage,1,COLUMN())=0,1,INDEX(MO_SPT_FXAverage,1,COLUMN()))</f>
        <v>1</v>
      </c>
      <c r="X459" s="538" t="n">
        <f aca="false">IF(INDEX(MO_SPT_FXAverage,1,COLUMN())=0,1,INDEX(MO_SPT_FXAverage,1,COLUMN()))</f>
        <v>1</v>
      </c>
      <c r="Y459" s="538" t="n">
        <f aca="false">IF(INDEX(MO_SPT_FXAverage,1,COLUMN())=0,1,INDEX(MO_SPT_FXAverage,1,COLUMN()))</f>
        <v>1</v>
      </c>
      <c r="Z459" s="538" t="n">
        <f aca="false">IF(INDEX(MO_SPT_FXAverage,1,COLUMN())=0,1,INDEX(MO_SPT_FXAverage,1,COLUMN()))</f>
        <v>1</v>
      </c>
      <c r="AA459" s="537" t="n">
        <f aca="false">IF(INDEX(MO_SPT_FXAverage,1,COLUMN())=0,1,INDEX(MO_SPT_FXAverage,1,COLUMN()))</f>
        <v>1</v>
      </c>
      <c r="AB459" s="538" t="n">
        <f aca="false">IF(INDEX(MO_SPT_FXAverage,1,COLUMN())=0,1,INDEX(MO_SPT_FXAverage,1,COLUMN()))</f>
        <v>1</v>
      </c>
      <c r="AC459" s="538" t="n">
        <f aca="false">IF(INDEX(MO_SPT_FXAverage,1,COLUMN())=0,1,INDEX(MO_SPT_FXAverage,1,COLUMN()))</f>
        <v>1</v>
      </c>
      <c r="AD459" s="538" t="n">
        <f aca="false">IF(INDEX(MO_SPT_FXAverage,1,COLUMN())=0,1,INDEX(MO_SPT_FXAverage,1,COLUMN()))</f>
        <v>1</v>
      </c>
      <c r="AE459" s="538" t="n">
        <f aca="false">IF(INDEX(MO_SPT_FXAverage,1,COLUMN())=0,1,INDEX(MO_SPT_FXAverage,1,COLUMN()))</f>
        <v>1</v>
      </c>
      <c r="AF459" s="537" t="n">
        <f aca="false">IF(INDEX(MO_SPT_FXAverage,1,COLUMN())=0,1,INDEX(MO_SPT_FXAverage,1,COLUMN()))</f>
        <v>1</v>
      </c>
      <c r="AG459" s="538" t="n">
        <f aca="false">IF(INDEX(MO_SPT_FXAverage,1,COLUMN())=0,1,INDEX(MO_SPT_FXAverage,1,COLUMN()))</f>
        <v>1</v>
      </c>
      <c r="AH459" s="538" t="n">
        <f aca="false">IF(INDEX(MO_SPT_FXAverage,1,COLUMN())=0,1,INDEX(MO_SPT_FXAverage,1,COLUMN()))</f>
        <v>1</v>
      </c>
      <c r="AI459" s="538" t="n">
        <f aca="false">IF(INDEX(MO_SPT_FXAverage,1,COLUMN())=0,1,INDEX(MO_SPT_FXAverage,1,COLUMN()))</f>
        <v>1</v>
      </c>
      <c r="AJ459" s="538" t="n">
        <f aca="false">IF(INDEX(MO_SPT_FXAverage,1,COLUMN())=0,1,INDEX(MO_SPT_FXAverage,1,COLUMN()))</f>
        <v>1</v>
      </c>
      <c r="AK459" s="537" t="n">
        <f aca="false">IF(INDEX(MO_SPT_FXAverage,1,COLUMN())=0,1,INDEX(MO_SPT_FXAverage,1,COLUMN()))</f>
        <v>1</v>
      </c>
      <c r="AL459" s="538" t="n">
        <f aca="false">IF(INDEX(MO_SPT_FXAverage,1,COLUMN())=0,1,INDEX(MO_SPT_FXAverage,1,COLUMN()))</f>
        <v>1</v>
      </c>
      <c r="AM459" s="538" t="n">
        <f aca="false">IF(INDEX(MO_SPT_FXAverage,1,COLUMN())=0,1,INDEX(MO_SPT_FXAverage,1,COLUMN()))</f>
        <v>1</v>
      </c>
      <c r="AN459" s="538" t="n">
        <f aca="false">IF(INDEX(MO_SPT_FXAverage,1,COLUMN())=0,1,INDEX(MO_SPT_FXAverage,1,COLUMN()))</f>
        <v>1</v>
      </c>
      <c r="AO459" s="538" t="n">
        <f aca="false">IF(INDEX(MO_SPT_FXAverage,1,COLUMN())=0,1,INDEX(MO_SPT_FXAverage,1,COLUMN()))</f>
        <v>1</v>
      </c>
      <c r="AP459" s="537" t="n">
        <f aca="false">IF(INDEX(MO_SPT_FXAverage,1,COLUMN())=0,1,INDEX(MO_SPT_FXAverage,1,COLUMN()))</f>
        <v>1</v>
      </c>
      <c r="AQ459" s="538" t="n">
        <f aca="false">IF(INDEX(MO_SPT_FXAverage,1,COLUMN())=0,1,INDEX(MO_SPT_FXAverage,1,COLUMN()))</f>
        <v>1</v>
      </c>
      <c r="AR459" s="538" t="n">
        <f aca="false">IF(INDEX(MO_SPT_FXAverage,1,COLUMN())=0,1,INDEX(MO_SPT_FXAverage,1,COLUMN()))</f>
        <v>1</v>
      </c>
      <c r="AS459" s="538" t="n">
        <f aca="false">IF(INDEX(MO_SPT_FXAverage,1,COLUMN())=0,1,INDEX(MO_SPT_FXAverage,1,COLUMN()))</f>
        <v>1</v>
      </c>
      <c r="AT459" s="538" t="n">
        <f aca="false">IF(INDEX(MO_SPT_FXAverage,1,COLUMN())=0,1,INDEX(MO_SPT_FXAverage,1,COLUMN()))</f>
        <v>1</v>
      </c>
      <c r="AU459" s="537" t="n">
        <f aca="false">IF(INDEX(MO_SPT_FXAverage,1,COLUMN())=0,1,INDEX(MO_SPT_FXAverage,1,COLUMN()))</f>
        <v>1</v>
      </c>
      <c r="AV459" s="538" t="n">
        <f aca="false">IF(INDEX(MO_SPT_FXAverage,1,COLUMN())=0,1,INDEX(MO_SPT_FXAverage,1,COLUMN()))</f>
        <v>1</v>
      </c>
      <c r="AW459" s="538" t="n">
        <f aca="false">IF(INDEX(MO_SPT_FXAverage,1,COLUMN())=0,1,INDEX(MO_SPT_FXAverage,1,COLUMN()))</f>
        <v>1</v>
      </c>
      <c r="AX459" s="538" t="n">
        <f aca="false">IF(INDEX(MO_SPT_FXAverage,1,COLUMN())=0,1,INDEX(MO_SPT_FXAverage,1,COLUMN()))</f>
        <v>1</v>
      </c>
      <c r="AY459" s="538" t="n">
        <f aca="false">IF(INDEX(MO_SPT_FXAverage,1,COLUMN())=0,1,INDEX(MO_SPT_FXAverage,1,COLUMN()))</f>
        <v>1</v>
      </c>
      <c r="AZ459" s="537" t="n">
        <f aca="false">IF(INDEX(MO_SPT_FXAverage,1,COLUMN())=0,1,INDEX(MO_SPT_FXAverage,1,COLUMN()))</f>
        <v>1</v>
      </c>
      <c r="BA459" s="538" t="n">
        <f aca="false">IF(INDEX(MO_SPT_FXAverage,1,COLUMN())=0,1,INDEX(MO_SPT_FXAverage,1,COLUMN()))</f>
        <v>1</v>
      </c>
      <c r="BB459" s="538" t="n">
        <f aca="false">IF(INDEX(MO_SPT_FXAverage,1,COLUMN())=0,1,INDEX(MO_SPT_FXAverage,1,COLUMN()))</f>
        <v>1</v>
      </c>
      <c r="BC459" s="538" t="n">
        <f aca="false">IF(INDEX(MO_SPT_FXAverage,1,COLUMN())=0,1,INDEX(MO_SPT_FXAverage,1,COLUMN()))</f>
        <v>1</v>
      </c>
      <c r="BD459" s="538" t="n">
        <f aca="false">IF(INDEX(MO_SPT_FXAverage,1,COLUMN())=0,1,INDEX(MO_SPT_FXAverage,1,COLUMN()))</f>
        <v>1</v>
      </c>
      <c r="BE459" s="537" t="n">
        <f aca="false">IF(INDEX(MO_SPT_FXAverage,1,COLUMN())=0,1,INDEX(MO_SPT_FXAverage,1,COLUMN()))</f>
        <v>1</v>
      </c>
      <c r="BF459" s="538" t="n">
        <f aca="false">IF(INDEX(MO_SPT_FXAverage,1,COLUMN())=0,1,INDEX(MO_SPT_FXAverage,1,COLUMN()))</f>
        <v>1</v>
      </c>
      <c r="BG459" s="538" t="n">
        <f aca="false">IF(INDEX(MO_SPT_FXAverage,1,COLUMN())=0,1,INDEX(MO_SPT_FXAverage,1,COLUMN()))</f>
        <v>1</v>
      </c>
      <c r="BH459" s="538" t="n">
        <f aca="false">IF(INDEX(MO_SPT_FXAverage,1,COLUMN())=0,1,INDEX(MO_SPT_FXAverage,1,COLUMN()))</f>
        <v>1</v>
      </c>
      <c r="BI459" s="538" t="n">
        <f aca="false">IF(INDEX(MO_SPT_FXAverage,1,COLUMN())=0,1,INDEX(MO_SPT_FXAverage,1,COLUMN()))</f>
        <v>1</v>
      </c>
      <c r="BJ459" s="537" t="n">
        <f aca="false">IF(INDEX(MO_SPT_FXAverage,1,COLUMN())=0,1,INDEX(MO_SPT_FXAverage,1,COLUMN()))</f>
        <v>1</v>
      </c>
      <c r="BK459" s="538" t="n">
        <f aca="false">IF(INDEX(MO_SPT_FXAverage,1,COLUMN())=0,1,INDEX(MO_SPT_FXAverage,1,COLUMN()))</f>
        <v>1</v>
      </c>
      <c r="BL459" s="538" t="n">
        <f aca="false">IF(INDEX(MO_SPT_FXAverage,1,COLUMN())=0,1,INDEX(MO_SPT_FXAverage,1,COLUMN()))</f>
        <v>1</v>
      </c>
      <c r="BM459" s="538" t="n">
        <f aca="false">IF(INDEX(MO_SPT_FXAverage,1,COLUMN())=0,1,INDEX(MO_SPT_FXAverage,1,COLUMN()))</f>
        <v>1</v>
      </c>
      <c r="BN459" s="538" t="n">
        <f aca="false">IF(INDEX(MO_SPT_FXAverage,1,COLUMN())=0,1,INDEX(MO_SPT_FXAverage,1,COLUMN()))</f>
        <v>1</v>
      </c>
      <c r="BO459" s="539" t="n">
        <f aca="false">IF(INDEX(MO_SPT_FXAverage,1,COLUMN())=0,1,INDEX(MO_SPT_FXAverage,1,COLUMN()))</f>
        <v>1</v>
      </c>
      <c r="BP459" s="540" t="n">
        <f aca="false">IF(INDEX(MO_SPT_FXAverage,1,COLUMN())=0,1,INDEX(MO_SPT_FXAverage,1,COLUMN()))</f>
        <v>1</v>
      </c>
      <c r="BQ459" s="540" t="n">
        <f aca="false">IF(INDEX(MO_SPT_FXAverage,1,COLUMN())=0,1,INDEX(MO_SPT_FXAverage,1,COLUMN()))</f>
        <v>1</v>
      </c>
      <c r="BR459" s="540" t="n">
        <f aca="false">IF(INDEX(MO_SPT_FXAverage,1,COLUMN())=0,1,INDEX(MO_SPT_FXAverage,1,COLUMN()))</f>
        <v>1</v>
      </c>
      <c r="BS459" s="540" t="n">
        <f aca="false">IF(INDEX(MO_SPT_FXAverage,1,COLUMN())=0,1,INDEX(MO_SPT_FXAverage,1,COLUMN()))</f>
        <v>1</v>
      </c>
      <c r="BT459" s="541" t="n">
        <f aca="false">IF(INDEX(MO_SPT_FXAverage,1,COLUMN())=0,1,INDEX(MO_SPT_FXAverage,1,COLUMN()))</f>
        <v>1</v>
      </c>
      <c r="BU459" s="540" t="n">
        <f aca="false">IF(INDEX(MO_SPT_FXAverage,1,COLUMN())=0,1,INDEX(MO_SPT_FXAverage,1,COLUMN()))</f>
        <v>1</v>
      </c>
      <c r="BV459" s="540" t="n">
        <f aca="false">IF(INDEX(MO_SPT_FXAverage,1,COLUMN())=0,1,INDEX(MO_SPT_FXAverage,1,COLUMN()))</f>
        <v>1</v>
      </c>
      <c r="BW459" s="540" t="n">
        <f aca="false">IF(INDEX(MO_SPT_FXAverage,1,COLUMN())=0,1,INDEX(MO_SPT_FXAverage,1,COLUMN()))</f>
        <v>1</v>
      </c>
      <c r="BX459" s="540" t="n">
        <f aca="false">IF(INDEX(MO_SPT_FXAverage,1,COLUMN())=0,1,INDEX(MO_SPT_FXAverage,1,COLUMN()))</f>
        <v>1</v>
      </c>
      <c r="BY459" s="541" t="n">
        <f aca="false">IF(INDEX(MO_SPT_FXAverage,1,COLUMN())=0,1,INDEX(MO_SPT_FXAverage,1,COLUMN()))</f>
        <v>1</v>
      </c>
      <c r="BZ459" s="541" t="n">
        <f aca="false">IF(INDEX(MO_SPT_FXAverage,1,COLUMN())=0,1,INDEX(MO_SPT_FXAverage,1,COLUMN()))</f>
        <v>1</v>
      </c>
      <c r="CA459" s="541" t="n">
        <f aca="false">IF(INDEX(MO_SPT_FXAverage,1,COLUMN())=0,1,INDEX(MO_SPT_FXAverage,1,COLUMN()))</f>
        <v>1</v>
      </c>
      <c r="CB459" s="541" t="n">
        <f aca="false">IF(INDEX(MO_SPT_FXAverage,1,COLUMN())=0,1,INDEX(MO_SPT_FXAverage,1,COLUMN()))</f>
        <v>1</v>
      </c>
      <c r="CC459" s="542"/>
    </row>
    <row r="460" s="543" customFormat="true" ht="15" hidden="true" customHeight="true" outlineLevel="1" collapsed="false">
      <c r="A460" s="535" t="str">
        <f aca="false">"EoP FX Rate, "&amp;HP.TradeCurrency&amp;"/"&amp;MO.ReportCurrency</f>
        <v>EoP FX Rate, EUR/EUR</v>
      </c>
      <c r="B460" s="536"/>
      <c r="C460" s="537" t="n">
        <f aca="false">IF(INDEX(MO_SNA_IsHistoricalPeriod,1,COLUMN())=FALSE(),HP.MRFX,INDEX(MO_SPT_FXEoP,1,COLUMN()))</f>
        <v>1</v>
      </c>
      <c r="D460" s="537" t="n">
        <f aca="false">IF(INDEX(MO_SNA_IsHistoricalPeriod,1,COLUMN())=FALSE(),HP.MRFX,INDEX(MO_SPT_FXEoP,1,COLUMN()))</f>
        <v>1</v>
      </c>
      <c r="E460" s="537" t="n">
        <f aca="false">IF(INDEX(MO_SNA_IsHistoricalPeriod,1,COLUMN())=FALSE(),HP.MRFX,INDEX(MO_SPT_FXEoP,1,COLUMN()))</f>
        <v>1</v>
      </c>
      <c r="F460" s="537" t="n">
        <f aca="false">IF(INDEX(MO_SNA_IsHistoricalPeriod,1,COLUMN())=FALSE(),HP.MRFX,INDEX(MO_SPT_FXEoP,1,COLUMN()))</f>
        <v>1</v>
      </c>
      <c r="G460" s="537" t="n">
        <f aca="false">IF(INDEX(MO_SNA_IsHistoricalPeriod,1,COLUMN())=FALSE(),HP.MRFX,INDEX(MO_SPT_FXEoP,1,COLUMN()))</f>
        <v>1</v>
      </c>
      <c r="H460" s="538" t="n">
        <f aca="false">IF(INDEX(MO_SNA_IsHistoricalPeriod,1,COLUMN())=FALSE(),HP.MRFX,INDEX(MO_SPT_FXEoP,1,COLUMN()))</f>
        <v>1</v>
      </c>
      <c r="I460" s="538" t="n">
        <f aca="false">IF(INDEX(MO_SNA_IsHistoricalPeriod,1,COLUMN())=FALSE(),HP.MRFX,INDEX(MO_SPT_FXEoP,1,COLUMN()))</f>
        <v>1</v>
      </c>
      <c r="J460" s="538" t="n">
        <f aca="false">IF(INDEX(MO_SNA_IsHistoricalPeriod,1,COLUMN())=FALSE(),HP.MRFX,INDEX(MO_SPT_FXEoP,1,COLUMN()))</f>
        <v>1</v>
      </c>
      <c r="K460" s="538" t="n">
        <f aca="false">IF(INDEX(MO_SNA_IsHistoricalPeriod,1,COLUMN())=FALSE(),HP.MRFX,INDEX(MO_SPT_FXEoP,1,COLUMN()))</f>
        <v>1</v>
      </c>
      <c r="L460" s="537" t="n">
        <f aca="false">IF(INDEX(MO_SNA_IsHistoricalPeriod,1,COLUMN())=FALSE(),HP.MRFX,INDEX(MO_SPT_FXEoP,1,COLUMN()))</f>
        <v>1</v>
      </c>
      <c r="M460" s="538" t="n">
        <f aca="false">IF(INDEX(MO_SNA_IsHistoricalPeriod,1,COLUMN())=FALSE(),HP.MRFX,INDEX(MO_SPT_FXEoP,1,COLUMN()))</f>
        <v>1</v>
      </c>
      <c r="N460" s="538" t="n">
        <f aca="false">IF(INDEX(MO_SNA_IsHistoricalPeriod,1,COLUMN())=FALSE(),HP.MRFX,INDEX(MO_SPT_FXEoP,1,COLUMN()))</f>
        <v>1</v>
      </c>
      <c r="O460" s="538" t="n">
        <f aca="false">IF(INDEX(MO_SNA_IsHistoricalPeriod,1,COLUMN())=FALSE(),HP.MRFX,INDEX(MO_SPT_FXEoP,1,COLUMN()))</f>
        <v>1</v>
      </c>
      <c r="P460" s="538" t="n">
        <f aca="false">IF(INDEX(MO_SNA_IsHistoricalPeriod,1,COLUMN())=FALSE(),HP.MRFX,INDEX(MO_SPT_FXEoP,1,COLUMN()))</f>
        <v>1</v>
      </c>
      <c r="Q460" s="537" t="n">
        <f aca="false">IF(INDEX(MO_SNA_IsHistoricalPeriod,1,COLUMN())=FALSE(),HP.MRFX,INDEX(MO_SPT_FXEoP,1,COLUMN()))</f>
        <v>1</v>
      </c>
      <c r="R460" s="538" t="n">
        <f aca="false">IF(INDEX(MO_SNA_IsHistoricalPeriod,1,COLUMN())=FALSE(),HP.MRFX,INDEX(MO_SPT_FXEoP,1,COLUMN()))</f>
        <v>1</v>
      </c>
      <c r="S460" s="538" t="n">
        <f aca="false">IF(INDEX(MO_SNA_IsHistoricalPeriod,1,COLUMN())=FALSE(),HP.MRFX,INDEX(MO_SPT_FXEoP,1,COLUMN()))</f>
        <v>1</v>
      </c>
      <c r="T460" s="538" t="n">
        <f aca="false">IF(INDEX(MO_SNA_IsHistoricalPeriod,1,COLUMN())=FALSE(),HP.MRFX,INDEX(MO_SPT_FXEoP,1,COLUMN()))</f>
        <v>1</v>
      </c>
      <c r="U460" s="538" t="n">
        <f aca="false">IF(INDEX(MO_SNA_IsHistoricalPeriod,1,COLUMN())=FALSE(),HP.MRFX,INDEX(MO_SPT_FXEoP,1,COLUMN()))</f>
        <v>1</v>
      </c>
      <c r="V460" s="537" t="n">
        <f aca="false">IF(INDEX(MO_SNA_IsHistoricalPeriod,1,COLUMN())=FALSE(),HP.MRFX,INDEX(MO_SPT_FXEoP,1,COLUMN()))</f>
        <v>1</v>
      </c>
      <c r="W460" s="538" t="n">
        <f aca="false">IF(INDEX(MO_SNA_IsHistoricalPeriod,1,COLUMN())=FALSE(),HP.MRFX,INDEX(MO_SPT_FXEoP,1,COLUMN()))</f>
        <v>1</v>
      </c>
      <c r="X460" s="538" t="n">
        <f aca="false">IF(INDEX(MO_SNA_IsHistoricalPeriod,1,COLUMN())=FALSE(),HP.MRFX,INDEX(MO_SPT_FXEoP,1,COLUMN()))</f>
        <v>1</v>
      </c>
      <c r="Y460" s="538" t="n">
        <f aca="false">IF(INDEX(MO_SNA_IsHistoricalPeriod,1,COLUMN())=FALSE(),HP.MRFX,INDEX(MO_SPT_FXEoP,1,COLUMN()))</f>
        <v>1</v>
      </c>
      <c r="Z460" s="538" t="n">
        <f aca="false">IF(INDEX(MO_SNA_IsHistoricalPeriod,1,COLUMN())=FALSE(),HP.MRFX,INDEX(MO_SPT_FXEoP,1,COLUMN()))</f>
        <v>1</v>
      </c>
      <c r="AA460" s="537" t="n">
        <f aca="false">IF(INDEX(MO_SNA_IsHistoricalPeriod,1,COLUMN())=FALSE(),HP.MRFX,INDEX(MO_SPT_FXEoP,1,COLUMN()))</f>
        <v>1</v>
      </c>
      <c r="AB460" s="538" t="n">
        <f aca="false">IF(INDEX(MO_SNA_IsHistoricalPeriod,1,COLUMN())=FALSE(),HP.MRFX,INDEX(MO_SPT_FXEoP,1,COLUMN()))</f>
        <v>1</v>
      </c>
      <c r="AC460" s="538" t="n">
        <f aca="false">IF(INDEX(MO_SNA_IsHistoricalPeriod,1,COLUMN())=FALSE(),HP.MRFX,INDEX(MO_SPT_FXEoP,1,COLUMN()))</f>
        <v>1</v>
      </c>
      <c r="AD460" s="538" t="n">
        <f aca="false">IF(INDEX(MO_SNA_IsHistoricalPeriod,1,COLUMN())=FALSE(),HP.MRFX,INDEX(MO_SPT_FXEoP,1,COLUMN()))</f>
        <v>1</v>
      </c>
      <c r="AE460" s="538" t="n">
        <f aca="false">IF(INDEX(MO_SNA_IsHistoricalPeriod,1,COLUMN())=FALSE(),HP.MRFX,INDEX(MO_SPT_FXEoP,1,COLUMN()))</f>
        <v>1</v>
      </c>
      <c r="AF460" s="537" t="n">
        <f aca="false">IF(INDEX(MO_SNA_IsHistoricalPeriod,1,COLUMN())=FALSE(),HP.MRFX,INDEX(MO_SPT_FXEoP,1,COLUMN()))</f>
        <v>1</v>
      </c>
      <c r="AG460" s="538" t="n">
        <f aca="false">IF(INDEX(MO_SNA_IsHistoricalPeriod,1,COLUMN())=FALSE(),HP.MRFX,INDEX(MO_SPT_FXEoP,1,COLUMN()))</f>
        <v>1</v>
      </c>
      <c r="AH460" s="538" t="n">
        <f aca="false">IF(INDEX(MO_SNA_IsHistoricalPeriod,1,COLUMN())=FALSE(),HP.MRFX,INDEX(MO_SPT_FXEoP,1,COLUMN()))</f>
        <v>1</v>
      </c>
      <c r="AI460" s="538" t="n">
        <f aca="false">IF(INDEX(MO_SNA_IsHistoricalPeriod,1,COLUMN())=FALSE(),HP.MRFX,INDEX(MO_SPT_FXEoP,1,COLUMN()))</f>
        <v>1</v>
      </c>
      <c r="AJ460" s="538" t="n">
        <f aca="false">IF(INDEX(MO_SNA_IsHistoricalPeriod,1,COLUMN())=FALSE(),HP.MRFX,INDEX(MO_SPT_FXEoP,1,COLUMN()))</f>
        <v>1</v>
      </c>
      <c r="AK460" s="537" t="n">
        <f aca="false">IF(INDEX(MO_SNA_IsHistoricalPeriod,1,COLUMN())=FALSE(),HP.MRFX,INDEX(MO_SPT_FXEoP,1,COLUMN()))</f>
        <v>1</v>
      </c>
      <c r="AL460" s="538" t="n">
        <f aca="false">IF(INDEX(MO_SNA_IsHistoricalPeriod,1,COLUMN())=FALSE(),HP.MRFX,INDEX(MO_SPT_FXEoP,1,COLUMN()))</f>
        <v>1</v>
      </c>
      <c r="AM460" s="538" t="n">
        <f aca="false">IF(INDEX(MO_SNA_IsHistoricalPeriod,1,COLUMN())=FALSE(),HP.MRFX,INDEX(MO_SPT_FXEoP,1,COLUMN()))</f>
        <v>1</v>
      </c>
      <c r="AN460" s="538" t="n">
        <f aca="false">IF(INDEX(MO_SNA_IsHistoricalPeriod,1,COLUMN())=FALSE(),HP.MRFX,INDEX(MO_SPT_FXEoP,1,COLUMN()))</f>
        <v>1</v>
      </c>
      <c r="AO460" s="538" t="n">
        <f aca="false">IF(INDEX(MO_SNA_IsHistoricalPeriod,1,COLUMN())=FALSE(),HP.MRFX,INDEX(MO_SPT_FXEoP,1,COLUMN()))</f>
        <v>1</v>
      </c>
      <c r="AP460" s="537" t="n">
        <f aca="false">IF(INDEX(MO_SNA_IsHistoricalPeriod,1,COLUMN())=FALSE(),HP.MRFX,INDEX(MO_SPT_FXEoP,1,COLUMN()))</f>
        <v>1</v>
      </c>
      <c r="AQ460" s="538" t="n">
        <f aca="false">IF(INDEX(MO_SNA_IsHistoricalPeriod,1,COLUMN())=FALSE(),HP.MRFX,INDEX(MO_SPT_FXEoP,1,COLUMN()))</f>
        <v>1</v>
      </c>
      <c r="AR460" s="538" t="n">
        <f aca="false">IF(INDEX(MO_SNA_IsHistoricalPeriod,1,COLUMN())=FALSE(),HP.MRFX,INDEX(MO_SPT_FXEoP,1,COLUMN()))</f>
        <v>1</v>
      </c>
      <c r="AS460" s="538" t="n">
        <f aca="false">IF(INDEX(MO_SNA_IsHistoricalPeriod,1,COLUMN())=FALSE(),HP.MRFX,INDEX(MO_SPT_FXEoP,1,COLUMN()))</f>
        <v>1</v>
      </c>
      <c r="AT460" s="538" t="n">
        <f aca="false">IF(INDEX(MO_SNA_IsHistoricalPeriod,1,COLUMN())=FALSE(),HP.MRFX,INDEX(MO_SPT_FXEoP,1,COLUMN()))</f>
        <v>1</v>
      </c>
      <c r="AU460" s="537" t="n">
        <f aca="false">IF(INDEX(MO_SNA_IsHistoricalPeriod,1,COLUMN())=FALSE(),HP.MRFX,INDEX(MO_SPT_FXEoP,1,COLUMN()))</f>
        <v>1</v>
      </c>
      <c r="AV460" s="538" t="n">
        <f aca="false">IF(INDEX(MO_SNA_IsHistoricalPeriod,1,COLUMN())=FALSE(),HP.MRFX,INDEX(MO_SPT_FXEoP,1,COLUMN()))</f>
        <v>1</v>
      </c>
      <c r="AW460" s="538" t="n">
        <f aca="false">IF(INDEX(MO_SNA_IsHistoricalPeriod,1,COLUMN())=FALSE(),HP.MRFX,INDEX(MO_SPT_FXEoP,1,COLUMN()))</f>
        <v>1</v>
      </c>
      <c r="AX460" s="538" t="n">
        <f aca="false">IF(INDEX(MO_SNA_IsHistoricalPeriod,1,COLUMN())=FALSE(),HP.MRFX,INDEX(MO_SPT_FXEoP,1,COLUMN()))</f>
        <v>1</v>
      </c>
      <c r="AY460" s="538" t="n">
        <f aca="false">IF(INDEX(MO_SNA_IsHistoricalPeriod,1,COLUMN())=FALSE(),HP.MRFX,INDEX(MO_SPT_FXEoP,1,COLUMN()))</f>
        <v>1</v>
      </c>
      <c r="AZ460" s="537" t="n">
        <f aca="false">IF(INDEX(MO_SNA_IsHistoricalPeriod,1,COLUMN())=FALSE(),HP.MRFX,INDEX(MO_SPT_FXEoP,1,COLUMN()))</f>
        <v>1</v>
      </c>
      <c r="BA460" s="538" t="n">
        <f aca="false">IF(INDEX(MO_SNA_IsHistoricalPeriod,1,COLUMN())=FALSE(),HP.MRFX,INDEX(MO_SPT_FXEoP,1,COLUMN()))</f>
        <v>1</v>
      </c>
      <c r="BB460" s="538" t="n">
        <f aca="false">IF(INDEX(MO_SNA_IsHistoricalPeriod,1,COLUMN())=FALSE(),HP.MRFX,INDEX(MO_SPT_FXEoP,1,COLUMN()))</f>
        <v>1</v>
      </c>
      <c r="BC460" s="538" t="n">
        <f aca="false">IF(INDEX(MO_SNA_IsHistoricalPeriod,1,COLUMN())=FALSE(),HP.MRFX,INDEX(MO_SPT_FXEoP,1,COLUMN()))</f>
        <v>1</v>
      </c>
      <c r="BD460" s="538" t="n">
        <f aca="false">IF(INDEX(MO_SNA_IsHistoricalPeriod,1,COLUMN())=FALSE(),HP.MRFX,INDEX(MO_SPT_FXEoP,1,COLUMN()))</f>
        <v>1</v>
      </c>
      <c r="BE460" s="537" t="n">
        <f aca="false">IF(INDEX(MO_SNA_IsHistoricalPeriod,1,COLUMN())=FALSE(),HP.MRFX,INDEX(MO_SPT_FXEoP,1,COLUMN()))</f>
        <v>1</v>
      </c>
      <c r="BF460" s="538" t="n">
        <f aca="false">IF(INDEX(MO_SNA_IsHistoricalPeriod,1,COLUMN())=FALSE(),HP.MRFX,INDEX(MO_SPT_FXEoP,1,COLUMN()))</f>
        <v>1</v>
      </c>
      <c r="BG460" s="538" t="n">
        <f aca="false">IF(INDEX(MO_SNA_IsHistoricalPeriod,1,COLUMN())=FALSE(),HP.MRFX,INDEX(MO_SPT_FXEoP,1,COLUMN()))</f>
        <v>1</v>
      </c>
      <c r="BH460" s="538" t="n">
        <f aca="false">IF(INDEX(MO_SNA_IsHistoricalPeriod,1,COLUMN())=FALSE(),HP.MRFX,INDEX(MO_SPT_FXEoP,1,COLUMN()))</f>
        <v>1</v>
      </c>
      <c r="BI460" s="538" t="n">
        <f aca="false">IF(INDEX(MO_SNA_IsHistoricalPeriod,1,COLUMN())=FALSE(),HP.MRFX,INDEX(MO_SPT_FXEoP,1,COLUMN()))</f>
        <v>1</v>
      </c>
      <c r="BJ460" s="537" t="n">
        <f aca="false">IF(INDEX(MO_SNA_IsHistoricalPeriod,1,COLUMN())=FALSE(),HP.MRFX,INDEX(MO_SPT_FXEoP,1,COLUMN()))</f>
        <v>1</v>
      </c>
      <c r="BK460" s="538" t="n">
        <f aca="false">IF(INDEX(MO_SNA_IsHistoricalPeriod,1,COLUMN())=FALSE(),HP.MRFX,INDEX(MO_SPT_FXEoP,1,COLUMN()))</f>
        <v>1</v>
      </c>
      <c r="BL460" s="538" t="n">
        <f aca="false">IF(INDEX(MO_SNA_IsHistoricalPeriod,1,COLUMN())=FALSE(),HP.MRFX,INDEX(MO_SPT_FXEoP,1,COLUMN()))</f>
        <v>1</v>
      </c>
      <c r="BM460" s="538" t="n">
        <f aca="false">IF(INDEX(MO_SNA_IsHistoricalPeriod,1,COLUMN())=FALSE(),HP.MRFX,INDEX(MO_SPT_FXEoP,1,COLUMN()))</f>
        <v>1</v>
      </c>
      <c r="BN460" s="538" t="n">
        <f aca="false">IF(INDEX(MO_SNA_IsHistoricalPeriod,1,COLUMN())=FALSE(),HP.MRFX,INDEX(MO_SPT_FXEoP,1,COLUMN()))</f>
        <v>1</v>
      </c>
      <c r="BO460" s="539" t="n">
        <f aca="false">IF(INDEX(MO_SNA_IsHistoricalPeriod,1,COLUMN())=FALSE(),HP.MRFX,INDEX(MO_SPT_FXEoP,1,COLUMN()))</f>
        <v>1</v>
      </c>
      <c r="BP460" s="540" t="n">
        <f aca="false">IF(INDEX(MO_SNA_IsHistoricalPeriod,1,COLUMN())=FALSE(),HP.MRFX,INDEX(MO_SPT_FXEoP,1,COLUMN()))</f>
        <v>1</v>
      </c>
      <c r="BQ460" s="540" t="n">
        <f aca="false">IF(INDEX(MO_SNA_IsHistoricalPeriod,1,COLUMN())=FALSE(),HP.MRFX,INDEX(MO_SPT_FXEoP,1,COLUMN()))</f>
        <v>1</v>
      </c>
      <c r="BR460" s="540" t="n">
        <f aca="false">IF(INDEX(MO_SNA_IsHistoricalPeriod,1,COLUMN())=FALSE(),HP.MRFX,INDEX(MO_SPT_FXEoP,1,COLUMN()))</f>
        <v>1</v>
      </c>
      <c r="BS460" s="540" t="n">
        <f aca="false">IF(INDEX(MO_SNA_IsHistoricalPeriod,1,COLUMN())=FALSE(),HP.MRFX,INDEX(MO_SPT_FXEoP,1,COLUMN()))</f>
        <v>1</v>
      </c>
      <c r="BT460" s="541" t="n">
        <f aca="false">IF(INDEX(MO_SNA_IsHistoricalPeriod,1,COLUMN())=FALSE(),HP.MRFX,INDEX(MO_SPT_FXEoP,1,COLUMN()))</f>
        <v>1</v>
      </c>
      <c r="BU460" s="540" t="n">
        <f aca="false">IF(INDEX(MO_SNA_IsHistoricalPeriod,1,COLUMN())=FALSE(),HP.MRFX,INDEX(MO_SPT_FXEoP,1,COLUMN()))</f>
        <v>1</v>
      </c>
      <c r="BV460" s="540" t="n">
        <f aca="false">IF(INDEX(MO_SNA_IsHistoricalPeriod,1,COLUMN())=FALSE(),HP.MRFX,INDEX(MO_SPT_FXEoP,1,COLUMN()))</f>
        <v>1</v>
      </c>
      <c r="BW460" s="540" t="n">
        <f aca="false">IF(INDEX(MO_SNA_IsHistoricalPeriod,1,COLUMN())=FALSE(),HP.MRFX,INDEX(MO_SPT_FXEoP,1,COLUMN()))</f>
        <v>1</v>
      </c>
      <c r="BX460" s="540" t="n">
        <f aca="false">IF(INDEX(MO_SNA_IsHistoricalPeriod,1,COLUMN())=FALSE(),HP.MRFX,INDEX(MO_SPT_FXEoP,1,COLUMN()))</f>
        <v>1</v>
      </c>
      <c r="BY460" s="541" t="n">
        <f aca="false">IF(INDEX(MO_SNA_IsHistoricalPeriod,1,COLUMN())=FALSE(),HP.MRFX,INDEX(MO_SPT_FXEoP,1,COLUMN()))</f>
        <v>1</v>
      </c>
      <c r="BZ460" s="541" t="n">
        <f aca="false">IF(INDEX(MO_SNA_IsHistoricalPeriod,1,COLUMN())=FALSE(),HP.MRFX,INDEX(MO_SPT_FXEoP,1,COLUMN()))</f>
        <v>1</v>
      </c>
      <c r="CA460" s="541" t="n">
        <f aca="false">IF(INDEX(MO_SNA_IsHistoricalPeriod,1,COLUMN())=FALSE(),HP.MRFX,INDEX(MO_SPT_FXEoP,1,COLUMN()))</f>
        <v>1</v>
      </c>
      <c r="CB460" s="541" t="n">
        <f aca="false">IF(INDEX(MO_SNA_IsHistoricalPeriod,1,COLUMN())=FALSE(),HP.MRFX,INDEX(MO_SPT_FXEoP,1,COLUMN()))</f>
        <v>1</v>
      </c>
      <c r="CC460" s="542"/>
    </row>
    <row r="461" s="547" customFormat="true" ht="15" hidden="true" customHeight="true" outlineLevel="1" collapsed="false">
      <c r="A461" s="544" t="str">
        <f aca="false">"Stock Price (Trading Cur.) - "&amp;MO.ValuationToggle&amp;", "&amp;HP.TradeCurrency</f>
        <v>Stock Price (Trading Cur.) - EoP, EUR</v>
      </c>
      <c r="B461" s="545"/>
      <c r="C461" s="529" t="n">
        <f aca="false">IF(INDEX(MO_SNA_IsHistoricalPeriod,1,COLUMN())=FALSE(),MO.LastPrice,CHOOSE(VLOOKUP(MO.ValuationToggle,tb_ValuationToggle,COLUMNS(tb_ValuationToggle),FALSE()),C455,C456,C457,C458))</f>
        <v>31.103896</v>
      </c>
      <c r="D461" s="529" t="n">
        <f aca="false">IF(INDEX(MO_SNA_IsHistoricalPeriod,1,COLUMN())=FALSE(),MO.LastPrice,CHOOSE(VLOOKUP(MO.ValuationToggle,tb_ValuationToggle,COLUMNS(tb_ValuationToggle),FALSE()),D455,D456,D457,D458))</f>
        <v>37.668831</v>
      </c>
      <c r="E461" s="529" t="n">
        <f aca="false">IF(INDEX(MO_SNA_IsHistoricalPeriod,1,COLUMN())=FALSE(),MO.LastPrice,CHOOSE(VLOOKUP(MO.ValuationToggle,tb_ValuationToggle,COLUMNS(tb_ValuationToggle),FALSE()),E455,E456,E457,E458))</f>
        <v>42.175325</v>
      </c>
      <c r="F461" s="529" t="n">
        <f aca="false">IF(INDEX(MO_SNA_IsHistoricalPeriod,1,COLUMN())=FALSE(),MO.LastPrice,CHOOSE(VLOOKUP(MO.ValuationToggle,tb_ValuationToggle,COLUMNS(tb_ValuationToggle),FALSE()),F455,F456,F457,F458))</f>
        <v>47.885</v>
      </c>
      <c r="G461" s="529" t="n">
        <f aca="false">IF(INDEX(MO_SNA_IsHistoricalPeriod,1,COLUMN())=FALSE(),MO.LastPrice,CHOOSE(VLOOKUP(MO.ValuationToggle,tb_ValuationToggle,COLUMNS(tb_ValuationToggle),FALSE()),G455,G456,G457,G458))</f>
        <v>67.93</v>
      </c>
      <c r="H461" s="530" t="n">
        <f aca="false">IF(INDEX(MO_SNA_IsHistoricalPeriod,1,COLUMN())=FALSE(),MO.LastPrice,CHOOSE(VLOOKUP(MO.ValuationToggle,tb_ValuationToggle,COLUMNS(tb_ValuationToggle),FALSE()),H455,H456,H457,H458))</f>
        <v>67.15</v>
      </c>
      <c r="I461" s="530" t="n">
        <f aca="false">IF(INDEX(MO_SNA_IsHistoricalPeriod,1,COLUMN())=FALSE(),MO.LastPrice,CHOOSE(VLOOKUP(MO.ValuationToggle,tb_ValuationToggle,COLUMNS(tb_ValuationToggle),FALSE()),I455,I456,I457,I458))</f>
        <v>67.62</v>
      </c>
      <c r="J461" s="530" t="n">
        <f aca="false">IF(INDEX(MO_SNA_IsHistoricalPeriod,1,COLUMN())=FALSE(),MO.LastPrice,CHOOSE(VLOOKUP(MO.ValuationToggle,tb_ValuationToggle,COLUMNS(tb_ValuationToggle),FALSE()),J455,J456,J457,J458))</f>
        <v>78.56</v>
      </c>
      <c r="K461" s="530" t="n">
        <f aca="false">IF(INDEX(MO_SNA_IsHistoricalPeriod,1,COLUMN())=FALSE(),MO.LastPrice,CHOOSE(VLOOKUP(MO.ValuationToggle,tb_ValuationToggle,COLUMNS(tb_ValuationToggle),FALSE()),K455,K456,K457,K458))</f>
        <v>88.82</v>
      </c>
      <c r="L461" s="529" t="n">
        <f aca="false">IF(INDEX(MO_SNA_IsHistoricalPeriod,1,COLUMN())=FALSE(),MO.LastPrice,CHOOSE(VLOOKUP(MO.ValuationToggle,tb_ValuationToggle,COLUMNS(tb_ValuationToggle),FALSE()),L455,L456,L457,L458))</f>
        <v>88.82</v>
      </c>
      <c r="M461" s="530" t="n">
        <f aca="false">IF(INDEX(MO_SNA_IsHistoricalPeriod,1,COLUMN())=FALSE(),MO.LastPrice,CHOOSE(VLOOKUP(MO.ValuationToggle,tb_ValuationToggle,COLUMNS(tb_ValuationToggle),FALSE()),M455,M456,M457,M458))</f>
        <v>92.37</v>
      </c>
      <c r="N461" s="530" t="n">
        <f aca="false">IF(INDEX(MO_SNA_IsHistoricalPeriod,1,COLUMN())=FALSE(),MO.LastPrice,CHOOSE(VLOOKUP(MO.ValuationToggle,tb_ValuationToggle,COLUMNS(tb_ValuationToggle),FALSE()),N455,N456,N457,N458))</f>
        <v>98.74</v>
      </c>
      <c r="O461" s="530" t="n">
        <f aca="false">IF(INDEX(MO_SNA_IsHistoricalPeriod,1,COLUMN())=FALSE(),MO.LastPrice,CHOOSE(VLOOKUP(MO.ValuationToggle,tb_ValuationToggle,COLUMNS(tb_ValuationToggle),FALSE()),O455,O456,O457,O458))</f>
        <v>77.15</v>
      </c>
      <c r="P461" s="530" t="n">
        <f aca="false">IF(INDEX(MO_SNA_IsHistoricalPeriod,1,COLUMN())=FALSE(),MO.LastPrice,CHOOSE(VLOOKUP(MO.ValuationToggle,tb_ValuationToggle,COLUMNS(tb_ValuationToggle),FALSE()),P455,P456,P457,P458))</f>
        <v>84.09</v>
      </c>
      <c r="Q461" s="529" t="n">
        <f aca="false">IF(INDEX(MO_SNA_IsHistoricalPeriod,1,COLUMN())=FALSE(),MO.LastPrice,CHOOSE(VLOOKUP(MO.ValuationToggle,tb_ValuationToggle,COLUMNS(tb_ValuationToggle),FALSE()),Q455,Q456,Q457,Q458))</f>
        <v>84.09</v>
      </c>
      <c r="R461" s="530" t="n">
        <f aca="false">IF(INDEX(MO_SNA_IsHistoricalPeriod,1,COLUMN())=FALSE(),MO.LastPrice,CHOOSE(VLOOKUP(MO.ValuationToggle,tb_ValuationToggle,COLUMNS(tb_ValuationToggle),FALSE()),R455,R456,R457,R458))</f>
        <v>87.91</v>
      </c>
      <c r="S461" s="530" t="n">
        <f aca="false">IF(INDEX(MO_SNA_IsHistoricalPeriod,1,COLUMN())=FALSE(),MO.LastPrice,CHOOSE(VLOOKUP(MO.ValuationToggle,tb_ValuationToggle,COLUMNS(tb_ValuationToggle),FALSE()),S455,S456,S457,S458))</f>
        <v>88.09</v>
      </c>
      <c r="T461" s="530" t="n">
        <f aca="false">IF(INDEX(MO_SNA_IsHistoricalPeriod,1,COLUMN())=FALSE(),MO.LastPrice,CHOOSE(VLOOKUP(MO.ValuationToggle,tb_ValuationToggle,COLUMNS(tb_ValuationToggle),FALSE()),T455,T456,T457,T458))</f>
        <v>97.69</v>
      </c>
      <c r="U461" s="530" t="n">
        <f aca="false">IF(INDEX(MO_SNA_IsHistoricalPeriod,1,COLUMN())=FALSE(),MO.LastPrice,CHOOSE(VLOOKUP(MO.ValuationToggle,tb_ValuationToggle,COLUMNS(tb_ValuationToggle),FALSE()),U455,U456,U457,U458))</f>
        <v>106.65</v>
      </c>
      <c r="V461" s="529" t="n">
        <f aca="false">IF(INDEX(MO_SNA_IsHistoricalPeriod,1,COLUMN())=FALSE(),MO.LastPrice,CHOOSE(VLOOKUP(MO.ValuationToggle,tb_ValuationToggle,COLUMNS(tb_ValuationToggle),FALSE()),V455,V456,V457,V458))</f>
        <v>106.65</v>
      </c>
      <c r="W461" s="530" t="n">
        <f aca="false">IF(INDEX(MO_SNA_IsHistoricalPeriod,1,COLUMN())=FALSE(),MO.LastPrice,CHOOSE(VLOOKUP(MO.ValuationToggle,tb_ValuationToggle,COLUMNS(tb_ValuationToggle),FALSE()),W455,W456,W457,W458))</f>
        <v>124.4</v>
      </c>
      <c r="X461" s="530" t="n">
        <f aca="false">IF(INDEX(MO_SNA_IsHistoricalPeriod,1,COLUMN())=FALSE(),MO.LastPrice,CHOOSE(VLOOKUP(MO.ValuationToggle,tb_ValuationToggle,COLUMNS(tb_ValuationToggle),FALSE()),X455,X456,X457,X458))</f>
        <v>114.1</v>
      </c>
      <c r="Y461" s="530" t="n">
        <f aca="false">IF(INDEX(MO_SNA_IsHistoricalPeriod,1,COLUMN())=FALSE(),MO.LastPrice,CHOOSE(VLOOKUP(MO.ValuationToggle,tb_ValuationToggle,COLUMNS(tb_ValuationToggle),FALSE()),Y455,Y456,Y457,Y458))</f>
        <v>144.05</v>
      </c>
      <c r="Z461" s="530" t="n">
        <f aca="false">IF(INDEX(MO_SNA_IsHistoricalPeriod,1,COLUMN())=FALSE(),MO.LastPrice,CHOOSE(VLOOKUP(MO.ValuationToggle,tb_ValuationToggle,COLUMNS(tb_ValuationToggle),FALSE()),Z455,Z456,Z457,Z458))</f>
        <v>145.25</v>
      </c>
      <c r="AA461" s="529" t="n">
        <f aca="false">IF(INDEX(MO_SNA_IsHistoricalPeriod,1,COLUMN())=FALSE(),MO.LastPrice,CHOOSE(VLOOKUP(MO.ValuationToggle,tb_ValuationToggle,COLUMNS(tb_ValuationToggle),FALSE()),AA455,AA456,AA457,AA458))</f>
        <v>145.25</v>
      </c>
      <c r="AB461" s="530" t="n">
        <f aca="false">IF(INDEX(MO_SNA_IsHistoricalPeriod,1,COLUMN())=FALSE(),MO.LastPrice,CHOOSE(VLOOKUP(MO.ValuationToggle,tb_ValuationToggle,COLUMNS(tb_ValuationToggle),FALSE()),AB455,AB456,AB457,AB458))</f>
        <v>160.15</v>
      </c>
      <c r="AC461" s="530" t="n">
        <f aca="false">IF(INDEX(MO_SNA_IsHistoricalPeriod,1,COLUMN())=FALSE(),MO.LastPrice,CHOOSE(VLOOKUP(MO.ValuationToggle,tb_ValuationToggle,COLUMNS(tb_ValuationToggle),FALSE()),AC455,AC456,AC457,AC458))</f>
        <v>169.7</v>
      </c>
      <c r="AD461" s="530" t="n">
        <f aca="false">IF(INDEX(MO_SNA_IsHistoricalPeriod,1,COLUMN())=FALSE(),MO.LastPrice,CHOOSE(VLOOKUP(MO.ValuationToggle,tb_ValuationToggle,COLUMNS(tb_ValuationToggle),FALSE()),AD455,AD456,AD457,AD458))</f>
        <v>160.9</v>
      </c>
      <c r="AE461" s="530" t="n">
        <f aca="false">IF(INDEX(MO_SNA_IsHistoricalPeriod,1,COLUMN())=FALSE(),MO.LastPrice,CHOOSE(VLOOKUP(MO.ValuationToggle,tb_ValuationToggle,COLUMNS(tb_ValuationToggle),FALSE()),AE455,AE456,AE457,AE458))</f>
        <v>136.62</v>
      </c>
      <c r="AF461" s="529" t="n">
        <f aca="false">IF(INDEX(MO_SNA_IsHistoricalPeriod,1,COLUMN())=FALSE(),MO.LastPrice,CHOOSE(VLOOKUP(MO.ValuationToggle,tb_ValuationToggle,COLUMNS(tb_ValuationToggle),FALSE()),AF455,AF456,AF457,AF458))</f>
        <v>136.62</v>
      </c>
      <c r="AG461" s="530" t="n">
        <f aca="false">IF(INDEX(MO_SNA_IsHistoricalPeriod,1,COLUMN())=FALSE(),MO.LastPrice,CHOOSE(VLOOKUP(MO.ValuationToggle,tb_ValuationToggle,COLUMNS(tb_ValuationToggle),FALSE()),AG455,AG456,AG457,AG458))</f>
        <v>167.2</v>
      </c>
      <c r="AH461" s="530" t="n">
        <f aca="false">IF(INDEX(MO_SNA_IsHistoricalPeriod,1,COLUMN())=FALSE(),MO.LastPrice,CHOOSE(VLOOKUP(MO.ValuationToggle,tb_ValuationToggle,COLUMNS(tb_ValuationToggle),FALSE()),AH455,AH456,AH457,AH458))</f>
        <v>183.74</v>
      </c>
      <c r="AI461" s="530" t="n">
        <f aca="false">IF(INDEX(MO_SNA_IsHistoricalPeriod,1,COLUMN())=FALSE(),MO.LastPrice,CHOOSE(VLOOKUP(MO.ValuationToggle,tb_ValuationToggle,COLUMNS(tb_ValuationToggle),FALSE()),AI455,AI456,AI457,AI458))</f>
        <v>225.45</v>
      </c>
      <c r="AJ461" s="530" t="n">
        <f aca="false">IF(INDEX(MO_SNA_IsHistoricalPeriod,1,COLUMN())=FALSE(),MO.LastPrice,CHOOSE(VLOOKUP(MO.ValuationToggle,tb_ValuationToggle,COLUMNS(tb_ValuationToggle),FALSE()),AJ455,AJ456,AJ457,AJ458))</f>
        <v>262.9</v>
      </c>
      <c r="AK461" s="529" t="n">
        <f aca="false">IF(INDEX(MO_SNA_IsHistoricalPeriod,1,COLUMN())=FALSE(),MO.LastPrice,CHOOSE(VLOOKUP(MO.ValuationToggle,tb_ValuationToggle,COLUMNS(tb_ValuationToggle),FALSE()),AK455,AK456,AK457,AK458))</f>
        <v>262.9</v>
      </c>
      <c r="AL461" s="530" t="n">
        <f aca="false">IF(INDEX(MO_SNA_IsHistoricalPeriod,1,COLUMN())=FALSE(),MO.LastPrice,CHOOSE(VLOOKUP(MO.ValuationToggle,tb_ValuationToggle,COLUMNS(tb_ValuationToggle),FALSE()),AL455,AL456,AL457,AL458))</f>
        <v>229.5</v>
      </c>
      <c r="AM461" s="530" t="n">
        <f aca="false">IF(INDEX(MO_SNA_IsHistoricalPeriod,1,COLUMN())=FALSE(),MO.LastPrice,CHOOSE(VLOOKUP(MO.ValuationToggle,tb_ValuationToggle,COLUMNS(tb_ValuationToggle),FALSE()),AM455,AM456,AM457,AM458))</f>
        <v>324</v>
      </c>
      <c r="AN461" s="530" t="n">
        <f aca="false">IF(INDEX(MO_SNA_IsHistoricalPeriod,1,COLUMN())=FALSE(),MO.LastPrice,CHOOSE(VLOOKUP(MO.ValuationToggle,tb_ValuationToggle,COLUMNS(tb_ValuationToggle),FALSE()),AN455,AN456,AN457,AN458))</f>
        <v>307.2</v>
      </c>
      <c r="AO461" s="530" t="n">
        <f aca="false">IF(INDEX(MO_SNA_IsHistoricalPeriod,1,COLUMN())=FALSE(),MO.LastPrice,CHOOSE(VLOOKUP(MO.ValuationToggle,tb_ValuationToggle,COLUMNS(tb_ValuationToggle),FALSE()),AO455,AO456,AO457,AO458))</f>
        <v>398.5</v>
      </c>
      <c r="AP461" s="529" t="n">
        <f aca="false">IF(INDEX(MO_SNA_IsHistoricalPeriod,1,COLUMN())=FALSE(),MO.LastPrice,CHOOSE(VLOOKUP(MO.ValuationToggle,tb_ValuationToggle,COLUMNS(tb_ValuationToggle),FALSE()),AP455,AP456,AP457,AP458))</f>
        <v>398.5</v>
      </c>
      <c r="AQ461" s="530" t="n">
        <f aca="false">IF(INDEX(MO_SNA_IsHistoricalPeriod,1,COLUMN())=FALSE(),MO.LastPrice,CHOOSE(VLOOKUP(MO.ValuationToggle,tb_ValuationToggle,COLUMNS(tb_ValuationToggle),FALSE()),AQ455,AQ456,AQ457,AQ458))</f>
        <v>529.3</v>
      </c>
      <c r="AR461" s="530" t="n">
        <f aca="false">IF(INDEX(MO_SNA_IsHistoricalPeriod,1,COLUMN())=FALSE(),MO.LastPrice,CHOOSE(VLOOKUP(MO.ValuationToggle,tb_ValuationToggle,COLUMNS(tb_ValuationToggle),FALSE()),AR455,AR456,AR457,AR458))</f>
        <v>579</v>
      </c>
      <c r="AS461" s="530" t="n">
        <f aca="false">IF(INDEX(MO_SNA_IsHistoricalPeriod,1,COLUMN())=FALSE(),MO.LastPrice,CHOOSE(VLOOKUP(MO.ValuationToggle,tb_ValuationToggle,COLUMNS(tb_ValuationToggle),FALSE()),AS455,AS456,AS457,AS458))</f>
        <v>632.5</v>
      </c>
      <c r="AT461" s="530" t="n">
        <f aca="false">IF(INDEX(MO_SNA_IsHistoricalPeriod,1,COLUMN())=FALSE(),MO.LastPrice,CHOOSE(VLOOKUP(MO.ValuationToggle,tb_ValuationToggle,COLUMNS(tb_ValuationToggle),FALSE()),AT455,AT456,AT457,AT458))</f>
        <v>710.4</v>
      </c>
      <c r="AU461" s="529" t="n">
        <f aca="false">IF(INDEX(MO_SNA_IsHistoricalPeriod,1,COLUMN())=FALSE(),MO.LastPrice,CHOOSE(VLOOKUP(MO.ValuationToggle,tb_ValuationToggle,COLUMNS(tb_ValuationToggle),FALSE()),AU455,AU456,AU457,AU458))</f>
        <v>710.4</v>
      </c>
      <c r="AV461" s="530" t="n">
        <f aca="false">IF(INDEX(MO_SNA_IsHistoricalPeriod,1,COLUMN())=FALSE(),MO.LastPrice,CHOOSE(VLOOKUP(MO.ValuationToggle,tb_ValuationToggle,COLUMNS(tb_ValuationToggle),FALSE()),AV455,AV456,AV457,AV458))</f>
        <v>606.7</v>
      </c>
      <c r="AW461" s="530" t="n">
        <f aca="false">IF(INDEX(MO_SNA_IsHistoricalPeriod,1,COLUMN())=FALSE(),MO.LastPrice,CHOOSE(VLOOKUP(MO.ValuationToggle,tb_ValuationToggle,COLUMNS(tb_ValuationToggle),FALSE()),AW455,AW456,AW457,AW458))</f>
        <v>431.25</v>
      </c>
      <c r="AX461" s="530" t="n">
        <f aca="false">IF(INDEX(MO_SNA_IsHistoricalPeriod,1,COLUMN())=FALSE(),MO.LastPrice,CHOOSE(VLOOKUP(MO.ValuationToggle,tb_ValuationToggle,COLUMNS(tb_ValuationToggle),FALSE()),AX455,AX456,AX457,AX458))</f>
        <v>433.6</v>
      </c>
      <c r="AY461" s="530" t="n">
        <f aca="false">IF(INDEX(MO_SNA_IsHistoricalPeriod,1,COLUMN())=FALSE(),MO.LastPrice,CHOOSE(VLOOKUP(MO.ValuationToggle,tb_ValuationToggle,COLUMNS(tb_ValuationToggle),FALSE()),AY455,AY456,AY457,AY458))</f>
        <v>503.8</v>
      </c>
      <c r="AZ461" s="529" t="n">
        <f aca="false">IF(INDEX(MO_SNA_IsHistoricalPeriod,1,COLUMN())=FALSE(),MO.LastPrice,CHOOSE(VLOOKUP(MO.ValuationToggle,tb_ValuationToggle,COLUMNS(tb_ValuationToggle),FALSE()),AZ455,AZ456,AZ457,AZ458))</f>
        <v>503.8</v>
      </c>
      <c r="BA461" s="530" t="n">
        <f aca="false">IF(INDEX(MO_SNA_IsHistoricalPeriod,1,COLUMN())=FALSE(),MO.LastPrice,CHOOSE(VLOOKUP(MO.ValuationToggle,tb_ValuationToggle,COLUMNS(tb_ValuationToggle),FALSE()),BA455,BA456,BA457,BA458))</f>
        <v>625.2</v>
      </c>
      <c r="BB461" s="530" t="n">
        <f aca="false">IF(INDEX(MO_SNA_IsHistoricalPeriod,1,COLUMN())=FALSE(),MO.LastPrice,CHOOSE(VLOOKUP(MO.ValuationToggle,tb_ValuationToggle,COLUMNS(tb_ValuationToggle),FALSE()),BB455,BB456,BB457,BB458))</f>
        <v>663</v>
      </c>
      <c r="BC461" s="530" t="n">
        <f aca="false">IF(INDEX(MO_SNA_IsHistoricalPeriod,1,COLUMN())=FALSE(),MO.LastPrice,CHOOSE(VLOOKUP(MO.ValuationToggle,tb_ValuationToggle,COLUMNS(tb_ValuationToggle),FALSE()),BC455,BC456,BC457,BC458))</f>
        <v>559.1</v>
      </c>
      <c r="BD461" s="530" t="n">
        <f aca="false">IF(INDEX(MO_SNA_IsHistoricalPeriod,1,COLUMN())=FALSE(),MO.LastPrice,CHOOSE(VLOOKUP(MO.ValuationToggle,tb_ValuationToggle,COLUMNS(tb_ValuationToggle),FALSE()),BD455,BD456,BD457,BD458))</f>
        <v>681.7</v>
      </c>
      <c r="BE461" s="529" t="n">
        <f aca="false">IF(INDEX(MO_SNA_IsHistoricalPeriod,1,COLUMN())=FALSE(),MO.LastPrice,CHOOSE(VLOOKUP(MO.ValuationToggle,tb_ValuationToggle,COLUMNS(tb_ValuationToggle),FALSE()),BE455,BE456,BE457,BE458))</f>
        <v>681.7</v>
      </c>
      <c r="BF461" s="530" t="n">
        <f aca="false">IF(INDEX(MO_SNA_IsHistoricalPeriod,1,COLUMN())=FALSE(),MO.LastPrice,CHOOSE(VLOOKUP(MO.ValuationToggle,tb_ValuationToggle,COLUMNS(tb_ValuationToggle),FALSE()),BF455,BF456,BF457,BF458))</f>
        <v>892.2</v>
      </c>
      <c r="BG461" s="530" t="n">
        <f aca="false">IF(INDEX(MO_SNA_IsHistoricalPeriod,1,COLUMN())=FALSE(),MO.LastPrice,CHOOSE(VLOOKUP(MO.ValuationToggle,tb_ValuationToggle,COLUMNS(tb_ValuationToggle),FALSE()),BG455,BG456,BG457,BG458))</f>
        <v>964.2</v>
      </c>
      <c r="BH461" s="530" t="n">
        <f aca="false">IF(INDEX(MO_SNA_IsHistoricalPeriod,1,COLUMN())=FALSE(),MO.LastPrice,CHOOSE(VLOOKUP(MO.ValuationToggle,tb_ValuationToggle,COLUMNS(tb_ValuationToggle),FALSE()),BH455,BH456,BH457,BH458))</f>
        <v>757.3</v>
      </c>
      <c r="BI461" s="530" t="n">
        <f aca="false">IF(INDEX(MO_SNA_IsHistoricalPeriod,1,COLUMN())=FALSE(),MO.LastPrice,CHOOSE(VLOOKUP(MO.ValuationToggle,tb_ValuationToggle,COLUMNS(tb_ValuationToggle),FALSE()),BI455,BI456,BI457,BI458))</f>
        <v>671.9</v>
      </c>
      <c r="BJ461" s="529" t="n">
        <f aca="false">IF(INDEX(MO_SNA_IsHistoricalPeriod,1,COLUMN())=FALSE(),MO.LastPrice,CHOOSE(VLOOKUP(MO.ValuationToggle,tb_ValuationToggle,COLUMNS(tb_ValuationToggle),FALSE()),BJ455,BJ456,BJ457,BJ458))</f>
        <v>671.9</v>
      </c>
      <c r="BK461" s="530" t="n">
        <f aca="false">IF(INDEX(MO_SNA_IsHistoricalPeriod,1,COLUMN())=FALSE(),MO.LastPrice,CHOOSE(VLOOKUP(MO.ValuationToggle,tb_ValuationToggle,COLUMNS(tb_ValuationToggle),FALSE()),BK455,BK456,BK457,BK458))</f>
        <v>625.6</v>
      </c>
      <c r="BL461" s="530" t="n">
        <f aca="false">IF(INDEX(MO_SNA_IsHistoricalPeriod,1,COLUMN())=FALSE(),MO.LastPrice,CHOOSE(VLOOKUP(MO.ValuationToggle,tb_ValuationToggle,COLUMNS(tb_ValuationToggle),FALSE()),BL455,BL456,BL457,BL458))</f>
        <v>682.5</v>
      </c>
      <c r="BM461" s="530" t="n">
        <f aca="false">IF(INDEX(MO_SNA_IsHistoricalPeriod,1,COLUMN())=FALSE(),MO.LastPrice,CHOOSE(VLOOKUP(MO.ValuationToggle,tb_ValuationToggle,COLUMNS(tb_ValuationToggle),FALSE()),BM455,BM456,BM457,BM458))</f>
        <v>812.8</v>
      </c>
      <c r="BN461" s="530" t="n">
        <f aca="false">IF(INDEX(MO_SNA_IsHistoricalPeriod,1,COLUMN())=FALSE(),MO.LastPrice,CHOOSE(VLOOKUP(MO.ValuationToggle,tb_ValuationToggle,COLUMNS(tb_ValuationToggle),FALSE()),BN455,BN456,BN457,BN458))</f>
        <v>918.4</v>
      </c>
      <c r="BO461" s="531" t="n">
        <f aca="false">IF(INDEX(MO_SNA_IsHistoricalPeriod,1,COLUMN())=FALSE(),MO.LastPrice,CHOOSE(VLOOKUP(MO.ValuationToggle,tb_ValuationToggle,COLUMNS(tb_ValuationToggle),FALSE()),BO455,BO456,BO457,BO458))</f>
        <v>918.4</v>
      </c>
      <c r="BP461" s="532" t="n">
        <f aca="false">IF(INDEX(MO_SNA_IsHistoricalPeriod,1,COLUMN())=FALSE(),MO.LastPrice,CHOOSE(VLOOKUP(MO.ValuationToggle,tb_ValuationToggle,COLUMNS(tb_ValuationToggle),FALSE()),BP455,BP456,BP457,BP458))</f>
        <v>1217.6</v>
      </c>
      <c r="BQ461" s="532" t="n">
        <f aca="false">IF(INDEX(MO_SNA_IsHistoricalPeriod,1,COLUMN())=FALSE(),MO.LastPrice,CHOOSE(VLOOKUP(MO.ValuationToggle,tb_ValuationToggle,COLUMNS(tb_ValuationToggle),FALSE()),BQ455,BQ456,BQ457,BQ458))</f>
        <v>1217.6</v>
      </c>
      <c r="BR461" s="532" t="n">
        <f aca="false">IF(INDEX(MO_SNA_IsHistoricalPeriod,1,COLUMN())=FALSE(),MO.LastPrice,CHOOSE(VLOOKUP(MO.ValuationToggle,tb_ValuationToggle,COLUMNS(tb_ValuationToggle),FALSE()),BR455,BR456,BR457,BR458))</f>
        <v>1217.6</v>
      </c>
      <c r="BS461" s="532" t="n">
        <f aca="false">IF(INDEX(MO_SNA_IsHistoricalPeriod,1,COLUMN())=FALSE(),MO.LastPrice,CHOOSE(VLOOKUP(MO.ValuationToggle,tb_ValuationToggle,COLUMNS(tb_ValuationToggle),FALSE()),BS455,BS456,BS457,BS458))</f>
        <v>1217.6</v>
      </c>
      <c r="BT461" s="533" t="n">
        <f aca="false">IF(INDEX(MO_SNA_IsHistoricalPeriod,1,COLUMN())=FALSE(),MO.LastPrice,CHOOSE(VLOOKUP(MO.ValuationToggle,tb_ValuationToggle,COLUMNS(tb_ValuationToggle),FALSE()),BT455,BT456,BT457,BT458))</f>
        <v>1217.6</v>
      </c>
      <c r="BU461" s="532" t="n">
        <f aca="false">IF(INDEX(MO_SNA_IsHistoricalPeriod,1,COLUMN())=FALSE(),MO.LastPrice,CHOOSE(VLOOKUP(MO.ValuationToggle,tb_ValuationToggle,COLUMNS(tb_ValuationToggle),FALSE()),BU455,BU456,BU457,BU458))</f>
        <v>1217.6</v>
      </c>
      <c r="BV461" s="532" t="n">
        <f aca="false">IF(INDEX(MO_SNA_IsHistoricalPeriod,1,COLUMN())=FALSE(),MO.LastPrice,CHOOSE(VLOOKUP(MO.ValuationToggle,tb_ValuationToggle,COLUMNS(tb_ValuationToggle),FALSE()),BV455,BV456,BV457,BV458))</f>
        <v>1217.6</v>
      </c>
      <c r="BW461" s="532" t="n">
        <f aca="false">IF(INDEX(MO_SNA_IsHistoricalPeriod,1,COLUMN())=FALSE(),MO.LastPrice,CHOOSE(VLOOKUP(MO.ValuationToggle,tb_ValuationToggle,COLUMNS(tb_ValuationToggle),FALSE()),BW455,BW456,BW457,BW458))</f>
        <v>1217.6</v>
      </c>
      <c r="BX461" s="532" t="n">
        <f aca="false">IF(INDEX(MO_SNA_IsHistoricalPeriod,1,COLUMN())=FALSE(),MO.LastPrice,CHOOSE(VLOOKUP(MO.ValuationToggle,tb_ValuationToggle,COLUMNS(tb_ValuationToggle),FALSE()),BX455,BX456,BX457,BX458))</f>
        <v>1217.6</v>
      </c>
      <c r="BY461" s="533" t="n">
        <f aca="false">IF(INDEX(MO_SNA_IsHistoricalPeriod,1,COLUMN())=FALSE(),MO.LastPrice,CHOOSE(VLOOKUP(MO.ValuationToggle,tb_ValuationToggle,COLUMNS(tb_ValuationToggle),FALSE()),BY455,BY456,BY457,BY458))</f>
        <v>1217.6</v>
      </c>
      <c r="BZ461" s="533" t="n">
        <f aca="false">IF(INDEX(MO_SNA_IsHistoricalPeriod,1,COLUMN())=FALSE(),MO.LastPrice,CHOOSE(VLOOKUP(MO.ValuationToggle,tb_ValuationToggle,COLUMNS(tb_ValuationToggle),FALSE()),BZ455,BZ456,BZ457,BZ458))</f>
        <v>1217.6</v>
      </c>
      <c r="CA461" s="533" t="n">
        <f aca="false">IF(INDEX(MO_SNA_IsHistoricalPeriod,1,COLUMN())=FALSE(),MO.LastPrice,CHOOSE(VLOOKUP(MO.ValuationToggle,tb_ValuationToggle,COLUMNS(tb_ValuationToggle),FALSE()),CA455,CA456,CA457,CA458))</f>
        <v>1217.6</v>
      </c>
      <c r="CB461" s="533" t="n">
        <f aca="false">IF(INDEX(MO_SNA_IsHistoricalPeriod,1,COLUMN())=FALSE(),MO.LastPrice,CHOOSE(VLOOKUP(MO.ValuationToggle,tb_ValuationToggle,COLUMNS(tb_ValuationToggle),FALSE()),CB455,CB456,CB457,CB458))</f>
        <v>1217.6</v>
      </c>
      <c r="CC461" s="546"/>
    </row>
    <row r="462" s="51" customFormat="true" ht="15" hidden="true" customHeight="true" outlineLevel="1" collapsed="false">
      <c r="A462" s="145"/>
      <c r="B462" s="254"/>
      <c r="C462" s="159"/>
      <c r="D462" s="159"/>
      <c r="E462" s="159"/>
      <c r="F462" s="159"/>
      <c r="G462" s="159"/>
      <c r="H462" s="48"/>
      <c r="I462" s="48"/>
      <c r="J462" s="48"/>
      <c r="K462" s="48"/>
      <c r="L462" s="159"/>
      <c r="M462" s="48"/>
      <c r="N462" s="48"/>
      <c r="O462" s="48"/>
      <c r="P462" s="48"/>
      <c r="Q462" s="159"/>
      <c r="R462" s="48"/>
      <c r="S462" s="48"/>
      <c r="T462" s="48"/>
      <c r="U462" s="48"/>
      <c r="V462" s="159"/>
      <c r="W462" s="48"/>
      <c r="X462" s="48"/>
      <c r="Y462" s="48"/>
      <c r="Z462" s="48"/>
      <c r="AA462" s="159"/>
      <c r="AB462" s="48"/>
      <c r="AC462" s="48"/>
      <c r="AD462" s="48"/>
      <c r="AE462" s="48"/>
      <c r="AF462" s="159"/>
      <c r="AG462" s="48"/>
      <c r="AH462" s="48"/>
      <c r="AI462" s="48"/>
      <c r="AJ462" s="48"/>
      <c r="AK462" s="159"/>
      <c r="AL462" s="48"/>
      <c r="AM462" s="48"/>
      <c r="AN462" s="48"/>
      <c r="AO462" s="48"/>
      <c r="AP462" s="159"/>
      <c r="AQ462" s="48"/>
      <c r="AR462" s="48"/>
      <c r="AS462" s="48"/>
      <c r="AT462" s="48"/>
      <c r="AU462" s="159"/>
      <c r="AV462" s="48"/>
      <c r="AW462" s="48"/>
      <c r="AX462" s="48"/>
      <c r="AY462" s="48"/>
      <c r="AZ462" s="159"/>
      <c r="BA462" s="48"/>
      <c r="BB462" s="48"/>
      <c r="BC462" s="48"/>
      <c r="BD462" s="48"/>
      <c r="BE462" s="159"/>
      <c r="BF462" s="48"/>
      <c r="BG462" s="48"/>
      <c r="BH462" s="48"/>
      <c r="BI462" s="48"/>
      <c r="BJ462" s="159"/>
      <c r="BK462" s="48"/>
      <c r="BL462" s="48"/>
      <c r="BM462" s="48"/>
      <c r="BN462" s="48"/>
      <c r="BO462" s="160"/>
      <c r="BP462" s="48"/>
      <c r="BQ462" s="48"/>
      <c r="BR462" s="48"/>
      <c r="BS462" s="48"/>
      <c r="BT462" s="159"/>
      <c r="BU462" s="48"/>
      <c r="BV462" s="48"/>
      <c r="BW462" s="48"/>
      <c r="BX462" s="48"/>
      <c r="BY462" s="159"/>
      <c r="BZ462" s="159"/>
      <c r="CA462" s="159"/>
      <c r="CB462" s="159"/>
      <c r="CC462" s="50"/>
    </row>
    <row r="463" s="51" customFormat="true" ht="15" hidden="true" customHeight="true" outlineLevel="1" collapsed="false">
      <c r="A463" s="548" t="s">
        <v>499</v>
      </c>
      <c r="B463" s="254"/>
      <c r="C463" s="159"/>
      <c r="D463" s="159"/>
      <c r="E463" s="159"/>
      <c r="F463" s="159"/>
      <c r="G463" s="159"/>
      <c r="H463" s="48"/>
      <c r="I463" s="48"/>
      <c r="J463" s="48"/>
      <c r="K463" s="48"/>
      <c r="L463" s="159"/>
      <c r="M463" s="48"/>
      <c r="N463" s="48"/>
      <c r="O463" s="48"/>
      <c r="P463" s="48"/>
      <c r="Q463" s="159"/>
      <c r="R463" s="48"/>
      <c r="S463" s="48"/>
      <c r="T463" s="48"/>
      <c r="U463" s="48"/>
      <c r="V463" s="159"/>
      <c r="W463" s="48"/>
      <c r="X463" s="48"/>
      <c r="Y463" s="48"/>
      <c r="Z463" s="48"/>
      <c r="AA463" s="159"/>
      <c r="AB463" s="48"/>
      <c r="AC463" s="48"/>
      <c r="AD463" s="48"/>
      <c r="AE463" s="48"/>
      <c r="AF463" s="159"/>
      <c r="AG463" s="48"/>
      <c r="AH463" s="48"/>
      <c r="AI463" s="48"/>
      <c r="AJ463" s="48"/>
      <c r="AK463" s="159"/>
      <c r="AL463" s="48"/>
      <c r="AM463" s="48"/>
      <c r="AN463" s="48"/>
      <c r="AO463" s="48"/>
      <c r="AP463" s="159"/>
      <c r="AQ463" s="48"/>
      <c r="AR463" s="48"/>
      <c r="AS463" s="48"/>
      <c r="AT463" s="48"/>
      <c r="AU463" s="159"/>
      <c r="AV463" s="48"/>
      <c r="AW463" s="48"/>
      <c r="AX463" s="48"/>
      <c r="AY463" s="48"/>
      <c r="AZ463" s="159"/>
      <c r="BA463" s="48"/>
      <c r="BB463" s="48"/>
      <c r="BC463" s="48"/>
      <c r="BD463" s="48"/>
      <c r="BE463" s="159"/>
      <c r="BF463" s="48"/>
      <c r="BG463" s="48"/>
      <c r="BH463" s="48"/>
      <c r="BI463" s="48"/>
      <c r="BJ463" s="159"/>
      <c r="BK463" s="48"/>
      <c r="BL463" s="48"/>
      <c r="BM463" s="48"/>
      <c r="BN463" s="48"/>
      <c r="BO463" s="160"/>
      <c r="BP463" s="48"/>
      <c r="BQ463" s="48"/>
      <c r="BR463" s="48"/>
      <c r="BS463" s="48"/>
      <c r="BT463" s="159"/>
      <c r="BU463" s="48"/>
      <c r="BV463" s="48"/>
      <c r="BW463" s="48"/>
      <c r="BX463" s="48"/>
      <c r="BY463" s="159"/>
      <c r="BZ463" s="159"/>
      <c r="CA463" s="159"/>
      <c r="CB463" s="159"/>
      <c r="CC463" s="50"/>
    </row>
    <row r="464" s="45" customFormat="true" ht="15" hidden="true" customHeight="true" outlineLevel="1" collapsed="false">
      <c r="A464" s="298" t="s">
        <v>500</v>
      </c>
      <c r="B464" s="85"/>
      <c r="C464" s="549" t="n">
        <f aca="false">C682</f>
        <v>0</v>
      </c>
      <c r="D464" s="549" t="n">
        <f aca="false">D682</f>
        <v>0</v>
      </c>
      <c r="E464" s="549" t="n">
        <f aca="false">E682</f>
        <v>0</v>
      </c>
      <c r="F464" s="549" t="n">
        <f aca="false">F682</f>
        <v>0</v>
      </c>
      <c r="G464" s="549" t="n">
        <f aca="false">G682</f>
        <v>0</v>
      </c>
      <c r="H464" s="92" t="n">
        <f aca="false">H682</f>
        <v>0</v>
      </c>
      <c r="I464" s="92" t="n">
        <f aca="false">I682</f>
        <v>0</v>
      </c>
      <c r="J464" s="92" t="n">
        <f aca="false">J682</f>
        <v>0</v>
      </c>
      <c r="K464" s="92" t="n">
        <f aca="false">K682</f>
        <v>0</v>
      </c>
      <c r="L464" s="549" t="n">
        <f aca="false">L682</f>
        <v>0</v>
      </c>
      <c r="M464" s="92" t="n">
        <f aca="false">M682</f>
        <v>0</v>
      </c>
      <c r="N464" s="92" t="n">
        <f aca="false">N682</f>
        <v>0</v>
      </c>
      <c r="O464" s="92" t="n">
        <f aca="false">O682</f>
        <v>0</v>
      </c>
      <c r="P464" s="92" t="n">
        <f aca="false">P682</f>
        <v>0</v>
      </c>
      <c r="Q464" s="549" t="n">
        <f aca="false">Q682</f>
        <v>0</v>
      </c>
      <c r="R464" s="92" t="n">
        <f aca="false">R682</f>
        <v>0</v>
      </c>
      <c r="S464" s="92" t="n">
        <f aca="false">S682</f>
        <v>0</v>
      </c>
      <c r="T464" s="92" t="n">
        <f aca="false">T682</f>
        <v>0</v>
      </c>
      <c r="U464" s="92" t="n">
        <f aca="false">U682</f>
        <v>0</v>
      </c>
      <c r="V464" s="549" t="n">
        <f aca="false">V682</f>
        <v>0</v>
      </c>
      <c r="W464" s="92" t="n">
        <f aca="false">W682</f>
        <v>0</v>
      </c>
      <c r="X464" s="92" t="n">
        <f aca="false">X682</f>
        <v>0</v>
      </c>
      <c r="Y464" s="92" t="n">
        <f aca="false">Y682</f>
        <v>0</v>
      </c>
      <c r="Z464" s="92" t="n">
        <f aca="false">Z682</f>
        <v>0</v>
      </c>
      <c r="AA464" s="549" t="n">
        <f aca="false">AA682</f>
        <v>0</v>
      </c>
      <c r="AB464" s="92" t="n">
        <f aca="false">AB682</f>
        <v>0</v>
      </c>
      <c r="AC464" s="92" t="n">
        <f aca="false">AC682</f>
        <v>0</v>
      </c>
      <c r="AD464" s="92" t="n">
        <f aca="false">AD682</f>
        <v>0</v>
      </c>
      <c r="AE464" s="92" t="n">
        <f aca="false">AE682</f>
        <v>0</v>
      </c>
      <c r="AF464" s="549" t="n">
        <f aca="false">AF682</f>
        <v>0</v>
      </c>
      <c r="AG464" s="92" t="n">
        <f aca="false">AG682</f>
        <v>0</v>
      </c>
      <c r="AH464" s="92" t="n">
        <f aca="false">AH682</f>
        <v>0</v>
      </c>
      <c r="AI464" s="92" t="n">
        <f aca="false">AI682</f>
        <v>0</v>
      </c>
      <c r="AJ464" s="92" t="n">
        <f aca="false">AJ682</f>
        <v>0</v>
      </c>
      <c r="AK464" s="549" t="n">
        <f aca="false">AK682</f>
        <v>0</v>
      </c>
      <c r="AL464" s="92" t="n">
        <f aca="false">AL682</f>
        <v>0</v>
      </c>
      <c r="AM464" s="92" t="n">
        <f aca="false">AM682</f>
        <v>0</v>
      </c>
      <c r="AN464" s="92" t="n">
        <f aca="false">AN682</f>
        <v>0</v>
      </c>
      <c r="AO464" s="92" t="n">
        <f aca="false">AO682</f>
        <v>0</v>
      </c>
      <c r="AP464" s="549" t="n">
        <f aca="false">AP682</f>
        <v>0</v>
      </c>
      <c r="AQ464" s="92" t="n">
        <f aca="false">AQ682</f>
        <v>0</v>
      </c>
      <c r="AR464" s="92" t="n">
        <f aca="false">AR682</f>
        <v>0</v>
      </c>
      <c r="AS464" s="92" t="n">
        <f aca="false">AS682</f>
        <v>0</v>
      </c>
      <c r="AT464" s="92" t="n">
        <f aca="false">AT682</f>
        <v>0</v>
      </c>
      <c r="AU464" s="549" t="n">
        <f aca="false">AU682</f>
        <v>0</v>
      </c>
      <c r="AV464" s="92" t="n">
        <f aca="false">AV682</f>
        <v>0</v>
      </c>
      <c r="AW464" s="92" t="n">
        <f aca="false">AW682</f>
        <v>0</v>
      </c>
      <c r="AX464" s="92" t="n">
        <f aca="false">AX682</f>
        <v>0</v>
      </c>
      <c r="AY464" s="92" t="n">
        <f aca="false">AY682</f>
        <v>0</v>
      </c>
      <c r="AZ464" s="549" t="n">
        <f aca="false">AZ682</f>
        <v>0</v>
      </c>
      <c r="BA464" s="92" t="n">
        <f aca="false">BA682</f>
        <v>0</v>
      </c>
      <c r="BB464" s="92" t="n">
        <f aca="false">BB682</f>
        <v>0</v>
      </c>
      <c r="BC464" s="92" t="n">
        <f aca="false">BC682</f>
        <v>0</v>
      </c>
      <c r="BD464" s="92" t="n">
        <f aca="false">BD682</f>
        <v>0</v>
      </c>
      <c r="BE464" s="549" t="n">
        <f aca="false">BE682</f>
        <v>0</v>
      </c>
      <c r="BF464" s="92" t="n">
        <f aca="false">BF682</f>
        <v>0</v>
      </c>
      <c r="BG464" s="92" t="n">
        <f aca="false">BG682</f>
        <v>0</v>
      </c>
      <c r="BH464" s="92" t="n">
        <f aca="false">BH682</f>
        <v>0</v>
      </c>
      <c r="BI464" s="92" t="n">
        <f aca="false">BI682</f>
        <v>0</v>
      </c>
      <c r="BJ464" s="549" t="n">
        <f aca="false">BJ682</f>
        <v>0</v>
      </c>
      <c r="BK464" s="92" t="n">
        <f aca="false">BK682</f>
        <v>0</v>
      </c>
      <c r="BL464" s="92" t="n">
        <f aca="false">BL682</f>
        <v>0</v>
      </c>
      <c r="BM464" s="92" t="n">
        <f aca="false">BM682</f>
        <v>0</v>
      </c>
      <c r="BN464" s="92" t="n">
        <f aca="false">BN682</f>
        <v>0</v>
      </c>
      <c r="BO464" s="550" t="n">
        <f aca="false">BO682</f>
        <v>0</v>
      </c>
      <c r="BP464" s="215" t="n">
        <f aca="false">BP682</f>
        <v>0</v>
      </c>
      <c r="BQ464" s="215" t="n">
        <f aca="false">BQ682</f>
        <v>0</v>
      </c>
      <c r="BR464" s="215" t="n">
        <f aca="false">BR682</f>
        <v>0</v>
      </c>
      <c r="BS464" s="215" t="n">
        <f aca="false">BS682</f>
        <v>0</v>
      </c>
      <c r="BT464" s="214" t="n">
        <f aca="false">BT682</f>
        <v>0</v>
      </c>
      <c r="BU464" s="215" t="n">
        <f aca="false">BU682</f>
        <v>0</v>
      </c>
      <c r="BV464" s="215" t="n">
        <f aca="false">BV682</f>
        <v>0</v>
      </c>
      <c r="BW464" s="215" t="n">
        <f aca="false">BW682</f>
        <v>0</v>
      </c>
      <c r="BX464" s="215" t="n">
        <f aca="false">BX682</f>
        <v>0</v>
      </c>
      <c r="BY464" s="214" t="n">
        <f aca="false">BY682</f>
        <v>0</v>
      </c>
      <c r="BZ464" s="214" t="n">
        <f aca="false">BZ682</f>
        <v>0</v>
      </c>
      <c r="CA464" s="214" t="n">
        <f aca="false">CA682</f>
        <v>0</v>
      </c>
      <c r="CB464" s="214" t="n">
        <f aca="false">CB682</f>
        <v>0</v>
      </c>
      <c r="CC464" s="92"/>
    </row>
    <row r="465" s="45" customFormat="true" ht="15" hidden="true" customHeight="true" outlineLevel="1" collapsed="false">
      <c r="A465" s="298" t="s">
        <v>501</v>
      </c>
      <c r="B465" s="85"/>
      <c r="C465" s="214"/>
      <c r="D465" s="214"/>
      <c r="E465" s="214"/>
      <c r="F465" s="214"/>
      <c r="G465" s="214"/>
      <c r="H465" s="215"/>
      <c r="I465" s="215"/>
      <c r="J465" s="215"/>
      <c r="K465" s="215"/>
      <c r="L465" s="214"/>
      <c r="M465" s="215"/>
      <c r="N465" s="215"/>
      <c r="O465" s="215"/>
      <c r="P465" s="215"/>
      <c r="Q465" s="214"/>
      <c r="R465" s="215"/>
      <c r="S465" s="215"/>
      <c r="T465" s="215"/>
      <c r="U465" s="215"/>
      <c r="V465" s="214"/>
      <c r="W465" s="215"/>
      <c r="X465" s="215"/>
      <c r="Y465" s="215"/>
      <c r="Z465" s="215"/>
      <c r="AA465" s="214"/>
      <c r="AB465" s="215"/>
      <c r="AC465" s="215"/>
      <c r="AD465" s="215"/>
      <c r="AE465" s="215"/>
      <c r="AF465" s="214"/>
      <c r="AG465" s="215"/>
      <c r="AH465" s="215"/>
      <c r="AI465" s="215"/>
      <c r="AJ465" s="215"/>
      <c r="AK465" s="214"/>
      <c r="AL465" s="215"/>
      <c r="AM465" s="215"/>
      <c r="AN465" s="215"/>
      <c r="AO465" s="215"/>
      <c r="AP465" s="214"/>
      <c r="AQ465" s="215"/>
      <c r="AR465" s="215"/>
      <c r="AS465" s="215"/>
      <c r="AT465" s="215"/>
      <c r="AU465" s="214"/>
      <c r="AV465" s="215"/>
      <c r="AW465" s="215"/>
      <c r="AX465" s="215"/>
      <c r="AY465" s="215"/>
      <c r="AZ465" s="214"/>
      <c r="BA465" s="215"/>
      <c r="BB465" s="215"/>
      <c r="BC465" s="215"/>
      <c r="BD465" s="215"/>
      <c r="BE465" s="214"/>
      <c r="BF465" s="215"/>
      <c r="BG465" s="215"/>
      <c r="BH465" s="215"/>
      <c r="BI465" s="215"/>
      <c r="BJ465" s="214"/>
      <c r="BK465" s="215"/>
      <c r="BL465" s="215"/>
      <c r="BM465" s="215"/>
      <c r="BN465" s="215"/>
      <c r="BO465" s="218"/>
      <c r="BP465" s="215"/>
      <c r="BQ465" s="215"/>
      <c r="BR465" s="215"/>
      <c r="BS465" s="215"/>
      <c r="BT465" s="214"/>
      <c r="BU465" s="215"/>
      <c r="BV465" s="215"/>
      <c r="BW465" s="215"/>
      <c r="BX465" s="215"/>
      <c r="BY465" s="214"/>
      <c r="BZ465" s="214"/>
      <c r="CA465" s="214"/>
      <c r="CB465" s="214"/>
      <c r="CC465" s="92"/>
    </row>
    <row r="466" s="45" customFormat="true" ht="15" hidden="true" customHeight="true" outlineLevel="1" collapsed="false">
      <c r="A466" s="298" t="s">
        <v>502</v>
      </c>
      <c r="B466" s="85"/>
      <c r="C466" s="214"/>
      <c r="D466" s="214"/>
      <c r="E466" s="214"/>
      <c r="F466" s="214"/>
      <c r="G466" s="214"/>
      <c r="H466" s="215"/>
      <c r="I466" s="215"/>
      <c r="J466" s="215"/>
      <c r="K466" s="215"/>
      <c r="L466" s="214"/>
      <c r="M466" s="215"/>
      <c r="N466" s="215"/>
      <c r="O466" s="215"/>
      <c r="P466" s="215"/>
      <c r="Q466" s="214"/>
      <c r="R466" s="215"/>
      <c r="S466" s="215"/>
      <c r="T466" s="215"/>
      <c r="U466" s="215"/>
      <c r="V466" s="214"/>
      <c r="W466" s="215"/>
      <c r="X466" s="215"/>
      <c r="Y466" s="215"/>
      <c r="Z466" s="215"/>
      <c r="AA466" s="214"/>
      <c r="AB466" s="215"/>
      <c r="AC466" s="215"/>
      <c r="AD466" s="215"/>
      <c r="AE466" s="215"/>
      <c r="AF466" s="214"/>
      <c r="AG466" s="215"/>
      <c r="AH466" s="215"/>
      <c r="AI466" s="215"/>
      <c r="AJ466" s="215"/>
      <c r="AK466" s="214"/>
      <c r="AL466" s="215"/>
      <c r="AM466" s="215"/>
      <c r="AN466" s="215"/>
      <c r="AO466" s="215"/>
      <c r="AP466" s="214"/>
      <c r="AQ466" s="215"/>
      <c r="AR466" s="215"/>
      <c r="AS466" s="215"/>
      <c r="AT466" s="215"/>
      <c r="AU466" s="214"/>
      <c r="AV466" s="215"/>
      <c r="AW466" s="215"/>
      <c r="AX466" s="215"/>
      <c r="AY466" s="215"/>
      <c r="AZ466" s="214"/>
      <c r="BA466" s="215"/>
      <c r="BB466" s="215"/>
      <c r="BC466" s="215"/>
      <c r="BD466" s="215"/>
      <c r="BE466" s="214"/>
      <c r="BF466" s="215"/>
      <c r="BG466" s="215"/>
      <c r="BH466" s="215"/>
      <c r="BI466" s="215"/>
      <c r="BJ466" s="214"/>
      <c r="BK466" s="215"/>
      <c r="BL466" s="215"/>
      <c r="BM466" s="215"/>
      <c r="BN466" s="215"/>
      <c r="BO466" s="218"/>
      <c r="BP466" s="215"/>
      <c r="BQ466" s="215"/>
      <c r="BR466" s="215"/>
      <c r="BS466" s="215"/>
      <c r="BT466" s="214"/>
      <c r="BU466" s="215"/>
      <c r="BV466" s="215"/>
      <c r="BW466" s="215"/>
      <c r="BX466" s="215"/>
      <c r="BY466" s="214"/>
      <c r="BZ466" s="214"/>
      <c r="CA466" s="214"/>
      <c r="CB466" s="214"/>
      <c r="CC466" s="92"/>
    </row>
    <row r="467" s="51" customFormat="true" ht="15" hidden="false" customHeight="true" outlineLevel="0" collapsed="false">
      <c r="A467" s="253"/>
      <c r="B467" s="254"/>
      <c r="C467" s="159"/>
      <c r="D467" s="159"/>
      <c r="E467" s="159"/>
      <c r="F467" s="159"/>
      <c r="G467" s="159"/>
      <c r="H467" s="48"/>
      <c r="I467" s="48"/>
      <c r="J467" s="48"/>
      <c r="K467" s="48"/>
      <c r="L467" s="159"/>
      <c r="M467" s="48"/>
      <c r="N467" s="48"/>
      <c r="O467" s="48"/>
      <c r="P467" s="48"/>
      <c r="Q467" s="159"/>
      <c r="R467" s="48"/>
      <c r="S467" s="48"/>
      <c r="T467" s="48"/>
      <c r="U467" s="48"/>
      <c r="V467" s="159"/>
      <c r="W467" s="48"/>
      <c r="X467" s="48"/>
      <c r="Y467" s="48"/>
      <c r="Z467" s="48"/>
      <c r="AA467" s="159"/>
      <c r="AB467" s="48"/>
      <c r="AC467" s="48"/>
      <c r="AD467" s="48"/>
      <c r="AE467" s="48"/>
      <c r="AF467" s="159"/>
      <c r="AG467" s="48"/>
      <c r="AH467" s="48"/>
      <c r="AI467" s="48"/>
      <c r="AJ467" s="48"/>
      <c r="AK467" s="159"/>
      <c r="AL467" s="48"/>
      <c r="AM467" s="48"/>
      <c r="AN467" s="48"/>
      <c r="AO467" s="48"/>
      <c r="AP467" s="159"/>
      <c r="AQ467" s="48"/>
      <c r="AR467" s="48"/>
      <c r="AS467" s="48"/>
      <c r="AT467" s="48"/>
      <c r="AU467" s="159"/>
      <c r="AV467" s="48"/>
      <c r="AW467" s="48"/>
      <c r="AX467" s="48"/>
      <c r="AY467" s="48"/>
      <c r="AZ467" s="159"/>
      <c r="BA467" s="48"/>
      <c r="BB467" s="48"/>
      <c r="BC467" s="48"/>
      <c r="BD467" s="48"/>
      <c r="BE467" s="159"/>
      <c r="BF467" s="48"/>
      <c r="BG467" s="48"/>
      <c r="BH467" s="48"/>
      <c r="BI467" s="48"/>
      <c r="BJ467" s="159"/>
      <c r="BK467" s="48"/>
      <c r="BL467" s="48"/>
      <c r="BM467" s="48"/>
      <c r="BN467" s="48"/>
      <c r="BO467" s="160"/>
      <c r="BP467" s="48"/>
      <c r="BQ467" s="48"/>
      <c r="BR467" s="48"/>
      <c r="BS467" s="48"/>
      <c r="BT467" s="159"/>
      <c r="BU467" s="48"/>
      <c r="BV467" s="48"/>
      <c r="BW467" s="48"/>
      <c r="BX467" s="48"/>
      <c r="BY467" s="159"/>
      <c r="BZ467" s="159"/>
      <c r="CA467" s="159"/>
      <c r="CB467" s="159"/>
      <c r="CC467" s="50"/>
    </row>
    <row r="468" s="157" customFormat="true" ht="15" hidden="false" customHeight="true" outlineLevel="0" collapsed="false">
      <c r="A468" s="219" t="s">
        <v>503</v>
      </c>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c r="AA468" s="219"/>
      <c r="AB468" s="219"/>
      <c r="AC468" s="219"/>
      <c r="AD468" s="219"/>
      <c r="AE468" s="219"/>
      <c r="AF468" s="219"/>
      <c r="AG468" s="219"/>
      <c r="AH468" s="219"/>
      <c r="AI468" s="219"/>
      <c r="AJ468" s="219"/>
      <c r="AK468" s="219"/>
      <c r="AL468" s="219"/>
      <c r="AM468" s="219"/>
      <c r="AN468" s="219"/>
      <c r="AO468" s="219"/>
      <c r="AP468" s="219"/>
      <c r="AQ468" s="219"/>
      <c r="AR468" s="219"/>
      <c r="AS468" s="219"/>
      <c r="AT468" s="219"/>
      <c r="AU468" s="219"/>
      <c r="AV468" s="219"/>
      <c r="AW468" s="219"/>
      <c r="AX468" s="219"/>
      <c r="AY468" s="219"/>
      <c r="AZ468" s="219"/>
      <c r="BA468" s="219"/>
      <c r="BB468" s="219"/>
      <c r="BC468" s="219"/>
      <c r="BD468" s="219"/>
      <c r="BE468" s="219"/>
      <c r="BF468" s="219"/>
      <c r="BG468" s="219"/>
      <c r="BH468" s="219"/>
      <c r="BI468" s="219"/>
      <c r="BJ468" s="219"/>
      <c r="BK468" s="219"/>
      <c r="BL468" s="219"/>
      <c r="BM468" s="219"/>
      <c r="BN468" s="219"/>
      <c r="BO468" s="220"/>
      <c r="BP468" s="219"/>
      <c r="BQ468" s="219"/>
      <c r="BR468" s="219"/>
      <c r="BS468" s="219"/>
      <c r="BT468" s="219"/>
      <c r="BU468" s="219"/>
      <c r="BV468" s="219"/>
      <c r="BW468" s="219"/>
      <c r="BX468" s="219"/>
      <c r="BY468" s="219"/>
      <c r="BZ468" s="219"/>
      <c r="CA468" s="219"/>
      <c r="CB468" s="219"/>
      <c r="CC468" s="156"/>
    </row>
    <row r="469" s="51" customFormat="true" ht="15" hidden="true" customHeight="true" outlineLevel="1" collapsed="false">
      <c r="A469" s="221" t="s">
        <v>407</v>
      </c>
      <c r="B469" s="266"/>
      <c r="C469" s="159"/>
      <c r="D469" s="159"/>
      <c r="E469" s="159"/>
      <c r="F469" s="159"/>
      <c r="G469" s="159"/>
      <c r="H469" s="48"/>
      <c r="I469" s="48"/>
      <c r="J469" s="48"/>
      <c r="K469" s="48"/>
      <c r="L469" s="159"/>
      <c r="M469" s="48"/>
      <c r="N469" s="48"/>
      <c r="O469" s="48"/>
      <c r="P469" s="48"/>
      <c r="Q469" s="159"/>
      <c r="R469" s="48"/>
      <c r="S469" s="48"/>
      <c r="T469" s="48"/>
      <c r="U469" s="48"/>
      <c r="V469" s="159"/>
      <c r="W469" s="48"/>
      <c r="X469" s="48"/>
      <c r="Y469" s="48"/>
      <c r="Z469" s="48"/>
      <c r="AA469" s="159"/>
      <c r="AB469" s="48"/>
      <c r="AC469" s="48"/>
      <c r="AD469" s="48"/>
      <c r="AE469" s="48"/>
      <c r="AF469" s="159"/>
      <c r="AG469" s="48"/>
      <c r="AH469" s="48"/>
      <c r="AI469" s="48"/>
      <c r="AJ469" s="48"/>
      <c r="AK469" s="159"/>
      <c r="AL469" s="48"/>
      <c r="AM469" s="48"/>
      <c r="AN469" s="48"/>
      <c r="AO469" s="48"/>
      <c r="AP469" s="159"/>
      <c r="AQ469" s="48"/>
      <c r="AR469" s="48"/>
      <c r="AS469" s="48"/>
      <c r="AT469" s="48"/>
      <c r="AU469" s="159"/>
      <c r="AV469" s="48"/>
      <c r="AW469" s="48"/>
      <c r="AX469" s="48"/>
      <c r="AY469" s="48"/>
      <c r="AZ469" s="159"/>
      <c r="BA469" s="48"/>
      <c r="BB469" s="48"/>
      <c r="BC469" s="48"/>
      <c r="BD469" s="48"/>
      <c r="BE469" s="159"/>
      <c r="BF469" s="48"/>
      <c r="BG469" s="48"/>
      <c r="BH469" s="48"/>
      <c r="BI469" s="48"/>
      <c r="BJ469" s="159"/>
      <c r="BK469" s="48"/>
      <c r="BL469" s="48"/>
      <c r="BM469" s="48"/>
      <c r="BN469" s="48"/>
      <c r="BO469" s="160"/>
      <c r="BP469" s="48"/>
      <c r="BQ469" s="48"/>
      <c r="BR469" s="48"/>
      <c r="BS469" s="48"/>
      <c r="BT469" s="159"/>
      <c r="BU469" s="48"/>
      <c r="BV469" s="48"/>
      <c r="BW469" s="48"/>
      <c r="BX469" s="48"/>
      <c r="BY469" s="159"/>
      <c r="BZ469" s="159"/>
      <c r="CA469" s="159"/>
      <c r="CB469" s="159"/>
      <c r="CC469" s="50"/>
    </row>
    <row r="470" s="51" customFormat="true" ht="15" hidden="true" customHeight="true" outlineLevel="1" collapsed="false">
      <c r="A470" s="270" t="s">
        <v>404</v>
      </c>
      <c r="B470" s="254"/>
      <c r="C470" s="255" t="n">
        <v>-150.925</v>
      </c>
      <c r="D470" s="255" t="n">
        <v>1021.82</v>
      </c>
      <c r="E470" s="255" t="n">
        <v>1466.96</v>
      </c>
      <c r="F470" s="255" t="n">
        <v>1146.316</v>
      </c>
      <c r="G470" s="255" t="n">
        <v>1015.49</v>
      </c>
      <c r="H470" s="263" t="n">
        <v>249.1</v>
      </c>
      <c r="I470" s="263" t="n">
        <v>647.8</v>
      </c>
      <c r="J470" s="263" t="n">
        <v>891.8</v>
      </c>
      <c r="K470" s="50" t="n">
        <f aca="false">L470</f>
        <v>1196.64</v>
      </c>
      <c r="L470" s="255" t="n">
        <v>1196.64</v>
      </c>
      <c r="M470" s="263" t="n">
        <v>402.7</v>
      </c>
      <c r="N470" s="263" t="n">
        <v>772.4</v>
      </c>
      <c r="O470" s="263" t="n">
        <v>1094.8</v>
      </c>
      <c r="P470" s="50" t="n">
        <f aca="false">Q470</f>
        <v>1387.174</v>
      </c>
      <c r="Q470" s="255" t="n">
        <v>1387.174</v>
      </c>
      <c r="R470" s="263" t="n">
        <v>198</v>
      </c>
      <c r="S470" s="263" t="n">
        <v>551.8</v>
      </c>
      <c r="T470" s="263" t="n">
        <v>947.7</v>
      </c>
      <c r="U470" s="50" t="n">
        <f aca="false">V470</f>
        <v>1471.9</v>
      </c>
      <c r="V470" s="255" t="n">
        <v>1471.9</v>
      </c>
      <c r="W470" s="263" t="n">
        <v>452.1</v>
      </c>
      <c r="X470" s="263" t="n">
        <v>918.4</v>
      </c>
      <c r="Y470" s="263" t="n">
        <v>1475.5</v>
      </c>
      <c r="Z470" s="50" t="n">
        <f aca="false">AA470</f>
        <v>2118.5</v>
      </c>
      <c r="AA470" s="255" t="n">
        <v>2118.5</v>
      </c>
      <c r="AB470" s="263" t="n">
        <v>539.7</v>
      </c>
      <c r="AC470" s="263" t="n">
        <v>1123.7</v>
      </c>
      <c r="AD470" s="263" t="n">
        <v>1804.1</v>
      </c>
      <c r="AE470" s="50" t="n">
        <f aca="false">AF470</f>
        <v>2591.6</v>
      </c>
      <c r="AF470" s="255" t="n">
        <v>2591.6</v>
      </c>
      <c r="AG470" s="263" t="n">
        <v>355.4</v>
      </c>
      <c r="AH470" s="263" t="n">
        <v>831.4</v>
      </c>
      <c r="AI470" s="263" t="n">
        <v>1458.2</v>
      </c>
      <c r="AJ470" s="50" t="n">
        <f aca="false">AK470</f>
        <v>2592.3</v>
      </c>
      <c r="AK470" s="255" t="n">
        <v>2592.3</v>
      </c>
      <c r="AL470" s="263" t="n">
        <v>390.6</v>
      </c>
      <c r="AM470" s="263" t="n">
        <v>1141.6</v>
      </c>
      <c r="AN470" s="263" t="n">
        <v>2203.1</v>
      </c>
      <c r="AO470" s="50" t="n">
        <f aca="false">AP470</f>
        <v>3553.7</v>
      </c>
      <c r="AP470" s="255" t="n">
        <v>3553.7</v>
      </c>
      <c r="AQ470" s="263" t="n">
        <v>1331.4</v>
      </c>
      <c r="AR470" s="263" t="n">
        <v>2369.6</v>
      </c>
      <c r="AS470" s="263" t="n">
        <v>4109.8</v>
      </c>
      <c r="AT470" s="50" t="n">
        <f aca="false">AU470</f>
        <v>5883.2</v>
      </c>
      <c r="AU470" s="255" t="n">
        <v>5883.2</v>
      </c>
      <c r="AV470" s="263" t="n">
        <v>695.3</v>
      </c>
      <c r="AW470" s="263" t="n">
        <v>2106.2</v>
      </c>
      <c r="AX470" s="263" t="n">
        <v>3807.7</v>
      </c>
      <c r="AY470" s="50" t="n">
        <f aca="false">AZ470</f>
        <v>5624.2</v>
      </c>
      <c r="AZ470" s="255" t="n">
        <v>5624.2</v>
      </c>
      <c r="BA470" s="263" t="n">
        <v>1955.8</v>
      </c>
      <c r="BB470" s="263" t="n">
        <v>3897.5</v>
      </c>
      <c r="BC470" s="263" t="n">
        <v>5790.9</v>
      </c>
      <c r="BD470" s="50" t="n">
        <f aca="false">BE470</f>
        <v>7839</v>
      </c>
      <c r="BE470" s="255" t="n">
        <v>7839</v>
      </c>
      <c r="BF470" s="263" t="n">
        <v>1223.8</v>
      </c>
      <c r="BG470" s="263" t="n">
        <v>2801.7</v>
      </c>
      <c r="BH470" s="263" t="n">
        <v>4878.2</v>
      </c>
      <c r="BI470" s="50" t="n">
        <f aca="false">BJ470</f>
        <v>7571.6</v>
      </c>
      <c r="BJ470" s="255" t="n">
        <v>7571.6</v>
      </c>
      <c r="BK470" s="263" t="n">
        <v>2355</v>
      </c>
      <c r="BL470" s="263" t="n">
        <v>4645.3</v>
      </c>
      <c r="BM470" s="263" t="n">
        <v>6769.8</v>
      </c>
      <c r="BN470" s="50" t="n">
        <f aca="false">BO470</f>
        <v>9609.4</v>
      </c>
      <c r="BO470" s="390" t="n">
        <v>9609.4</v>
      </c>
      <c r="BP470" s="48"/>
      <c r="BQ470" s="48"/>
      <c r="BR470" s="48"/>
      <c r="BS470" s="48"/>
      <c r="BT470" s="159"/>
      <c r="BU470" s="48"/>
      <c r="BV470" s="48"/>
      <c r="BW470" s="48"/>
      <c r="BX470" s="48"/>
      <c r="BY470" s="159"/>
      <c r="BZ470" s="159"/>
      <c r="CA470" s="159"/>
      <c r="CB470" s="159"/>
      <c r="CC470" s="50"/>
    </row>
    <row r="471" s="51" customFormat="true" ht="15" hidden="true" customHeight="true" outlineLevel="1" collapsed="false">
      <c r="A471" s="270" t="s">
        <v>504</v>
      </c>
      <c r="B471" s="254"/>
      <c r="C471" s="255" t="n">
        <v>141.631</v>
      </c>
      <c r="D471" s="255" t="n">
        <v>151.444</v>
      </c>
      <c r="E471" s="255" t="n">
        <v>165.185</v>
      </c>
      <c r="F471" s="255" t="n">
        <v>186.62</v>
      </c>
      <c r="G471" s="255" t="n">
        <v>228.775</v>
      </c>
      <c r="H471" s="263" t="n">
        <v>64.7</v>
      </c>
      <c r="I471" s="263" t="n">
        <v>131.7</v>
      </c>
      <c r="J471" s="263" t="n">
        <v>192.1</v>
      </c>
      <c r="K471" s="50" t="n">
        <f aca="false">L471</f>
        <v>254.644</v>
      </c>
      <c r="L471" s="255" t="n">
        <v>254.644</v>
      </c>
      <c r="M471" s="263" t="n">
        <v>66.1</v>
      </c>
      <c r="N471" s="263" t="n">
        <v>138.9</v>
      </c>
      <c r="O471" s="263" t="n">
        <v>216.4</v>
      </c>
      <c r="P471" s="50" t="n">
        <f aca="false">Q471</f>
        <v>296.884</v>
      </c>
      <c r="Q471" s="255" t="n">
        <v>296.884</v>
      </c>
      <c r="R471" s="263" t="n">
        <v>82</v>
      </c>
      <c r="S471" s="263" t="n">
        <v>166.1</v>
      </c>
      <c r="T471" s="263" t="n">
        <v>253.8</v>
      </c>
      <c r="U471" s="50" t="n">
        <f aca="false">V471</f>
        <v>356.9</v>
      </c>
      <c r="V471" s="255" t="n">
        <v>356.9</v>
      </c>
      <c r="W471" s="263" t="n">
        <v>110.1</v>
      </c>
      <c r="X471" s="263" t="n">
        <v>214</v>
      </c>
      <c r="Y471" s="263" t="n">
        <v>315.2</v>
      </c>
      <c r="Z471" s="50" t="n">
        <f aca="false">AA471</f>
        <v>417.5</v>
      </c>
      <c r="AA471" s="255" t="n">
        <v>417.5</v>
      </c>
      <c r="AB471" s="263" t="n">
        <v>102.6</v>
      </c>
      <c r="AC471" s="263" t="n">
        <v>202.3</v>
      </c>
      <c r="AD471" s="263" t="n">
        <v>312.3</v>
      </c>
      <c r="AE471" s="50" t="n">
        <f aca="false">AF471</f>
        <v>422.7</v>
      </c>
      <c r="AF471" s="255" t="n">
        <v>422.7</v>
      </c>
      <c r="AG471" s="263" t="n">
        <v>104.8</v>
      </c>
      <c r="AH471" s="263" t="n">
        <v>213.2</v>
      </c>
      <c r="AI471" s="263" t="n">
        <v>325.6</v>
      </c>
      <c r="AJ471" s="50" t="n">
        <f aca="false">AK471</f>
        <v>448.5</v>
      </c>
      <c r="AK471" s="255" t="n">
        <v>448.5</v>
      </c>
      <c r="AL471" s="263" t="n">
        <v>118.3</v>
      </c>
      <c r="AM471" s="263" t="n">
        <v>243.4</v>
      </c>
      <c r="AN471" s="263" t="n">
        <v>365.4</v>
      </c>
      <c r="AO471" s="50" t="n">
        <f aca="false">AP471</f>
        <v>490.8</v>
      </c>
      <c r="AP471" s="255" t="n">
        <v>490.8</v>
      </c>
      <c r="AQ471" s="263" t="n">
        <v>117.9</v>
      </c>
      <c r="AR471" s="263" t="n">
        <v>230.6</v>
      </c>
      <c r="AS471" s="263" t="n">
        <v>346.8</v>
      </c>
      <c r="AT471" s="50" t="n">
        <f aca="false">AU471</f>
        <v>471</v>
      </c>
      <c r="AU471" s="255" t="n">
        <v>471</v>
      </c>
      <c r="AV471" s="263" t="n">
        <v>131</v>
      </c>
      <c r="AW471" s="263" t="n">
        <v>262.5</v>
      </c>
      <c r="AX471" s="263" t="n">
        <v>400.4</v>
      </c>
      <c r="AY471" s="50" t="n">
        <f aca="false">AZ471</f>
        <v>583.6</v>
      </c>
      <c r="AZ471" s="255" t="n">
        <v>583.6</v>
      </c>
      <c r="BA471" s="263" t="n">
        <v>170.3</v>
      </c>
      <c r="BB471" s="263" t="n">
        <v>351.5</v>
      </c>
      <c r="BC471" s="263" t="n">
        <v>527.7</v>
      </c>
      <c r="BD471" s="50" t="n">
        <f aca="false">BE471</f>
        <v>739.8</v>
      </c>
      <c r="BE471" s="255" t="n">
        <v>739.8</v>
      </c>
      <c r="BF471" s="263" t="n">
        <v>214.4</v>
      </c>
      <c r="BG471" s="263" t="n">
        <v>441.9</v>
      </c>
      <c r="BH471" s="263" t="n">
        <v>677.6</v>
      </c>
      <c r="BI471" s="50" t="n">
        <f aca="false">BJ471</f>
        <v>918.6</v>
      </c>
      <c r="BJ471" s="255" t="n">
        <v>918.6</v>
      </c>
      <c r="BK471" s="263" t="n">
        <v>241.3</v>
      </c>
      <c r="BL471" s="263" t="n">
        <v>496.2</v>
      </c>
      <c r="BM471" s="263" t="n">
        <v>770.8</v>
      </c>
      <c r="BN471" s="50" t="n">
        <f aca="false">BO471</f>
        <v>1025.9</v>
      </c>
      <c r="BO471" s="390" t="n">
        <v>1025.9</v>
      </c>
      <c r="BP471" s="48"/>
      <c r="BQ471" s="48"/>
      <c r="BR471" s="48"/>
      <c r="BS471" s="48"/>
      <c r="BT471" s="159"/>
      <c r="BU471" s="48"/>
      <c r="BV471" s="48"/>
      <c r="BW471" s="48"/>
      <c r="BX471" s="48"/>
      <c r="BY471" s="159"/>
      <c r="BZ471" s="159"/>
      <c r="CA471" s="159"/>
      <c r="CB471" s="159"/>
      <c r="CC471" s="50"/>
    </row>
    <row r="472" s="51" customFormat="true" ht="15" hidden="true" customHeight="true" outlineLevel="1" collapsed="false">
      <c r="A472" s="270" t="s">
        <v>505</v>
      </c>
      <c r="B472" s="254"/>
      <c r="C472" s="255" t="n">
        <v>15.896</v>
      </c>
      <c r="D472" s="255" t="n">
        <v>8.563</v>
      </c>
      <c r="E472" s="255" t="n">
        <v>12.272</v>
      </c>
      <c r="F472" s="255" t="n">
        <v>3.234</v>
      </c>
      <c r="G472" s="255" t="n">
        <v>13.057</v>
      </c>
      <c r="H472" s="263" t="n">
        <v>3.9</v>
      </c>
      <c r="I472" s="263" t="n">
        <v>6.4</v>
      </c>
      <c r="J472" s="263" t="n">
        <v>10</v>
      </c>
      <c r="K472" s="50" t="n">
        <f aca="false">L472</f>
        <v>10.528</v>
      </c>
      <c r="L472" s="255" t="n">
        <v>10.528</v>
      </c>
      <c r="M472" s="48"/>
      <c r="N472" s="263" t="n">
        <v>0.6</v>
      </c>
      <c r="O472" s="263" t="n">
        <v>0.8</v>
      </c>
      <c r="P472" s="50" t="n">
        <f aca="false">Q472</f>
        <v>2.287</v>
      </c>
      <c r="Q472" s="255" t="n">
        <v>2.287</v>
      </c>
      <c r="R472" s="263" t="n">
        <v>0.5</v>
      </c>
      <c r="S472" s="263" t="n">
        <v>0.9</v>
      </c>
      <c r="T472" s="263" t="n">
        <v>2.3</v>
      </c>
      <c r="U472" s="50" t="n">
        <f aca="false">V472</f>
        <v>3.5</v>
      </c>
      <c r="V472" s="255" t="n">
        <v>3.5</v>
      </c>
      <c r="W472" s="263" t="n">
        <v>0.2</v>
      </c>
      <c r="X472" s="263" t="n">
        <v>7.8</v>
      </c>
      <c r="Y472" s="263" t="n">
        <v>7.8</v>
      </c>
      <c r="Z472" s="50" t="n">
        <f aca="false">AA472</f>
        <v>9</v>
      </c>
      <c r="AA472" s="255" t="n">
        <v>9</v>
      </c>
      <c r="AB472" s="263" t="n">
        <v>2</v>
      </c>
      <c r="AC472" s="263" t="n">
        <v>4.6</v>
      </c>
      <c r="AD472" s="263" t="n">
        <v>5.8</v>
      </c>
      <c r="AE472" s="50" t="n">
        <f aca="false">AF472</f>
        <v>15.4</v>
      </c>
      <c r="AF472" s="255" t="n">
        <v>15.4</v>
      </c>
      <c r="AG472" s="263" t="n">
        <v>2.7</v>
      </c>
      <c r="AH472" s="263" t="n">
        <v>2.7</v>
      </c>
      <c r="AI472" s="263" t="n">
        <v>4.7</v>
      </c>
      <c r="AJ472" s="50" t="n">
        <f aca="false">AK472</f>
        <v>4.7</v>
      </c>
      <c r="AK472" s="255" t="n">
        <v>4.7</v>
      </c>
      <c r="AL472" s="263" t="n">
        <v>2.7</v>
      </c>
      <c r="AM472" s="263" t="n">
        <v>2.7</v>
      </c>
      <c r="AN472" s="263" t="n">
        <v>2.7</v>
      </c>
      <c r="AO472" s="50" t="n">
        <f aca="false">AP472</f>
        <v>2.7</v>
      </c>
      <c r="AP472" s="255" t="n">
        <v>2.7</v>
      </c>
      <c r="AQ472" s="48"/>
      <c r="AR472" s="48"/>
      <c r="AS472" s="48"/>
      <c r="AT472" s="50" t="n">
        <f aca="false">AU472</f>
        <v>0</v>
      </c>
      <c r="AU472" s="159"/>
      <c r="AV472" s="48"/>
      <c r="AW472" s="48"/>
      <c r="AX472" s="48"/>
      <c r="AY472" s="50" t="n">
        <f aca="false">AZ472</f>
        <v>0</v>
      </c>
      <c r="AZ472" s="159"/>
      <c r="BA472" s="48"/>
      <c r="BB472" s="48"/>
      <c r="BC472" s="48"/>
      <c r="BD472" s="50" t="n">
        <f aca="false">BE472</f>
        <v>0</v>
      </c>
      <c r="BE472" s="159"/>
      <c r="BF472" s="48"/>
      <c r="BG472" s="48"/>
      <c r="BH472" s="48"/>
      <c r="BI472" s="50" t="n">
        <f aca="false">BJ472</f>
        <v>0</v>
      </c>
      <c r="BJ472" s="159"/>
      <c r="BK472" s="48"/>
      <c r="BL472" s="48"/>
      <c r="BM472" s="48"/>
      <c r="BN472" s="50" t="n">
        <f aca="false">BO472</f>
        <v>0</v>
      </c>
      <c r="BO472" s="160"/>
      <c r="BP472" s="48"/>
      <c r="BQ472" s="48"/>
      <c r="BR472" s="48"/>
      <c r="BS472" s="48"/>
      <c r="BT472" s="159"/>
      <c r="BU472" s="48"/>
      <c r="BV472" s="48"/>
      <c r="BW472" s="48"/>
      <c r="BX472" s="48"/>
      <c r="BY472" s="159"/>
      <c r="BZ472" s="159"/>
      <c r="CA472" s="159"/>
      <c r="CB472" s="159"/>
      <c r="CC472" s="50"/>
    </row>
    <row r="473" s="51" customFormat="true" ht="15" hidden="true" customHeight="true" outlineLevel="1" collapsed="false">
      <c r="A473" s="270" t="s">
        <v>506</v>
      </c>
      <c r="B473" s="254"/>
      <c r="C473" s="255" t="n">
        <v>4.053</v>
      </c>
      <c r="D473" s="255" t="n">
        <v>2.913</v>
      </c>
      <c r="E473" s="255" t="n">
        <v>3.368</v>
      </c>
      <c r="F473" s="255" t="n">
        <v>2.272</v>
      </c>
      <c r="G473" s="255" t="n">
        <v>2.823</v>
      </c>
      <c r="H473" s="263" t="n">
        <v>0.7</v>
      </c>
      <c r="I473" s="263" t="n">
        <v>1.2</v>
      </c>
      <c r="J473" s="263" t="n">
        <v>2.1</v>
      </c>
      <c r="K473" s="50" t="n">
        <f aca="false">L473</f>
        <v>3.502</v>
      </c>
      <c r="L473" s="255" t="n">
        <v>3.502</v>
      </c>
      <c r="M473" s="263" t="n">
        <v>0.9</v>
      </c>
      <c r="N473" s="263" t="n">
        <v>1.3</v>
      </c>
      <c r="O473" s="263" t="n">
        <v>1.6</v>
      </c>
      <c r="P473" s="50" t="n">
        <f aca="false">Q473</f>
        <v>1.63</v>
      </c>
      <c r="Q473" s="255" t="n">
        <v>1.63</v>
      </c>
      <c r="R473" s="263" t="n">
        <v>1.2</v>
      </c>
      <c r="S473" s="263" t="n">
        <v>2.1</v>
      </c>
      <c r="T473" s="263" t="n">
        <v>3.8</v>
      </c>
      <c r="U473" s="50" t="n">
        <f aca="false">V473</f>
        <v>5.2</v>
      </c>
      <c r="V473" s="255" t="n">
        <v>5.2</v>
      </c>
      <c r="W473" s="263" t="n">
        <v>0.3</v>
      </c>
      <c r="X473" s="263" t="n">
        <v>1.1</v>
      </c>
      <c r="Y473" s="263" t="n">
        <v>1.2</v>
      </c>
      <c r="Z473" s="50" t="n">
        <f aca="false">AA473</f>
        <v>2.8</v>
      </c>
      <c r="AA473" s="255" t="n">
        <v>2.8</v>
      </c>
      <c r="AB473" s="263" t="n">
        <v>0.4</v>
      </c>
      <c r="AC473" s="263" t="n">
        <v>3.4</v>
      </c>
      <c r="AD473" s="263" t="n">
        <v>3.5</v>
      </c>
      <c r="AE473" s="50" t="n">
        <f aca="false">AF473</f>
        <v>3.6</v>
      </c>
      <c r="AF473" s="255" t="n">
        <v>3.6</v>
      </c>
      <c r="AG473" s="263" t="n">
        <v>0.6</v>
      </c>
      <c r="AH473" s="263" t="n">
        <v>2</v>
      </c>
      <c r="AI473" s="263" t="n">
        <v>2.3</v>
      </c>
      <c r="AJ473" s="50" t="n">
        <f aca="false">AK473</f>
        <v>3.1</v>
      </c>
      <c r="AK473" s="255" t="n">
        <v>3.1</v>
      </c>
      <c r="AL473" s="263" t="n">
        <v>1</v>
      </c>
      <c r="AM473" s="263" t="n">
        <v>1.2</v>
      </c>
      <c r="AN473" s="263" t="n">
        <v>2</v>
      </c>
      <c r="AO473" s="50" t="n">
        <f aca="false">AP473</f>
        <v>2.8</v>
      </c>
      <c r="AP473" s="255" t="n">
        <v>2.8</v>
      </c>
      <c r="AQ473" s="263" t="n">
        <v>6.2</v>
      </c>
      <c r="AR473" s="263" t="n">
        <v>6.4</v>
      </c>
      <c r="AS473" s="263" t="n">
        <v>-33.4</v>
      </c>
      <c r="AT473" s="50" t="n">
        <f aca="false">AU473</f>
        <v>-15.9</v>
      </c>
      <c r="AU473" s="255" t="n">
        <v>-15.9</v>
      </c>
      <c r="AV473" s="263" t="n">
        <v>12.1</v>
      </c>
      <c r="AW473" s="263" t="n">
        <v>12.4</v>
      </c>
      <c r="AX473" s="263" t="n">
        <v>25.6</v>
      </c>
      <c r="AY473" s="50" t="n">
        <f aca="false">AZ473</f>
        <v>39.3</v>
      </c>
      <c r="AZ473" s="255" t="n">
        <v>39.3</v>
      </c>
      <c r="BA473" s="263" t="n">
        <v>3.2</v>
      </c>
      <c r="BB473" s="263" t="n">
        <v>7.1</v>
      </c>
      <c r="BC473" s="263" t="n">
        <v>27.5</v>
      </c>
      <c r="BD473" s="50" t="n">
        <f aca="false">BE473</f>
        <v>37.5</v>
      </c>
      <c r="BE473" s="255" t="n">
        <v>37.5</v>
      </c>
      <c r="BF473" s="263" t="n">
        <v>4.2</v>
      </c>
      <c r="BG473" s="263" t="n">
        <v>17.9</v>
      </c>
      <c r="BH473" s="263" t="n">
        <v>24.7</v>
      </c>
      <c r="BI473" s="50" t="n">
        <f aca="false">BJ473</f>
        <v>35.8</v>
      </c>
      <c r="BJ473" s="255" t="n">
        <v>35.8</v>
      </c>
      <c r="BK473" s="263" t="n">
        <v>2.1</v>
      </c>
      <c r="BL473" s="263" t="n">
        <v>18.6</v>
      </c>
      <c r="BM473" s="263" t="n">
        <v>21.7</v>
      </c>
      <c r="BN473" s="50" t="n">
        <f aca="false">BO473</f>
        <v>49.7</v>
      </c>
      <c r="BO473" s="390" t="n">
        <v>49.7</v>
      </c>
      <c r="BP473" s="48"/>
      <c r="BQ473" s="48"/>
      <c r="BR473" s="48"/>
      <c r="BS473" s="48"/>
      <c r="BT473" s="159"/>
      <c r="BU473" s="48"/>
      <c r="BV473" s="48"/>
      <c r="BW473" s="48"/>
      <c r="BX473" s="48"/>
      <c r="BY473" s="159"/>
      <c r="BZ473" s="159"/>
      <c r="CA473" s="159"/>
      <c r="CB473" s="159"/>
      <c r="CC473" s="50"/>
    </row>
    <row r="474" s="51" customFormat="true" ht="15" hidden="true" customHeight="true" outlineLevel="1" collapsed="false">
      <c r="A474" s="270" t="s">
        <v>507</v>
      </c>
      <c r="B474" s="254"/>
      <c r="C474" s="255" t="n">
        <v>13.394</v>
      </c>
      <c r="D474" s="255" t="n">
        <v>12.109</v>
      </c>
      <c r="E474" s="255" t="n">
        <v>12.43</v>
      </c>
      <c r="F474" s="255" t="n">
        <v>18.714</v>
      </c>
      <c r="G474" s="255" t="n">
        <v>52.371</v>
      </c>
      <c r="H474" s="263" t="n">
        <v>23.1</v>
      </c>
      <c r="I474" s="263" t="n">
        <v>36.6</v>
      </c>
      <c r="J474" s="263" t="n">
        <v>50.3</v>
      </c>
      <c r="K474" s="50" t="n">
        <f aca="false">L474</f>
        <v>63.38</v>
      </c>
      <c r="L474" s="255" t="n">
        <v>63.38</v>
      </c>
      <c r="M474" s="263" t="n">
        <v>14.6</v>
      </c>
      <c r="N474" s="263" t="n">
        <v>29.6</v>
      </c>
      <c r="O474" s="263" t="n">
        <v>44.4</v>
      </c>
      <c r="P474" s="50" t="n">
        <f aca="false">Q474</f>
        <v>59.07</v>
      </c>
      <c r="Q474" s="255" t="n">
        <v>59.07</v>
      </c>
      <c r="R474" s="263" t="n">
        <v>13.2</v>
      </c>
      <c r="S474" s="263" t="n">
        <v>24.1</v>
      </c>
      <c r="T474" s="263" t="n">
        <v>35.7</v>
      </c>
      <c r="U474" s="50" t="n">
        <f aca="false">V474</f>
        <v>47.7</v>
      </c>
      <c r="V474" s="255" t="n">
        <v>47.7</v>
      </c>
      <c r="W474" s="263" t="n">
        <v>13.5</v>
      </c>
      <c r="X474" s="263" t="n">
        <v>23.6</v>
      </c>
      <c r="Y474" s="263" t="n">
        <v>38.4</v>
      </c>
      <c r="Z474" s="50" t="n">
        <f aca="false">AA474</f>
        <v>53.1</v>
      </c>
      <c r="AA474" s="255" t="n">
        <v>53.1</v>
      </c>
      <c r="AB474" s="263" t="n">
        <v>12.2</v>
      </c>
      <c r="AC474" s="263" t="n">
        <v>21.4</v>
      </c>
      <c r="AD474" s="263" t="n">
        <v>38</v>
      </c>
      <c r="AE474" s="50" t="n">
        <f aca="false">AF474</f>
        <v>46.3</v>
      </c>
      <c r="AF474" s="255" t="n">
        <v>46.3</v>
      </c>
      <c r="AG474" s="263" t="n">
        <v>14.9</v>
      </c>
      <c r="AH474" s="263" t="n">
        <v>27.4</v>
      </c>
      <c r="AI474" s="263" t="n">
        <v>45.4</v>
      </c>
      <c r="AJ474" s="50" t="n">
        <f aca="false">AK474</f>
        <v>74.6</v>
      </c>
      <c r="AK474" s="255" t="n">
        <v>74.6</v>
      </c>
      <c r="AL474" s="263" t="n">
        <v>14.9</v>
      </c>
      <c r="AM474" s="263" t="n">
        <v>25.2</v>
      </c>
      <c r="AN474" s="263" t="n">
        <v>47.7</v>
      </c>
      <c r="AO474" s="50" t="n">
        <f aca="false">AP474</f>
        <v>53.9</v>
      </c>
      <c r="AP474" s="255" t="n">
        <v>53.9</v>
      </c>
      <c r="AQ474" s="263" t="n">
        <v>21</v>
      </c>
      <c r="AR474" s="263" t="n">
        <v>50</v>
      </c>
      <c r="AS474" s="263" t="n">
        <v>84</v>
      </c>
      <c r="AT474" s="50" t="n">
        <f aca="false">AU474</f>
        <v>117.5</v>
      </c>
      <c r="AU474" s="255" t="n">
        <v>117.5</v>
      </c>
      <c r="AV474" s="263" t="n">
        <v>11.5</v>
      </c>
      <c r="AW474" s="263" t="n">
        <v>25.4</v>
      </c>
      <c r="AX474" s="263" t="n">
        <v>47.9</v>
      </c>
      <c r="AY474" s="50" t="n">
        <f aca="false">AZ474</f>
        <v>68.9</v>
      </c>
      <c r="AZ474" s="255" t="n">
        <v>68.9</v>
      </c>
      <c r="BA474" s="263" t="n">
        <v>18.3</v>
      </c>
      <c r="BB474" s="263" t="n">
        <v>51.7</v>
      </c>
      <c r="BC474" s="263" t="n">
        <v>93.2</v>
      </c>
      <c r="BD474" s="50" t="n">
        <f aca="false">BE474</f>
        <v>134.8</v>
      </c>
      <c r="BE474" s="255" t="n">
        <v>134.8</v>
      </c>
      <c r="BF474" s="263" t="n">
        <v>19.8</v>
      </c>
      <c r="BG474" s="263" t="n">
        <v>66.3</v>
      </c>
      <c r="BH474" s="263" t="n">
        <v>119.6</v>
      </c>
      <c r="BI474" s="50" t="n">
        <f aca="false">BJ474</f>
        <v>172.6</v>
      </c>
      <c r="BJ474" s="255" t="n">
        <v>172.6</v>
      </c>
      <c r="BK474" s="263" t="n">
        <v>40</v>
      </c>
      <c r="BL474" s="263" t="n">
        <v>89</v>
      </c>
      <c r="BM474" s="263" t="n">
        <v>146.7</v>
      </c>
      <c r="BN474" s="50" t="n">
        <f aca="false">BO474</f>
        <v>202.3</v>
      </c>
      <c r="BO474" s="390" t="n">
        <v>202.3</v>
      </c>
      <c r="BP474" s="48"/>
      <c r="BQ474" s="48"/>
      <c r="BR474" s="48"/>
      <c r="BS474" s="48"/>
      <c r="BT474" s="159"/>
      <c r="BU474" s="48"/>
      <c r="BV474" s="48"/>
      <c r="BW474" s="48"/>
      <c r="BX474" s="48"/>
      <c r="BY474" s="159"/>
      <c r="BZ474" s="159"/>
      <c r="CA474" s="159"/>
      <c r="CB474" s="159"/>
      <c r="CC474" s="50"/>
    </row>
    <row r="475" s="51" customFormat="true" ht="15" hidden="true" customHeight="true" outlineLevel="1" collapsed="false">
      <c r="A475" s="270" t="s">
        <v>508</v>
      </c>
      <c r="B475" s="254"/>
      <c r="C475" s="159"/>
      <c r="D475" s="159"/>
      <c r="E475" s="159"/>
      <c r="F475" s="159"/>
      <c r="G475" s="159"/>
      <c r="H475" s="48"/>
      <c r="I475" s="48"/>
      <c r="J475" s="48"/>
      <c r="K475" s="48"/>
      <c r="L475" s="159"/>
      <c r="M475" s="48"/>
      <c r="N475" s="48"/>
      <c r="O475" s="48"/>
      <c r="P475" s="48"/>
      <c r="Q475" s="159"/>
      <c r="R475" s="48"/>
      <c r="S475" s="48"/>
      <c r="T475" s="48"/>
      <c r="U475" s="48"/>
      <c r="V475" s="159"/>
      <c r="W475" s="48"/>
      <c r="X475" s="48"/>
      <c r="Y475" s="48"/>
      <c r="Z475" s="48"/>
      <c r="AA475" s="159"/>
      <c r="AB475" s="48"/>
      <c r="AC475" s="48"/>
      <c r="AD475" s="48"/>
      <c r="AE475" s="48"/>
      <c r="AF475" s="159"/>
      <c r="AG475" s="48"/>
      <c r="AH475" s="48"/>
      <c r="AI475" s="48"/>
      <c r="AJ475" s="48"/>
      <c r="AK475" s="159"/>
      <c r="AL475" s="48"/>
      <c r="AM475" s="48"/>
      <c r="AN475" s="48"/>
      <c r="AO475" s="48"/>
      <c r="AP475" s="159"/>
      <c r="AQ475" s="48"/>
      <c r="AR475" s="48"/>
      <c r="AS475" s="48"/>
      <c r="AT475" s="50" t="n">
        <f aca="false">AU475</f>
        <v>-213.7</v>
      </c>
      <c r="AU475" s="255" t="n">
        <v>-213.7</v>
      </c>
      <c r="AV475" s="48"/>
      <c r="AW475" s="48"/>
      <c r="AX475" s="48"/>
      <c r="AY475" s="50" t="n">
        <f aca="false">AZ475</f>
        <v>0</v>
      </c>
      <c r="AZ475" s="159"/>
      <c r="BA475" s="48"/>
      <c r="BB475" s="48"/>
      <c r="BC475" s="48"/>
      <c r="BD475" s="50" t="n">
        <f aca="false">BE475</f>
        <v>0</v>
      </c>
      <c r="BE475" s="159"/>
      <c r="BF475" s="48"/>
      <c r="BG475" s="48"/>
      <c r="BH475" s="48"/>
      <c r="BI475" s="50" t="n">
        <f aca="false">BJ475</f>
        <v>0</v>
      </c>
      <c r="BJ475" s="159"/>
      <c r="BK475" s="48"/>
      <c r="BL475" s="48"/>
      <c r="BM475" s="48"/>
      <c r="BN475" s="50" t="n">
        <f aca="false">BO475</f>
        <v>0</v>
      </c>
      <c r="BO475" s="160"/>
      <c r="BP475" s="48"/>
      <c r="BQ475" s="48"/>
      <c r="BR475" s="48"/>
      <c r="BS475" s="48"/>
      <c r="BT475" s="159"/>
      <c r="BU475" s="48"/>
      <c r="BV475" s="48"/>
      <c r="BW475" s="48"/>
      <c r="BX475" s="48"/>
      <c r="BY475" s="159"/>
      <c r="BZ475" s="159"/>
      <c r="CA475" s="159"/>
      <c r="CB475" s="159"/>
      <c r="CC475" s="50"/>
    </row>
    <row r="476" s="51" customFormat="true" ht="15" hidden="true" customHeight="true" outlineLevel="1" collapsed="false">
      <c r="A476" s="270" t="s">
        <v>509</v>
      </c>
      <c r="B476" s="254"/>
      <c r="C476" s="255" t="n">
        <v>1.889</v>
      </c>
      <c r="D476" s="255" t="n">
        <v>-1.256</v>
      </c>
      <c r="E476" s="255" t="n">
        <v>0.849</v>
      </c>
      <c r="F476" s="255" t="n">
        <v>0.458</v>
      </c>
      <c r="G476" s="255" t="n">
        <v>1.062</v>
      </c>
      <c r="H476" s="263" t="n">
        <v>0.1</v>
      </c>
      <c r="I476" s="263" t="n">
        <v>0.2</v>
      </c>
      <c r="J476" s="263" t="n">
        <v>0.3</v>
      </c>
      <c r="K476" s="50" t="n">
        <f aca="false">L476</f>
        <v>0.133</v>
      </c>
      <c r="L476" s="255" t="n">
        <v>0.133</v>
      </c>
      <c r="M476" s="263" t="n">
        <v>0.4</v>
      </c>
      <c r="N476" s="263" t="n">
        <v>2.1</v>
      </c>
      <c r="O476" s="263" t="n">
        <v>2.7</v>
      </c>
      <c r="P476" s="50" t="n">
        <f aca="false">Q476</f>
        <v>3.87</v>
      </c>
      <c r="Q476" s="255" t="n">
        <v>3.87</v>
      </c>
      <c r="R476" s="263" t="n">
        <v>0.9</v>
      </c>
      <c r="S476" s="263" t="n">
        <v>1.7</v>
      </c>
      <c r="T476" s="263" t="n">
        <v>2.4</v>
      </c>
      <c r="U476" s="50" t="n">
        <f aca="false">V476</f>
        <v>3.2</v>
      </c>
      <c r="V476" s="255" t="n">
        <v>3.2</v>
      </c>
      <c r="W476" s="263" t="n">
        <v>1.2</v>
      </c>
      <c r="X476" s="263" t="n">
        <v>2.5</v>
      </c>
      <c r="Y476" s="263" t="n">
        <v>5.6</v>
      </c>
      <c r="Z476" s="50" t="n">
        <f aca="false">AA476</f>
        <v>7.8</v>
      </c>
      <c r="AA476" s="255" t="n">
        <v>7.8</v>
      </c>
      <c r="AB476" s="263" t="n">
        <v>2.4</v>
      </c>
      <c r="AC476" s="263" t="n">
        <v>5.3</v>
      </c>
      <c r="AD476" s="263" t="n">
        <v>8</v>
      </c>
      <c r="AE476" s="50" t="n">
        <f aca="false">AF476</f>
        <v>11.2</v>
      </c>
      <c r="AF476" s="255" t="n">
        <v>11.2</v>
      </c>
      <c r="AG476" s="263" t="n">
        <v>0.6</v>
      </c>
      <c r="AH476" s="48"/>
      <c r="AI476" s="48"/>
      <c r="AJ476" s="50" t="n">
        <f aca="false">AK476</f>
        <v>0</v>
      </c>
      <c r="AK476" s="159"/>
      <c r="AL476" s="48"/>
      <c r="AM476" s="48"/>
      <c r="AN476" s="48"/>
      <c r="AO476" s="50" t="n">
        <f aca="false">AP476</f>
        <v>0</v>
      </c>
      <c r="AP476" s="159"/>
      <c r="AQ476" s="48"/>
      <c r="AR476" s="48"/>
      <c r="AS476" s="48"/>
      <c r="AT476" s="50" t="n">
        <f aca="false">AU476</f>
        <v>0</v>
      </c>
      <c r="AU476" s="159"/>
      <c r="AV476" s="48"/>
      <c r="AW476" s="48"/>
      <c r="AX476" s="48"/>
      <c r="AY476" s="50" t="n">
        <f aca="false">AZ476</f>
        <v>0</v>
      </c>
      <c r="AZ476" s="159"/>
      <c r="BA476" s="48"/>
      <c r="BB476" s="48"/>
      <c r="BC476" s="48"/>
      <c r="BD476" s="50" t="n">
        <f aca="false">BE476</f>
        <v>0</v>
      </c>
      <c r="BE476" s="159"/>
      <c r="BF476" s="48"/>
      <c r="BG476" s="48"/>
      <c r="BH476" s="48"/>
      <c r="BI476" s="50" t="n">
        <f aca="false">BJ476</f>
        <v>0</v>
      </c>
      <c r="BJ476" s="159"/>
      <c r="BK476" s="48"/>
      <c r="BL476" s="48"/>
      <c r="BM476" s="48"/>
      <c r="BN476" s="50" t="n">
        <f aca="false">BO476</f>
        <v>0</v>
      </c>
      <c r="BO476" s="160"/>
      <c r="BP476" s="48"/>
      <c r="BQ476" s="48"/>
      <c r="BR476" s="48"/>
      <c r="BS476" s="48"/>
      <c r="BT476" s="159"/>
      <c r="BU476" s="48"/>
      <c r="BV476" s="48"/>
      <c r="BW476" s="48"/>
      <c r="BX476" s="48"/>
      <c r="BY476" s="159"/>
      <c r="BZ476" s="159"/>
      <c r="CA476" s="159"/>
      <c r="CB476" s="159"/>
      <c r="CC476" s="50"/>
    </row>
    <row r="477" s="51" customFormat="true" ht="15" hidden="true" customHeight="true" outlineLevel="1" collapsed="false">
      <c r="A477" s="270" t="s">
        <v>510</v>
      </c>
      <c r="B477" s="254"/>
      <c r="C477" s="255" t="n">
        <v>86.636</v>
      </c>
      <c r="D477" s="255" t="n">
        <v>55.691</v>
      </c>
      <c r="E477" s="255" t="n">
        <v>60.3</v>
      </c>
      <c r="F477" s="255" t="n">
        <v>130.911</v>
      </c>
      <c r="G477" s="255" t="n">
        <v>164.852</v>
      </c>
      <c r="H477" s="263" t="n">
        <v>41.5</v>
      </c>
      <c r="I477" s="263" t="n">
        <v>86.7</v>
      </c>
      <c r="J477" s="263" t="n">
        <v>122.5</v>
      </c>
      <c r="K477" s="50" t="n">
        <f aca="false">L477</f>
        <v>162.821</v>
      </c>
      <c r="L477" s="255" t="n">
        <v>162.821</v>
      </c>
      <c r="M477" s="263" t="n">
        <v>37</v>
      </c>
      <c r="N477" s="263" t="n">
        <v>97.3</v>
      </c>
      <c r="O477" s="263" t="n">
        <v>153.6</v>
      </c>
      <c r="P477" s="50" t="n">
        <f aca="false">Q477</f>
        <v>211.801</v>
      </c>
      <c r="Q477" s="255" t="n">
        <v>211.801</v>
      </c>
      <c r="R477" s="263" t="n">
        <v>36.6</v>
      </c>
      <c r="S477" s="263" t="n">
        <v>59.1</v>
      </c>
      <c r="T477" s="263" t="n">
        <v>62</v>
      </c>
      <c r="U477" s="50" t="n">
        <f aca="false">V477</f>
        <v>73</v>
      </c>
      <c r="V477" s="255" t="n">
        <v>73</v>
      </c>
      <c r="W477" s="263" t="n">
        <v>29.3</v>
      </c>
      <c r="X477" s="263" t="n">
        <v>60.6</v>
      </c>
      <c r="Y477" s="263" t="n">
        <v>101.2</v>
      </c>
      <c r="Z477" s="50" t="n">
        <f aca="false">AA477</f>
        <v>120.1</v>
      </c>
      <c r="AA477" s="255" t="n">
        <v>120.1</v>
      </c>
      <c r="AB477" s="263" t="n">
        <v>59</v>
      </c>
      <c r="AC477" s="263" t="n">
        <v>100.7</v>
      </c>
      <c r="AD477" s="263" t="n">
        <v>146.2</v>
      </c>
      <c r="AE477" s="50" t="n">
        <f aca="false">AF477</f>
        <v>218.2</v>
      </c>
      <c r="AF477" s="255" t="n">
        <v>218.2</v>
      </c>
      <c r="AG477" s="263" t="n">
        <v>72.1</v>
      </c>
      <c r="AH477" s="263" t="n">
        <v>121.2</v>
      </c>
      <c r="AI477" s="263" t="n">
        <v>167.3</v>
      </c>
      <c r="AJ477" s="50" t="n">
        <f aca="false">AK477</f>
        <v>221.5</v>
      </c>
      <c r="AK477" s="255" t="n">
        <v>221.5</v>
      </c>
      <c r="AL477" s="263" t="n">
        <v>39.3</v>
      </c>
      <c r="AM477" s="263" t="n">
        <v>78.5</v>
      </c>
      <c r="AN477" s="263" t="n">
        <v>114.8</v>
      </c>
      <c r="AO477" s="50" t="n">
        <f aca="false">AP477</f>
        <v>192.4</v>
      </c>
      <c r="AP477" s="255" t="n">
        <v>192.4</v>
      </c>
      <c r="AQ477" s="263" t="n">
        <v>34.4</v>
      </c>
      <c r="AR477" s="263" t="n">
        <v>78.4</v>
      </c>
      <c r="AS477" s="263" t="n">
        <v>131.3</v>
      </c>
      <c r="AT477" s="50" t="n">
        <f aca="false">AU477</f>
        <v>180.7</v>
      </c>
      <c r="AU477" s="255" t="n">
        <v>180.7</v>
      </c>
      <c r="AV477" s="263" t="n">
        <v>50.2</v>
      </c>
      <c r="AW477" s="263" t="n">
        <v>125.4</v>
      </c>
      <c r="AX477" s="263" t="n">
        <v>207.2</v>
      </c>
      <c r="AY477" s="50" t="n">
        <f aca="false">AZ477</f>
        <v>278.5</v>
      </c>
      <c r="AZ477" s="255" t="n">
        <v>278.5</v>
      </c>
      <c r="BA477" s="263" t="n">
        <v>81.7</v>
      </c>
      <c r="BB477" s="263" t="n">
        <v>172.3</v>
      </c>
      <c r="BC477" s="263" t="n">
        <v>274.6</v>
      </c>
      <c r="BD477" s="50" t="n">
        <f aca="false">BE477</f>
        <v>485.3</v>
      </c>
      <c r="BE477" s="255" t="n">
        <v>485.3</v>
      </c>
      <c r="BF477" s="263" t="n">
        <v>121.5</v>
      </c>
      <c r="BG477" s="263" t="n">
        <v>232.2</v>
      </c>
      <c r="BH477" s="263" t="n">
        <v>387</v>
      </c>
      <c r="BI477" s="50" t="n">
        <f aca="false">BJ477</f>
        <v>554.7</v>
      </c>
      <c r="BJ477" s="255" t="n">
        <v>554.7</v>
      </c>
      <c r="BK477" s="263" t="n">
        <v>59.6</v>
      </c>
      <c r="BL477" s="263" t="n">
        <v>159.3</v>
      </c>
      <c r="BM477" s="263" t="n">
        <v>297.9</v>
      </c>
      <c r="BN477" s="50" t="n">
        <f aca="false">BO477</f>
        <v>469.4</v>
      </c>
      <c r="BO477" s="390" t="n">
        <v>469.4</v>
      </c>
      <c r="BP477" s="48"/>
      <c r="BQ477" s="48"/>
      <c r="BR477" s="48"/>
      <c r="BS477" s="48"/>
      <c r="BT477" s="159"/>
      <c r="BU477" s="48"/>
      <c r="BV477" s="48"/>
      <c r="BW477" s="48"/>
      <c r="BX477" s="48"/>
      <c r="BY477" s="159"/>
      <c r="BZ477" s="159"/>
      <c r="CA477" s="159"/>
      <c r="CB477" s="159"/>
      <c r="CC477" s="50"/>
    </row>
    <row r="478" s="51" customFormat="true" ht="15" hidden="true" customHeight="true" outlineLevel="1" collapsed="false">
      <c r="A478" s="270" t="s">
        <v>400</v>
      </c>
      <c r="B478" s="254"/>
      <c r="C478" s="255" t="n">
        <v>-49.423</v>
      </c>
      <c r="D478" s="255" t="n">
        <v>28.053</v>
      </c>
      <c r="E478" s="255" t="n">
        <v>63.25</v>
      </c>
      <c r="F478" s="255" t="n">
        <v>-72.374</v>
      </c>
      <c r="G478" s="255" t="n">
        <v>-22.658</v>
      </c>
      <c r="H478" s="263" t="n">
        <v>-29.9</v>
      </c>
      <c r="I478" s="263" t="n">
        <v>-18.9</v>
      </c>
      <c r="J478" s="263" t="n">
        <v>-57.9</v>
      </c>
      <c r="K478" s="50" t="n">
        <f aca="false">L478</f>
        <v>-59.05</v>
      </c>
      <c r="L478" s="255" t="n">
        <v>-59.05</v>
      </c>
      <c r="M478" s="263" t="n">
        <v>16.5</v>
      </c>
      <c r="N478" s="263" t="n">
        <v>7.1</v>
      </c>
      <c r="O478" s="263" t="n">
        <v>48.1</v>
      </c>
      <c r="P478" s="50" t="n">
        <f aca="false">Q478</f>
        <v>45.349</v>
      </c>
      <c r="Q478" s="255" t="n">
        <v>45.349</v>
      </c>
      <c r="R478" s="263" t="n">
        <v>-4.5</v>
      </c>
      <c r="S478" s="263" t="n">
        <v>-11.1</v>
      </c>
      <c r="T478" s="263" t="n">
        <v>26.1</v>
      </c>
      <c r="U478" s="50" t="n">
        <f aca="false">V478</f>
        <v>-0.6</v>
      </c>
      <c r="V478" s="255" t="n">
        <v>-0.6</v>
      </c>
      <c r="W478" s="263" t="n">
        <v>16.3</v>
      </c>
      <c r="X478" s="263" t="n">
        <v>14.8</v>
      </c>
      <c r="Y478" s="263" t="n">
        <v>8.3</v>
      </c>
      <c r="Z478" s="50" t="n">
        <f aca="false">AA478</f>
        <v>-7.6</v>
      </c>
      <c r="AA478" s="255" t="n">
        <v>-7.6</v>
      </c>
      <c r="AB478" s="263" t="n">
        <v>8.6</v>
      </c>
      <c r="AC478" s="263" t="n">
        <v>38.6</v>
      </c>
      <c r="AD478" s="263" t="n">
        <v>-1.6</v>
      </c>
      <c r="AE478" s="50" t="n">
        <f aca="false">AF478</f>
        <v>-238.5</v>
      </c>
      <c r="AF478" s="255" t="n">
        <v>-238.5</v>
      </c>
      <c r="AG478" s="263" t="n">
        <v>-76.5</v>
      </c>
      <c r="AH478" s="263" t="n">
        <v>-141.6</v>
      </c>
      <c r="AI478" s="263" t="n">
        <v>-119.1</v>
      </c>
      <c r="AJ478" s="50" t="n">
        <f aca="false">AK478</f>
        <v>-236.8</v>
      </c>
      <c r="AK478" s="255" t="n">
        <v>-236.8</v>
      </c>
      <c r="AL478" s="263" t="n">
        <v>-24.6</v>
      </c>
      <c r="AM478" s="263" t="n">
        <v>-40</v>
      </c>
      <c r="AN478" s="263" t="n">
        <v>-150.6</v>
      </c>
      <c r="AO478" s="50" t="n">
        <f aca="false">AP478</f>
        <v>-211.3</v>
      </c>
      <c r="AP478" s="255" t="n">
        <v>-211.3</v>
      </c>
      <c r="AQ478" s="263" t="n">
        <v>-35.8</v>
      </c>
      <c r="AR478" s="263" t="n">
        <v>-43.3</v>
      </c>
      <c r="AS478" s="263" t="n">
        <v>-313.4</v>
      </c>
      <c r="AT478" s="50" t="n">
        <f aca="false">AU478</f>
        <v>-419.6</v>
      </c>
      <c r="AU478" s="255" t="n">
        <v>-419.6</v>
      </c>
      <c r="AV478" s="263" t="n">
        <v>-39.7</v>
      </c>
      <c r="AW478" s="263" t="n">
        <v>-134.4</v>
      </c>
      <c r="AX478" s="263" t="n">
        <v>-475.2</v>
      </c>
      <c r="AY478" s="50" t="n">
        <f aca="false">AZ478</f>
        <v>-564.2</v>
      </c>
      <c r="AZ478" s="255" t="n">
        <v>-564.2</v>
      </c>
      <c r="BA478" s="263" t="n">
        <v>12.7</v>
      </c>
      <c r="BB478" s="263" t="n">
        <v>54.2</v>
      </c>
      <c r="BC478" s="263" t="n">
        <v>-84.7</v>
      </c>
      <c r="BD478" s="50" t="n">
        <f aca="false">BE478</f>
        <v>-133.6</v>
      </c>
      <c r="BE478" s="255" t="n">
        <v>-133.6</v>
      </c>
      <c r="BF478" s="263" t="n">
        <v>-2.7</v>
      </c>
      <c r="BG478" s="263" t="n">
        <v>-1.9</v>
      </c>
      <c r="BH478" s="263" t="n">
        <v>-116.5</v>
      </c>
      <c r="BI478" s="50" t="n">
        <f aca="false">BJ478</f>
        <v>-144.8</v>
      </c>
      <c r="BJ478" s="255" t="n">
        <v>-144.8</v>
      </c>
      <c r="BK478" s="263" t="n">
        <v>79.1</v>
      </c>
      <c r="BL478" s="263" t="n">
        <v>117.2</v>
      </c>
      <c r="BM478" s="263" t="n">
        <v>61.9</v>
      </c>
      <c r="BN478" s="50" t="n">
        <f aca="false">BO478</f>
        <v>180.7</v>
      </c>
      <c r="BO478" s="390" t="n">
        <v>180.7</v>
      </c>
      <c r="BP478" s="48"/>
      <c r="BQ478" s="48"/>
      <c r="BR478" s="48"/>
      <c r="BS478" s="48"/>
      <c r="BT478" s="159"/>
      <c r="BU478" s="48"/>
      <c r="BV478" s="48"/>
      <c r="BW478" s="48"/>
      <c r="BX478" s="48"/>
      <c r="BY478" s="159"/>
      <c r="BZ478" s="159"/>
      <c r="CA478" s="159"/>
      <c r="CB478" s="159"/>
      <c r="CC478" s="50"/>
    </row>
    <row r="479" s="51" customFormat="true" ht="15" hidden="true" customHeight="true" outlineLevel="1" collapsed="false">
      <c r="A479" s="226" t="s">
        <v>511</v>
      </c>
      <c r="B479" s="257"/>
      <c r="C479" s="261"/>
      <c r="D479" s="261"/>
      <c r="E479" s="261"/>
      <c r="F479" s="261"/>
      <c r="G479" s="261"/>
      <c r="H479" s="259"/>
      <c r="I479" s="259"/>
      <c r="J479" s="259"/>
      <c r="K479" s="391" t="n">
        <f aca="false">L479</f>
        <v>0</v>
      </c>
      <c r="L479" s="261"/>
      <c r="M479" s="259"/>
      <c r="N479" s="259"/>
      <c r="O479" s="259"/>
      <c r="P479" s="391" t="n">
        <f aca="false">Q479</f>
        <v>0</v>
      </c>
      <c r="Q479" s="261"/>
      <c r="R479" s="259"/>
      <c r="S479" s="259"/>
      <c r="T479" s="259"/>
      <c r="U479" s="391" t="n">
        <f aca="false">V479</f>
        <v>0</v>
      </c>
      <c r="V479" s="261"/>
      <c r="W479" s="259"/>
      <c r="X479" s="259"/>
      <c r="Y479" s="259"/>
      <c r="Z479" s="391" t="n">
        <f aca="false">AA479</f>
        <v>16.7</v>
      </c>
      <c r="AA479" s="258" t="n">
        <v>16.7</v>
      </c>
      <c r="AB479" s="265" t="n">
        <v>17.6</v>
      </c>
      <c r="AC479" s="265" t="n">
        <v>13.3</v>
      </c>
      <c r="AD479" s="265" t="n">
        <v>13</v>
      </c>
      <c r="AE479" s="391" t="n">
        <f aca="false">AF479</f>
        <v>61.6</v>
      </c>
      <c r="AF479" s="258" t="n">
        <v>61.6</v>
      </c>
      <c r="AG479" s="265" t="n">
        <v>-17</v>
      </c>
      <c r="AH479" s="265" t="n">
        <v>-32.3</v>
      </c>
      <c r="AI479" s="265" t="n">
        <v>-50.9</v>
      </c>
      <c r="AJ479" s="391" t="n">
        <f aca="false">AK479</f>
        <v>56.9</v>
      </c>
      <c r="AK479" s="258" t="n">
        <v>56.9</v>
      </c>
      <c r="AL479" s="265" t="n">
        <v>-32.3</v>
      </c>
      <c r="AM479" s="265" t="n">
        <v>-58.7</v>
      </c>
      <c r="AN479" s="265" t="n">
        <v>-84.8</v>
      </c>
      <c r="AO479" s="391" t="n">
        <f aca="false">AP479</f>
        <v>11</v>
      </c>
      <c r="AP479" s="258" t="n">
        <v>11</v>
      </c>
      <c r="AQ479" s="265" t="n">
        <v>-21.5</v>
      </c>
      <c r="AR479" s="265" t="n">
        <v>-44</v>
      </c>
      <c r="AS479" s="265" t="n">
        <v>-141.2</v>
      </c>
      <c r="AT479" s="391" t="n">
        <f aca="false">AU479</f>
        <v>-49.8</v>
      </c>
      <c r="AU479" s="258" t="n">
        <v>-49.8</v>
      </c>
      <c r="AV479" s="265" t="n">
        <v>-47.5</v>
      </c>
      <c r="AW479" s="265" t="n">
        <v>-68.6</v>
      </c>
      <c r="AX479" s="265" t="n">
        <v>-105.5</v>
      </c>
      <c r="AY479" s="391" t="n">
        <f aca="false">AZ479</f>
        <v>15.3</v>
      </c>
      <c r="AZ479" s="258" t="n">
        <v>15.3</v>
      </c>
      <c r="BA479" s="265" t="n">
        <v>-46.8</v>
      </c>
      <c r="BB479" s="265" t="n">
        <v>-117.7</v>
      </c>
      <c r="BC479" s="265" t="n">
        <v>-171.5</v>
      </c>
      <c r="BD479" s="391" t="n">
        <f aca="false">BE479</f>
        <v>4.2</v>
      </c>
      <c r="BE479" s="258" t="n">
        <v>4.2</v>
      </c>
      <c r="BF479" s="265" t="n">
        <v>-33.9</v>
      </c>
      <c r="BG479" s="265" t="n">
        <v>-84.5</v>
      </c>
      <c r="BH479" s="265" t="n">
        <v>-165.5</v>
      </c>
      <c r="BI479" s="391" t="n">
        <f aca="false">BJ479</f>
        <v>4.4</v>
      </c>
      <c r="BJ479" s="258" t="n">
        <v>4.4</v>
      </c>
      <c r="BK479" s="265" t="n">
        <v>-34.9</v>
      </c>
      <c r="BL479" s="265" t="n">
        <v>-125.6</v>
      </c>
      <c r="BM479" s="265" t="n">
        <v>-206.4</v>
      </c>
      <c r="BN479" s="391" t="n">
        <f aca="false">BO479</f>
        <v>94.6</v>
      </c>
      <c r="BO479" s="392" t="n">
        <v>94.6</v>
      </c>
      <c r="BP479" s="259"/>
      <c r="BQ479" s="259"/>
      <c r="BR479" s="259"/>
      <c r="BS479" s="259"/>
      <c r="BT479" s="261"/>
      <c r="BU479" s="259"/>
      <c r="BV479" s="259"/>
      <c r="BW479" s="259"/>
      <c r="BX479" s="259"/>
      <c r="BY479" s="261"/>
      <c r="BZ479" s="261"/>
      <c r="CA479" s="261"/>
      <c r="CB479" s="261"/>
      <c r="CC479" s="50"/>
    </row>
    <row r="480" s="157" customFormat="true" ht="15" hidden="true" customHeight="true" outlineLevel="1" collapsed="false">
      <c r="A480" s="244" t="s">
        <v>512</v>
      </c>
      <c r="B480" s="393"/>
      <c r="C480" s="357" t="n">
        <f aca="false">SUM(C470:C479)</f>
        <v>63.151</v>
      </c>
      <c r="D480" s="357" t="n">
        <f aca="false">SUM(D470:D479)</f>
        <v>1279.337</v>
      </c>
      <c r="E480" s="357" t="n">
        <f aca="false">SUM(E470:E479)</f>
        <v>1784.614</v>
      </c>
      <c r="F480" s="357" t="n">
        <f aca="false">SUM(F470:F479)</f>
        <v>1416.151</v>
      </c>
      <c r="G480" s="357" t="n">
        <f aca="false">SUM(G470:G479)</f>
        <v>1455.772</v>
      </c>
      <c r="H480" s="394" t="n">
        <f aca="false">SUM(H470:H479)</f>
        <v>353.2</v>
      </c>
      <c r="I480" s="394" t="n">
        <f aca="false">SUM(I470:I479)</f>
        <v>891.7</v>
      </c>
      <c r="J480" s="394" t="n">
        <f aca="false">SUM(J470:J479)</f>
        <v>1211.2</v>
      </c>
      <c r="K480" s="394" t="n">
        <f aca="false">SUM(K470:K479)</f>
        <v>1632.598</v>
      </c>
      <c r="L480" s="357" t="n">
        <f aca="false">SUM(L470:L479)</f>
        <v>1632.598</v>
      </c>
      <c r="M480" s="394" t="n">
        <f aca="false">SUM(M470:M479)</f>
        <v>538.2</v>
      </c>
      <c r="N480" s="394" t="n">
        <f aca="false">SUM(N470:N479)</f>
        <v>1049.3</v>
      </c>
      <c r="O480" s="394" t="n">
        <f aca="false">SUM(O470:O479)</f>
        <v>1562.4</v>
      </c>
      <c r="P480" s="394" t="n">
        <f aca="false">SUM(P470:P479)</f>
        <v>2008.065</v>
      </c>
      <c r="Q480" s="357" t="n">
        <f aca="false">SUM(Q470:Q479)</f>
        <v>2008.065</v>
      </c>
      <c r="R480" s="394" t="n">
        <f aca="false">SUM(R470:R479)</f>
        <v>327.9</v>
      </c>
      <c r="S480" s="394" t="n">
        <f aca="false">SUM(S470:S479)</f>
        <v>794.7</v>
      </c>
      <c r="T480" s="394" t="n">
        <f aca="false">SUM(T470:T479)</f>
        <v>1333.8</v>
      </c>
      <c r="U480" s="394" t="n">
        <f aca="false">SUM(U470:U479)</f>
        <v>1960.8</v>
      </c>
      <c r="V480" s="357" t="n">
        <f aca="false">SUM(V470:V479)</f>
        <v>1960.8</v>
      </c>
      <c r="W480" s="394" t="n">
        <f aca="false">SUM(W470:W479)</f>
        <v>623</v>
      </c>
      <c r="X480" s="394" t="n">
        <f aca="false">SUM(X470:X479)</f>
        <v>1242.8</v>
      </c>
      <c r="Y480" s="394" t="n">
        <f aca="false">SUM(Y470:Y479)</f>
        <v>1953.2</v>
      </c>
      <c r="Z480" s="394" t="n">
        <f aca="false">SUM(Z470:Z479)</f>
        <v>2737.9</v>
      </c>
      <c r="AA480" s="357" t="n">
        <f aca="false">SUM(AA470:AA479)</f>
        <v>2737.9</v>
      </c>
      <c r="AB480" s="394" t="n">
        <f aca="false">SUM(AB470:AB479)</f>
        <v>744.5</v>
      </c>
      <c r="AC480" s="394" t="n">
        <f aca="false">SUM(AC470:AC479)</f>
        <v>1513.3</v>
      </c>
      <c r="AD480" s="394" t="n">
        <f aca="false">SUM(AD470:AD479)</f>
        <v>2329.3</v>
      </c>
      <c r="AE480" s="394" t="n">
        <f aca="false">SUM(AE470:AE479)</f>
        <v>3132.1</v>
      </c>
      <c r="AF480" s="357" t="n">
        <f aca="false">SUM(AF470:AF479)</f>
        <v>3132.1</v>
      </c>
      <c r="AG480" s="394" t="n">
        <f aca="false">SUM(AG470:AG479)</f>
        <v>457.6</v>
      </c>
      <c r="AH480" s="394" t="n">
        <f aca="false">SUM(AH470:AH479)</f>
        <v>1024</v>
      </c>
      <c r="AI480" s="394" t="n">
        <f aca="false">SUM(AI470:AI479)</f>
        <v>1833.5</v>
      </c>
      <c r="AJ480" s="394" t="n">
        <f aca="false">SUM(AJ470:AJ479)</f>
        <v>3164.8</v>
      </c>
      <c r="AK480" s="357" t="n">
        <f aca="false">SUM(AK470:AK479)</f>
        <v>3164.8</v>
      </c>
      <c r="AL480" s="394" t="n">
        <f aca="false">SUM(AL470:AL479)</f>
        <v>509.9</v>
      </c>
      <c r="AM480" s="394" t="n">
        <f aca="false">SUM(AM470:AM479)</f>
        <v>1393.9</v>
      </c>
      <c r="AN480" s="394" t="n">
        <f aca="false">SUM(AN470:AN479)</f>
        <v>2500.3</v>
      </c>
      <c r="AO480" s="394" t="n">
        <f aca="false">SUM(AO470:AO479)</f>
        <v>4096</v>
      </c>
      <c r="AP480" s="357" t="n">
        <f aca="false">SUM(AP470:AP479)</f>
        <v>4096</v>
      </c>
      <c r="AQ480" s="394" t="n">
        <f aca="false">SUM(AQ470:AQ479)</f>
        <v>1453.6</v>
      </c>
      <c r="AR480" s="394" t="n">
        <f aca="false">SUM(AR470:AR479)</f>
        <v>2647.7</v>
      </c>
      <c r="AS480" s="394" t="n">
        <f aca="false">SUM(AS470:AS479)</f>
        <v>4183.9</v>
      </c>
      <c r="AT480" s="394" t="n">
        <f aca="false">SUM(AT470:AT479)</f>
        <v>5953.4</v>
      </c>
      <c r="AU480" s="357" t="n">
        <f aca="false">SUM(AU470:AU479)</f>
        <v>5953.4</v>
      </c>
      <c r="AV480" s="394" t="n">
        <f aca="false">SUM(AV470:AV479)</f>
        <v>812.9</v>
      </c>
      <c r="AW480" s="394" t="n">
        <f aca="false">SUM(AW470:AW479)</f>
        <v>2328.9</v>
      </c>
      <c r="AX480" s="394" t="n">
        <f aca="false">SUM(AX470:AX479)</f>
        <v>3908.1</v>
      </c>
      <c r="AY480" s="394" t="n">
        <f aca="false">SUM(AY470:AY479)</f>
        <v>6045.6</v>
      </c>
      <c r="AZ480" s="357" t="n">
        <f aca="false">SUM(AZ470:AZ479)</f>
        <v>6045.6</v>
      </c>
      <c r="BA480" s="394" t="n">
        <f aca="false">SUM(BA470:BA479)</f>
        <v>2195.2</v>
      </c>
      <c r="BB480" s="394" t="n">
        <f aca="false">SUM(BB470:BB479)</f>
        <v>4416.6</v>
      </c>
      <c r="BC480" s="394" t="n">
        <f aca="false">SUM(BC470:BC479)</f>
        <v>6457.7</v>
      </c>
      <c r="BD480" s="394" t="n">
        <f aca="false">SUM(BD470:BD479)</f>
        <v>9107</v>
      </c>
      <c r="BE480" s="357" t="n">
        <f aca="false">SUM(BE470:BE479)</f>
        <v>9107</v>
      </c>
      <c r="BF480" s="394" t="n">
        <f aca="false">SUM(BF470:BF479)</f>
        <v>1547.1</v>
      </c>
      <c r="BG480" s="394" t="n">
        <f aca="false">SUM(BG470:BG479)</f>
        <v>3473.6</v>
      </c>
      <c r="BH480" s="394" t="n">
        <f aca="false">SUM(BH470:BH479)</f>
        <v>5805.1</v>
      </c>
      <c r="BI480" s="394" t="n">
        <f aca="false">SUM(BI470:BI479)</f>
        <v>9112.9</v>
      </c>
      <c r="BJ480" s="357" t="n">
        <f aca="false">SUM(BJ470:BJ479)</f>
        <v>9112.9</v>
      </c>
      <c r="BK480" s="394" t="n">
        <f aca="false">SUM(BK470:BK479)</f>
        <v>2742.2</v>
      </c>
      <c r="BL480" s="394" t="n">
        <f aca="false">SUM(BL470:BL479)</f>
        <v>5400</v>
      </c>
      <c r="BM480" s="394" t="n">
        <f aca="false">SUM(BM470:BM479)</f>
        <v>7862.4</v>
      </c>
      <c r="BN480" s="394" t="n">
        <f aca="false">SUM(BN470:BN479)</f>
        <v>11632</v>
      </c>
      <c r="BO480" s="395" t="n">
        <f aca="false">SUM(BO470:BO479)</f>
        <v>11632</v>
      </c>
      <c r="BP480" s="163"/>
      <c r="BQ480" s="163"/>
      <c r="BR480" s="163"/>
      <c r="BS480" s="163"/>
      <c r="BT480" s="162"/>
      <c r="BU480" s="163"/>
      <c r="BV480" s="163"/>
      <c r="BW480" s="163"/>
      <c r="BX480" s="163"/>
      <c r="BY480" s="162"/>
      <c r="BZ480" s="162"/>
      <c r="CA480" s="162"/>
      <c r="CB480" s="162"/>
      <c r="CC480" s="156"/>
    </row>
    <row r="481" s="51" customFormat="true" ht="15" hidden="true" customHeight="true" outlineLevel="1" collapsed="false">
      <c r="A481" s="270" t="s">
        <v>513</v>
      </c>
      <c r="B481" s="254"/>
      <c r="C481" s="255" t="n">
        <v>81.838</v>
      </c>
      <c r="D481" s="255" t="n">
        <v>-748.898</v>
      </c>
      <c r="E481" s="255" t="n">
        <v>267.209</v>
      </c>
      <c r="F481" s="255" t="n">
        <v>246.982</v>
      </c>
      <c r="G481" s="255" t="n">
        <v>-192.149</v>
      </c>
      <c r="H481" s="48"/>
      <c r="I481" s="48"/>
      <c r="J481" s="48"/>
      <c r="K481" s="48"/>
      <c r="L481" s="255" t="n">
        <v>-164.85</v>
      </c>
      <c r="M481" s="48"/>
      <c r="N481" s="48"/>
      <c r="O481" s="48"/>
      <c r="P481" s="48"/>
      <c r="Q481" s="255" t="n">
        <v>243.097</v>
      </c>
      <c r="R481" s="48"/>
      <c r="S481" s="48"/>
      <c r="T481" s="48"/>
      <c r="U481" s="48"/>
      <c r="V481" s="255" t="n">
        <v>187.4</v>
      </c>
      <c r="W481" s="48"/>
      <c r="X481" s="48"/>
      <c r="Y481" s="48"/>
      <c r="Z481" s="48"/>
      <c r="AA481" s="255" t="n">
        <v>-1142.4</v>
      </c>
      <c r="AB481" s="48"/>
      <c r="AC481" s="48"/>
      <c r="AD481" s="48"/>
      <c r="AE481" s="48"/>
      <c r="AF481" s="255" t="n">
        <v>201.2</v>
      </c>
      <c r="AG481" s="48"/>
      <c r="AH481" s="48"/>
      <c r="AI481" s="48"/>
      <c r="AJ481" s="48"/>
      <c r="AK481" s="255" t="n">
        <v>-255</v>
      </c>
      <c r="AL481" s="48"/>
      <c r="AM481" s="48"/>
      <c r="AN481" s="48"/>
      <c r="AO481" s="48"/>
      <c r="AP481" s="255" t="n">
        <v>507.5</v>
      </c>
      <c r="AQ481" s="48"/>
      <c r="AR481" s="48"/>
      <c r="AS481" s="48"/>
      <c r="AT481" s="48"/>
      <c r="AU481" s="255" t="n">
        <v>-1754.9</v>
      </c>
      <c r="AV481" s="48"/>
      <c r="AW481" s="48"/>
      <c r="AX481" s="48"/>
      <c r="AY481" s="48"/>
      <c r="AZ481" s="255" t="n">
        <v>-2338</v>
      </c>
      <c r="BA481" s="48"/>
      <c r="BB481" s="48"/>
      <c r="BC481" s="48"/>
      <c r="BD481" s="48"/>
      <c r="BE481" s="255" t="n">
        <v>959.9</v>
      </c>
      <c r="BF481" s="48"/>
      <c r="BG481" s="48"/>
      <c r="BH481" s="48"/>
      <c r="BI481" s="48"/>
      <c r="BJ481" s="255" t="n">
        <v>-139.9</v>
      </c>
      <c r="BK481" s="48"/>
      <c r="BL481" s="48"/>
      <c r="BM481" s="48"/>
      <c r="BN481" s="48"/>
      <c r="BO481" s="160"/>
      <c r="BP481" s="48"/>
      <c r="BQ481" s="48"/>
      <c r="BR481" s="48"/>
      <c r="BS481" s="48"/>
      <c r="BT481" s="159"/>
      <c r="BU481" s="48"/>
      <c r="BV481" s="48"/>
      <c r="BW481" s="48"/>
      <c r="BX481" s="48"/>
      <c r="BY481" s="159"/>
      <c r="BZ481" s="159"/>
      <c r="CA481" s="159"/>
      <c r="CB481" s="159"/>
      <c r="CC481" s="50"/>
    </row>
    <row r="482" s="51" customFormat="true" ht="15" hidden="true" customHeight="true" outlineLevel="1" collapsed="false">
      <c r="A482" s="270" t="s">
        <v>514</v>
      </c>
      <c r="B482" s="254"/>
      <c r="C482" s="255" t="n">
        <v>15.702</v>
      </c>
      <c r="D482" s="255" t="n">
        <v>-20</v>
      </c>
      <c r="E482" s="255" t="n">
        <v>-37.301</v>
      </c>
      <c r="F482" s="255" t="n">
        <v>-225.103</v>
      </c>
      <c r="G482" s="255" t="n">
        <v>9.277</v>
      </c>
      <c r="H482" s="48"/>
      <c r="I482" s="48"/>
      <c r="J482" s="48"/>
      <c r="K482" s="48"/>
      <c r="L482" s="255" t="n">
        <v>51.132</v>
      </c>
      <c r="M482" s="48"/>
      <c r="N482" s="48"/>
      <c r="O482" s="48"/>
      <c r="P482" s="48"/>
      <c r="Q482" s="255" t="n">
        <v>-145.278</v>
      </c>
      <c r="R482" s="48"/>
      <c r="S482" s="48"/>
      <c r="T482" s="48"/>
      <c r="U482" s="48"/>
      <c r="V482" s="255" t="n">
        <v>-156.1</v>
      </c>
      <c r="W482" s="48"/>
      <c r="X482" s="48"/>
      <c r="Y482" s="48"/>
      <c r="Z482" s="48"/>
      <c r="AA482" s="255" t="n">
        <v>224.8</v>
      </c>
      <c r="AB482" s="48"/>
      <c r="AC482" s="48"/>
      <c r="AD482" s="48"/>
      <c r="AE482" s="48"/>
      <c r="AF482" s="255" t="n">
        <v>-664.9</v>
      </c>
      <c r="AG482" s="48"/>
      <c r="AH482" s="48"/>
      <c r="AI482" s="48"/>
      <c r="AJ482" s="48"/>
      <c r="AK482" s="255" t="n">
        <v>-95.3</v>
      </c>
      <c r="AL482" s="48"/>
      <c r="AM482" s="48"/>
      <c r="AN482" s="48"/>
      <c r="AO482" s="48"/>
      <c r="AP482" s="255" t="n">
        <v>-1125.4</v>
      </c>
      <c r="AQ482" s="48"/>
      <c r="AR482" s="48"/>
      <c r="AS482" s="48"/>
      <c r="AT482" s="48"/>
      <c r="AU482" s="255" t="n">
        <v>542.3</v>
      </c>
      <c r="AV482" s="48"/>
      <c r="AW482" s="48"/>
      <c r="AX482" s="48"/>
      <c r="AY482" s="48"/>
      <c r="AZ482" s="255" t="n">
        <v>212.2</v>
      </c>
      <c r="BA482" s="48"/>
      <c r="BB482" s="48"/>
      <c r="BC482" s="48"/>
      <c r="BD482" s="48"/>
      <c r="BE482" s="255" t="n">
        <v>-88.6</v>
      </c>
      <c r="BF482" s="48"/>
      <c r="BG482" s="48"/>
      <c r="BH482" s="48"/>
      <c r="BI482" s="48"/>
      <c r="BJ482" s="255" t="n">
        <v>1038.7</v>
      </c>
      <c r="BK482" s="48"/>
      <c r="BL482" s="48"/>
      <c r="BM482" s="48"/>
      <c r="BN482" s="48"/>
      <c r="BO482" s="160"/>
      <c r="BP482" s="48"/>
      <c r="BQ482" s="48"/>
      <c r="BR482" s="48"/>
      <c r="BS482" s="48"/>
      <c r="BT482" s="159"/>
      <c r="BU482" s="48"/>
      <c r="BV482" s="48"/>
      <c r="BW482" s="48"/>
      <c r="BX482" s="48"/>
      <c r="BY482" s="159"/>
      <c r="BZ482" s="159"/>
      <c r="CA482" s="159"/>
      <c r="CB482" s="159"/>
      <c r="CC482" s="50"/>
    </row>
    <row r="483" s="51" customFormat="true" ht="15" hidden="true" customHeight="true" outlineLevel="1" collapsed="false">
      <c r="A483" s="270" t="s">
        <v>515</v>
      </c>
      <c r="B483" s="254"/>
      <c r="C483" s="255" t="n">
        <v>-158.024</v>
      </c>
      <c r="D483" s="255" t="n">
        <v>-706.233</v>
      </c>
      <c r="E483" s="255" t="n">
        <v>-276.243</v>
      </c>
      <c r="F483" s="255" t="n">
        <v>-352.716</v>
      </c>
      <c r="G483" s="255" t="n">
        <v>-518.121</v>
      </c>
      <c r="H483" s="48"/>
      <c r="I483" s="48"/>
      <c r="J483" s="48"/>
      <c r="K483" s="48"/>
      <c r="L483" s="255" t="n">
        <v>-293.404</v>
      </c>
      <c r="M483" s="48"/>
      <c r="N483" s="48"/>
      <c r="O483" s="48"/>
      <c r="P483" s="48"/>
      <c r="Q483" s="255" t="n">
        <v>-87.777</v>
      </c>
      <c r="R483" s="48"/>
      <c r="S483" s="48"/>
      <c r="T483" s="48"/>
      <c r="U483" s="48"/>
      <c r="V483" s="255" t="n">
        <v>-43.7</v>
      </c>
      <c r="W483" s="48"/>
      <c r="X483" s="48"/>
      <c r="Y483" s="48"/>
      <c r="Z483" s="48"/>
      <c r="AA483" s="255" t="n">
        <v>-237.8</v>
      </c>
      <c r="AB483" s="48"/>
      <c r="AC483" s="48"/>
      <c r="AD483" s="48"/>
      <c r="AE483" s="48"/>
      <c r="AF483" s="255" t="n">
        <v>-515.7</v>
      </c>
      <c r="AG483" s="48"/>
      <c r="AH483" s="48"/>
      <c r="AI483" s="48"/>
      <c r="AJ483" s="48"/>
      <c r="AK483" s="255" t="n">
        <v>-404.7</v>
      </c>
      <c r="AL483" s="48"/>
      <c r="AM483" s="48"/>
      <c r="AN483" s="48"/>
      <c r="AO483" s="48"/>
      <c r="AP483" s="255" t="n">
        <v>-706.7</v>
      </c>
      <c r="AQ483" s="48"/>
      <c r="AR483" s="48"/>
      <c r="AS483" s="48"/>
      <c r="AT483" s="48"/>
      <c r="AU483" s="255" t="n">
        <v>-483.2</v>
      </c>
      <c r="AV483" s="48"/>
      <c r="AW483" s="48"/>
      <c r="AX483" s="48"/>
      <c r="AY483" s="48"/>
      <c r="AZ483" s="255" t="n">
        <v>-2080.9</v>
      </c>
      <c r="BA483" s="48"/>
      <c r="BB483" s="48"/>
      <c r="BC483" s="48"/>
      <c r="BD483" s="48"/>
      <c r="BE483" s="255" t="n">
        <v>-1646.9</v>
      </c>
      <c r="BF483" s="48"/>
      <c r="BG483" s="48"/>
      <c r="BH483" s="48"/>
      <c r="BI483" s="48"/>
      <c r="BJ483" s="255" t="n">
        <v>-1860.9</v>
      </c>
      <c r="BK483" s="48"/>
      <c r="BL483" s="48"/>
      <c r="BM483" s="48"/>
      <c r="BN483" s="48"/>
      <c r="BO483" s="160"/>
      <c r="BP483" s="48"/>
      <c r="BQ483" s="48"/>
      <c r="BR483" s="48"/>
      <c r="BS483" s="48"/>
      <c r="BT483" s="159"/>
      <c r="BU483" s="48"/>
      <c r="BV483" s="48"/>
      <c r="BW483" s="48"/>
      <c r="BX483" s="48"/>
      <c r="BY483" s="159"/>
      <c r="BZ483" s="159"/>
      <c r="CA483" s="159"/>
      <c r="CB483" s="159"/>
      <c r="CC483" s="50"/>
    </row>
    <row r="484" s="51" customFormat="true" ht="15" hidden="true" customHeight="true" outlineLevel="1" collapsed="false">
      <c r="A484" s="270" t="s">
        <v>516</v>
      </c>
      <c r="B484" s="254"/>
      <c r="C484" s="255" t="n">
        <v>4.893</v>
      </c>
      <c r="D484" s="255" t="n">
        <v>-114.003</v>
      </c>
      <c r="E484" s="255" t="n">
        <v>-58.292</v>
      </c>
      <c r="F484" s="255" t="n">
        <v>19.117</v>
      </c>
      <c r="G484" s="255" t="n">
        <v>-32.941</v>
      </c>
      <c r="H484" s="48"/>
      <c r="I484" s="48"/>
      <c r="J484" s="48"/>
      <c r="K484" s="48"/>
      <c r="L484" s="255" t="n">
        <v>-112.424</v>
      </c>
      <c r="M484" s="48"/>
      <c r="N484" s="48"/>
      <c r="O484" s="48"/>
      <c r="P484" s="48"/>
      <c r="Q484" s="255" t="n">
        <v>-146.272</v>
      </c>
      <c r="R484" s="48"/>
      <c r="S484" s="48"/>
      <c r="T484" s="48"/>
      <c r="U484" s="48"/>
      <c r="V484" s="255" t="n">
        <v>-152.9</v>
      </c>
      <c r="W484" s="48"/>
      <c r="X484" s="48"/>
      <c r="Y484" s="48"/>
      <c r="Z484" s="48"/>
      <c r="AA484" s="255" t="n">
        <v>-389.8</v>
      </c>
      <c r="AB484" s="48"/>
      <c r="AC484" s="48"/>
      <c r="AD484" s="48"/>
      <c r="AE484" s="48"/>
      <c r="AF484" s="255" t="n">
        <v>-404</v>
      </c>
      <c r="AG484" s="48"/>
      <c r="AH484" s="48"/>
      <c r="AI484" s="48"/>
      <c r="AJ484" s="48"/>
      <c r="AK484" s="255" t="n">
        <v>-199.1</v>
      </c>
      <c r="AL484" s="48"/>
      <c r="AM484" s="48"/>
      <c r="AN484" s="48"/>
      <c r="AO484" s="48"/>
      <c r="AP484" s="255" t="n">
        <v>-75.1</v>
      </c>
      <c r="AQ484" s="48"/>
      <c r="AR484" s="48"/>
      <c r="AS484" s="48"/>
      <c r="AT484" s="48"/>
      <c r="AU484" s="255" t="n">
        <v>-222.2</v>
      </c>
      <c r="AV484" s="48"/>
      <c r="AW484" s="48"/>
      <c r="AX484" s="48"/>
      <c r="AY484" s="48"/>
      <c r="AZ484" s="255" t="n">
        <v>-864.3</v>
      </c>
      <c r="BA484" s="48"/>
      <c r="BB484" s="48"/>
      <c r="BC484" s="48"/>
      <c r="BD484" s="48"/>
      <c r="BE484" s="255" t="n">
        <v>-344.3</v>
      </c>
      <c r="BF484" s="48"/>
      <c r="BG484" s="48"/>
      <c r="BH484" s="48"/>
      <c r="BI484" s="48"/>
      <c r="BJ484" s="255" t="n">
        <v>-1299</v>
      </c>
      <c r="BK484" s="48"/>
      <c r="BL484" s="48"/>
      <c r="BM484" s="48"/>
      <c r="BN484" s="48"/>
      <c r="BO484" s="160"/>
      <c r="BP484" s="48"/>
      <c r="BQ484" s="48"/>
      <c r="BR484" s="48"/>
      <c r="BS484" s="48"/>
      <c r="BT484" s="159"/>
      <c r="BU484" s="48"/>
      <c r="BV484" s="48"/>
      <c r="BW484" s="48"/>
      <c r="BX484" s="48"/>
      <c r="BY484" s="159"/>
      <c r="BZ484" s="159"/>
      <c r="CA484" s="159"/>
      <c r="CB484" s="159"/>
      <c r="CC484" s="50"/>
    </row>
    <row r="485" s="51" customFormat="true" ht="15" hidden="true" customHeight="true" outlineLevel="1" collapsed="false">
      <c r="A485" s="270" t="s">
        <v>517</v>
      </c>
      <c r="B485" s="254"/>
      <c r="C485" s="255" t="n">
        <v>10.43</v>
      </c>
      <c r="D485" s="255" t="n">
        <v>862.919</v>
      </c>
      <c r="E485" s="255" t="n">
        <v>589.217</v>
      </c>
      <c r="F485" s="255" t="n">
        <v>-147.691</v>
      </c>
      <c r="G485" s="255" t="n">
        <v>-57.282</v>
      </c>
      <c r="H485" s="48"/>
      <c r="I485" s="48"/>
      <c r="J485" s="48"/>
      <c r="K485" s="48"/>
      <c r="L485" s="255" t="n">
        <v>36.524</v>
      </c>
      <c r="M485" s="48"/>
      <c r="N485" s="48"/>
      <c r="O485" s="48"/>
      <c r="P485" s="48"/>
      <c r="Q485" s="255" t="n">
        <v>235.446</v>
      </c>
      <c r="R485" s="48"/>
      <c r="S485" s="48"/>
      <c r="T485" s="48"/>
      <c r="U485" s="48"/>
      <c r="V485" s="255" t="n">
        <v>-273.9</v>
      </c>
      <c r="W485" s="48"/>
      <c r="X485" s="48"/>
      <c r="Y485" s="48"/>
      <c r="Z485" s="48"/>
      <c r="AA485" s="255" t="n">
        <v>491.2</v>
      </c>
      <c r="AB485" s="48"/>
      <c r="AC485" s="48"/>
      <c r="AD485" s="48"/>
      <c r="AE485" s="48"/>
      <c r="AF485" s="255" t="n">
        <v>237.7</v>
      </c>
      <c r="AG485" s="48"/>
      <c r="AH485" s="48"/>
      <c r="AI485" s="48"/>
      <c r="AJ485" s="48"/>
      <c r="AK485" s="255" t="n">
        <v>82.1</v>
      </c>
      <c r="AL485" s="48"/>
      <c r="AM485" s="48"/>
      <c r="AN485" s="48"/>
      <c r="AO485" s="48"/>
      <c r="AP485" s="255" t="n">
        <v>47.5</v>
      </c>
      <c r="AQ485" s="48"/>
      <c r="AR485" s="48"/>
      <c r="AS485" s="48"/>
      <c r="AT485" s="48"/>
      <c r="AU485" s="255" t="n">
        <v>347.6</v>
      </c>
      <c r="AV485" s="48"/>
      <c r="AW485" s="48"/>
      <c r="AX485" s="48"/>
      <c r="AY485" s="48"/>
      <c r="AZ485" s="255" t="n">
        <v>439.7</v>
      </c>
      <c r="BA485" s="48"/>
      <c r="BB485" s="48"/>
      <c r="BC485" s="48"/>
      <c r="BD485" s="48"/>
      <c r="BE485" s="255" t="n">
        <v>222</v>
      </c>
      <c r="BF485" s="48"/>
      <c r="BG485" s="48"/>
      <c r="BH485" s="48"/>
      <c r="BI485" s="48"/>
      <c r="BJ485" s="255" t="n">
        <v>625.5</v>
      </c>
      <c r="BK485" s="48"/>
      <c r="BL485" s="48"/>
      <c r="BM485" s="48"/>
      <c r="BN485" s="48"/>
      <c r="BO485" s="160"/>
      <c r="BP485" s="48"/>
      <c r="BQ485" s="48"/>
      <c r="BR485" s="48"/>
      <c r="BS485" s="48"/>
      <c r="BT485" s="159"/>
      <c r="BU485" s="48"/>
      <c r="BV485" s="48"/>
      <c r="BW485" s="48"/>
      <c r="BX485" s="48"/>
      <c r="BY485" s="159"/>
      <c r="BZ485" s="159"/>
      <c r="CA485" s="159"/>
      <c r="CB485" s="159"/>
      <c r="CC485" s="50"/>
    </row>
    <row r="486" s="51" customFormat="true" ht="15" hidden="true" customHeight="true" outlineLevel="1" collapsed="false">
      <c r="A486" s="270" t="s">
        <v>518</v>
      </c>
      <c r="B486" s="254"/>
      <c r="C486" s="255" t="n">
        <v>71.267</v>
      </c>
      <c r="D486" s="255" t="n">
        <v>350.231</v>
      </c>
      <c r="E486" s="255" t="n">
        <v>-126.234</v>
      </c>
      <c r="F486" s="255" t="n">
        <v>-225.083</v>
      </c>
      <c r="G486" s="255" t="n">
        <v>321.486</v>
      </c>
      <c r="H486" s="48"/>
      <c r="I486" s="48"/>
      <c r="J486" s="48"/>
      <c r="K486" s="48"/>
      <c r="L486" s="255" t="n">
        <v>-136.192</v>
      </c>
      <c r="M486" s="48"/>
      <c r="N486" s="48"/>
      <c r="O486" s="48"/>
      <c r="P486" s="48"/>
      <c r="Q486" s="255" t="n">
        <v>-77.09</v>
      </c>
      <c r="R486" s="48"/>
      <c r="S486" s="48"/>
      <c r="T486" s="48"/>
      <c r="U486" s="48"/>
      <c r="V486" s="255" t="n">
        <v>50.9</v>
      </c>
      <c r="W486" s="48"/>
      <c r="X486" s="48"/>
      <c r="Y486" s="48"/>
      <c r="Z486" s="48"/>
      <c r="AA486" s="255" t="n">
        <v>266.5</v>
      </c>
      <c r="AB486" s="48"/>
      <c r="AC486" s="48"/>
      <c r="AD486" s="48"/>
      <c r="AE486" s="48"/>
      <c r="AF486" s="255" t="n">
        <v>97.9</v>
      </c>
      <c r="AG486" s="48"/>
      <c r="AH486" s="48"/>
      <c r="AI486" s="48"/>
      <c r="AJ486" s="48"/>
      <c r="AK486" s="255" t="n">
        <v>-12.1</v>
      </c>
      <c r="AL486" s="48"/>
      <c r="AM486" s="48"/>
      <c r="AN486" s="48"/>
      <c r="AO486" s="48"/>
      <c r="AP486" s="255" t="n">
        <v>334.3</v>
      </c>
      <c r="AQ486" s="48"/>
      <c r="AR486" s="48"/>
      <c r="AS486" s="48"/>
      <c r="AT486" s="48"/>
      <c r="AU486" s="255" t="n">
        <v>718.6</v>
      </c>
      <c r="AV486" s="48"/>
      <c r="AW486" s="48"/>
      <c r="AX486" s="48"/>
      <c r="AY486" s="48"/>
      <c r="AZ486" s="255" t="n">
        <v>406.2</v>
      </c>
      <c r="BA486" s="48"/>
      <c r="BB486" s="48"/>
      <c r="BC486" s="48"/>
      <c r="BD486" s="48"/>
      <c r="BE486" s="255" t="n">
        <v>-261.7</v>
      </c>
      <c r="BF486" s="48"/>
      <c r="BG486" s="48"/>
      <c r="BH486" s="48"/>
      <c r="BI486" s="48"/>
      <c r="BJ486" s="255" t="n">
        <v>1127.6</v>
      </c>
      <c r="BK486" s="48"/>
      <c r="BL486" s="48"/>
      <c r="BM486" s="48"/>
      <c r="BN486" s="48"/>
      <c r="BO486" s="160"/>
      <c r="BP486" s="48"/>
      <c r="BQ486" s="48"/>
      <c r="BR486" s="48"/>
      <c r="BS486" s="48"/>
      <c r="BT486" s="159"/>
      <c r="BU486" s="48"/>
      <c r="BV486" s="48"/>
      <c r="BW486" s="48"/>
      <c r="BX486" s="48"/>
      <c r="BY486" s="159"/>
      <c r="BZ486" s="159"/>
      <c r="CA486" s="159"/>
      <c r="CB486" s="159"/>
      <c r="CC486" s="50"/>
    </row>
    <row r="487" s="51" customFormat="true" ht="15" hidden="true" customHeight="true" outlineLevel="1" collapsed="false">
      <c r="A487" s="270" t="s">
        <v>519</v>
      </c>
      <c r="B487" s="254"/>
      <c r="C487" s="159"/>
      <c r="D487" s="159"/>
      <c r="E487" s="159"/>
      <c r="F487" s="159"/>
      <c r="G487" s="159"/>
      <c r="H487" s="48"/>
      <c r="I487" s="48"/>
      <c r="J487" s="48"/>
      <c r="K487" s="48"/>
      <c r="L487" s="159"/>
      <c r="M487" s="48"/>
      <c r="N487" s="48"/>
      <c r="O487" s="48"/>
      <c r="P487" s="48"/>
      <c r="Q487" s="159"/>
      <c r="R487" s="48"/>
      <c r="S487" s="48"/>
      <c r="T487" s="48"/>
      <c r="U487" s="48"/>
      <c r="V487" s="159"/>
      <c r="W487" s="48"/>
      <c r="X487" s="48"/>
      <c r="Y487" s="48"/>
      <c r="Z487" s="48"/>
      <c r="AA487" s="159"/>
      <c r="AB487" s="48"/>
      <c r="AC487" s="48"/>
      <c r="AD487" s="48"/>
      <c r="AE487" s="48"/>
      <c r="AF487" s="255" t="n">
        <v>975.3</v>
      </c>
      <c r="AG487" s="48"/>
      <c r="AH487" s="48"/>
      <c r="AI487" s="48"/>
      <c r="AJ487" s="48"/>
      <c r="AK487" s="255" t="n">
        <v>1198.3</v>
      </c>
      <c r="AL487" s="48"/>
      <c r="AM487" s="48"/>
      <c r="AN487" s="48"/>
      <c r="AO487" s="48"/>
      <c r="AP487" s="255" t="n">
        <v>1418</v>
      </c>
      <c r="AQ487" s="48"/>
      <c r="AR487" s="48"/>
      <c r="AS487" s="48"/>
      <c r="AT487" s="48"/>
      <c r="AU487" s="255" t="n">
        <v>5529.8</v>
      </c>
      <c r="AV487" s="48"/>
      <c r="AW487" s="48"/>
      <c r="AX487" s="48"/>
      <c r="AY487" s="48"/>
      <c r="AZ487" s="255" t="n">
        <v>6632.7</v>
      </c>
      <c r="BA487" s="48"/>
      <c r="BB487" s="48"/>
      <c r="BC487" s="48"/>
      <c r="BD487" s="48"/>
      <c r="BE487" s="255" t="n">
        <v>-1564.6</v>
      </c>
      <c r="BF487" s="48"/>
      <c r="BG487" s="48"/>
      <c r="BH487" s="48"/>
      <c r="BI487" s="48"/>
      <c r="BJ487" s="255" t="n">
        <v>1871.8</v>
      </c>
      <c r="BK487" s="48"/>
      <c r="BL487" s="48"/>
      <c r="BM487" s="48"/>
      <c r="BN487" s="48"/>
      <c r="BO487" s="160"/>
      <c r="BP487" s="48"/>
      <c r="BQ487" s="48"/>
      <c r="BR487" s="48"/>
      <c r="BS487" s="48"/>
      <c r="BT487" s="159"/>
      <c r="BU487" s="48"/>
      <c r="BV487" s="48"/>
      <c r="BW487" s="48"/>
      <c r="BX487" s="48"/>
      <c r="BY487" s="159"/>
      <c r="BZ487" s="159"/>
      <c r="CA487" s="159"/>
      <c r="CB487" s="159"/>
      <c r="CC487" s="50"/>
    </row>
    <row r="488" s="51" customFormat="true" ht="15" hidden="true" customHeight="true" outlineLevel="1" collapsed="false">
      <c r="A488" s="226" t="s">
        <v>520</v>
      </c>
      <c r="B488" s="257"/>
      <c r="C488" s="258" t="n">
        <v>9.937</v>
      </c>
      <c r="D488" s="258" t="n">
        <v>36.695</v>
      </c>
      <c r="E488" s="258" t="n">
        <v>-72.53</v>
      </c>
      <c r="F488" s="258" t="n">
        <v>-28.179</v>
      </c>
      <c r="G488" s="258" t="n">
        <v>68.131</v>
      </c>
      <c r="H488" s="259"/>
      <c r="I488" s="259"/>
      <c r="J488" s="259"/>
      <c r="K488" s="259"/>
      <c r="L488" s="258" t="n">
        <v>11.822</v>
      </c>
      <c r="M488" s="259"/>
      <c r="N488" s="259"/>
      <c r="O488" s="259"/>
      <c r="P488" s="259"/>
      <c r="Q488" s="258" t="n">
        <v>-4.611</v>
      </c>
      <c r="R488" s="259"/>
      <c r="S488" s="259"/>
      <c r="T488" s="259"/>
      <c r="U488" s="259"/>
      <c r="V488" s="258" t="n">
        <v>93.4</v>
      </c>
      <c r="W488" s="259"/>
      <c r="X488" s="259"/>
      <c r="Y488" s="259"/>
      <c r="Z488" s="259"/>
      <c r="AA488" s="258" t="n">
        <v>-151.8</v>
      </c>
      <c r="AB488" s="259"/>
      <c r="AC488" s="259"/>
      <c r="AD488" s="259"/>
      <c r="AE488" s="259"/>
      <c r="AF488" s="258" t="n">
        <v>13.1</v>
      </c>
      <c r="AG488" s="259"/>
      <c r="AH488" s="259"/>
      <c r="AI488" s="259"/>
      <c r="AJ488" s="259"/>
      <c r="AK488" s="258" t="n">
        <v>-202.6</v>
      </c>
      <c r="AL488" s="259"/>
      <c r="AM488" s="259"/>
      <c r="AN488" s="259"/>
      <c r="AO488" s="259"/>
      <c r="AP488" s="258" t="n">
        <v>131.5</v>
      </c>
      <c r="AQ488" s="259"/>
      <c r="AR488" s="259"/>
      <c r="AS488" s="259"/>
      <c r="AT488" s="259"/>
      <c r="AU488" s="258" t="n">
        <v>214.4</v>
      </c>
      <c r="AV488" s="259"/>
      <c r="AW488" s="259"/>
      <c r="AX488" s="259"/>
      <c r="AY488" s="259"/>
      <c r="AZ488" s="258" t="n">
        <v>33.6</v>
      </c>
      <c r="BA488" s="259"/>
      <c r="BB488" s="259"/>
      <c r="BC488" s="259"/>
      <c r="BD488" s="259"/>
      <c r="BE488" s="258" t="n">
        <v>-939.4</v>
      </c>
      <c r="BF488" s="259"/>
      <c r="BG488" s="259"/>
      <c r="BH488" s="259"/>
      <c r="BI488" s="259"/>
      <c r="BJ488" s="258" t="n">
        <v>689.5</v>
      </c>
      <c r="BK488" s="259"/>
      <c r="BL488" s="259"/>
      <c r="BM488" s="259"/>
      <c r="BN488" s="259"/>
      <c r="BO488" s="260"/>
      <c r="BP488" s="259"/>
      <c r="BQ488" s="259"/>
      <c r="BR488" s="259"/>
      <c r="BS488" s="259"/>
      <c r="BT488" s="261"/>
      <c r="BU488" s="259"/>
      <c r="BV488" s="259"/>
      <c r="BW488" s="259"/>
      <c r="BX488" s="259"/>
      <c r="BY488" s="261"/>
      <c r="BZ488" s="261"/>
      <c r="CA488" s="261"/>
      <c r="CB488" s="261"/>
      <c r="CC488" s="50"/>
    </row>
    <row r="489" s="51" customFormat="true" ht="15" hidden="true" customHeight="true" outlineLevel="1" collapsed="false">
      <c r="A489" s="551" t="s">
        <v>521</v>
      </c>
      <c r="B489" s="426"/>
      <c r="C489" s="552" t="n">
        <f aca="false">SUM(C481:C488)</f>
        <v>36.043</v>
      </c>
      <c r="D489" s="552" t="n">
        <f aca="false">SUM(D481:D488)</f>
        <v>-339.289</v>
      </c>
      <c r="E489" s="552" t="n">
        <f aca="false">SUM(E481:E488)</f>
        <v>285.826</v>
      </c>
      <c r="F489" s="552" t="n">
        <f aca="false">SUM(F481:F488)</f>
        <v>-712.673</v>
      </c>
      <c r="G489" s="552" t="n">
        <f aca="false">SUM(G481:G488)</f>
        <v>-401.599</v>
      </c>
      <c r="H489" s="553" t="n">
        <v>-149.8</v>
      </c>
      <c r="I489" s="553" t="n">
        <v>-489.9</v>
      </c>
      <c r="J489" s="553" t="n">
        <v>-595.2</v>
      </c>
      <c r="K489" s="554" t="n">
        <f aca="false">L489</f>
        <v>-607.392</v>
      </c>
      <c r="L489" s="552" t="n">
        <f aca="false">SUM(L481:L488)</f>
        <v>-607.392</v>
      </c>
      <c r="M489" s="553" t="n">
        <v>-201</v>
      </c>
      <c r="N489" s="553" t="n">
        <v>-428.3</v>
      </c>
      <c r="O489" s="553" t="n">
        <v>-521.6</v>
      </c>
      <c r="P489" s="554" t="n">
        <f aca="false">Q489</f>
        <v>17.515</v>
      </c>
      <c r="Q489" s="552" t="n">
        <f aca="false">SUM(Q481:Q488)</f>
        <v>17.515</v>
      </c>
      <c r="R489" s="553" t="n">
        <v>-333.7</v>
      </c>
      <c r="S489" s="553" t="n">
        <v>-319.4</v>
      </c>
      <c r="T489" s="553" t="n">
        <v>-861.2</v>
      </c>
      <c r="U489" s="554" t="n">
        <f aca="false">V489</f>
        <v>-294.9</v>
      </c>
      <c r="V489" s="552" t="n">
        <f aca="false">SUM(V481:V488)</f>
        <v>-294.9</v>
      </c>
      <c r="W489" s="553" t="n">
        <v>-791.4</v>
      </c>
      <c r="X489" s="553" t="n">
        <v>-880.9</v>
      </c>
      <c r="Y489" s="553" t="n">
        <v>-1191.3</v>
      </c>
      <c r="Z489" s="554" t="n">
        <f aca="false">AA489</f>
        <v>-939.3</v>
      </c>
      <c r="AA489" s="552" t="n">
        <f aca="false">SUM(AA481:AA488)</f>
        <v>-939.3</v>
      </c>
      <c r="AB489" s="553" t="n">
        <v>-553.5</v>
      </c>
      <c r="AC489" s="553" t="n">
        <v>-563.2</v>
      </c>
      <c r="AD489" s="553" t="n">
        <v>-887</v>
      </c>
      <c r="AE489" s="554" t="n">
        <f aca="false">AF489</f>
        <v>-59.4</v>
      </c>
      <c r="AF489" s="555" t="n">
        <v>-59.4</v>
      </c>
      <c r="AG489" s="553" t="n">
        <v>-938.4</v>
      </c>
      <c r="AH489" s="553" t="n">
        <v>-1405.3</v>
      </c>
      <c r="AI489" s="553" t="n">
        <v>-2145.4</v>
      </c>
      <c r="AJ489" s="554" t="n">
        <f aca="false">AK489</f>
        <v>111.6</v>
      </c>
      <c r="AK489" s="552" t="n">
        <f aca="false">SUM(AK481:AK488)</f>
        <v>111.6</v>
      </c>
      <c r="AL489" s="553" t="n">
        <v>-1115.7</v>
      </c>
      <c r="AM489" s="553" t="n">
        <v>-1627.8</v>
      </c>
      <c r="AN489" s="553" t="n">
        <v>-2543.1</v>
      </c>
      <c r="AO489" s="554" t="n">
        <f aca="false">AP489</f>
        <v>531.6</v>
      </c>
      <c r="AP489" s="552" t="n">
        <f aca="false">SUM(AP481:AP488)</f>
        <v>531.6</v>
      </c>
      <c r="AQ489" s="553" t="n">
        <v>-2395.3</v>
      </c>
      <c r="AR489" s="553" t="n">
        <v>-20.5</v>
      </c>
      <c r="AS489" s="553" t="n">
        <v>244.9</v>
      </c>
      <c r="AT489" s="554" t="n">
        <f aca="false">AU489</f>
        <v>4892.4</v>
      </c>
      <c r="AU489" s="552" t="n">
        <f aca="false">SUM(AU481:AU488)</f>
        <v>4892.4</v>
      </c>
      <c r="AV489" s="553" t="n">
        <v>-1399</v>
      </c>
      <c r="AW489" s="553" t="n">
        <v>-362.1</v>
      </c>
      <c r="AX489" s="553" t="n">
        <v>-771.8</v>
      </c>
      <c r="AY489" s="554" t="n">
        <f aca="false">AZ489</f>
        <v>2441.2</v>
      </c>
      <c r="AZ489" s="552" t="n">
        <f aca="false">SUM(AZ481:AZ488)</f>
        <v>2441.2</v>
      </c>
      <c r="BA489" s="553" t="n">
        <v>-1461.6</v>
      </c>
      <c r="BB489" s="553" t="n">
        <v>-3298.3</v>
      </c>
      <c r="BC489" s="553" t="n">
        <v>-4211.3</v>
      </c>
      <c r="BD489" s="554" t="n">
        <f aca="false">BE489</f>
        <v>-3663.6</v>
      </c>
      <c r="BE489" s="427" t="n">
        <f aca="false">SUM(BE481:BE488)</f>
        <v>-3663.6</v>
      </c>
      <c r="BF489" s="553" t="n">
        <v>-1799</v>
      </c>
      <c r="BG489" s="553" t="n">
        <v>-2802.1</v>
      </c>
      <c r="BH489" s="553" t="n">
        <v>-4183.7</v>
      </c>
      <c r="BI489" s="554" t="n">
        <f aca="false">BJ489</f>
        <v>2053.3</v>
      </c>
      <c r="BJ489" s="427" t="n">
        <f aca="false">SUM(BJ481:BJ488)</f>
        <v>2053.3</v>
      </c>
      <c r="BK489" s="553" t="n">
        <v>-2800.8</v>
      </c>
      <c r="BL489" s="553" t="n">
        <v>-4710.9</v>
      </c>
      <c r="BM489" s="553" t="n">
        <v>-6614.2</v>
      </c>
      <c r="BN489" s="554" t="n">
        <f aca="false">BO489</f>
        <v>1026.5</v>
      </c>
      <c r="BO489" s="556" t="n">
        <v>1026.5</v>
      </c>
      <c r="BP489" s="428"/>
      <c r="BQ489" s="428"/>
      <c r="BR489" s="428"/>
      <c r="BS489" s="428"/>
      <c r="BT489" s="427"/>
      <c r="BU489" s="428"/>
      <c r="BV489" s="428"/>
      <c r="BW489" s="428"/>
      <c r="BX489" s="428"/>
      <c r="BY489" s="427"/>
      <c r="BZ489" s="427"/>
      <c r="CA489" s="427"/>
      <c r="CB489" s="427"/>
      <c r="CC489" s="50"/>
    </row>
    <row r="490" s="157" customFormat="true" ht="15" hidden="true" customHeight="true" outlineLevel="1" collapsed="false">
      <c r="A490" s="244" t="s">
        <v>522</v>
      </c>
      <c r="B490" s="393"/>
      <c r="C490" s="357" t="n">
        <f aca="false">C489+C480</f>
        <v>99.194</v>
      </c>
      <c r="D490" s="357" t="n">
        <f aca="false">D489+D480</f>
        <v>940.048</v>
      </c>
      <c r="E490" s="357" t="n">
        <f aca="false">E489+E480</f>
        <v>2070.44</v>
      </c>
      <c r="F490" s="357" t="n">
        <f aca="false">F489+F480</f>
        <v>703.478</v>
      </c>
      <c r="G490" s="357" t="n">
        <f aca="false">G489+G480</f>
        <v>1054.173</v>
      </c>
      <c r="H490" s="394" t="n">
        <f aca="false">H489+H480</f>
        <v>203.4</v>
      </c>
      <c r="I490" s="394" t="n">
        <f aca="false">I489+I480</f>
        <v>401.8</v>
      </c>
      <c r="J490" s="394" t="n">
        <f aca="false">J489+J480</f>
        <v>616</v>
      </c>
      <c r="K490" s="394" t="n">
        <f aca="false">K489+K480</f>
        <v>1025.206</v>
      </c>
      <c r="L490" s="357" t="n">
        <f aca="false">L489+L480</f>
        <v>1025.206</v>
      </c>
      <c r="M490" s="394" t="n">
        <f aca="false">M489+M480</f>
        <v>337.2</v>
      </c>
      <c r="N490" s="394" t="n">
        <f aca="false">N489+N480</f>
        <v>621</v>
      </c>
      <c r="O490" s="394" t="n">
        <f aca="false">O489+O480</f>
        <v>1040.8</v>
      </c>
      <c r="P490" s="394" t="n">
        <f aca="false">P489+P480</f>
        <v>2025.58</v>
      </c>
      <c r="Q490" s="357" t="n">
        <f aca="false">Q489+Q480</f>
        <v>2025.58</v>
      </c>
      <c r="R490" s="394" t="n">
        <f aca="false">R489+R480</f>
        <v>-5.80000000000001</v>
      </c>
      <c r="S490" s="394" t="n">
        <f aca="false">S489+S480</f>
        <v>475.3</v>
      </c>
      <c r="T490" s="394" t="n">
        <f aca="false">T489+T480</f>
        <v>472.6</v>
      </c>
      <c r="U490" s="394" t="n">
        <f aca="false">U489+U480</f>
        <v>1665.9</v>
      </c>
      <c r="V490" s="357" t="n">
        <f aca="false">V489+V480</f>
        <v>1665.9</v>
      </c>
      <c r="W490" s="394" t="n">
        <f aca="false">W489+W480</f>
        <v>-168.4</v>
      </c>
      <c r="X490" s="394" t="n">
        <f aca="false">X489+X480</f>
        <v>361.9</v>
      </c>
      <c r="Y490" s="394" t="n">
        <f aca="false">Y489+Y480</f>
        <v>761.9</v>
      </c>
      <c r="Z490" s="394" t="n">
        <f aca="false">Z489+Z480</f>
        <v>1798.6</v>
      </c>
      <c r="AA490" s="357" t="n">
        <f aca="false">AA489+AA480</f>
        <v>1798.6</v>
      </c>
      <c r="AB490" s="394" t="n">
        <f aca="false">AB489+AB480</f>
        <v>191</v>
      </c>
      <c r="AC490" s="394" t="n">
        <f aca="false">AC489+AC480</f>
        <v>950.1</v>
      </c>
      <c r="AD490" s="394" t="n">
        <f aca="false">AD489+AD480</f>
        <v>1442.3</v>
      </c>
      <c r="AE490" s="394" t="n">
        <f aca="false">AE489+AE480</f>
        <v>3072.7</v>
      </c>
      <c r="AF490" s="357" t="n">
        <f aca="false">AF489+AF480</f>
        <v>3072.7</v>
      </c>
      <c r="AG490" s="394" t="n">
        <f aca="false">AG489+AG480</f>
        <v>-480.8</v>
      </c>
      <c r="AH490" s="394" t="n">
        <f aca="false">AH489+AH480</f>
        <v>-381.3</v>
      </c>
      <c r="AI490" s="394" t="n">
        <f aca="false">AI489+AI480</f>
        <v>-311.9</v>
      </c>
      <c r="AJ490" s="394" t="n">
        <f aca="false">AJ489+AJ480</f>
        <v>3276.4</v>
      </c>
      <c r="AK490" s="357" t="n">
        <f aca="false">AK489+AK480</f>
        <v>3276.4</v>
      </c>
      <c r="AL490" s="394" t="n">
        <f aca="false">AL489+AL480</f>
        <v>-605.8</v>
      </c>
      <c r="AM490" s="394" t="n">
        <f aca="false">AM489+AM480</f>
        <v>-233.9</v>
      </c>
      <c r="AN490" s="394" t="n">
        <f aca="false">AN489+AN480</f>
        <v>-42.8000000000002</v>
      </c>
      <c r="AO490" s="394" t="n">
        <f aca="false">AO489+AO480</f>
        <v>4627.6</v>
      </c>
      <c r="AP490" s="357" t="n">
        <f aca="false">AP489+AP480</f>
        <v>4627.6</v>
      </c>
      <c r="AQ490" s="394" t="n">
        <f aca="false">AQ489+AQ480</f>
        <v>-941.7</v>
      </c>
      <c r="AR490" s="394" t="n">
        <f aca="false">AR489+AR480</f>
        <v>2627.2</v>
      </c>
      <c r="AS490" s="394" t="n">
        <f aca="false">AS489+AS480</f>
        <v>4428.8</v>
      </c>
      <c r="AT490" s="394" t="n">
        <f aca="false">AT489+AT480</f>
        <v>10845.8</v>
      </c>
      <c r="AU490" s="357" t="n">
        <f aca="false">AU489+AU480</f>
        <v>10845.8</v>
      </c>
      <c r="AV490" s="394" t="n">
        <f aca="false">AV489+AV480</f>
        <v>-586.1</v>
      </c>
      <c r="AW490" s="394" t="n">
        <f aca="false">AW489+AW480</f>
        <v>1966.8</v>
      </c>
      <c r="AX490" s="394" t="n">
        <f aca="false">AX489+AX480</f>
        <v>3136.3</v>
      </c>
      <c r="AY490" s="394" t="n">
        <f aca="false">AY489+AY480</f>
        <v>8486.8</v>
      </c>
      <c r="AZ490" s="357" t="n">
        <f aca="false">AZ489+AZ480</f>
        <v>8486.8</v>
      </c>
      <c r="BA490" s="394" t="n">
        <f aca="false">BA489+BA480</f>
        <v>733.6</v>
      </c>
      <c r="BB490" s="394" t="n">
        <f aca="false">BB489+BB480</f>
        <v>1118.3</v>
      </c>
      <c r="BC490" s="394" t="n">
        <f aca="false">BC489+BC480</f>
        <v>2246.4</v>
      </c>
      <c r="BD490" s="394" t="n">
        <f aca="false">BD489+BD480</f>
        <v>5443.4</v>
      </c>
      <c r="BE490" s="357" t="n">
        <f aca="false">BE489+BE480</f>
        <v>5443.4</v>
      </c>
      <c r="BF490" s="394" t="n">
        <f aca="false">BF489+BF480</f>
        <v>-251.9</v>
      </c>
      <c r="BG490" s="394" t="n">
        <f aca="false">BG489+BG480</f>
        <v>671.5</v>
      </c>
      <c r="BH490" s="394" t="n">
        <f aca="false">BH489+BH480</f>
        <v>1621.4</v>
      </c>
      <c r="BI490" s="394" t="n">
        <f aca="false">BI489+BI480</f>
        <v>11166.2</v>
      </c>
      <c r="BJ490" s="357" t="n">
        <f aca="false">BJ489+BJ480</f>
        <v>11166.2</v>
      </c>
      <c r="BK490" s="394" t="n">
        <f aca="false">BK489+BK480</f>
        <v>-58.6000000000004</v>
      </c>
      <c r="BL490" s="394" t="n">
        <f aca="false">BL489+BL480</f>
        <v>689.1</v>
      </c>
      <c r="BM490" s="394" t="n">
        <f aca="false">BM489+BM480</f>
        <v>1248.2</v>
      </c>
      <c r="BN490" s="394" t="n">
        <f aca="false">BN489+BN480</f>
        <v>12658.5</v>
      </c>
      <c r="BO490" s="395" t="n">
        <f aca="false">BO489+BO480</f>
        <v>12658.5</v>
      </c>
      <c r="BP490" s="163"/>
      <c r="BQ490" s="163"/>
      <c r="BR490" s="163"/>
      <c r="BS490" s="163"/>
      <c r="BT490" s="162"/>
      <c r="BU490" s="163"/>
      <c r="BV490" s="163"/>
      <c r="BW490" s="163"/>
      <c r="BX490" s="163"/>
      <c r="BY490" s="162"/>
      <c r="BZ490" s="162"/>
      <c r="CA490" s="162"/>
      <c r="CB490" s="162"/>
      <c r="CC490" s="156"/>
    </row>
    <row r="491" s="157" customFormat="true" ht="15" hidden="true" customHeight="true" outlineLevel="1" collapsed="false">
      <c r="A491" s="252"/>
      <c r="B491" s="266"/>
      <c r="C491" s="267"/>
      <c r="D491" s="267"/>
      <c r="E491" s="267"/>
      <c r="F491" s="267"/>
      <c r="G491" s="267"/>
      <c r="H491" s="268"/>
      <c r="I491" s="268"/>
      <c r="J491" s="268"/>
      <c r="K491" s="268"/>
      <c r="L491" s="267"/>
      <c r="M491" s="268"/>
      <c r="N491" s="268"/>
      <c r="O491" s="268"/>
      <c r="P491" s="268"/>
      <c r="Q491" s="267"/>
      <c r="R491" s="268"/>
      <c r="S491" s="268"/>
      <c r="T491" s="268"/>
      <c r="U491" s="268"/>
      <c r="V491" s="267"/>
      <c r="W491" s="268"/>
      <c r="X491" s="268"/>
      <c r="Y491" s="268"/>
      <c r="Z491" s="268"/>
      <c r="AA491" s="267"/>
      <c r="AB491" s="268"/>
      <c r="AC491" s="268"/>
      <c r="AD491" s="268"/>
      <c r="AE491" s="268"/>
      <c r="AF491" s="267"/>
      <c r="AG491" s="268"/>
      <c r="AH491" s="268"/>
      <c r="AI491" s="268"/>
      <c r="AJ491" s="268"/>
      <c r="AK491" s="267"/>
      <c r="AL491" s="268"/>
      <c r="AM491" s="268"/>
      <c r="AN491" s="268"/>
      <c r="AO491" s="268"/>
      <c r="AP491" s="267"/>
      <c r="AQ491" s="268"/>
      <c r="AR491" s="268"/>
      <c r="AS491" s="268"/>
      <c r="AT491" s="268"/>
      <c r="AU491" s="267"/>
      <c r="AV491" s="268"/>
      <c r="AW491" s="268"/>
      <c r="AX491" s="268"/>
      <c r="AY491" s="268"/>
      <c r="AZ491" s="267"/>
      <c r="BA491" s="268"/>
      <c r="BB491" s="268"/>
      <c r="BC491" s="268"/>
      <c r="BD491" s="268"/>
      <c r="BE491" s="267"/>
      <c r="BF491" s="268"/>
      <c r="BG491" s="268"/>
      <c r="BH491" s="268"/>
      <c r="BI491" s="268"/>
      <c r="BJ491" s="267"/>
      <c r="BK491" s="268"/>
      <c r="BL491" s="268"/>
      <c r="BM491" s="268"/>
      <c r="BN491" s="268"/>
      <c r="BO491" s="269"/>
      <c r="BP491" s="268"/>
      <c r="BQ491" s="268"/>
      <c r="BR491" s="268"/>
      <c r="BS491" s="268"/>
      <c r="BT491" s="267"/>
      <c r="BU491" s="268"/>
      <c r="BV491" s="268"/>
      <c r="BW491" s="268"/>
      <c r="BX491" s="268"/>
      <c r="BY491" s="267"/>
      <c r="BZ491" s="267"/>
      <c r="CA491" s="267"/>
      <c r="CB491" s="267"/>
      <c r="CC491" s="156"/>
    </row>
    <row r="492" s="157" customFormat="true" ht="15" hidden="true" customHeight="true" outlineLevel="1" collapsed="false">
      <c r="A492" s="221" t="s">
        <v>523</v>
      </c>
      <c r="B492" s="266"/>
      <c r="C492" s="267"/>
      <c r="D492" s="267"/>
      <c r="E492" s="267"/>
      <c r="F492" s="267"/>
      <c r="G492" s="267"/>
      <c r="H492" s="268"/>
      <c r="I492" s="268"/>
      <c r="J492" s="268"/>
      <c r="K492" s="268"/>
      <c r="L492" s="267"/>
      <c r="M492" s="268"/>
      <c r="N492" s="268"/>
      <c r="O492" s="268"/>
      <c r="P492" s="268"/>
      <c r="Q492" s="267"/>
      <c r="R492" s="268"/>
      <c r="S492" s="268"/>
      <c r="T492" s="268"/>
      <c r="U492" s="268"/>
      <c r="V492" s="267"/>
      <c r="W492" s="268"/>
      <c r="X492" s="268"/>
      <c r="Y492" s="268"/>
      <c r="Z492" s="268"/>
      <c r="AA492" s="267"/>
      <c r="AB492" s="268"/>
      <c r="AC492" s="268"/>
      <c r="AD492" s="268"/>
      <c r="AE492" s="268"/>
      <c r="AF492" s="267"/>
      <c r="AG492" s="268"/>
      <c r="AH492" s="268"/>
      <c r="AI492" s="268"/>
      <c r="AJ492" s="268"/>
      <c r="AK492" s="267"/>
      <c r="AL492" s="268"/>
      <c r="AM492" s="268"/>
      <c r="AN492" s="268"/>
      <c r="AO492" s="268"/>
      <c r="AP492" s="267"/>
      <c r="AQ492" s="268"/>
      <c r="AR492" s="268"/>
      <c r="AS492" s="268"/>
      <c r="AT492" s="268"/>
      <c r="AU492" s="267"/>
      <c r="AV492" s="268"/>
      <c r="AW492" s="268"/>
      <c r="AX492" s="268"/>
      <c r="AY492" s="268"/>
      <c r="AZ492" s="267"/>
      <c r="BA492" s="268"/>
      <c r="BB492" s="268"/>
      <c r="BC492" s="268"/>
      <c r="BD492" s="268"/>
      <c r="BE492" s="267"/>
      <c r="BF492" s="268"/>
      <c r="BG492" s="268"/>
      <c r="BH492" s="268"/>
      <c r="BI492" s="268"/>
      <c r="BJ492" s="267"/>
      <c r="BK492" s="268"/>
      <c r="BL492" s="268"/>
      <c r="BM492" s="268"/>
      <c r="BN492" s="268"/>
      <c r="BO492" s="269"/>
      <c r="BP492" s="268"/>
      <c r="BQ492" s="268"/>
      <c r="BR492" s="268"/>
      <c r="BS492" s="268"/>
      <c r="BT492" s="267"/>
      <c r="BU492" s="268"/>
      <c r="BV492" s="268"/>
      <c r="BW492" s="268"/>
      <c r="BX492" s="268"/>
      <c r="BY492" s="267"/>
      <c r="BZ492" s="267"/>
      <c r="CA492" s="267"/>
      <c r="CB492" s="267"/>
      <c r="CC492" s="156"/>
    </row>
    <row r="493" s="51" customFormat="true" ht="15" hidden="true" customHeight="true" outlineLevel="1" collapsed="false">
      <c r="A493" s="270" t="s">
        <v>524</v>
      </c>
      <c r="B493" s="254"/>
      <c r="C493" s="255" t="n">
        <v>-104.959</v>
      </c>
      <c r="D493" s="255" t="n">
        <v>-128.728</v>
      </c>
      <c r="E493" s="255" t="n">
        <v>-300.898</v>
      </c>
      <c r="F493" s="255" t="n">
        <v>-171.878</v>
      </c>
      <c r="G493" s="255" t="n">
        <v>-210.804</v>
      </c>
      <c r="H493" s="263" t="n">
        <v>-75.5</v>
      </c>
      <c r="I493" s="263" t="n">
        <v>-146.2</v>
      </c>
      <c r="J493" s="263" t="n">
        <v>-230.4</v>
      </c>
      <c r="K493" s="50" t="n">
        <f aca="false">L493</f>
        <v>-358.28</v>
      </c>
      <c r="L493" s="255" t="n">
        <v>-358.28</v>
      </c>
      <c r="M493" s="263" t="n">
        <v>-85.6</v>
      </c>
      <c r="N493" s="263" t="n">
        <v>-164.8</v>
      </c>
      <c r="O493" s="263" t="n">
        <v>-251.3</v>
      </c>
      <c r="P493" s="50" t="n">
        <f aca="false">Q493</f>
        <v>-371.77</v>
      </c>
      <c r="Q493" s="255" t="n">
        <v>-371.77</v>
      </c>
      <c r="R493" s="263" t="n">
        <v>-55.2</v>
      </c>
      <c r="S493" s="263" t="n">
        <v>-154.1</v>
      </c>
      <c r="T493" s="263" t="n">
        <v>-220.4</v>
      </c>
      <c r="U493" s="50" t="n">
        <f aca="false">V493</f>
        <v>-316.3</v>
      </c>
      <c r="V493" s="255" t="n">
        <v>-316.3</v>
      </c>
      <c r="W493" s="263" t="n">
        <v>-38.6</v>
      </c>
      <c r="X493" s="263" t="n">
        <v>-94.9</v>
      </c>
      <c r="Y493" s="263" t="n">
        <v>-190.6</v>
      </c>
      <c r="Z493" s="50" t="n">
        <f aca="false">AA493</f>
        <v>-338.9</v>
      </c>
      <c r="AA493" s="255" t="n">
        <v>-338.9</v>
      </c>
      <c r="AB493" s="263" t="n">
        <v>-129.2</v>
      </c>
      <c r="AC493" s="263" t="n">
        <v>-254.8</v>
      </c>
      <c r="AD493" s="263" t="n">
        <v>-383.9</v>
      </c>
      <c r="AE493" s="50" t="n">
        <f aca="false">AF493</f>
        <v>-574</v>
      </c>
      <c r="AF493" s="255" t="n">
        <v>-574</v>
      </c>
      <c r="AG493" s="263" t="n">
        <v>-147</v>
      </c>
      <c r="AH493" s="263" t="n">
        <v>-275.3</v>
      </c>
      <c r="AI493" s="263" t="n">
        <v>-461.1</v>
      </c>
      <c r="AJ493" s="50" t="n">
        <f aca="false">AK493</f>
        <v>-766.6</v>
      </c>
      <c r="AK493" s="255" t="n">
        <v>-766.6</v>
      </c>
      <c r="AL493" s="263" t="n">
        <v>-231.5</v>
      </c>
      <c r="AM493" s="263" t="n">
        <v>-456.6</v>
      </c>
      <c r="AN493" s="263" t="n">
        <v>-669.1</v>
      </c>
      <c r="AO493" s="50" t="n">
        <f aca="false">AP493</f>
        <v>-962</v>
      </c>
      <c r="AP493" s="255" t="n">
        <v>-962</v>
      </c>
      <c r="AQ493" s="263" t="n">
        <v>-189.4</v>
      </c>
      <c r="AR493" s="263" t="n">
        <v>-430.5</v>
      </c>
      <c r="AS493" s="263" t="n">
        <v>-627.5</v>
      </c>
      <c r="AT493" s="50" t="n">
        <f aca="false">AU493</f>
        <v>-900.7</v>
      </c>
      <c r="AU493" s="255" t="n">
        <v>-900.7</v>
      </c>
      <c r="AV493" s="263" t="n">
        <v>-240.1</v>
      </c>
      <c r="AW493" s="263" t="n">
        <v>-471.6</v>
      </c>
      <c r="AX493" s="263" t="n">
        <v>-828.2</v>
      </c>
      <c r="AY493" s="50" t="n">
        <f aca="false">AZ493</f>
        <v>-1281.8</v>
      </c>
      <c r="AZ493" s="255" t="n">
        <v>-1281.8</v>
      </c>
      <c r="BA493" s="263" t="n">
        <v>-532</v>
      </c>
      <c r="BB493" s="263" t="n">
        <v>-1069.8</v>
      </c>
      <c r="BC493" s="263" t="n">
        <v>-1571.6</v>
      </c>
      <c r="BD493" s="50" t="n">
        <f aca="false">BE493</f>
        <v>-2155.6</v>
      </c>
      <c r="BE493" s="255" t="n">
        <v>-2155.6</v>
      </c>
      <c r="BF493" s="263" t="n">
        <v>-417.3</v>
      </c>
      <c r="BG493" s="263" t="n">
        <v>-948.3</v>
      </c>
      <c r="BH493" s="263" t="n">
        <v>-1363.2</v>
      </c>
      <c r="BI493" s="50" t="n">
        <f aca="false">BJ493</f>
        <v>-2067.2</v>
      </c>
      <c r="BJ493" s="255" t="n">
        <v>-2067.2</v>
      </c>
      <c r="BK493" s="263" t="n">
        <v>-415</v>
      </c>
      <c r="BL493" s="263" t="n">
        <v>-829.8</v>
      </c>
      <c r="BM493" s="263" t="n">
        <v>-1125.7</v>
      </c>
      <c r="BN493" s="50" t="n">
        <f aca="false">BO493</f>
        <v>-1573.6</v>
      </c>
      <c r="BO493" s="390" t="n">
        <v>-1573.6</v>
      </c>
      <c r="BP493" s="48"/>
      <c r="BQ493" s="48"/>
      <c r="BR493" s="48"/>
      <c r="BS493" s="48"/>
      <c r="BT493" s="159"/>
      <c r="BU493" s="48"/>
      <c r="BV493" s="48"/>
      <c r="BW493" s="48"/>
      <c r="BX493" s="48"/>
      <c r="BY493" s="159"/>
      <c r="BZ493" s="159"/>
      <c r="CA493" s="159"/>
      <c r="CB493" s="159"/>
      <c r="CC493" s="50"/>
    </row>
    <row r="494" s="51" customFormat="true" ht="15" hidden="true" customHeight="true" outlineLevel="1" collapsed="false">
      <c r="A494" s="270" t="s">
        <v>525</v>
      </c>
      <c r="B494" s="254"/>
      <c r="C494" s="159"/>
      <c r="D494" s="159"/>
      <c r="E494" s="159"/>
      <c r="F494" s="255" t="n">
        <v>-7.658</v>
      </c>
      <c r="G494" s="255" t="n">
        <v>-4</v>
      </c>
      <c r="H494" s="48"/>
      <c r="I494" s="263" t="n">
        <v>-3</v>
      </c>
      <c r="J494" s="263" t="n">
        <v>-3</v>
      </c>
      <c r="K494" s="50" t="n">
        <f aca="false">L494</f>
        <v>-2.952</v>
      </c>
      <c r="L494" s="255" t="n">
        <v>-2.952</v>
      </c>
      <c r="M494" s="263" t="n">
        <v>-1.1</v>
      </c>
      <c r="N494" s="263" t="n">
        <v>-1.1</v>
      </c>
      <c r="O494" s="263" t="n">
        <v>-1.1</v>
      </c>
      <c r="P494" s="50" t="n">
        <f aca="false">Q494</f>
        <v>-1.108</v>
      </c>
      <c r="Q494" s="255" t="n">
        <v>-1.108</v>
      </c>
      <c r="R494" s="263" t="n">
        <v>-3.6</v>
      </c>
      <c r="S494" s="263" t="n">
        <v>-4.9</v>
      </c>
      <c r="T494" s="263" t="n">
        <v>-7.5</v>
      </c>
      <c r="U494" s="50" t="n">
        <f aca="false">V494</f>
        <v>-8.4</v>
      </c>
      <c r="V494" s="255" t="n">
        <v>-8.4</v>
      </c>
      <c r="W494" s="263" t="n">
        <v>-5.2</v>
      </c>
      <c r="X494" s="263" t="n">
        <v>-10.2</v>
      </c>
      <c r="Y494" s="263" t="n">
        <v>-12.3</v>
      </c>
      <c r="Z494" s="50" t="n">
        <f aca="false">AA494</f>
        <v>-19.1</v>
      </c>
      <c r="AA494" s="255" t="n">
        <v>-19.1</v>
      </c>
      <c r="AB494" s="263" t="n">
        <v>-6.1</v>
      </c>
      <c r="AC494" s="263" t="n">
        <v>-15.9</v>
      </c>
      <c r="AD494" s="263" t="n">
        <v>-21.1</v>
      </c>
      <c r="AE494" s="50" t="n">
        <f aca="false">AF494</f>
        <v>-35.5</v>
      </c>
      <c r="AF494" s="255" t="n">
        <v>-35.5</v>
      </c>
      <c r="AG494" s="263" t="n">
        <v>-86.7</v>
      </c>
      <c r="AH494" s="263" t="n">
        <v>-98.4</v>
      </c>
      <c r="AI494" s="263" t="n">
        <v>-109.6</v>
      </c>
      <c r="AJ494" s="50" t="n">
        <f aca="false">AK494</f>
        <v>-119.3</v>
      </c>
      <c r="AK494" s="255" t="n">
        <v>-119.3</v>
      </c>
      <c r="AL494" s="263" t="n">
        <v>-10.8</v>
      </c>
      <c r="AM494" s="263" t="n">
        <v>-17.5</v>
      </c>
      <c r="AN494" s="263" t="n">
        <v>-26.6</v>
      </c>
      <c r="AO494" s="50" t="n">
        <f aca="false">AP494</f>
        <v>-38.8</v>
      </c>
      <c r="AP494" s="255" t="n">
        <v>-38.8</v>
      </c>
      <c r="AQ494" s="263" t="n">
        <v>-7.9</v>
      </c>
      <c r="AR494" s="263" t="n">
        <v>-14.2</v>
      </c>
      <c r="AS494" s="263" t="n">
        <v>-22.2</v>
      </c>
      <c r="AT494" s="50" t="n">
        <f aca="false">AU494</f>
        <v>-39.6</v>
      </c>
      <c r="AU494" s="255" t="n">
        <v>-39.6</v>
      </c>
      <c r="AV494" s="263" t="n">
        <v>-11.5</v>
      </c>
      <c r="AW494" s="263" t="n">
        <v>-17.5</v>
      </c>
      <c r="AX494" s="263" t="n">
        <v>-25.2</v>
      </c>
      <c r="AY494" s="50" t="n">
        <f aca="false">AZ494</f>
        <v>-37.5</v>
      </c>
      <c r="AZ494" s="255" t="n">
        <v>-37.5</v>
      </c>
      <c r="BA494" s="263" t="n">
        <v>-7.4</v>
      </c>
      <c r="BB494" s="263" t="n">
        <v>-14</v>
      </c>
      <c r="BC494" s="263" t="n">
        <v>-22.3</v>
      </c>
      <c r="BD494" s="50" t="n">
        <f aca="false">BE494</f>
        <v>-40.6</v>
      </c>
      <c r="BE494" s="255" t="n">
        <v>-40.6</v>
      </c>
      <c r="BF494" s="263" t="n">
        <v>-6.5</v>
      </c>
      <c r="BG494" s="263" t="n">
        <v>-13.5</v>
      </c>
      <c r="BH494" s="263" t="n">
        <v>-14.4</v>
      </c>
      <c r="BI494" s="50" t="n">
        <f aca="false">BJ494</f>
        <v>-15.9</v>
      </c>
      <c r="BJ494" s="255" t="n">
        <v>-15.9</v>
      </c>
      <c r="BK494" s="263" t="n">
        <v>-1.5</v>
      </c>
      <c r="BL494" s="263" t="n">
        <v>-15.6</v>
      </c>
      <c r="BM494" s="263" t="n">
        <v>-35.1</v>
      </c>
      <c r="BN494" s="50" t="n">
        <f aca="false">BO494</f>
        <v>-57.6</v>
      </c>
      <c r="BO494" s="390" t="n">
        <v>-57.6</v>
      </c>
      <c r="BP494" s="48"/>
      <c r="BQ494" s="48"/>
      <c r="BR494" s="48"/>
      <c r="BS494" s="48"/>
      <c r="BT494" s="159"/>
      <c r="BU494" s="48"/>
      <c r="BV494" s="48"/>
      <c r="BW494" s="48"/>
      <c r="BX494" s="48"/>
      <c r="BY494" s="159"/>
      <c r="BZ494" s="159"/>
      <c r="CA494" s="159"/>
      <c r="CB494" s="159"/>
      <c r="CC494" s="50"/>
    </row>
    <row r="495" s="51" customFormat="true" ht="15" hidden="true" customHeight="true" outlineLevel="1" collapsed="false">
      <c r="A495" s="270" t="s">
        <v>526</v>
      </c>
      <c r="B495" s="254"/>
      <c r="C495" s="159"/>
      <c r="D495" s="159"/>
      <c r="E495" s="159"/>
      <c r="F495" s="255" t="n">
        <v>-1379.997</v>
      </c>
      <c r="G495" s="255" t="n">
        <v>-904.856</v>
      </c>
      <c r="H495" s="263" t="n">
        <v>-194.8</v>
      </c>
      <c r="I495" s="263" t="n">
        <v>-369.7</v>
      </c>
      <c r="J495" s="263" t="n">
        <v>-479.7</v>
      </c>
      <c r="K495" s="50" t="n">
        <f aca="false">L495</f>
        <v>-504.756</v>
      </c>
      <c r="L495" s="255" t="n">
        <v>-504.756</v>
      </c>
      <c r="M495" s="48"/>
      <c r="N495" s="48"/>
      <c r="O495" s="48"/>
      <c r="P495" s="50" t="n">
        <f aca="false">Q495</f>
        <v>-950</v>
      </c>
      <c r="Q495" s="255" t="n">
        <v>-950</v>
      </c>
      <c r="R495" s="263" t="n">
        <v>-350</v>
      </c>
      <c r="S495" s="263" t="n">
        <v>-700</v>
      </c>
      <c r="T495" s="263" t="n">
        <v>-1470</v>
      </c>
      <c r="U495" s="50" t="n">
        <f aca="false">V495</f>
        <v>-2520</v>
      </c>
      <c r="V495" s="255" t="n">
        <v>-2520</v>
      </c>
      <c r="W495" s="263" t="n">
        <v>-75</v>
      </c>
      <c r="X495" s="263" t="n">
        <v>-350</v>
      </c>
      <c r="Y495" s="263" t="n">
        <v>-450</v>
      </c>
      <c r="Z495" s="50" t="n">
        <f aca="false">AA495</f>
        <v>-1129.3</v>
      </c>
      <c r="AA495" s="255" t="n">
        <v>-1129.3</v>
      </c>
      <c r="AB495" s="263" t="n">
        <v>-79.3</v>
      </c>
      <c r="AC495" s="263" t="n">
        <v>-183.8</v>
      </c>
      <c r="AD495" s="263" t="n">
        <v>-398.6</v>
      </c>
      <c r="AE495" s="50" t="n">
        <f aca="false">AF495</f>
        <v>-918.1</v>
      </c>
      <c r="AF495" s="255" t="n">
        <v>-918.1</v>
      </c>
      <c r="AG495" s="263" t="n">
        <v>-288.1</v>
      </c>
      <c r="AH495" s="263" t="n">
        <v>-288.8</v>
      </c>
      <c r="AI495" s="263" t="n">
        <v>-389.1</v>
      </c>
      <c r="AJ495" s="50" t="n">
        <f aca="false">AK495</f>
        <v>-1291.5</v>
      </c>
      <c r="AK495" s="255" t="n">
        <v>-1291.5</v>
      </c>
      <c r="AL495" s="263" t="n">
        <v>-310.5</v>
      </c>
      <c r="AM495" s="263" t="n">
        <v>-311</v>
      </c>
      <c r="AN495" s="263" t="n">
        <v>-654.7</v>
      </c>
      <c r="AO495" s="50" t="n">
        <f aca="false">AP495</f>
        <v>-1475.5</v>
      </c>
      <c r="AP495" s="255" t="n">
        <v>-1475.5</v>
      </c>
      <c r="AQ495" s="263" t="n">
        <v>-608.5</v>
      </c>
      <c r="AR495" s="263" t="n">
        <v>-608.5</v>
      </c>
      <c r="AS495" s="263" t="n">
        <v>-658.5</v>
      </c>
      <c r="AT495" s="50" t="n">
        <f aca="false">AU495</f>
        <v>-1162.7</v>
      </c>
      <c r="AU495" s="255" t="n">
        <v>-1162.7</v>
      </c>
      <c r="AV495" s="263" t="n">
        <v>-19.6</v>
      </c>
      <c r="AW495" s="263" t="n">
        <v>-226</v>
      </c>
      <c r="AX495" s="263" t="n">
        <v>-330.1</v>
      </c>
      <c r="AY495" s="50" t="n">
        <f aca="false">AZ495</f>
        <v>-334.3</v>
      </c>
      <c r="AZ495" s="255" t="n">
        <v>-334.3</v>
      </c>
      <c r="BA495" s="263" t="n">
        <v>-18.2</v>
      </c>
      <c r="BB495" s="263" t="n">
        <v>-18.7</v>
      </c>
      <c r="BC495" s="263" t="n">
        <v>-22.6</v>
      </c>
      <c r="BD495" s="50" t="n">
        <f aca="false">BE495</f>
        <v>-23.6</v>
      </c>
      <c r="BE495" s="255" t="n">
        <v>-23.6</v>
      </c>
      <c r="BF495" s="263" t="n">
        <v>-300</v>
      </c>
      <c r="BG495" s="263" t="n">
        <v>-300.5</v>
      </c>
      <c r="BH495" s="263" t="n">
        <v>-304.3</v>
      </c>
      <c r="BI495" s="50" t="n">
        <f aca="false">BJ495</f>
        <v>-305.2</v>
      </c>
      <c r="BJ495" s="255" t="n">
        <v>-305.2</v>
      </c>
      <c r="BK495" s="263" t="n">
        <v>0</v>
      </c>
      <c r="BL495" s="48"/>
      <c r="BM495" s="263" t="n">
        <v>3.5</v>
      </c>
      <c r="BN495" s="50" t="n">
        <f aca="false">BO495</f>
        <v>-406.2</v>
      </c>
      <c r="BO495" s="390" t="n">
        <v>-406.2</v>
      </c>
      <c r="BP495" s="48"/>
      <c r="BQ495" s="48"/>
      <c r="BR495" s="48"/>
      <c r="BS495" s="48"/>
      <c r="BT495" s="159"/>
      <c r="BU495" s="48"/>
      <c r="BV495" s="48"/>
      <c r="BW495" s="48"/>
      <c r="BX495" s="48"/>
      <c r="BY495" s="159"/>
      <c r="BZ495" s="159"/>
      <c r="CA495" s="159"/>
      <c r="CB495" s="159"/>
      <c r="CC495" s="50"/>
    </row>
    <row r="496" s="51" customFormat="true" ht="15" hidden="true" customHeight="true" outlineLevel="1" collapsed="false">
      <c r="A496" s="270" t="s">
        <v>527</v>
      </c>
      <c r="B496" s="254"/>
      <c r="C496" s="159"/>
      <c r="D496" s="159"/>
      <c r="E496" s="159"/>
      <c r="F496" s="255" t="n">
        <v>449.992</v>
      </c>
      <c r="G496" s="255" t="n">
        <v>1195.031</v>
      </c>
      <c r="H496" s="263" t="n">
        <v>275</v>
      </c>
      <c r="I496" s="263" t="n">
        <v>450</v>
      </c>
      <c r="J496" s="263" t="n">
        <v>619.9</v>
      </c>
      <c r="K496" s="50" t="n">
        <f aca="false">L496</f>
        <v>849.776</v>
      </c>
      <c r="L496" s="255" t="n">
        <v>849.776</v>
      </c>
      <c r="M496" s="263" t="n">
        <v>274.9</v>
      </c>
      <c r="N496" s="263" t="n">
        <v>309.9</v>
      </c>
      <c r="O496" s="263" t="n">
        <v>334.9</v>
      </c>
      <c r="P496" s="50" t="n">
        <f aca="false">Q496</f>
        <v>334.864</v>
      </c>
      <c r="Q496" s="255" t="n">
        <v>334.864</v>
      </c>
      <c r="R496" s="263" t="n">
        <v>225</v>
      </c>
      <c r="S496" s="263" t="n">
        <v>650</v>
      </c>
      <c r="T496" s="263" t="n">
        <v>1020</v>
      </c>
      <c r="U496" s="50" t="n">
        <f aca="false">V496</f>
        <v>2320</v>
      </c>
      <c r="V496" s="255" t="n">
        <v>2320</v>
      </c>
      <c r="W496" s="263" t="n">
        <v>300</v>
      </c>
      <c r="X496" s="263" t="n">
        <v>900</v>
      </c>
      <c r="Y496" s="263" t="n">
        <v>1000</v>
      </c>
      <c r="Z496" s="50" t="n">
        <f aca="false">AA496</f>
        <v>1250</v>
      </c>
      <c r="AA496" s="255" t="n">
        <v>1250</v>
      </c>
      <c r="AB496" s="263" t="n">
        <v>379.3</v>
      </c>
      <c r="AC496" s="263" t="n">
        <v>558.8</v>
      </c>
      <c r="AD496" s="263" t="n">
        <v>683.7</v>
      </c>
      <c r="AE496" s="50" t="n">
        <f aca="false">AF496</f>
        <v>1034.1</v>
      </c>
      <c r="AF496" s="255" t="n">
        <v>1034.1</v>
      </c>
      <c r="AG496" s="263" t="n">
        <v>179.4</v>
      </c>
      <c r="AH496" s="263" t="n">
        <v>528.7</v>
      </c>
      <c r="AI496" s="263" t="n">
        <v>818.7</v>
      </c>
      <c r="AJ496" s="50" t="n">
        <f aca="false">AK496</f>
        <v>1019</v>
      </c>
      <c r="AK496" s="255" t="n">
        <v>1019</v>
      </c>
      <c r="AL496" s="263" t="n">
        <v>108.2</v>
      </c>
      <c r="AM496" s="263" t="n">
        <v>555.6</v>
      </c>
      <c r="AN496" s="263" t="n">
        <v>964.3</v>
      </c>
      <c r="AO496" s="50" t="n">
        <f aca="false">AP496</f>
        <v>1359.1</v>
      </c>
      <c r="AP496" s="255" t="n">
        <v>1359.1</v>
      </c>
      <c r="AQ496" s="263" t="n">
        <v>499.1</v>
      </c>
      <c r="AR496" s="263" t="n">
        <v>1724</v>
      </c>
      <c r="AS496" s="263" t="n">
        <v>1823.7</v>
      </c>
      <c r="AT496" s="50" t="n">
        <f aca="false">AU496</f>
        <v>1826.4</v>
      </c>
      <c r="AU496" s="255" t="n">
        <v>1826.4</v>
      </c>
      <c r="AV496" s="263" t="n">
        <v>259.5</v>
      </c>
      <c r="AW496" s="263" t="n">
        <v>559.1</v>
      </c>
      <c r="AX496" s="263" t="n">
        <v>758.6</v>
      </c>
      <c r="AY496" s="50" t="n">
        <f aca="false">AZ496</f>
        <v>864.7</v>
      </c>
      <c r="AZ496" s="255" t="n">
        <v>864.7</v>
      </c>
      <c r="BA496" s="263" t="n">
        <v>121.1</v>
      </c>
      <c r="BB496" s="263" t="n">
        <v>121.1</v>
      </c>
      <c r="BC496" s="263" t="n">
        <v>124.7</v>
      </c>
      <c r="BD496" s="50" t="n">
        <f aca="false">BE496</f>
        <v>125.6</v>
      </c>
      <c r="BE496" s="255" t="n">
        <v>125.6</v>
      </c>
      <c r="BF496" s="48"/>
      <c r="BG496" s="263" t="n">
        <v>100.4</v>
      </c>
      <c r="BH496" s="263" t="n">
        <v>304.3</v>
      </c>
      <c r="BI496" s="50" t="n">
        <f aca="false">BJ496</f>
        <v>305.2</v>
      </c>
      <c r="BJ496" s="255" t="n">
        <v>305.2</v>
      </c>
      <c r="BK496" s="48"/>
      <c r="BL496" s="48"/>
      <c r="BM496" s="48"/>
      <c r="BN496" s="50" t="n">
        <f aca="false">BO496</f>
        <v>5.3</v>
      </c>
      <c r="BO496" s="390" t="n">
        <v>5.3</v>
      </c>
      <c r="BP496" s="48"/>
      <c r="BQ496" s="48"/>
      <c r="BR496" s="48"/>
      <c r="BS496" s="48"/>
      <c r="BT496" s="159"/>
      <c r="BU496" s="48"/>
      <c r="BV496" s="48"/>
      <c r="BW496" s="48"/>
      <c r="BX496" s="48"/>
      <c r="BY496" s="159"/>
      <c r="BZ496" s="159"/>
      <c r="CA496" s="159"/>
      <c r="CB496" s="159"/>
      <c r="CC496" s="50"/>
    </row>
    <row r="497" s="51" customFormat="true" ht="15" hidden="true" customHeight="true" outlineLevel="1" collapsed="false">
      <c r="A497" s="270" t="s">
        <v>528</v>
      </c>
      <c r="B497" s="254"/>
      <c r="C497" s="159"/>
      <c r="D497" s="159"/>
      <c r="E497" s="159"/>
      <c r="F497" s="159"/>
      <c r="G497" s="159"/>
      <c r="H497" s="48"/>
      <c r="I497" s="48"/>
      <c r="J497" s="48"/>
      <c r="K497" s="50" t="n">
        <f aca="false">L497</f>
        <v>0</v>
      </c>
      <c r="L497" s="159"/>
      <c r="M497" s="263" t="n">
        <v>-64</v>
      </c>
      <c r="N497" s="263" t="n">
        <v>-127</v>
      </c>
      <c r="O497" s="263" t="n">
        <v>-164.8</v>
      </c>
      <c r="P497" s="50" t="n">
        <f aca="false">Q497</f>
        <v>-171.899</v>
      </c>
      <c r="Q497" s="255" t="n">
        <v>-171.899</v>
      </c>
      <c r="R497" s="263" t="n">
        <v>1.1</v>
      </c>
      <c r="S497" s="263" t="n">
        <v>8.8</v>
      </c>
      <c r="T497" s="263" t="n">
        <v>-5.6</v>
      </c>
      <c r="U497" s="50" t="n">
        <f aca="false">V497</f>
        <v>-15</v>
      </c>
      <c r="V497" s="255" t="n">
        <v>-15</v>
      </c>
      <c r="W497" s="263" t="n">
        <v>-30.7</v>
      </c>
      <c r="X497" s="263" t="n">
        <v>-47.2</v>
      </c>
      <c r="Y497" s="263" t="n">
        <v>-15.2</v>
      </c>
      <c r="Z497" s="50" t="n">
        <f aca="false">AA497</f>
        <v>27</v>
      </c>
      <c r="AA497" s="255" t="n">
        <v>27</v>
      </c>
      <c r="AB497" s="263" t="n">
        <v>23.6</v>
      </c>
      <c r="AC497" s="263" t="n">
        <v>27.1</v>
      </c>
      <c r="AD497" s="263" t="n">
        <v>6.9</v>
      </c>
      <c r="AE497" s="50" t="n">
        <f aca="false">AF497</f>
        <v>-2.4</v>
      </c>
      <c r="AF497" s="255" t="n">
        <v>-2.4</v>
      </c>
      <c r="AG497" s="48"/>
      <c r="AH497" s="263" t="n">
        <v>0</v>
      </c>
      <c r="AI497" s="48"/>
      <c r="AJ497" s="50" t="n">
        <f aca="false">AK497</f>
        <v>0</v>
      </c>
      <c r="AK497" s="159"/>
      <c r="AL497" s="48"/>
      <c r="AM497" s="48"/>
      <c r="AN497" s="48"/>
      <c r="AO497" s="50" t="n">
        <f aca="false">AP497</f>
        <v>0</v>
      </c>
      <c r="AP497" s="159"/>
      <c r="AQ497" s="48"/>
      <c r="AR497" s="48"/>
      <c r="AS497" s="48"/>
      <c r="AT497" s="50" t="n">
        <f aca="false">AU497</f>
        <v>0</v>
      </c>
      <c r="AU497" s="159"/>
      <c r="AV497" s="48"/>
      <c r="AW497" s="48"/>
      <c r="AX497" s="48"/>
      <c r="AY497" s="50" t="n">
        <f aca="false">AZ497</f>
        <v>0</v>
      </c>
      <c r="AZ497" s="159"/>
      <c r="BA497" s="48"/>
      <c r="BB497" s="48"/>
      <c r="BC497" s="48"/>
      <c r="BD497" s="50" t="n">
        <f aca="false">BE497</f>
        <v>0</v>
      </c>
      <c r="BE497" s="159"/>
      <c r="BF497" s="48"/>
      <c r="BG497" s="48"/>
      <c r="BH497" s="48"/>
      <c r="BI497" s="50" t="n">
        <f aca="false">BJ497</f>
        <v>0</v>
      </c>
      <c r="BJ497" s="159"/>
      <c r="BK497" s="48"/>
      <c r="BL497" s="48"/>
      <c r="BM497" s="48"/>
      <c r="BN497" s="50" t="n">
        <f aca="false">BO497</f>
        <v>0</v>
      </c>
      <c r="BO497" s="160"/>
      <c r="BP497" s="48"/>
      <c r="BQ497" s="48"/>
      <c r="BR497" s="48"/>
      <c r="BS497" s="48"/>
      <c r="BT497" s="159"/>
      <c r="BU497" s="48"/>
      <c r="BV497" s="48"/>
      <c r="BW497" s="48"/>
      <c r="BX497" s="48"/>
      <c r="BY497" s="159"/>
      <c r="BZ497" s="159"/>
      <c r="CA497" s="159"/>
      <c r="CB497" s="159"/>
      <c r="CC497" s="50"/>
    </row>
    <row r="498" s="51" customFormat="true" ht="15" hidden="true" customHeight="true" outlineLevel="1" collapsed="false">
      <c r="A498" s="270" t="s">
        <v>529</v>
      </c>
      <c r="B498" s="254"/>
      <c r="C498" s="159"/>
      <c r="D498" s="159"/>
      <c r="E498" s="159"/>
      <c r="F498" s="159"/>
      <c r="G498" s="159"/>
      <c r="H498" s="48"/>
      <c r="I498" s="48"/>
      <c r="J498" s="48"/>
      <c r="K498" s="50" t="n">
        <f aca="false">L498</f>
        <v>0</v>
      </c>
      <c r="L498" s="159"/>
      <c r="M498" s="48"/>
      <c r="N498" s="48"/>
      <c r="O498" s="48"/>
      <c r="P498" s="50" t="n">
        <f aca="false">Q498</f>
        <v>0</v>
      </c>
      <c r="Q498" s="159"/>
      <c r="R498" s="48"/>
      <c r="S498" s="263" t="n">
        <v>-6</v>
      </c>
      <c r="T498" s="263" t="n">
        <v>-7.2</v>
      </c>
      <c r="U498" s="50" t="n">
        <f aca="false">V498</f>
        <v>-7.4</v>
      </c>
      <c r="V498" s="255" t="n">
        <v>-7.4</v>
      </c>
      <c r="W498" s="48"/>
      <c r="X498" s="48"/>
      <c r="Y498" s="48"/>
      <c r="Z498" s="50" t="n">
        <f aca="false">AA498</f>
        <v>-0.6</v>
      </c>
      <c r="AA498" s="255" t="n">
        <v>-0.6</v>
      </c>
      <c r="AB498" s="263" t="n">
        <v>-0.2</v>
      </c>
      <c r="AC498" s="263" t="n">
        <v>-0.6</v>
      </c>
      <c r="AD498" s="263" t="n">
        <v>-0.9</v>
      </c>
      <c r="AE498" s="50" t="n">
        <f aca="false">AF498</f>
        <v>-1</v>
      </c>
      <c r="AF498" s="255" t="n">
        <v>-1</v>
      </c>
      <c r="AG498" s="48"/>
      <c r="AH498" s="263" t="n">
        <v>0</v>
      </c>
      <c r="AI498" s="48"/>
      <c r="AJ498" s="50" t="n">
        <f aca="false">AK498</f>
        <v>0</v>
      </c>
      <c r="AK498" s="159"/>
      <c r="AL498" s="48"/>
      <c r="AM498" s="48"/>
      <c r="AN498" s="263" t="n">
        <v>-10</v>
      </c>
      <c r="AO498" s="50" t="n">
        <f aca="false">AP498</f>
        <v>0</v>
      </c>
      <c r="AP498" s="159"/>
      <c r="AQ498" s="48"/>
      <c r="AR498" s="48"/>
      <c r="AS498" s="263" t="n">
        <v>-124.3</v>
      </c>
      <c r="AT498" s="50" t="n">
        <f aca="false">AU498</f>
        <v>-124.4</v>
      </c>
      <c r="AU498" s="255" t="n">
        <v>-124.4</v>
      </c>
      <c r="AV498" s="48"/>
      <c r="AW498" s="48"/>
      <c r="AX498" s="263" t="n">
        <v>-240</v>
      </c>
      <c r="AY498" s="50" t="n">
        <f aca="false">AZ498</f>
        <v>-240</v>
      </c>
      <c r="AZ498" s="255" t="n">
        <v>-240</v>
      </c>
      <c r="BA498" s="48"/>
      <c r="BB498" s="48"/>
      <c r="BC498" s="263" t="n">
        <v>-553</v>
      </c>
      <c r="BD498" s="50" t="n">
        <f aca="false">BE498</f>
        <v>-561.5</v>
      </c>
      <c r="BE498" s="255" t="n">
        <v>-561.5</v>
      </c>
      <c r="BF498" s="263" t="n">
        <v>0.2</v>
      </c>
      <c r="BG498" s="263" t="n">
        <v>0.5</v>
      </c>
      <c r="BH498" s="263" t="n">
        <v>1.2</v>
      </c>
      <c r="BI498" s="50" t="n">
        <f aca="false">BJ498</f>
        <v>-526.2</v>
      </c>
      <c r="BJ498" s="255" t="n">
        <v>-526.2</v>
      </c>
      <c r="BK498" s="263" t="n">
        <v>0.8</v>
      </c>
      <c r="BL498" s="263" t="n">
        <v>1.7</v>
      </c>
      <c r="BM498" s="263" t="n">
        <v>-404.2</v>
      </c>
      <c r="BN498" s="50" t="n">
        <f aca="false">BO498</f>
        <v>-703.7</v>
      </c>
      <c r="BO498" s="390" t="n">
        <v>-703.7</v>
      </c>
      <c r="BP498" s="48"/>
      <c r="BQ498" s="48"/>
      <c r="BR498" s="48"/>
      <c r="BS498" s="48"/>
      <c r="BT498" s="159"/>
      <c r="BU498" s="48"/>
      <c r="BV498" s="48"/>
      <c r="BW498" s="48"/>
      <c r="BX498" s="48"/>
      <c r="BY498" s="159"/>
      <c r="BZ498" s="159"/>
      <c r="CA498" s="159"/>
      <c r="CB498" s="159"/>
      <c r="CC498" s="50"/>
    </row>
    <row r="499" s="51" customFormat="true" ht="15" hidden="true" customHeight="true" outlineLevel="1" collapsed="false">
      <c r="A499" s="270" t="s">
        <v>530</v>
      </c>
      <c r="B499" s="254"/>
      <c r="C499" s="159"/>
      <c r="D499" s="159"/>
      <c r="E499" s="159"/>
      <c r="F499" s="159"/>
      <c r="G499" s="159"/>
      <c r="H499" s="48"/>
      <c r="I499" s="48"/>
      <c r="J499" s="48"/>
      <c r="K499" s="50" t="n">
        <f aca="false">L499</f>
        <v>0</v>
      </c>
      <c r="L499" s="159"/>
      <c r="M499" s="48"/>
      <c r="N499" s="48"/>
      <c r="O499" s="48"/>
      <c r="P499" s="50" t="n">
        <f aca="false">Q499</f>
        <v>0</v>
      </c>
      <c r="Q499" s="159"/>
      <c r="R499" s="48"/>
      <c r="S499" s="48"/>
      <c r="T499" s="48"/>
      <c r="U499" s="50" t="n">
        <f aca="false">V499</f>
        <v>0</v>
      </c>
      <c r="V499" s="159"/>
      <c r="W499" s="48"/>
      <c r="X499" s="48"/>
      <c r="Y499" s="48"/>
      <c r="Z499" s="50" t="n">
        <f aca="false">AA499</f>
        <v>1.6</v>
      </c>
      <c r="AA499" s="255" t="n">
        <v>1.6</v>
      </c>
      <c r="AB499" s="48"/>
      <c r="AC499" s="48"/>
      <c r="AD499" s="263" t="n">
        <v>5.4</v>
      </c>
      <c r="AE499" s="50" t="n">
        <f aca="false">AF499</f>
        <v>5.4</v>
      </c>
      <c r="AF499" s="255" t="n">
        <v>5.4</v>
      </c>
      <c r="AG499" s="48"/>
      <c r="AH499" s="48"/>
      <c r="AI499" s="48"/>
      <c r="AJ499" s="50" t="n">
        <f aca="false">AK499</f>
        <v>0.9</v>
      </c>
      <c r="AK499" s="255" t="n">
        <v>0.9</v>
      </c>
      <c r="AL499" s="263" t="n">
        <v>0.3</v>
      </c>
      <c r="AM499" s="48"/>
      <c r="AN499" s="48"/>
      <c r="AO499" s="50" t="n">
        <f aca="false">AP499</f>
        <v>-12.2</v>
      </c>
      <c r="AP499" s="255" t="n">
        <v>-12.2</v>
      </c>
      <c r="AQ499" s="48"/>
      <c r="AR499" s="48"/>
      <c r="AS499" s="48"/>
      <c r="AT499" s="50" t="n">
        <f aca="false">AU499</f>
        <v>0</v>
      </c>
      <c r="AU499" s="159"/>
      <c r="AV499" s="48"/>
      <c r="AW499" s="48"/>
      <c r="AX499" s="48"/>
      <c r="AY499" s="50" t="n">
        <f aca="false">AZ499</f>
        <v>0</v>
      </c>
      <c r="AZ499" s="159"/>
      <c r="BA499" s="48"/>
      <c r="BB499" s="48"/>
      <c r="BC499" s="48"/>
      <c r="BD499" s="50" t="n">
        <f aca="false">BE499</f>
        <v>0</v>
      </c>
      <c r="BE499" s="159"/>
      <c r="BF499" s="48"/>
      <c r="BG499" s="48"/>
      <c r="BH499" s="48"/>
      <c r="BI499" s="50" t="n">
        <f aca="false">BJ499</f>
        <v>0</v>
      </c>
      <c r="BJ499" s="159"/>
      <c r="BK499" s="48"/>
      <c r="BL499" s="48"/>
      <c r="BM499" s="48"/>
      <c r="BN499" s="50" t="n">
        <f aca="false">BO499</f>
        <v>260.2</v>
      </c>
      <c r="BO499" s="390" t="n">
        <v>260.2</v>
      </c>
      <c r="BP499" s="48"/>
      <c r="BQ499" s="48"/>
      <c r="BR499" s="48"/>
      <c r="BS499" s="48"/>
      <c r="BT499" s="159"/>
      <c r="BU499" s="48"/>
      <c r="BV499" s="48"/>
      <c r="BW499" s="48"/>
      <c r="BX499" s="48"/>
      <c r="BY499" s="159"/>
      <c r="BZ499" s="159"/>
      <c r="CA499" s="159"/>
      <c r="CB499" s="159"/>
      <c r="CC499" s="50"/>
    </row>
    <row r="500" s="51" customFormat="true" ht="15" hidden="true" customHeight="true" outlineLevel="1" collapsed="false">
      <c r="A500" s="270" t="s">
        <v>531</v>
      </c>
      <c r="B500" s="254"/>
      <c r="C500" s="159"/>
      <c r="D500" s="159"/>
      <c r="E500" s="159"/>
      <c r="F500" s="159"/>
      <c r="G500" s="159"/>
      <c r="H500" s="48"/>
      <c r="I500" s="48"/>
      <c r="J500" s="48"/>
      <c r="K500" s="50" t="n">
        <f aca="false">L500</f>
        <v>0</v>
      </c>
      <c r="L500" s="159"/>
      <c r="M500" s="48"/>
      <c r="N500" s="48"/>
      <c r="O500" s="48"/>
      <c r="P500" s="50" t="n">
        <f aca="false">Q500</f>
        <v>0</v>
      </c>
      <c r="Q500" s="159"/>
      <c r="R500" s="48"/>
      <c r="S500" s="48"/>
      <c r="T500" s="48"/>
      <c r="U500" s="50" t="n">
        <f aca="false">V500</f>
        <v>0</v>
      </c>
      <c r="V500" s="159"/>
      <c r="W500" s="48"/>
      <c r="X500" s="263" t="n">
        <v>-1002.1</v>
      </c>
      <c r="Y500" s="263" t="n">
        <v>-1007.9</v>
      </c>
      <c r="Z500" s="50" t="n">
        <f aca="false">AA500</f>
        <v>-1019.7</v>
      </c>
      <c r="AA500" s="255" t="n">
        <v>-1019.7</v>
      </c>
      <c r="AB500" s="263" t="n">
        <v>-5.9</v>
      </c>
      <c r="AC500" s="263" t="n">
        <v>-10.5</v>
      </c>
      <c r="AD500" s="263" t="n">
        <v>-16</v>
      </c>
      <c r="AE500" s="50" t="n">
        <f aca="false">AF500</f>
        <v>0</v>
      </c>
      <c r="AF500" s="159"/>
      <c r="AG500" s="48"/>
      <c r="AH500" s="48"/>
      <c r="AI500" s="48"/>
      <c r="AJ500" s="50" t="n">
        <f aca="false">AK500</f>
        <v>0</v>
      </c>
      <c r="AK500" s="159"/>
      <c r="AL500" s="48"/>
      <c r="AM500" s="48"/>
      <c r="AN500" s="48"/>
      <c r="AO500" s="50" t="n">
        <f aca="false">AP500</f>
        <v>0</v>
      </c>
      <c r="AP500" s="159"/>
      <c r="AQ500" s="48"/>
      <c r="AR500" s="48"/>
      <c r="AS500" s="48"/>
      <c r="AT500" s="50" t="n">
        <f aca="false">AU500</f>
        <v>0</v>
      </c>
      <c r="AU500" s="159"/>
      <c r="AV500" s="48"/>
      <c r="AW500" s="48"/>
      <c r="AX500" s="48"/>
      <c r="AY500" s="50" t="n">
        <f aca="false">AZ500</f>
        <v>0</v>
      </c>
      <c r="AZ500" s="159"/>
      <c r="BA500" s="48"/>
      <c r="BB500" s="48"/>
      <c r="BC500" s="48"/>
      <c r="BD500" s="50" t="n">
        <f aca="false">BE500</f>
        <v>0</v>
      </c>
      <c r="BE500" s="159"/>
      <c r="BF500" s="48"/>
      <c r="BG500" s="48"/>
      <c r="BH500" s="48"/>
      <c r="BI500" s="50" t="n">
        <f aca="false">BJ500</f>
        <v>0</v>
      </c>
      <c r="BJ500" s="159"/>
      <c r="BK500" s="48"/>
      <c r="BL500" s="48"/>
      <c r="BM500" s="263" t="n">
        <v>-1210</v>
      </c>
      <c r="BN500" s="50" t="n">
        <f aca="false">BO500</f>
        <v>-1302.2</v>
      </c>
      <c r="BO500" s="390" t="n">
        <v>-1302.2</v>
      </c>
      <c r="BP500" s="48"/>
      <c r="BQ500" s="48"/>
      <c r="BR500" s="48"/>
      <c r="BS500" s="48"/>
      <c r="BT500" s="159"/>
      <c r="BU500" s="48"/>
      <c r="BV500" s="48"/>
      <c r="BW500" s="48"/>
      <c r="BX500" s="48"/>
      <c r="BY500" s="159"/>
      <c r="BZ500" s="159"/>
      <c r="CA500" s="159"/>
      <c r="CB500" s="159"/>
      <c r="CC500" s="50"/>
    </row>
    <row r="501" s="51" customFormat="true" ht="15" hidden="true" customHeight="true" outlineLevel="1" collapsed="false">
      <c r="A501" s="270" t="s">
        <v>532</v>
      </c>
      <c r="B501" s="254"/>
      <c r="C501" s="159"/>
      <c r="D501" s="159"/>
      <c r="E501" s="159"/>
      <c r="F501" s="159"/>
      <c r="G501" s="159"/>
      <c r="H501" s="48"/>
      <c r="I501" s="48"/>
      <c r="J501" s="48"/>
      <c r="K501" s="50" t="n">
        <f aca="false">L501</f>
        <v>0</v>
      </c>
      <c r="L501" s="159"/>
      <c r="M501" s="48"/>
      <c r="N501" s="48"/>
      <c r="O501" s="48"/>
      <c r="P501" s="50" t="n">
        <f aca="false">Q501</f>
        <v>0</v>
      </c>
      <c r="Q501" s="159"/>
      <c r="R501" s="48"/>
      <c r="S501" s="48"/>
      <c r="T501" s="48"/>
      <c r="U501" s="50" t="n">
        <f aca="false">V501</f>
        <v>0</v>
      </c>
      <c r="V501" s="159"/>
      <c r="W501" s="48"/>
      <c r="X501" s="48"/>
      <c r="Y501" s="48"/>
      <c r="Z501" s="50" t="n">
        <f aca="false">AA501</f>
        <v>19.7</v>
      </c>
      <c r="AA501" s="255" t="n">
        <v>19.7</v>
      </c>
      <c r="AB501" s="48"/>
      <c r="AC501" s="48"/>
      <c r="AD501" s="48"/>
      <c r="AE501" s="50" t="n">
        <f aca="false">AF501</f>
        <v>0</v>
      </c>
      <c r="AF501" s="159"/>
      <c r="AG501" s="48"/>
      <c r="AH501" s="48"/>
      <c r="AI501" s="48"/>
      <c r="AJ501" s="50" t="n">
        <f aca="false">AK501</f>
        <v>0</v>
      </c>
      <c r="AK501" s="159"/>
      <c r="AL501" s="48"/>
      <c r="AM501" s="48"/>
      <c r="AN501" s="48"/>
      <c r="AO501" s="50" t="n">
        <f aca="false">AP501</f>
        <v>0</v>
      </c>
      <c r="AP501" s="159"/>
      <c r="AQ501" s="48"/>
      <c r="AR501" s="48"/>
      <c r="AS501" s="48"/>
      <c r="AT501" s="50" t="n">
        <f aca="false">AU501</f>
        <v>0</v>
      </c>
      <c r="AU501" s="159"/>
      <c r="AV501" s="48"/>
      <c r="AW501" s="48"/>
      <c r="AX501" s="48"/>
      <c r="AY501" s="50" t="n">
        <f aca="false">AZ501</f>
        <v>0</v>
      </c>
      <c r="AZ501" s="159"/>
      <c r="BA501" s="48"/>
      <c r="BB501" s="48"/>
      <c r="BC501" s="48"/>
      <c r="BD501" s="50" t="n">
        <f aca="false">BE501</f>
        <v>0</v>
      </c>
      <c r="BE501" s="159"/>
      <c r="BF501" s="48"/>
      <c r="BG501" s="48"/>
      <c r="BH501" s="48"/>
      <c r="BI501" s="50" t="n">
        <f aca="false">BJ501</f>
        <v>0</v>
      </c>
      <c r="BJ501" s="159"/>
      <c r="BK501" s="48"/>
      <c r="BL501" s="48"/>
      <c r="BM501" s="48"/>
      <c r="BN501" s="50" t="n">
        <f aca="false">BO501</f>
        <v>0</v>
      </c>
      <c r="BO501" s="160"/>
      <c r="BP501" s="48"/>
      <c r="BQ501" s="48"/>
      <c r="BR501" s="48"/>
      <c r="BS501" s="48"/>
      <c r="BT501" s="159"/>
      <c r="BU501" s="48"/>
      <c r="BV501" s="48"/>
      <c r="BW501" s="48"/>
      <c r="BX501" s="48"/>
      <c r="BY501" s="159"/>
      <c r="BZ501" s="159"/>
      <c r="CA501" s="159"/>
      <c r="CB501" s="159"/>
      <c r="CC501" s="50"/>
    </row>
    <row r="502" s="51" customFormat="true" ht="15" hidden="true" customHeight="true" outlineLevel="1" collapsed="false">
      <c r="A502" s="270" t="s">
        <v>533</v>
      </c>
      <c r="B502" s="254"/>
      <c r="C502" s="255" t="n">
        <v>6.877</v>
      </c>
      <c r="D502" s="255" t="n">
        <v>3.825</v>
      </c>
      <c r="E502" s="159"/>
      <c r="F502" s="159"/>
      <c r="G502" s="159"/>
      <c r="H502" s="48"/>
      <c r="I502" s="48"/>
      <c r="J502" s="48"/>
      <c r="K502" s="48"/>
      <c r="L502" s="159"/>
      <c r="M502" s="48"/>
      <c r="N502" s="48"/>
      <c r="O502" s="48"/>
      <c r="P502" s="48"/>
      <c r="Q502" s="159"/>
      <c r="R502" s="48"/>
      <c r="S502" s="48"/>
      <c r="T502" s="48"/>
      <c r="U502" s="48"/>
      <c r="V502" s="159"/>
      <c r="W502" s="48"/>
      <c r="X502" s="48"/>
      <c r="Y502" s="48"/>
      <c r="Z502" s="48"/>
      <c r="AA502" s="159"/>
      <c r="AB502" s="48"/>
      <c r="AC502" s="48"/>
      <c r="AD502" s="48"/>
      <c r="AE502" s="50" t="n">
        <f aca="false">AF502</f>
        <v>0</v>
      </c>
      <c r="AF502" s="159"/>
      <c r="AG502" s="48"/>
      <c r="AH502" s="48"/>
      <c r="AI502" s="48"/>
      <c r="AJ502" s="50" t="n">
        <f aca="false">AK502</f>
        <v>0</v>
      </c>
      <c r="AK502" s="159"/>
      <c r="AL502" s="48"/>
      <c r="AM502" s="48"/>
      <c r="AN502" s="48"/>
      <c r="AO502" s="50" t="n">
        <f aca="false">AP502</f>
        <v>0</v>
      </c>
      <c r="AP502" s="159"/>
      <c r="AQ502" s="48"/>
      <c r="AR502" s="263" t="n">
        <v>12.9</v>
      </c>
      <c r="AS502" s="263" t="n">
        <v>12.9</v>
      </c>
      <c r="AT502" s="50" t="n">
        <f aca="false">AU502</f>
        <v>329</v>
      </c>
      <c r="AU502" s="255" t="n">
        <v>329</v>
      </c>
      <c r="AV502" s="48"/>
      <c r="AW502" s="48"/>
      <c r="AX502" s="48"/>
      <c r="AY502" s="50" t="n">
        <f aca="false">AZ502</f>
        <v>0</v>
      </c>
      <c r="AZ502" s="159"/>
      <c r="BA502" s="48"/>
      <c r="BB502" s="48"/>
      <c r="BC502" s="48"/>
      <c r="BD502" s="50" t="n">
        <f aca="false">BE502</f>
        <v>0</v>
      </c>
      <c r="BE502" s="159"/>
      <c r="BF502" s="48"/>
      <c r="BG502" s="48"/>
      <c r="BH502" s="48"/>
      <c r="BI502" s="50" t="n">
        <f aca="false">BJ502</f>
        <v>0</v>
      </c>
      <c r="BJ502" s="159"/>
      <c r="BK502" s="48"/>
      <c r="BL502" s="48"/>
      <c r="BM502" s="48"/>
      <c r="BN502" s="50" t="n">
        <f aca="false">BO502</f>
        <v>0</v>
      </c>
      <c r="BO502" s="160"/>
      <c r="BP502" s="48"/>
      <c r="BQ502" s="48"/>
      <c r="BR502" s="48"/>
      <c r="BS502" s="48"/>
      <c r="BT502" s="159"/>
      <c r="BU502" s="48"/>
      <c r="BV502" s="48"/>
      <c r="BW502" s="48"/>
      <c r="BX502" s="48"/>
      <c r="BY502" s="159"/>
      <c r="BZ502" s="159"/>
      <c r="CA502" s="159"/>
      <c r="CB502" s="159"/>
      <c r="CC502" s="50"/>
    </row>
    <row r="503" s="51" customFormat="true" ht="15" hidden="true" customHeight="true" outlineLevel="1" collapsed="false">
      <c r="A503" s="226" t="s">
        <v>534</v>
      </c>
      <c r="B503" s="257"/>
      <c r="C503" s="261"/>
      <c r="D503" s="261"/>
      <c r="E503" s="261"/>
      <c r="F503" s="258" t="n">
        <v>-10.292</v>
      </c>
      <c r="G503" s="258" t="n">
        <v>-443.712</v>
      </c>
      <c r="H503" s="259"/>
      <c r="I503" s="259"/>
      <c r="J503" s="259"/>
      <c r="K503" s="391" t="n">
        <f aca="false">L503</f>
        <v>0</v>
      </c>
      <c r="L503" s="261"/>
      <c r="M503" s="259"/>
      <c r="N503" s="259"/>
      <c r="O503" s="259"/>
      <c r="P503" s="391" t="n">
        <f aca="false">Q503</f>
        <v>0</v>
      </c>
      <c r="Q503" s="261"/>
      <c r="R503" s="259"/>
      <c r="S503" s="259"/>
      <c r="T503" s="259"/>
      <c r="U503" s="391" t="n">
        <f aca="false">V503</f>
        <v>-2641.3</v>
      </c>
      <c r="V503" s="258" t="n">
        <v>-2641.3</v>
      </c>
      <c r="W503" s="259"/>
      <c r="X503" s="259"/>
      <c r="Y503" s="259"/>
      <c r="Z503" s="391" t="n">
        <f aca="false">AA503</f>
        <v>0</v>
      </c>
      <c r="AA503" s="261"/>
      <c r="AB503" s="259"/>
      <c r="AC503" s="259"/>
      <c r="AD503" s="259"/>
      <c r="AE503" s="391" t="n">
        <f aca="false">AF503</f>
        <v>0</v>
      </c>
      <c r="AF503" s="261"/>
      <c r="AG503" s="259"/>
      <c r="AH503" s="259"/>
      <c r="AI503" s="259"/>
      <c r="AJ503" s="391" t="n">
        <f aca="false">AK503</f>
        <v>0</v>
      </c>
      <c r="AK503" s="261"/>
      <c r="AL503" s="259"/>
      <c r="AM503" s="259"/>
      <c r="AN503" s="259"/>
      <c r="AO503" s="391" t="n">
        <f aca="false">AP503</f>
        <v>-222.8</v>
      </c>
      <c r="AP503" s="258" t="n">
        <v>-222.8</v>
      </c>
      <c r="AQ503" s="259"/>
      <c r="AR503" s="259"/>
      <c r="AS503" s="259"/>
      <c r="AT503" s="391" t="n">
        <f aca="false">AU503</f>
        <v>0</v>
      </c>
      <c r="AU503" s="261"/>
      <c r="AV503" s="259"/>
      <c r="AW503" s="259"/>
      <c r="AX503" s="259"/>
      <c r="AY503" s="391" t="n">
        <f aca="false">AZ503</f>
        <v>0</v>
      </c>
      <c r="AZ503" s="261"/>
      <c r="BA503" s="259"/>
      <c r="BB503" s="259"/>
      <c r="BC503" s="265" t="n">
        <v>-27.6</v>
      </c>
      <c r="BD503" s="391" t="n">
        <f aca="false">BE503</f>
        <v>-33.6</v>
      </c>
      <c r="BE503" s="258" t="n">
        <v>-33.6</v>
      </c>
      <c r="BF503" s="259"/>
      <c r="BG503" s="259"/>
      <c r="BH503" s="259"/>
      <c r="BI503" s="391" t="n">
        <f aca="false">BJ503</f>
        <v>0</v>
      </c>
      <c r="BJ503" s="261"/>
      <c r="BK503" s="259"/>
      <c r="BL503" s="259"/>
      <c r="BM503" s="259"/>
      <c r="BN503" s="391" t="n">
        <f aca="false">BO503</f>
        <v>0</v>
      </c>
      <c r="BO503" s="260"/>
      <c r="BP503" s="259"/>
      <c r="BQ503" s="259"/>
      <c r="BR503" s="259"/>
      <c r="BS503" s="259"/>
      <c r="BT503" s="261"/>
      <c r="BU503" s="259"/>
      <c r="BV503" s="259"/>
      <c r="BW503" s="259"/>
      <c r="BX503" s="259"/>
      <c r="BY503" s="261"/>
      <c r="BZ503" s="261"/>
      <c r="CA503" s="261"/>
      <c r="CB503" s="261"/>
      <c r="CC503" s="50"/>
    </row>
    <row r="504" s="157" customFormat="true" ht="15" hidden="true" customHeight="true" outlineLevel="1" collapsed="false">
      <c r="A504" s="244" t="s">
        <v>535</v>
      </c>
      <c r="B504" s="393"/>
      <c r="C504" s="357" t="n">
        <f aca="false">SUM(C493:C503)</f>
        <v>-98.082</v>
      </c>
      <c r="D504" s="357" t="n">
        <f aca="false">SUM(D493:D503)</f>
        <v>-124.903</v>
      </c>
      <c r="E504" s="357" t="n">
        <f aca="false">SUM(E493:E503)</f>
        <v>-300.898</v>
      </c>
      <c r="F504" s="357" t="n">
        <f aca="false">SUM(F493:F503)</f>
        <v>-1119.833</v>
      </c>
      <c r="G504" s="357" t="n">
        <f aca="false">SUM(G493:G503)</f>
        <v>-368.341</v>
      </c>
      <c r="H504" s="394" t="n">
        <f aca="false">SUM(H493:H503)</f>
        <v>4.69999999999999</v>
      </c>
      <c r="I504" s="394" t="n">
        <f aca="false">SUM(I493:I503)</f>
        <v>-68.9</v>
      </c>
      <c r="J504" s="394" t="n">
        <f aca="false">SUM(J493:J503)</f>
        <v>-93.2</v>
      </c>
      <c r="K504" s="394" t="n">
        <f aca="false">SUM(K493:K503)</f>
        <v>-16.212</v>
      </c>
      <c r="L504" s="357" t="n">
        <f aca="false">SUM(L493:L503)</f>
        <v>-16.212</v>
      </c>
      <c r="M504" s="394" t="n">
        <f aca="false">SUM(M493:M503)</f>
        <v>124.2</v>
      </c>
      <c r="N504" s="394" t="n">
        <f aca="false">SUM(N493:N503)</f>
        <v>17</v>
      </c>
      <c r="O504" s="394" t="n">
        <f aca="false">SUM(O493:O503)</f>
        <v>-82.3</v>
      </c>
      <c r="P504" s="394" t="n">
        <f aca="false">SUM(P493:P503)</f>
        <v>-1159.913</v>
      </c>
      <c r="Q504" s="357" t="n">
        <f aca="false">SUM(Q493:Q503)</f>
        <v>-1159.913</v>
      </c>
      <c r="R504" s="394" t="n">
        <f aca="false">SUM(R493:R503)</f>
        <v>-182.7</v>
      </c>
      <c r="S504" s="394" t="n">
        <f aca="false">SUM(S493:S503)</f>
        <v>-206.2</v>
      </c>
      <c r="T504" s="394" t="n">
        <f aca="false">SUM(T493:T503)</f>
        <v>-690.7</v>
      </c>
      <c r="U504" s="394" t="n">
        <f aca="false">SUM(U493:U503)</f>
        <v>-3188.4</v>
      </c>
      <c r="V504" s="357" t="n">
        <f aca="false">SUM(V493:V503)</f>
        <v>-3188.4</v>
      </c>
      <c r="W504" s="394" t="n">
        <f aca="false">SUM(W493:W503)</f>
        <v>150.5</v>
      </c>
      <c r="X504" s="394" t="n">
        <f aca="false">SUM(X493:X503)</f>
        <v>-604.4</v>
      </c>
      <c r="Y504" s="394" t="n">
        <f aca="false">SUM(Y493:Y503)</f>
        <v>-676</v>
      </c>
      <c r="Z504" s="394" t="n">
        <f aca="false">SUM(Z493:Z503)</f>
        <v>-1209.3</v>
      </c>
      <c r="AA504" s="357" t="n">
        <f aca="false">SUM(AA493:AA503)</f>
        <v>-1209.3</v>
      </c>
      <c r="AB504" s="394" t="n">
        <f aca="false">SUM(AB493:AB503)</f>
        <v>182.2</v>
      </c>
      <c r="AC504" s="394" t="n">
        <f aca="false">SUM(AC493:AC503)</f>
        <v>120.3</v>
      </c>
      <c r="AD504" s="394" t="n">
        <f aca="false">SUM(AD493:AD503)</f>
        <v>-124.5</v>
      </c>
      <c r="AE504" s="394" t="n">
        <f aca="false">SUM(AE493:AE503)</f>
        <v>-491.5</v>
      </c>
      <c r="AF504" s="357" t="n">
        <f aca="false">SUM(AF493:AF503)</f>
        <v>-491.5</v>
      </c>
      <c r="AG504" s="394" t="n">
        <f aca="false">SUM(AG493:AG503)</f>
        <v>-342.4</v>
      </c>
      <c r="AH504" s="394" t="n">
        <f aca="false">SUM(AH493:AH503)</f>
        <v>-133.8</v>
      </c>
      <c r="AI504" s="394" t="n">
        <f aca="false">SUM(AI493:AI503)</f>
        <v>-141.1</v>
      </c>
      <c r="AJ504" s="394" t="n">
        <f aca="false">SUM(AJ493:AJ503)</f>
        <v>-1157.5</v>
      </c>
      <c r="AK504" s="357" t="n">
        <f aca="false">SUM(AK493:AK503)</f>
        <v>-1157.5</v>
      </c>
      <c r="AL504" s="394" t="n">
        <f aca="false">SUM(AL493:AL503)</f>
        <v>-444.3</v>
      </c>
      <c r="AM504" s="394" t="n">
        <f aca="false">SUM(AM493:AM503)</f>
        <v>-229.5</v>
      </c>
      <c r="AN504" s="394" t="n">
        <f aca="false">SUM(AN493:AN503)</f>
        <v>-396.1</v>
      </c>
      <c r="AO504" s="394" t="n">
        <f aca="false">SUM(AO493:AO503)</f>
        <v>-1352.2</v>
      </c>
      <c r="AP504" s="357" t="n">
        <f aca="false">SUM(AP493:AP503)</f>
        <v>-1352.2</v>
      </c>
      <c r="AQ504" s="394" t="n">
        <f aca="false">SUM(AQ493:AQ503)</f>
        <v>-306.7</v>
      </c>
      <c r="AR504" s="394" t="n">
        <f aca="false">SUM(AR493:AR503)</f>
        <v>683.7</v>
      </c>
      <c r="AS504" s="394" t="n">
        <f aca="false">SUM(AS493:AS503)</f>
        <v>404.1</v>
      </c>
      <c r="AT504" s="394" t="n">
        <f aca="false">SUM(AT493:AT503)</f>
        <v>-72</v>
      </c>
      <c r="AU504" s="357" t="n">
        <f aca="false">SUM(AU493:AU503)</f>
        <v>-72</v>
      </c>
      <c r="AV504" s="394" t="n">
        <f aca="false">SUM(AV493:AV503)</f>
        <v>-11.7</v>
      </c>
      <c r="AW504" s="394" t="n">
        <f aca="false">SUM(AW493:AW503)</f>
        <v>-156</v>
      </c>
      <c r="AX504" s="394" t="n">
        <f aca="false">SUM(AX493:AX503)</f>
        <v>-664.9</v>
      </c>
      <c r="AY504" s="394" t="n">
        <f aca="false">SUM(AY493:AY503)</f>
        <v>-1028.9</v>
      </c>
      <c r="AZ504" s="357" t="n">
        <f aca="false">SUM(AZ493:AZ503)</f>
        <v>-1028.9</v>
      </c>
      <c r="BA504" s="394" t="n">
        <f aca="false">SUM(BA493:BA503)</f>
        <v>-436.5</v>
      </c>
      <c r="BB504" s="394" t="n">
        <f aca="false">SUM(BB493:BB503)</f>
        <v>-981.4</v>
      </c>
      <c r="BC504" s="394" t="n">
        <f aca="false">SUM(BC493:BC503)</f>
        <v>-2072.4</v>
      </c>
      <c r="BD504" s="394" t="n">
        <f aca="false">SUM(BD493:BD503)</f>
        <v>-2689.3</v>
      </c>
      <c r="BE504" s="357" t="n">
        <f aca="false">SUM(BE493:BE503)</f>
        <v>-2689.3</v>
      </c>
      <c r="BF504" s="394" t="n">
        <f aca="false">SUM(BF493:BF503)</f>
        <v>-723.6</v>
      </c>
      <c r="BG504" s="394" t="n">
        <f aca="false">SUM(BG493:BG503)</f>
        <v>-1161.4</v>
      </c>
      <c r="BH504" s="394" t="n">
        <f aca="false">SUM(BH493:BH503)</f>
        <v>-1376.4</v>
      </c>
      <c r="BI504" s="394" t="n">
        <f aca="false">SUM(BI493:BI503)</f>
        <v>-2609.3</v>
      </c>
      <c r="BJ504" s="357" t="n">
        <f aca="false">SUM(BJ493:BJ503)</f>
        <v>-2609.3</v>
      </c>
      <c r="BK504" s="394" t="n">
        <f aca="false">SUM(BK493:BK503)</f>
        <v>-415.7</v>
      </c>
      <c r="BL504" s="394" t="n">
        <f aca="false">SUM(BL493:BL503)</f>
        <v>-843.7</v>
      </c>
      <c r="BM504" s="394" t="n">
        <f aca="false">SUM(BM493:BM503)</f>
        <v>-2771.5</v>
      </c>
      <c r="BN504" s="394" t="n">
        <f aca="false">SUM(BN493:BN503)</f>
        <v>-3777.8</v>
      </c>
      <c r="BO504" s="395" t="n">
        <f aca="false">SUM(BO493:BO503)</f>
        <v>-3777.8</v>
      </c>
      <c r="BP504" s="163"/>
      <c r="BQ504" s="163"/>
      <c r="BR504" s="163"/>
      <c r="BS504" s="163"/>
      <c r="BT504" s="162"/>
      <c r="BU504" s="163"/>
      <c r="BV504" s="163"/>
      <c r="BW504" s="163"/>
      <c r="BX504" s="163"/>
      <c r="BY504" s="162"/>
      <c r="BZ504" s="162"/>
      <c r="CA504" s="162"/>
      <c r="CB504" s="162"/>
      <c r="CC504" s="156"/>
    </row>
    <row r="505" s="157" customFormat="true" ht="15" hidden="true" customHeight="true" outlineLevel="1" collapsed="false">
      <c r="A505" s="252"/>
      <c r="B505" s="266"/>
      <c r="C505" s="267"/>
      <c r="D505" s="267"/>
      <c r="E505" s="267"/>
      <c r="F505" s="267"/>
      <c r="G505" s="267"/>
      <c r="H505" s="268"/>
      <c r="I505" s="268"/>
      <c r="J505" s="268"/>
      <c r="K505" s="268"/>
      <c r="L505" s="267"/>
      <c r="M505" s="268"/>
      <c r="N505" s="268"/>
      <c r="O505" s="268"/>
      <c r="P505" s="268"/>
      <c r="Q505" s="267"/>
      <c r="R505" s="268"/>
      <c r="S505" s="268"/>
      <c r="T505" s="268"/>
      <c r="U505" s="268"/>
      <c r="V505" s="267"/>
      <c r="W505" s="268"/>
      <c r="X505" s="268"/>
      <c r="Y505" s="268"/>
      <c r="Z505" s="268"/>
      <c r="AA505" s="267"/>
      <c r="AB505" s="268"/>
      <c r="AC505" s="268"/>
      <c r="AD505" s="268"/>
      <c r="AE505" s="268"/>
      <c r="AF505" s="267"/>
      <c r="AG505" s="268"/>
      <c r="AH505" s="268"/>
      <c r="AI505" s="268"/>
      <c r="AJ505" s="268"/>
      <c r="AK505" s="267"/>
      <c r="AL505" s="268"/>
      <c r="AM505" s="268"/>
      <c r="AN505" s="268"/>
      <c r="AO505" s="268"/>
      <c r="AP505" s="267"/>
      <c r="AQ505" s="268"/>
      <c r="AR505" s="268"/>
      <c r="AS505" s="268"/>
      <c r="AT505" s="268"/>
      <c r="AU505" s="267"/>
      <c r="AV505" s="268"/>
      <c r="AW505" s="268"/>
      <c r="AX505" s="268"/>
      <c r="AY505" s="268"/>
      <c r="AZ505" s="267"/>
      <c r="BA505" s="268"/>
      <c r="BB505" s="268"/>
      <c r="BC505" s="268"/>
      <c r="BD505" s="268"/>
      <c r="BE505" s="267"/>
      <c r="BF505" s="268"/>
      <c r="BG505" s="268"/>
      <c r="BH505" s="268"/>
      <c r="BI505" s="268"/>
      <c r="BJ505" s="267"/>
      <c r="BK505" s="268"/>
      <c r="BL505" s="268"/>
      <c r="BM505" s="268"/>
      <c r="BN505" s="268"/>
      <c r="BO505" s="269"/>
      <c r="BP505" s="268"/>
      <c r="BQ505" s="268"/>
      <c r="BR505" s="268"/>
      <c r="BS505" s="268"/>
      <c r="BT505" s="267"/>
      <c r="BU505" s="268"/>
      <c r="BV505" s="268"/>
      <c r="BW505" s="268"/>
      <c r="BX505" s="268"/>
      <c r="BY505" s="267"/>
      <c r="BZ505" s="267"/>
      <c r="CA505" s="267"/>
      <c r="CB505" s="267"/>
      <c r="CC505" s="156"/>
    </row>
    <row r="506" s="157" customFormat="true" ht="15" hidden="true" customHeight="true" outlineLevel="1" collapsed="false">
      <c r="A506" s="221" t="s">
        <v>536</v>
      </c>
      <c r="B506" s="266"/>
      <c r="C506" s="267"/>
      <c r="D506" s="267"/>
      <c r="E506" s="267"/>
      <c r="F506" s="267"/>
      <c r="G506" s="267"/>
      <c r="H506" s="268"/>
      <c r="I506" s="268"/>
      <c r="J506" s="268"/>
      <c r="K506" s="268"/>
      <c r="L506" s="267"/>
      <c r="M506" s="268"/>
      <c r="N506" s="268"/>
      <c r="O506" s="268"/>
      <c r="P506" s="268"/>
      <c r="Q506" s="267"/>
      <c r="R506" s="268"/>
      <c r="S506" s="268"/>
      <c r="T506" s="268"/>
      <c r="U506" s="268"/>
      <c r="V506" s="267"/>
      <c r="W506" s="268"/>
      <c r="X506" s="268"/>
      <c r="Y506" s="268"/>
      <c r="Z506" s="268"/>
      <c r="AA506" s="267"/>
      <c r="AB506" s="268"/>
      <c r="AC506" s="268"/>
      <c r="AD506" s="268"/>
      <c r="AE506" s="268"/>
      <c r="AF506" s="267"/>
      <c r="AG506" s="268"/>
      <c r="AH506" s="268"/>
      <c r="AI506" s="268"/>
      <c r="AJ506" s="268"/>
      <c r="AK506" s="267"/>
      <c r="AL506" s="268"/>
      <c r="AM506" s="268"/>
      <c r="AN506" s="268"/>
      <c r="AO506" s="268"/>
      <c r="AP506" s="267"/>
      <c r="AQ506" s="268"/>
      <c r="AR506" s="268"/>
      <c r="AS506" s="268"/>
      <c r="AT506" s="268"/>
      <c r="AU506" s="267"/>
      <c r="AV506" s="268"/>
      <c r="AW506" s="268"/>
      <c r="AX506" s="268"/>
      <c r="AY506" s="268"/>
      <c r="AZ506" s="267"/>
      <c r="BA506" s="268"/>
      <c r="BB506" s="268"/>
      <c r="BC506" s="268"/>
      <c r="BD506" s="268"/>
      <c r="BE506" s="267"/>
      <c r="BF506" s="268"/>
      <c r="BG506" s="268"/>
      <c r="BH506" s="268"/>
      <c r="BI506" s="268"/>
      <c r="BJ506" s="267"/>
      <c r="BK506" s="268"/>
      <c r="BL506" s="268"/>
      <c r="BM506" s="268"/>
      <c r="BN506" s="268"/>
      <c r="BO506" s="269"/>
      <c r="BP506" s="268"/>
      <c r="BQ506" s="268"/>
      <c r="BR506" s="268"/>
      <c r="BS506" s="268"/>
      <c r="BT506" s="267"/>
      <c r="BU506" s="268"/>
      <c r="BV506" s="268"/>
      <c r="BW506" s="268"/>
      <c r="BX506" s="268"/>
      <c r="BY506" s="267"/>
      <c r="BZ506" s="267"/>
      <c r="CA506" s="267"/>
      <c r="CB506" s="267"/>
      <c r="CC506" s="156"/>
    </row>
    <row r="507" s="51" customFormat="true" ht="15" hidden="true" customHeight="true" outlineLevel="1" collapsed="false">
      <c r="A507" s="270" t="s">
        <v>537</v>
      </c>
      <c r="B507" s="254"/>
      <c r="C507" s="255" t="n">
        <v>-86.486</v>
      </c>
      <c r="D507" s="255" t="n">
        <v>-86.96</v>
      </c>
      <c r="E507" s="255" t="n">
        <v>-172.645</v>
      </c>
      <c r="F507" s="255" t="n">
        <v>-188.892</v>
      </c>
      <c r="G507" s="255" t="n">
        <v>-216.085</v>
      </c>
      <c r="H507" s="48"/>
      <c r="I507" s="263" t="n">
        <v>-268</v>
      </c>
      <c r="J507" s="263" t="n">
        <v>-268</v>
      </c>
      <c r="K507" s="50" t="n">
        <f aca="false">L507</f>
        <v>-267.962</v>
      </c>
      <c r="L507" s="255" t="n">
        <v>-267.962</v>
      </c>
      <c r="M507" s="48"/>
      <c r="N507" s="263" t="n">
        <v>-302.3</v>
      </c>
      <c r="O507" s="263" t="n">
        <v>-302.3</v>
      </c>
      <c r="P507" s="50" t="n">
        <f aca="false">Q507</f>
        <v>-302.31</v>
      </c>
      <c r="Q507" s="255" t="n">
        <v>-302.31</v>
      </c>
      <c r="R507" s="48"/>
      <c r="S507" s="263" t="n">
        <v>-445.9</v>
      </c>
      <c r="T507" s="263" t="n">
        <v>-445.9</v>
      </c>
      <c r="U507" s="50" t="n">
        <f aca="false">V507</f>
        <v>-445.9</v>
      </c>
      <c r="V507" s="255" t="n">
        <v>-445.9</v>
      </c>
      <c r="W507" s="48"/>
      <c r="X507" s="263" t="n">
        <v>-516.7</v>
      </c>
      <c r="Y507" s="263" t="n">
        <v>-516.7</v>
      </c>
      <c r="Z507" s="50" t="n">
        <f aca="false">AA507</f>
        <v>-516.7</v>
      </c>
      <c r="AA507" s="255" t="n">
        <v>-516.7</v>
      </c>
      <c r="AB507" s="48"/>
      <c r="AC507" s="263" t="n">
        <v>-597.1</v>
      </c>
      <c r="AD507" s="263" t="n">
        <v>-597.1</v>
      </c>
      <c r="AE507" s="50" t="n">
        <f aca="false">AF507</f>
        <v>-597.1</v>
      </c>
      <c r="AF507" s="255" t="n">
        <v>-597.1</v>
      </c>
      <c r="AG507" s="48"/>
      <c r="AH507" s="263" t="n">
        <v>-884.4</v>
      </c>
      <c r="AI507" s="263" t="n">
        <v>-884.4</v>
      </c>
      <c r="AJ507" s="50" t="n">
        <f aca="false">AK507</f>
        <v>-1325.7</v>
      </c>
      <c r="AK507" s="255" t="n">
        <v>-1325.7</v>
      </c>
      <c r="AL507" s="48"/>
      <c r="AM507" s="263" t="n">
        <v>-564.8</v>
      </c>
      <c r="AN507" s="263" t="n">
        <v>-564.8</v>
      </c>
      <c r="AO507" s="50" t="n">
        <f aca="false">AP507</f>
        <v>-1066.4</v>
      </c>
      <c r="AP507" s="255" t="n">
        <v>-1066.4</v>
      </c>
      <c r="AQ507" s="48"/>
      <c r="AR507" s="263" t="n">
        <v>-639.1</v>
      </c>
      <c r="AS507" s="263" t="n">
        <v>-639.1</v>
      </c>
      <c r="AT507" s="50" t="n">
        <f aca="false">AU507</f>
        <v>-1368.3</v>
      </c>
      <c r="AU507" s="255" t="n">
        <v>-1368.3</v>
      </c>
      <c r="AV507" s="48"/>
      <c r="AW507" s="263" t="n">
        <v>-1475.3</v>
      </c>
      <c r="AX507" s="263" t="n">
        <v>-2018.7</v>
      </c>
      <c r="AY507" s="50" t="n">
        <f aca="false">AZ507</f>
        <v>-2559.8</v>
      </c>
      <c r="AZ507" s="255" t="n">
        <v>-2559.8</v>
      </c>
      <c r="BA507" s="263" t="n">
        <v>-541.1</v>
      </c>
      <c r="BB507" s="263" t="n">
        <v>-1207.1</v>
      </c>
      <c r="BC507" s="263" t="n">
        <v>-1777.5</v>
      </c>
      <c r="BD507" s="50" t="n">
        <f aca="false">BE507</f>
        <v>-2348.3</v>
      </c>
      <c r="BE507" s="255" t="n">
        <v>-2348.3</v>
      </c>
      <c r="BF507" s="263" t="n">
        <v>-571</v>
      </c>
      <c r="BG507" s="263" t="n">
        <v>-1259.3</v>
      </c>
      <c r="BH507" s="263" t="n">
        <v>-1855.1</v>
      </c>
      <c r="BI507" s="50" t="n">
        <f aca="false">BJ507</f>
        <v>-2452.9</v>
      </c>
      <c r="BJ507" s="255" t="n">
        <v>-2452.9</v>
      </c>
      <c r="BK507" s="263" t="n">
        <v>-597.2</v>
      </c>
      <c r="BL507" s="263" t="n">
        <v>-1311.6</v>
      </c>
      <c r="BM507" s="263" t="n">
        <v>-1931.2</v>
      </c>
      <c r="BN507" s="50" t="n">
        <f aca="false">BO507</f>
        <v>-2550.3</v>
      </c>
      <c r="BO507" s="390" t="n">
        <v>-2550.3</v>
      </c>
      <c r="BP507" s="48"/>
      <c r="BQ507" s="48"/>
      <c r="BR507" s="48"/>
      <c r="BS507" s="48"/>
      <c r="BT507" s="159"/>
      <c r="BU507" s="48"/>
      <c r="BV507" s="48"/>
      <c r="BW507" s="48"/>
      <c r="BX507" s="48"/>
      <c r="BY507" s="159"/>
      <c r="BZ507" s="159"/>
      <c r="CA507" s="159"/>
      <c r="CB507" s="159"/>
      <c r="CC507" s="50"/>
    </row>
    <row r="508" s="51" customFormat="true" ht="15" hidden="true" customHeight="true" outlineLevel="1" collapsed="false">
      <c r="A508" s="270" t="s">
        <v>538</v>
      </c>
      <c r="B508" s="254"/>
      <c r="C508" s="159"/>
      <c r="D508" s="159"/>
      <c r="E508" s="255" t="n">
        <v>-700.452</v>
      </c>
      <c r="F508" s="255" t="n">
        <v>-535.373</v>
      </c>
      <c r="G508" s="255" t="n">
        <v>-300</v>
      </c>
      <c r="H508" s="263" t="n">
        <v>-145</v>
      </c>
      <c r="I508" s="263" t="n">
        <v>-299.9</v>
      </c>
      <c r="J508" s="263" t="n">
        <v>-471</v>
      </c>
      <c r="K508" s="50" t="n">
        <f aca="false">L508</f>
        <v>-700</v>
      </c>
      <c r="L508" s="255" t="n">
        <v>-700</v>
      </c>
      <c r="M508" s="263" t="n">
        <v>-117.1</v>
      </c>
      <c r="N508" s="263" t="n">
        <v>-282.7</v>
      </c>
      <c r="O508" s="263" t="n">
        <v>-424.2</v>
      </c>
      <c r="P508" s="50" t="n">
        <f aca="false">Q508</f>
        <v>-564.887</v>
      </c>
      <c r="Q508" s="255" t="n">
        <v>-564.887</v>
      </c>
      <c r="R508" s="263" t="n">
        <v>-213.5</v>
      </c>
      <c r="S508" s="263" t="n">
        <v>-385.4</v>
      </c>
      <c r="T508" s="263" t="n">
        <v>-400</v>
      </c>
      <c r="U508" s="50" t="n">
        <f aca="false">V508</f>
        <v>-400</v>
      </c>
      <c r="V508" s="255" t="n">
        <v>-400</v>
      </c>
      <c r="W508" s="48"/>
      <c r="X508" s="48"/>
      <c r="Y508" s="263" t="n">
        <v>-165.5</v>
      </c>
      <c r="Z508" s="50" t="n">
        <f aca="false">AA508</f>
        <v>-500</v>
      </c>
      <c r="AA508" s="255" t="n">
        <v>-500</v>
      </c>
      <c r="AB508" s="263" t="n">
        <v>-166.9</v>
      </c>
      <c r="AC508" s="263" t="n">
        <v>-419.8</v>
      </c>
      <c r="AD508" s="263" t="n">
        <v>-789.8</v>
      </c>
      <c r="AE508" s="50" t="n">
        <f aca="false">AF508</f>
        <v>-1146.2</v>
      </c>
      <c r="AF508" s="255" t="n">
        <v>-1146.2</v>
      </c>
      <c r="AG508" s="263" t="n">
        <v>-52.6</v>
      </c>
      <c r="AH508" s="263" t="n">
        <v>-70</v>
      </c>
      <c r="AI508" s="263" t="n">
        <v>-218.4</v>
      </c>
      <c r="AJ508" s="50" t="n">
        <f aca="false">AK508</f>
        <v>-410</v>
      </c>
      <c r="AK508" s="255" t="n">
        <v>-410</v>
      </c>
      <c r="AL508" s="263" t="n">
        <v>-507.5</v>
      </c>
      <c r="AM508" s="263" t="n">
        <v>-507.5</v>
      </c>
      <c r="AN508" s="263" t="n">
        <v>-507.5</v>
      </c>
      <c r="AO508" s="50" t="n">
        <f aca="false">AP508</f>
        <v>-1207.5</v>
      </c>
      <c r="AP508" s="255" t="n">
        <v>-1207.5</v>
      </c>
      <c r="AQ508" s="263" t="n">
        <v>-1567.6</v>
      </c>
      <c r="AR508" s="263" t="n">
        <v>-3551.5</v>
      </c>
      <c r="AS508" s="263" t="n">
        <v>-5953.1</v>
      </c>
      <c r="AT508" s="50" t="n">
        <f aca="false">AU508</f>
        <v>-8560.3</v>
      </c>
      <c r="AU508" s="255" t="n">
        <v>-8560.3</v>
      </c>
      <c r="AV508" s="263" t="n">
        <v>-2038.2</v>
      </c>
      <c r="AW508" s="263" t="n">
        <v>-3216.7</v>
      </c>
      <c r="AX508" s="263" t="n">
        <v>-4304.7</v>
      </c>
      <c r="AY508" s="50" t="n">
        <f aca="false">AZ508</f>
        <v>-4639.7</v>
      </c>
      <c r="AZ508" s="255" t="n">
        <v>-4639.7</v>
      </c>
      <c r="BA508" s="263" t="n">
        <v>-396.2</v>
      </c>
      <c r="BB508" s="263" t="n">
        <v>-888.9</v>
      </c>
      <c r="BC508" s="263" t="n">
        <v>-1000</v>
      </c>
      <c r="BD508" s="50" t="n">
        <f aca="false">BE508</f>
        <v>-1000</v>
      </c>
      <c r="BE508" s="255" t="n">
        <v>-1000</v>
      </c>
      <c r="BF508" s="263" t="n">
        <v>-385.1</v>
      </c>
      <c r="BG508" s="263" t="n">
        <v>-500</v>
      </c>
      <c r="BH508" s="263" t="n">
        <v>-500</v>
      </c>
      <c r="BI508" s="50" t="n">
        <f aca="false">BJ508</f>
        <v>-500</v>
      </c>
      <c r="BJ508" s="255" t="n">
        <v>-500</v>
      </c>
      <c r="BK508" s="263" t="n">
        <v>-2592.6</v>
      </c>
      <c r="BL508" s="263" t="n">
        <v>-4077.8</v>
      </c>
      <c r="BM508" s="263" t="n">
        <v>-4250</v>
      </c>
      <c r="BN508" s="50" t="n">
        <f aca="false">BO508</f>
        <v>-5950</v>
      </c>
      <c r="BO508" s="390" t="n">
        <v>-5950</v>
      </c>
      <c r="BP508" s="48"/>
      <c r="BQ508" s="48"/>
      <c r="BR508" s="48"/>
      <c r="BS508" s="48"/>
      <c r="BT508" s="159"/>
      <c r="BU508" s="48"/>
      <c r="BV508" s="48"/>
      <c r="BW508" s="48"/>
      <c r="BX508" s="48"/>
      <c r="BY508" s="159"/>
      <c r="BZ508" s="159"/>
      <c r="CA508" s="159"/>
      <c r="CB508" s="159"/>
      <c r="CC508" s="50"/>
    </row>
    <row r="509" s="51" customFormat="true" ht="15" hidden="true" customHeight="true" outlineLevel="1" collapsed="false">
      <c r="A509" s="270" t="s">
        <v>539</v>
      </c>
      <c r="B509" s="254"/>
      <c r="C509" s="255" t="n">
        <v>11.073</v>
      </c>
      <c r="D509" s="255" t="n">
        <v>31</v>
      </c>
      <c r="E509" s="255" t="n">
        <v>34.084</v>
      </c>
      <c r="F509" s="255" t="n">
        <v>3907.666</v>
      </c>
      <c r="G509" s="255" t="n">
        <v>31.822</v>
      </c>
      <c r="H509" s="263" t="n">
        <v>5.5</v>
      </c>
      <c r="I509" s="263" t="n">
        <v>13.6</v>
      </c>
      <c r="J509" s="263" t="n">
        <v>24.2</v>
      </c>
      <c r="K509" s="50" t="n">
        <f aca="false">L509</f>
        <v>39.679</v>
      </c>
      <c r="L509" s="255" t="n">
        <v>39.679</v>
      </c>
      <c r="M509" s="263" t="n">
        <v>4.4</v>
      </c>
      <c r="N509" s="263" t="n">
        <v>14.5</v>
      </c>
      <c r="O509" s="263" t="n">
        <v>23.5</v>
      </c>
      <c r="P509" s="50" t="n">
        <f aca="false">Q509</f>
        <v>33.23</v>
      </c>
      <c r="Q509" s="255" t="n">
        <v>33.23</v>
      </c>
      <c r="R509" s="263" t="n">
        <v>10.6</v>
      </c>
      <c r="S509" s="263" t="n">
        <v>22.7</v>
      </c>
      <c r="T509" s="263" t="n">
        <v>34.4</v>
      </c>
      <c r="U509" s="50" t="n">
        <f aca="false">V509</f>
        <v>582.7</v>
      </c>
      <c r="V509" s="255" t="n">
        <v>582.7</v>
      </c>
      <c r="W509" s="263" t="n">
        <v>13</v>
      </c>
      <c r="X509" s="263" t="n">
        <v>24.9</v>
      </c>
      <c r="Y509" s="263" t="n">
        <v>37.6</v>
      </c>
      <c r="Z509" s="50" t="n">
        <f aca="false">AA509</f>
        <v>50.6</v>
      </c>
      <c r="AA509" s="255" t="n">
        <v>50.6</v>
      </c>
      <c r="AB509" s="263" t="n">
        <v>7</v>
      </c>
      <c r="AC509" s="263" t="n">
        <v>13.1</v>
      </c>
      <c r="AD509" s="263" t="n">
        <v>17.4</v>
      </c>
      <c r="AE509" s="50" t="n">
        <f aca="false">AF509</f>
        <v>21.8</v>
      </c>
      <c r="AF509" s="255" t="n">
        <v>21.8</v>
      </c>
      <c r="AG509" s="263" t="n">
        <v>5.2</v>
      </c>
      <c r="AH509" s="263" t="n">
        <v>12.6</v>
      </c>
      <c r="AI509" s="263" t="n">
        <v>20</v>
      </c>
      <c r="AJ509" s="50" t="n">
        <f aca="false">AK509</f>
        <v>27.2</v>
      </c>
      <c r="AK509" s="255" t="n">
        <v>27.2</v>
      </c>
      <c r="AL509" s="263" t="n">
        <v>8.6</v>
      </c>
      <c r="AM509" s="263" t="n">
        <v>19.6</v>
      </c>
      <c r="AN509" s="263" t="n">
        <v>30</v>
      </c>
      <c r="AO509" s="50" t="n">
        <f aca="false">AP509</f>
        <v>37.9</v>
      </c>
      <c r="AP509" s="255" t="n">
        <v>37.9</v>
      </c>
      <c r="AQ509" s="263" t="n">
        <v>11</v>
      </c>
      <c r="AR509" s="263" t="n">
        <v>24.6</v>
      </c>
      <c r="AS509" s="263" t="n">
        <v>36.9</v>
      </c>
      <c r="AT509" s="50" t="n">
        <f aca="false">AU509</f>
        <v>48.9</v>
      </c>
      <c r="AU509" s="255" t="n">
        <v>48.9</v>
      </c>
      <c r="AV509" s="263" t="n">
        <v>21.5</v>
      </c>
      <c r="AW509" s="263" t="n">
        <v>43</v>
      </c>
      <c r="AX509" s="263" t="n">
        <v>62.9</v>
      </c>
      <c r="AY509" s="50" t="n">
        <f aca="false">AZ509</f>
        <v>81.8</v>
      </c>
      <c r="AZ509" s="255" t="n">
        <v>81.8</v>
      </c>
      <c r="BA509" s="263" t="n">
        <v>22.7</v>
      </c>
      <c r="BB509" s="263" t="n">
        <v>47.8</v>
      </c>
      <c r="BC509" s="263" t="n">
        <v>73.5</v>
      </c>
      <c r="BD509" s="50" t="n">
        <f aca="false">BE509</f>
        <v>99.4</v>
      </c>
      <c r="BE509" s="255" t="n">
        <v>99.4</v>
      </c>
      <c r="BF509" s="263" t="n">
        <v>29.3</v>
      </c>
      <c r="BG509" s="263" t="n">
        <v>60.5</v>
      </c>
      <c r="BH509" s="263" t="n">
        <v>92</v>
      </c>
      <c r="BI509" s="50" t="n">
        <f aca="false">BJ509</f>
        <v>124</v>
      </c>
      <c r="BJ509" s="255" t="n">
        <v>124</v>
      </c>
      <c r="BK509" s="263" t="n">
        <v>38</v>
      </c>
      <c r="BL509" s="263" t="n">
        <v>74.4</v>
      </c>
      <c r="BM509" s="263" t="n">
        <v>109.7</v>
      </c>
      <c r="BN509" s="50" t="n">
        <f aca="false">BO509</f>
        <v>142.3</v>
      </c>
      <c r="BO509" s="390" t="n">
        <v>142.3</v>
      </c>
      <c r="BP509" s="48"/>
      <c r="BQ509" s="48"/>
      <c r="BR509" s="48"/>
      <c r="BS509" s="48"/>
      <c r="BT509" s="159"/>
      <c r="BU509" s="48"/>
      <c r="BV509" s="48"/>
      <c r="BW509" s="48"/>
      <c r="BX509" s="48"/>
      <c r="BY509" s="159"/>
      <c r="BZ509" s="159"/>
      <c r="CA509" s="159"/>
      <c r="CB509" s="159"/>
      <c r="CC509" s="50"/>
    </row>
    <row r="510" s="51" customFormat="true" ht="15" hidden="true" customHeight="true" outlineLevel="1" collapsed="false">
      <c r="A510" s="270" t="s">
        <v>540</v>
      </c>
      <c r="B510" s="254"/>
      <c r="C510" s="255" t="n">
        <v>0.032</v>
      </c>
      <c r="D510" s="159"/>
      <c r="E510" s="159"/>
      <c r="F510" s="159"/>
      <c r="G510" s="255" t="n">
        <v>740.445</v>
      </c>
      <c r="H510" s="48"/>
      <c r="I510" s="48"/>
      <c r="J510" s="48"/>
      <c r="K510" s="50" t="n">
        <f aca="false">L510</f>
        <v>0</v>
      </c>
      <c r="L510" s="159"/>
      <c r="M510" s="48"/>
      <c r="N510" s="48"/>
      <c r="O510" s="48"/>
      <c r="P510" s="50" t="n">
        <f aca="false">Q510</f>
        <v>0</v>
      </c>
      <c r="Q510" s="159"/>
      <c r="R510" s="48"/>
      <c r="S510" s="48"/>
      <c r="T510" s="263" t="n">
        <v>1484.7</v>
      </c>
      <c r="U510" s="50" t="n">
        <f aca="false">V510</f>
        <v>2230.6</v>
      </c>
      <c r="V510" s="255" t="n">
        <v>2230.6</v>
      </c>
      <c r="W510" s="48"/>
      <c r="X510" s="48"/>
      <c r="Y510" s="48"/>
      <c r="Z510" s="50" t="n">
        <f aca="false">AA510</f>
        <v>0</v>
      </c>
      <c r="AA510" s="159"/>
      <c r="AB510" s="48"/>
      <c r="AC510" s="48"/>
      <c r="AD510" s="48"/>
      <c r="AE510" s="50" t="n">
        <f aca="false">AF510</f>
        <v>0</v>
      </c>
      <c r="AF510" s="159"/>
      <c r="AG510" s="48"/>
      <c r="AH510" s="48"/>
      <c r="AI510" s="48"/>
      <c r="AJ510" s="50" t="n">
        <f aca="false">AK510</f>
        <v>0</v>
      </c>
      <c r="AK510" s="159"/>
      <c r="AL510" s="263" t="n">
        <v>739.8</v>
      </c>
      <c r="AM510" s="263" t="n">
        <v>1486.3</v>
      </c>
      <c r="AN510" s="263" t="n">
        <v>1486.3</v>
      </c>
      <c r="AO510" s="50" t="n">
        <f aca="false">AP510</f>
        <v>1486.3</v>
      </c>
      <c r="AP510" s="255" t="n">
        <v>1486.3</v>
      </c>
      <c r="AQ510" s="48"/>
      <c r="AR510" s="48"/>
      <c r="AS510" s="48"/>
      <c r="AT510" s="50" t="n">
        <f aca="false">AU510</f>
        <v>0</v>
      </c>
      <c r="AU510" s="159"/>
      <c r="AV510" s="48"/>
      <c r="AW510" s="263" t="n">
        <v>495.6</v>
      </c>
      <c r="AX510" s="263" t="n">
        <v>495.6</v>
      </c>
      <c r="AY510" s="50" t="n">
        <f aca="false">AZ510</f>
        <v>495.6</v>
      </c>
      <c r="AZ510" s="255" t="n">
        <v>495.6</v>
      </c>
      <c r="BA510" s="48"/>
      <c r="BB510" s="263" t="n">
        <v>997.8</v>
      </c>
      <c r="BC510" s="263" t="n">
        <v>997.8</v>
      </c>
      <c r="BD510" s="50" t="n">
        <f aca="false">BE510</f>
        <v>997.8</v>
      </c>
      <c r="BE510" s="255" t="n">
        <v>997.8</v>
      </c>
      <c r="BF510" s="48"/>
      <c r="BG510" s="263" t="n">
        <v>0</v>
      </c>
      <c r="BH510" s="48"/>
      <c r="BI510" s="50" t="n">
        <f aca="false">BJ510</f>
        <v>22.5</v>
      </c>
      <c r="BJ510" s="255" t="n">
        <v>22.5</v>
      </c>
      <c r="BK510" s="48"/>
      <c r="BL510" s="48"/>
      <c r="BM510" s="263" t="n">
        <v>15</v>
      </c>
      <c r="BN510" s="50" t="n">
        <f aca="false">BO510</f>
        <v>754.2</v>
      </c>
      <c r="BO510" s="390" t="n">
        <v>754.2</v>
      </c>
      <c r="BP510" s="48"/>
      <c r="BQ510" s="48"/>
      <c r="BR510" s="48"/>
      <c r="BS510" s="48"/>
      <c r="BT510" s="159"/>
      <c r="BU510" s="48"/>
      <c r="BV510" s="48"/>
      <c r="BW510" s="48"/>
      <c r="BX510" s="48"/>
      <c r="BY510" s="159"/>
      <c r="BZ510" s="159"/>
      <c r="CA510" s="159"/>
      <c r="CB510" s="159"/>
      <c r="CC510" s="50"/>
    </row>
    <row r="511" s="51" customFormat="true" ht="15" hidden="true" customHeight="true" outlineLevel="1" collapsed="false">
      <c r="A511" s="270" t="s">
        <v>541</v>
      </c>
      <c r="B511" s="254"/>
      <c r="C511" s="159"/>
      <c r="D511" s="159"/>
      <c r="E511" s="159"/>
      <c r="F511" s="255" t="n">
        <v>-3728.324</v>
      </c>
      <c r="G511" s="159"/>
      <c r="H511" s="48"/>
      <c r="I511" s="48"/>
      <c r="J511" s="48"/>
      <c r="K511" s="48"/>
      <c r="L511" s="159"/>
      <c r="M511" s="48"/>
      <c r="N511" s="48"/>
      <c r="O511" s="48"/>
      <c r="P511" s="48"/>
      <c r="Q511" s="159"/>
      <c r="R511" s="48"/>
      <c r="S511" s="48"/>
      <c r="T511" s="48"/>
      <c r="U511" s="48"/>
      <c r="V511" s="159"/>
      <c r="W511" s="48"/>
      <c r="X511" s="48"/>
      <c r="Y511" s="48"/>
      <c r="Z511" s="48"/>
      <c r="AA511" s="159"/>
      <c r="AB511" s="48"/>
      <c r="AC511" s="48"/>
      <c r="AD511" s="48"/>
      <c r="AE511" s="48"/>
      <c r="AF511" s="159"/>
      <c r="AG511" s="48"/>
      <c r="AH511" s="48"/>
      <c r="AI511" s="48"/>
      <c r="AJ511" s="48"/>
      <c r="AK511" s="159"/>
      <c r="AL511" s="48"/>
      <c r="AM511" s="48"/>
      <c r="AN511" s="48"/>
      <c r="AO511" s="48"/>
      <c r="AP511" s="159"/>
      <c r="AQ511" s="48"/>
      <c r="AR511" s="48"/>
      <c r="AS511" s="48"/>
      <c r="AT511" s="48"/>
      <c r="AU511" s="159"/>
      <c r="AV511" s="48"/>
      <c r="AW511" s="48"/>
      <c r="AX511" s="48"/>
      <c r="AY511" s="48"/>
      <c r="AZ511" s="159"/>
      <c r="BA511" s="48"/>
      <c r="BB511" s="48"/>
      <c r="BC511" s="48"/>
      <c r="BD511" s="48"/>
      <c r="BE511" s="159"/>
      <c r="BF511" s="48"/>
      <c r="BG511" s="48"/>
      <c r="BH511" s="48"/>
      <c r="BI511" s="48"/>
      <c r="BJ511" s="159"/>
      <c r="BK511" s="48"/>
      <c r="BL511" s="48"/>
      <c r="BM511" s="48"/>
      <c r="BN511" s="48"/>
      <c r="BO511" s="160"/>
      <c r="BP511" s="48"/>
      <c r="BQ511" s="48"/>
      <c r="BR511" s="48"/>
      <c r="BS511" s="48"/>
      <c r="BT511" s="159"/>
      <c r="BU511" s="48"/>
      <c r="BV511" s="48"/>
      <c r="BW511" s="48"/>
      <c r="BX511" s="48"/>
      <c r="BY511" s="159"/>
      <c r="BZ511" s="159"/>
      <c r="CA511" s="159"/>
      <c r="CB511" s="159"/>
      <c r="CC511" s="50"/>
    </row>
    <row r="512" s="51" customFormat="true" ht="15" hidden="true" customHeight="true" outlineLevel="1" collapsed="false">
      <c r="A512" s="270" t="s">
        <v>542</v>
      </c>
      <c r="B512" s="254"/>
      <c r="C512" s="159"/>
      <c r="D512" s="159"/>
      <c r="E512" s="159"/>
      <c r="F512" s="159"/>
      <c r="G512" s="255" t="n">
        <v>-368.303</v>
      </c>
      <c r="H512" s="48"/>
      <c r="I512" s="48"/>
      <c r="J512" s="48"/>
      <c r="K512" s="48"/>
      <c r="L512" s="159"/>
      <c r="M512" s="48"/>
      <c r="N512" s="48"/>
      <c r="O512" s="48"/>
      <c r="P512" s="48"/>
      <c r="Q512" s="159"/>
      <c r="R512" s="48"/>
      <c r="S512" s="48"/>
      <c r="T512" s="48"/>
      <c r="U512" s="48"/>
      <c r="V512" s="159"/>
      <c r="W512" s="48"/>
      <c r="X512" s="48"/>
      <c r="Y512" s="48"/>
      <c r="Z512" s="48"/>
      <c r="AA512" s="159"/>
      <c r="AB512" s="48"/>
      <c r="AC512" s="48"/>
      <c r="AD512" s="48"/>
      <c r="AE512" s="48"/>
      <c r="AF512" s="159"/>
      <c r="AG512" s="48"/>
      <c r="AH512" s="48"/>
      <c r="AI512" s="48"/>
      <c r="AJ512" s="48"/>
      <c r="AK512" s="159"/>
      <c r="AL512" s="48"/>
      <c r="AM512" s="48"/>
      <c r="AN512" s="48"/>
      <c r="AO512" s="48"/>
      <c r="AP512" s="159"/>
      <c r="AQ512" s="48"/>
      <c r="AR512" s="48"/>
      <c r="AS512" s="48"/>
      <c r="AT512" s="48"/>
      <c r="AU512" s="159"/>
      <c r="AV512" s="48"/>
      <c r="AW512" s="48"/>
      <c r="AX512" s="48"/>
      <c r="AY512" s="48"/>
      <c r="AZ512" s="159"/>
      <c r="BA512" s="48"/>
      <c r="BB512" s="48"/>
      <c r="BC512" s="48"/>
      <c r="BD512" s="48"/>
      <c r="BE512" s="159"/>
      <c r="BF512" s="48"/>
      <c r="BG512" s="48"/>
      <c r="BH512" s="48"/>
      <c r="BI512" s="48"/>
      <c r="BJ512" s="159"/>
      <c r="BK512" s="48"/>
      <c r="BL512" s="48"/>
      <c r="BM512" s="48"/>
      <c r="BN512" s="48"/>
      <c r="BO512" s="160"/>
      <c r="BP512" s="48"/>
      <c r="BQ512" s="48"/>
      <c r="BR512" s="48"/>
      <c r="BS512" s="48"/>
      <c r="BT512" s="159"/>
      <c r="BU512" s="48"/>
      <c r="BV512" s="48"/>
      <c r="BW512" s="48"/>
      <c r="BX512" s="48"/>
      <c r="BY512" s="159"/>
      <c r="BZ512" s="159"/>
      <c r="CA512" s="159"/>
      <c r="CB512" s="159"/>
      <c r="CC512" s="50"/>
    </row>
    <row r="513" s="51" customFormat="true" ht="15" hidden="true" customHeight="true" outlineLevel="1" collapsed="false">
      <c r="A513" s="270" t="s">
        <v>543</v>
      </c>
      <c r="B513" s="254"/>
      <c r="C513" s="159"/>
      <c r="D513" s="255" t="n">
        <v>150</v>
      </c>
      <c r="E513" s="255" t="n">
        <v>-150</v>
      </c>
      <c r="F513" s="159"/>
      <c r="G513" s="159"/>
      <c r="H513" s="48"/>
      <c r="I513" s="48"/>
      <c r="J513" s="48"/>
      <c r="K513" s="48"/>
      <c r="L513" s="159"/>
      <c r="M513" s="48"/>
      <c r="N513" s="48"/>
      <c r="O513" s="48"/>
      <c r="P513" s="48"/>
      <c r="Q513" s="159"/>
      <c r="R513" s="48"/>
      <c r="S513" s="48"/>
      <c r="T513" s="48"/>
      <c r="U513" s="48"/>
      <c r="V513" s="159"/>
      <c r="W513" s="48"/>
      <c r="X513" s="48"/>
      <c r="Y513" s="48"/>
      <c r="Z513" s="48"/>
      <c r="AA513" s="159"/>
      <c r="AB513" s="48"/>
      <c r="AC513" s="48"/>
      <c r="AD513" s="48"/>
      <c r="AE513" s="48"/>
      <c r="AF513" s="159"/>
      <c r="AG513" s="48"/>
      <c r="AH513" s="48"/>
      <c r="AI513" s="48"/>
      <c r="AJ513" s="48"/>
      <c r="AK513" s="159"/>
      <c r="AL513" s="48"/>
      <c r="AM513" s="48"/>
      <c r="AN513" s="48"/>
      <c r="AO513" s="48"/>
      <c r="AP513" s="159"/>
      <c r="AQ513" s="48"/>
      <c r="AR513" s="48"/>
      <c r="AS513" s="48"/>
      <c r="AT513" s="48"/>
      <c r="AU513" s="159"/>
      <c r="AV513" s="48"/>
      <c r="AW513" s="48"/>
      <c r="AX513" s="48"/>
      <c r="AY513" s="48"/>
      <c r="AZ513" s="159"/>
      <c r="BA513" s="48"/>
      <c r="BB513" s="48"/>
      <c r="BC513" s="48"/>
      <c r="BD513" s="48"/>
      <c r="BE513" s="159"/>
      <c r="BF513" s="48"/>
      <c r="BG513" s="48"/>
      <c r="BH513" s="48"/>
      <c r="BI513" s="48"/>
      <c r="BJ513" s="159"/>
      <c r="BK513" s="48"/>
      <c r="BL513" s="48"/>
      <c r="BM513" s="48"/>
      <c r="BN513" s="48"/>
      <c r="BO513" s="160"/>
      <c r="BP513" s="48"/>
      <c r="BQ513" s="48"/>
      <c r="BR513" s="48"/>
      <c r="BS513" s="48"/>
      <c r="BT513" s="159"/>
      <c r="BU513" s="48"/>
      <c r="BV513" s="48"/>
      <c r="BW513" s="48"/>
      <c r="BX513" s="48"/>
      <c r="BY513" s="159"/>
      <c r="BZ513" s="159"/>
      <c r="CA513" s="159"/>
      <c r="CB513" s="159"/>
      <c r="CC513" s="50"/>
    </row>
    <row r="514" s="51" customFormat="true" ht="15" hidden="true" customHeight="true" outlineLevel="1" collapsed="false">
      <c r="A514" s="270" t="s">
        <v>544</v>
      </c>
      <c r="B514" s="254"/>
      <c r="C514" s="255" t="n">
        <v>-1.447</v>
      </c>
      <c r="D514" s="255" t="n">
        <v>-1.444</v>
      </c>
      <c r="E514" s="255" t="n">
        <v>-2.537</v>
      </c>
      <c r="F514" s="255" t="n">
        <v>-2.776</v>
      </c>
      <c r="G514" s="255" t="n">
        <v>-4.1</v>
      </c>
      <c r="H514" s="263" t="n">
        <v>-1.1</v>
      </c>
      <c r="I514" s="263" t="n">
        <v>-2.1</v>
      </c>
      <c r="J514" s="263" t="n">
        <v>-3.3</v>
      </c>
      <c r="K514" s="50" t="n">
        <f aca="false">L514</f>
        <v>-4.128</v>
      </c>
      <c r="L514" s="255" t="n">
        <v>-4.128</v>
      </c>
      <c r="M514" s="263" t="n">
        <v>-0.8</v>
      </c>
      <c r="N514" s="263" t="n">
        <v>-1.5</v>
      </c>
      <c r="O514" s="263" t="n">
        <v>-2.5</v>
      </c>
      <c r="P514" s="50" t="n">
        <f aca="false">Q514</f>
        <v>-3.639</v>
      </c>
      <c r="Q514" s="255" t="n">
        <v>-3.639</v>
      </c>
      <c r="R514" s="263" t="n">
        <v>-1.2</v>
      </c>
      <c r="S514" s="263" t="n">
        <v>-2.4</v>
      </c>
      <c r="T514" s="263" t="n">
        <v>-3.5</v>
      </c>
      <c r="U514" s="50" t="n">
        <f aca="false">V514</f>
        <v>-4.7</v>
      </c>
      <c r="V514" s="255" t="n">
        <v>-4.7</v>
      </c>
      <c r="W514" s="263" t="n">
        <v>-1.2</v>
      </c>
      <c r="X514" s="263" t="n">
        <v>-240.7</v>
      </c>
      <c r="Y514" s="263" t="n">
        <v>-241.9</v>
      </c>
      <c r="Z514" s="50" t="n">
        <f aca="false">AA514</f>
        <v>-243</v>
      </c>
      <c r="AA514" s="255" t="n">
        <v>-243</v>
      </c>
      <c r="AB514" s="263" t="n">
        <v>-0.3</v>
      </c>
      <c r="AC514" s="263" t="n">
        <v>-1.6</v>
      </c>
      <c r="AD514" s="263" t="n">
        <v>-1.8</v>
      </c>
      <c r="AE514" s="50" t="n">
        <f aca="false">AF514</f>
        <v>-2.8</v>
      </c>
      <c r="AF514" s="255" t="n">
        <v>-2.8</v>
      </c>
      <c r="AG514" s="263" t="n">
        <v>-0.7</v>
      </c>
      <c r="AH514" s="263" t="n">
        <v>-1.9</v>
      </c>
      <c r="AI514" s="263" t="n">
        <v>-2.9</v>
      </c>
      <c r="AJ514" s="50" t="n">
        <f aca="false">AK514</f>
        <v>-3.8</v>
      </c>
      <c r="AK514" s="255" t="n">
        <v>-3.8</v>
      </c>
      <c r="AL514" s="263" t="n">
        <v>-0.9</v>
      </c>
      <c r="AM514" s="263" t="n">
        <v>-1.7</v>
      </c>
      <c r="AN514" s="263" t="n">
        <v>-2.6</v>
      </c>
      <c r="AO514" s="50" t="n">
        <f aca="false">AP514</f>
        <v>-3.3</v>
      </c>
      <c r="AP514" s="255" t="n">
        <v>-3.3</v>
      </c>
      <c r="AQ514" s="263" t="n">
        <v>-3.6</v>
      </c>
      <c r="AR514" s="263" t="n">
        <v>-6.8</v>
      </c>
      <c r="AS514" s="263" t="n">
        <v>-9.4</v>
      </c>
      <c r="AT514" s="50" t="n">
        <f aca="false">AU514</f>
        <v>-12</v>
      </c>
      <c r="AU514" s="255" t="n">
        <v>-12</v>
      </c>
      <c r="AV514" s="263" t="n">
        <v>-13.5</v>
      </c>
      <c r="AW514" s="263" t="n">
        <v>-514.2</v>
      </c>
      <c r="AX514" s="263" t="n">
        <v>-515.4</v>
      </c>
      <c r="AY514" s="50" t="n">
        <f aca="false">AZ514</f>
        <v>-516.2</v>
      </c>
      <c r="AZ514" s="255" t="n">
        <v>-516.2</v>
      </c>
      <c r="BA514" s="263" t="n">
        <v>-1.5</v>
      </c>
      <c r="BB514" s="263" t="n">
        <v>-2.2</v>
      </c>
      <c r="BC514" s="263" t="n">
        <v>-752.6</v>
      </c>
      <c r="BD514" s="50" t="n">
        <f aca="false">BE514</f>
        <v>-752.8</v>
      </c>
      <c r="BE514" s="255" t="n">
        <v>-752.8</v>
      </c>
      <c r="BF514" s="263" t="n">
        <v>-0.6</v>
      </c>
      <c r="BG514" s="263" t="n">
        <v>-0.9</v>
      </c>
      <c r="BH514" s="263" t="n">
        <v>-1.6</v>
      </c>
      <c r="BI514" s="50" t="n">
        <f aca="false">BJ514</f>
        <v>-25.7</v>
      </c>
      <c r="BJ514" s="255" t="n">
        <v>-25.7</v>
      </c>
      <c r="BK514" s="263" t="n">
        <v>0.4</v>
      </c>
      <c r="BL514" s="263" t="n">
        <v>-0.2</v>
      </c>
      <c r="BM514" s="263" t="n">
        <v>-0.7</v>
      </c>
      <c r="BN514" s="50" t="n">
        <f aca="false">BO514</f>
        <v>-1066.7</v>
      </c>
      <c r="BO514" s="390" t="n">
        <v>-1066.7</v>
      </c>
      <c r="BP514" s="48"/>
      <c r="BQ514" s="48"/>
      <c r="BR514" s="48"/>
      <c r="BS514" s="48"/>
      <c r="BT514" s="159"/>
      <c r="BU514" s="48"/>
      <c r="BV514" s="48"/>
      <c r="BW514" s="48"/>
      <c r="BX514" s="48"/>
      <c r="BY514" s="159"/>
      <c r="BZ514" s="159"/>
      <c r="CA514" s="159"/>
      <c r="CB514" s="159"/>
      <c r="CC514" s="50"/>
    </row>
    <row r="515" s="51" customFormat="true" ht="15" hidden="true" customHeight="true" outlineLevel="1" collapsed="false">
      <c r="A515" s="226" t="s">
        <v>545</v>
      </c>
      <c r="B515" s="257"/>
      <c r="C515" s="258" t="n">
        <v>1.954</v>
      </c>
      <c r="D515" s="258" t="n">
        <v>0.106</v>
      </c>
      <c r="E515" s="258" t="n">
        <v>-0.011</v>
      </c>
      <c r="F515" s="258" t="n">
        <v>2.116</v>
      </c>
      <c r="G515" s="258" t="n">
        <v>3.11</v>
      </c>
      <c r="H515" s="259"/>
      <c r="I515" s="265" t="n">
        <v>1.9</v>
      </c>
      <c r="J515" s="265" t="n">
        <v>2.8</v>
      </c>
      <c r="K515" s="391" t="n">
        <f aca="false">L515</f>
        <v>3.972</v>
      </c>
      <c r="L515" s="258" t="n">
        <v>3.972</v>
      </c>
      <c r="M515" s="265" t="n">
        <v>1.8</v>
      </c>
      <c r="N515" s="265" t="n">
        <v>2.4</v>
      </c>
      <c r="O515" s="265" t="n">
        <v>2.9</v>
      </c>
      <c r="P515" s="391" t="n">
        <f aca="false">Q515</f>
        <v>3.66</v>
      </c>
      <c r="Q515" s="258" t="n">
        <v>3.66</v>
      </c>
      <c r="R515" s="259"/>
      <c r="S515" s="265" t="n">
        <v>0.1</v>
      </c>
      <c r="T515" s="265" t="n">
        <v>0.6</v>
      </c>
      <c r="U515" s="391" t="n">
        <f aca="false">V515</f>
        <v>0.9</v>
      </c>
      <c r="V515" s="258" t="n">
        <v>0.9</v>
      </c>
      <c r="W515" s="259"/>
      <c r="X515" s="259"/>
      <c r="Y515" s="259"/>
      <c r="Z515" s="391" t="n">
        <f aca="false">AA515</f>
        <v>0</v>
      </c>
      <c r="AA515" s="261"/>
      <c r="AB515" s="259"/>
      <c r="AC515" s="259"/>
      <c r="AD515" s="259"/>
      <c r="AE515" s="391" t="n">
        <f aca="false">AF515</f>
        <v>0</v>
      </c>
      <c r="AF515" s="261"/>
      <c r="AG515" s="259"/>
      <c r="AH515" s="259"/>
      <c r="AI515" s="259"/>
      <c r="AJ515" s="391" t="n">
        <f aca="false">AK515</f>
        <v>0</v>
      </c>
      <c r="AK515" s="261"/>
      <c r="AL515" s="259"/>
      <c r="AM515" s="259"/>
      <c r="AN515" s="259"/>
      <c r="AO515" s="391" t="n">
        <f aca="false">AP515</f>
        <v>0</v>
      </c>
      <c r="AP515" s="261"/>
      <c r="AQ515" s="259"/>
      <c r="AR515" s="259"/>
      <c r="AS515" s="259"/>
      <c r="AT515" s="391" t="n">
        <f aca="false">AU515</f>
        <v>0</v>
      </c>
      <c r="AU515" s="261"/>
      <c r="AV515" s="259"/>
      <c r="AW515" s="259"/>
      <c r="AX515" s="259"/>
      <c r="AY515" s="391" t="n">
        <f aca="false">AZ515</f>
        <v>0</v>
      </c>
      <c r="AZ515" s="261"/>
      <c r="BA515" s="259"/>
      <c r="BB515" s="259"/>
      <c r="BC515" s="259"/>
      <c r="BD515" s="391" t="n">
        <f aca="false">BE515</f>
        <v>0</v>
      </c>
      <c r="BE515" s="261"/>
      <c r="BF515" s="259"/>
      <c r="BG515" s="259"/>
      <c r="BH515" s="259"/>
      <c r="BI515" s="391" t="n">
        <f aca="false">BJ515</f>
        <v>0</v>
      </c>
      <c r="BJ515" s="261"/>
      <c r="BK515" s="259"/>
      <c r="BL515" s="259"/>
      <c r="BM515" s="259"/>
      <c r="BN515" s="391" t="n">
        <f aca="false">BO515</f>
        <v>0</v>
      </c>
      <c r="BO515" s="260"/>
      <c r="BP515" s="259"/>
      <c r="BQ515" s="259"/>
      <c r="BR515" s="259"/>
      <c r="BS515" s="259"/>
      <c r="BT515" s="261"/>
      <c r="BU515" s="259"/>
      <c r="BV515" s="259"/>
      <c r="BW515" s="259"/>
      <c r="BX515" s="259"/>
      <c r="BY515" s="261"/>
      <c r="BZ515" s="261"/>
      <c r="CA515" s="261"/>
      <c r="CB515" s="261"/>
      <c r="CC515" s="50"/>
    </row>
    <row r="516" s="157" customFormat="true" ht="15" hidden="true" customHeight="true" outlineLevel="1" collapsed="false">
      <c r="A516" s="244" t="s">
        <v>546</v>
      </c>
      <c r="B516" s="393"/>
      <c r="C516" s="357" t="n">
        <f aca="false">SUM(C507:C515)</f>
        <v>-74.874</v>
      </c>
      <c r="D516" s="357" t="n">
        <f aca="false">SUM(D507:D515)</f>
        <v>92.702</v>
      </c>
      <c r="E516" s="357" t="n">
        <f aca="false">SUM(E507:E515)</f>
        <v>-991.561</v>
      </c>
      <c r="F516" s="357" t="n">
        <f aca="false">SUM(F507:F515)</f>
        <v>-545.583</v>
      </c>
      <c r="G516" s="357" t="n">
        <f aca="false">SUM(G507:G515)</f>
        <v>-113.111</v>
      </c>
      <c r="H516" s="394" t="n">
        <f aca="false">SUM(H507:H515)</f>
        <v>-140.6</v>
      </c>
      <c r="I516" s="394" t="n">
        <f aca="false">SUM(I507:I515)</f>
        <v>-554.5</v>
      </c>
      <c r="J516" s="394" t="n">
        <f aca="false">SUM(J507:J515)</f>
        <v>-715.3</v>
      </c>
      <c r="K516" s="394" t="n">
        <f aca="false">SUM(K507:K515)</f>
        <v>-928.439</v>
      </c>
      <c r="L516" s="357" t="n">
        <f aca="false">SUM(L507:L515)</f>
        <v>-928.439</v>
      </c>
      <c r="M516" s="394" t="n">
        <f aca="false">SUM(M507:M515)</f>
        <v>-111.7</v>
      </c>
      <c r="N516" s="394" t="n">
        <f aca="false">SUM(N507:N515)</f>
        <v>-569.6</v>
      </c>
      <c r="O516" s="394" t="n">
        <f aca="false">SUM(O507:O515)</f>
        <v>-702.6</v>
      </c>
      <c r="P516" s="394" t="n">
        <f aca="false">SUM(P507:P515)</f>
        <v>-833.946</v>
      </c>
      <c r="Q516" s="357" t="n">
        <f aca="false">SUM(Q507:Q515)</f>
        <v>-833.946</v>
      </c>
      <c r="R516" s="394" t="n">
        <f aca="false">SUM(R507:R515)</f>
        <v>-204.1</v>
      </c>
      <c r="S516" s="394" t="n">
        <f aca="false">SUM(S507:S515)</f>
        <v>-810.9</v>
      </c>
      <c r="T516" s="394" t="n">
        <f aca="false">SUM(T507:T515)</f>
        <v>670.3</v>
      </c>
      <c r="U516" s="394" t="n">
        <f aca="false">SUM(U507:U515)</f>
        <v>1963.6</v>
      </c>
      <c r="V516" s="357" t="n">
        <f aca="false">SUM(V507:V515)</f>
        <v>1963.6</v>
      </c>
      <c r="W516" s="394" t="n">
        <f aca="false">SUM(W507:W515)</f>
        <v>11.8</v>
      </c>
      <c r="X516" s="394" t="n">
        <f aca="false">SUM(X507:X515)</f>
        <v>-732.5</v>
      </c>
      <c r="Y516" s="394" t="n">
        <f aca="false">SUM(Y507:Y515)</f>
        <v>-886.5</v>
      </c>
      <c r="Z516" s="394" t="n">
        <f aca="false">SUM(Z507:Z515)</f>
        <v>-1209.1</v>
      </c>
      <c r="AA516" s="357" t="n">
        <f aca="false">SUM(AA507:AA515)</f>
        <v>-1209.1</v>
      </c>
      <c r="AB516" s="394" t="n">
        <f aca="false">SUM(AB507:AB515)</f>
        <v>-160.2</v>
      </c>
      <c r="AC516" s="394" t="n">
        <f aca="false">SUM(AC507:AC515)</f>
        <v>-1005.4</v>
      </c>
      <c r="AD516" s="394" t="n">
        <f aca="false">SUM(AD507:AD515)</f>
        <v>-1371.3</v>
      </c>
      <c r="AE516" s="394" t="n">
        <f aca="false">SUM(AE507:AE515)</f>
        <v>-1724.3</v>
      </c>
      <c r="AF516" s="357" t="n">
        <f aca="false">SUM(AF507:AF515)</f>
        <v>-1724.3</v>
      </c>
      <c r="AG516" s="394" t="n">
        <f aca="false">SUM(AG507:AG515)</f>
        <v>-48.1</v>
      </c>
      <c r="AH516" s="394" t="n">
        <f aca="false">SUM(AH507:AH515)</f>
        <v>-943.7</v>
      </c>
      <c r="AI516" s="394" t="n">
        <f aca="false">SUM(AI507:AI515)</f>
        <v>-1085.7</v>
      </c>
      <c r="AJ516" s="394" t="n">
        <f aca="false">SUM(AJ507:AJ515)</f>
        <v>-1712.3</v>
      </c>
      <c r="AK516" s="357" t="n">
        <f aca="false">SUM(AK507:AK515)</f>
        <v>-1712.3</v>
      </c>
      <c r="AL516" s="394" t="n">
        <f aca="false">SUM(AL507:AL515)</f>
        <v>240</v>
      </c>
      <c r="AM516" s="394" t="n">
        <f aca="false">SUM(AM507:AM515)</f>
        <v>431.9</v>
      </c>
      <c r="AN516" s="394" t="n">
        <f aca="false">SUM(AN507:AN515)</f>
        <v>441.4</v>
      </c>
      <c r="AO516" s="394" t="n">
        <f aca="false">SUM(AO507:AO515)</f>
        <v>-753</v>
      </c>
      <c r="AP516" s="357" t="n">
        <f aca="false">SUM(AP507:AP515)</f>
        <v>-753</v>
      </c>
      <c r="AQ516" s="394" t="n">
        <f aca="false">SUM(AQ507:AQ515)</f>
        <v>-1560.2</v>
      </c>
      <c r="AR516" s="394" t="n">
        <f aca="false">SUM(AR507:AR515)</f>
        <v>-4172.8</v>
      </c>
      <c r="AS516" s="394" t="n">
        <f aca="false">SUM(AS507:AS515)</f>
        <v>-6564.7</v>
      </c>
      <c r="AT516" s="394" t="n">
        <f aca="false">SUM(AT507:AT515)</f>
        <v>-9891.7</v>
      </c>
      <c r="AU516" s="357" t="n">
        <f aca="false">SUM(AU507:AU515)</f>
        <v>-9891.7</v>
      </c>
      <c r="AV516" s="394" t="n">
        <f aca="false">SUM(AV507:AV515)</f>
        <v>-2030.2</v>
      </c>
      <c r="AW516" s="394" t="n">
        <f aca="false">SUM(AW507:AW515)</f>
        <v>-4667.6</v>
      </c>
      <c r="AX516" s="394" t="n">
        <f aca="false">SUM(AX507:AX515)</f>
        <v>-6280.3</v>
      </c>
      <c r="AY516" s="394" t="n">
        <f aca="false">SUM(AY507:AY515)</f>
        <v>-7138.3</v>
      </c>
      <c r="AZ516" s="357" t="n">
        <f aca="false">SUM(AZ507:AZ515)</f>
        <v>-7138.3</v>
      </c>
      <c r="BA516" s="394" t="n">
        <f aca="false">SUM(BA507:BA515)</f>
        <v>-916.1</v>
      </c>
      <c r="BB516" s="394" t="n">
        <f aca="false">SUM(BB507:BB515)</f>
        <v>-1052.6</v>
      </c>
      <c r="BC516" s="394" t="n">
        <f aca="false">SUM(BC507:BC515)</f>
        <v>-2458.8</v>
      </c>
      <c r="BD516" s="394" t="n">
        <f aca="false">SUM(BD507:BD515)</f>
        <v>-3003.9</v>
      </c>
      <c r="BE516" s="357" t="n">
        <f aca="false">SUM(BE507:BE515)</f>
        <v>-3003.9</v>
      </c>
      <c r="BF516" s="394" t="n">
        <f aca="false">SUM(BF507:BF515)</f>
        <v>-927.4</v>
      </c>
      <c r="BG516" s="394" t="n">
        <f aca="false">SUM(BG507:BG515)</f>
        <v>-1699.7</v>
      </c>
      <c r="BH516" s="394" t="n">
        <f aca="false">SUM(BH507:BH515)</f>
        <v>-2264.7</v>
      </c>
      <c r="BI516" s="394" t="n">
        <f aca="false">SUM(BI507:BI515)</f>
        <v>-2832.1</v>
      </c>
      <c r="BJ516" s="357" t="n">
        <f aca="false">SUM(BJ507:BJ515)</f>
        <v>-2832.1</v>
      </c>
      <c r="BK516" s="394" t="n">
        <f aca="false">SUM(BK507:BK515)</f>
        <v>-3151.4</v>
      </c>
      <c r="BL516" s="394" t="n">
        <f aca="false">SUM(BL507:BL515)</f>
        <v>-5315.2</v>
      </c>
      <c r="BM516" s="394" t="n">
        <f aca="false">SUM(BM507:BM515)</f>
        <v>-6057.2</v>
      </c>
      <c r="BN516" s="394" t="n">
        <f aca="false">SUM(BN507:BN515)</f>
        <v>-8670.5</v>
      </c>
      <c r="BO516" s="395" t="n">
        <f aca="false">SUM(BO507:BO515)</f>
        <v>-8670.5</v>
      </c>
      <c r="BP516" s="163"/>
      <c r="BQ516" s="163"/>
      <c r="BR516" s="163"/>
      <c r="BS516" s="163"/>
      <c r="BT516" s="162"/>
      <c r="BU516" s="163"/>
      <c r="BV516" s="163"/>
      <c r="BW516" s="163"/>
      <c r="BX516" s="163"/>
      <c r="BY516" s="162"/>
      <c r="BZ516" s="162"/>
      <c r="CA516" s="162"/>
      <c r="CB516" s="162"/>
      <c r="CC516" s="156"/>
    </row>
    <row r="517" s="115" customFormat="true" ht="15" hidden="true" customHeight="true" outlineLevel="1" collapsed="false">
      <c r="A517" s="123"/>
      <c r="B517" s="557"/>
      <c r="C517" s="558"/>
      <c r="D517" s="558"/>
      <c r="E517" s="558"/>
      <c r="F517" s="558"/>
      <c r="G517" s="558"/>
      <c r="H517" s="559"/>
      <c r="I517" s="559"/>
      <c r="J517" s="559"/>
      <c r="K517" s="559"/>
      <c r="L517" s="558"/>
      <c r="M517" s="559"/>
      <c r="N517" s="559"/>
      <c r="O517" s="559"/>
      <c r="P517" s="559"/>
      <c r="Q517" s="558"/>
      <c r="R517" s="559"/>
      <c r="S517" s="559"/>
      <c r="T517" s="559"/>
      <c r="U517" s="559"/>
      <c r="V517" s="558"/>
      <c r="W517" s="559"/>
      <c r="X517" s="559"/>
      <c r="Y517" s="559"/>
      <c r="Z517" s="559"/>
      <c r="AA517" s="558"/>
      <c r="AB517" s="559"/>
      <c r="AC517" s="559"/>
      <c r="AD517" s="559"/>
      <c r="AE517" s="559"/>
      <c r="AF517" s="558"/>
      <c r="AG517" s="559"/>
      <c r="AH517" s="559"/>
      <c r="AI517" s="559"/>
      <c r="AJ517" s="559"/>
      <c r="AK517" s="558"/>
      <c r="AL517" s="559"/>
      <c r="AM517" s="559"/>
      <c r="AN517" s="559"/>
      <c r="AO517" s="559"/>
      <c r="AP517" s="558"/>
      <c r="AQ517" s="559"/>
      <c r="AR517" s="559"/>
      <c r="AS517" s="559"/>
      <c r="AT517" s="559"/>
      <c r="AU517" s="558"/>
      <c r="AV517" s="559"/>
      <c r="AW517" s="559"/>
      <c r="AX517" s="559"/>
      <c r="AY517" s="559"/>
      <c r="AZ517" s="558"/>
      <c r="BA517" s="559"/>
      <c r="BB517" s="559"/>
      <c r="BC517" s="559"/>
      <c r="BD517" s="559"/>
      <c r="BE517" s="558"/>
      <c r="BF517" s="559"/>
      <c r="BG517" s="559"/>
      <c r="BH517" s="559"/>
      <c r="BI517" s="559"/>
      <c r="BJ517" s="558"/>
      <c r="BK517" s="559"/>
      <c r="BL517" s="559"/>
      <c r="BM517" s="559"/>
      <c r="BN517" s="559"/>
      <c r="BO517" s="560"/>
      <c r="BP517" s="559"/>
      <c r="BQ517" s="559"/>
      <c r="BR517" s="559"/>
      <c r="BS517" s="559"/>
      <c r="BT517" s="558"/>
      <c r="BU517" s="559"/>
      <c r="BV517" s="559"/>
      <c r="BW517" s="559"/>
      <c r="BX517" s="559"/>
      <c r="BY517" s="558"/>
      <c r="BZ517" s="558"/>
      <c r="CA517" s="558"/>
      <c r="CB517" s="558"/>
      <c r="CC517" s="114"/>
    </row>
    <row r="518" s="51" customFormat="true" ht="15" hidden="true" customHeight="true" outlineLevel="1" collapsed="false">
      <c r="A518" s="239" t="s">
        <v>547</v>
      </c>
      <c r="B518" s="254"/>
      <c r="C518" s="255" t="n">
        <v>1.652</v>
      </c>
      <c r="D518" s="255" t="n">
        <v>4.913</v>
      </c>
      <c r="E518" s="255" t="n">
        <v>3.967</v>
      </c>
      <c r="F518" s="255" t="n">
        <v>-2.248</v>
      </c>
      <c r="G518" s="255" t="n">
        <v>-9.623</v>
      </c>
      <c r="H518" s="263" t="n">
        <v>-0.1</v>
      </c>
      <c r="I518" s="263" t="n">
        <v>1.9</v>
      </c>
      <c r="J518" s="263" t="n">
        <v>6.6</v>
      </c>
      <c r="K518" s="50" t="n">
        <f aca="false">L518</f>
        <v>8.238</v>
      </c>
      <c r="L518" s="255" t="n">
        <v>8.238</v>
      </c>
      <c r="M518" s="263" t="n">
        <v>9.3</v>
      </c>
      <c r="N518" s="263" t="n">
        <v>7.1</v>
      </c>
      <c r="O518" s="263" t="n">
        <v>5.5</v>
      </c>
      <c r="P518" s="50" t="n">
        <f aca="false">Q518</f>
        <v>7.509</v>
      </c>
      <c r="Q518" s="255" t="n">
        <v>7.509</v>
      </c>
      <c r="R518" s="263" t="n">
        <v>-2.7</v>
      </c>
      <c r="S518" s="263" t="n">
        <v>9.2</v>
      </c>
      <c r="T518" s="263" t="n">
        <v>2.1</v>
      </c>
      <c r="U518" s="50" t="n">
        <f aca="false">V518</f>
        <v>7.1</v>
      </c>
      <c r="V518" s="255" t="n">
        <v>7.1</v>
      </c>
      <c r="W518" s="263" t="n">
        <v>9.8</v>
      </c>
      <c r="X518" s="263" t="n">
        <v>-17.7</v>
      </c>
      <c r="Y518" s="263" t="n">
        <v>-28.7</v>
      </c>
      <c r="Z518" s="50" t="n">
        <f aca="false">AA518</f>
        <v>-28.1</v>
      </c>
      <c r="AA518" s="255" t="n">
        <v>-28.1</v>
      </c>
      <c r="AB518" s="263" t="n">
        <v>-7.2</v>
      </c>
      <c r="AC518" s="263" t="n">
        <v>1.7</v>
      </c>
      <c r="AD518" s="263" t="n">
        <v>-2.3</v>
      </c>
      <c r="AE518" s="50" t="n">
        <f aca="false">AF518</f>
        <v>5.2</v>
      </c>
      <c r="AF518" s="255" t="n">
        <v>5.2</v>
      </c>
      <c r="AG518" s="263" t="n">
        <v>3.2</v>
      </c>
      <c r="AH518" s="263" t="n">
        <v>-1.2</v>
      </c>
      <c r="AI518" s="263" t="n">
        <v>3.7</v>
      </c>
      <c r="AJ518" s="50" t="n">
        <f aca="false">AK518</f>
        <v>4.6</v>
      </c>
      <c r="AK518" s="255" t="n">
        <v>4.6</v>
      </c>
      <c r="AL518" s="263" t="n">
        <v>1.5</v>
      </c>
      <c r="AM518" s="263" t="n">
        <v>-1.7</v>
      </c>
      <c r="AN518" s="263" t="n">
        <v>-3.3</v>
      </c>
      <c r="AO518" s="50" t="n">
        <f aca="false">AP518</f>
        <v>-5.3</v>
      </c>
      <c r="AP518" s="255" t="n">
        <v>-5.3</v>
      </c>
      <c r="AQ518" s="263" t="n">
        <v>3</v>
      </c>
      <c r="AR518" s="263" t="n">
        <v>-0.9</v>
      </c>
      <c r="AS518" s="263" t="n">
        <v>1.1</v>
      </c>
      <c r="AT518" s="50" t="n">
        <f aca="false">AU518</f>
        <v>20.3</v>
      </c>
      <c r="AU518" s="255" t="n">
        <v>20.3</v>
      </c>
      <c r="AV518" s="263" t="n">
        <v>0.3</v>
      </c>
      <c r="AW518" s="263" t="n">
        <v>1.5</v>
      </c>
      <c r="AX518" s="263" t="n">
        <v>9.9</v>
      </c>
      <c r="AY518" s="50" t="n">
        <f aca="false">AZ518</f>
        <v>-3.1</v>
      </c>
      <c r="AZ518" s="255" t="n">
        <v>-3.1</v>
      </c>
      <c r="BA518" s="263" t="n">
        <v>-1.6</v>
      </c>
      <c r="BB518" s="263" t="n">
        <v>-11.3</v>
      </c>
      <c r="BC518" s="263" t="n">
        <v>-8</v>
      </c>
      <c r="BD518" s="50" t="n">
        <f aca="false">BE518</f>
        <v>-13.8</v>
      </c>
      <c r="BE518" s="255" t="n">
        <v>-13.8</v>
      </c>
      <c r="BF518" s="263" t="n">
        <v>-1</v>
      </c>
      <c r="BG518" s="263" t="n">
        <v>-1.5</v>
      </c>
      <c r="BH518" s="263" t="n">
        <v>-5.7</v>
      </c>
      <c r="BI518" s="50" t="n">
        <f aca="false">BJ518</f>
        <v>6.4</v>
      </c>
      <c r="BJ518" s="255" t="n">
        <v>6.4</v>
      </c>
      <c r="BK518" s="263" t="n">
        <v>-11.8</v>
      </c>
      <c r="BL518" s="263" t="n">
        <v>-22.6</v>
      </c>
      <c r="BM518" s="263" t="n">
        <v>-28.9</v>
      </c>
      <c r="BN518" s="50" t="n">
        <f aca="false">BO518</f>
        <v>-30.1</v>
      </c>
      <c r="BO518" s="390" t="n">
        <v>-30.1</v>
      </c>
      <c r="BP518" s="48"/>
      <c r="BQ518" s="48"/>
      <c r="BR518" s="48"/>
      <c r="BS518" s="48"/>
      <c r="BT518" s="159"/>
      <c r="BU518" s="48"/>
      <c r="BV518" s="48"/>
      <c r="BW518" s="48"/>
      <c r="BX518" s="48"/>
      <c r="BY518" s="159"/>
      <c r="BZ518" s="159"/>
      <c r="CA518" s="159"/>
      <c r="CB518" s="159"/>
      <c r="CC518" s="50"/>
    </row>
    <row r="519" s="157" customFormat="true" ht="15" hidden="true" customHeight="true" outlineLevel="1" collapsed="false">
      <c r="A519" s="221" t="s">
        <v>548</v>
      </c>
      <c r="B519" s="266"/>
      <c r="C519" s="399" t="n">
        <f aca="false">C516+C504+C490+C518</f>
        <v>-72.1100000000001</v>
      </c>
      <c r="D519" s="399" t="n">
        <f aca="false">D516+D504+D490+D518</f>
        <v>912.76</v>
      </c>
      <c r="E519" s="399" t="n">
        <f aca="false">E516+E504+E490+E518</f>
        <v>781.948</v>
      </c>
      <c r="F519" s="399" t="n">
        <f aca="false">F516+F504+F490+F518</f>
        <v>-964.186</v>
      </c>
      <c r="G519" s="399" t="n">
        <f aca="false">G516+G504+G490+G518</f>
        <v>563.098</v>
      </c>
      <c r="H519" s="156" t="n">
        <f aca="false">H516+H504+H490+H518</f>
        <v>67.4</v>
      </c>
      <c r="I519" s="156" t="n">
        <f aca="false">I516+I504+I490+I518</f>
        <v>-219.7</v>
      </c>
      <c r="J519" s="156" t="n">
        <f aca="false">J516+J504+J490+J518</f>
        <v>-185.9</v>
      </c>
      <c r="K519" s="156" t="n">
        <f aca="false">K516+K504+K490+K518</f>
        <v>88.7930000000002</v>
      </c>
      <c r="L519" s="399" t="n">
        <f aca="false">L516+L504+L490+L518</f>
        <v>88.7930000000002</v>
      </c>
      <c r="M519" s="156" t="n">
        <f aca="false">M516+M504+M490+M518</f>
        <v>359</v>
      </c>
      <c r="N519" s="156" t="n">
        <f aca="false">N516+N504+N490+N518</f>
        <v>75.5</v>
      </c>
      <c r="O519" s="156" t="n">
        <f aca="false">O516+O504+O490+O518</f>
        <v>261.4</v>
      </c>
      <c r="P519" s="156" t="n">
        <f aca="false">P516+P504+P490+P518</f>
        <v>39.2300000000002</v>
      </c>
      <c r="Q519" s="399" t="n">
        <f aca="false">Q516+Q504+Q490+Q518</f>
        <v>39.2300000000002</v>
      </c>
      <c r="R519" s="156" t="n">
        <f aca="false">R516+R504+R490+R518</f>
        <v>-395.3</v>
      </c>
      <c r="S519" s="156" t="n">
        <f aca="false">S516+S504+S490+S518</f>
        <v>-532.6</v>
      </c>
      <c r="T519" s="156" t="n">
        <f aca="false">T516+T504+T490+T518</f>
        <v>454.3</v>
      </c>
      <c r="U519" s="156" t="n">
        <f aca="false">U516+U504+U490+U518</f>
        <v>448.2</v>
      </c>
      <c r="V519" s="399" t="n">
        <f aca="false">V516+V504+V490+V518</f>
        <v>448.2</v>
      </c>
      <c r="W519" s="156" t="n">
        <f aca="false">W516+W504+W490+W518</f>
        <v>3.70000000000004</v>
      </c>
      <c r="X519" s="156" t="n">
        <f aca="false">X516+X504+X490+X518</f>
        <v>-992.7</v>
      </c>
      <c r="Y519" s="156" t="n">
        <f aca="false">Y516+Y504+Y490+Y518</f>
        <v>-829.3</v>
      </c>
      <c r="Z519" s="156" t="n">
        <f aca="false">Z516+Z504+Z490+Z518</f>
        <v>-647.9</v>
      </c>
      <c r="AA519" s="399" t="n">
        <f aca="false">AA516+AA504+AA490+AA518</f>
        <v>-647.9</v>
      </c>
      <c r="AB519" s="156" t="n">
        <f aca="false">AB516+AB504+AB490+AB518</f>
        <v>205.8</v>
      </c>
      <c r="AC519" s="156" t="n">
        <f aca="false">AC516+AC504+AC490+AC518</f>
        <v>66.6999999999998</v>
      </c>
      <c r="AD519" s="156" t="n">
        <f aca="false">AD516+AD504+AD490+AD518</f>
        <v>-55.8000000000002</v>
      </c>
      <c r="AE519" s="156" t="n">
        <f aca="false">AE516+AE504+AE490+AE518</f>
        <v>862.1</v>
      </c>
      <c r="AF519" s="399" t="n">
        <f aca="false">AF516+AF504+AF490+AF518</f>
        <v>862.1</v>
      </c>
      <c r="AG519" s="156" t="n">
        <f aca="false">AG516+AG504+AG490+AG518</f>
        <v>-868.1</v>
      </c>
      <c r="AH519" s="156" t="n">
        <f aca="false">AH516+AH504+AH490+AH518</f>
        <v>-1460</v>
      </c>
      <c r="AI519" s="156" t="n">
        <f aca="false">AI516+AI504+AI490+AI518</f>
        <v>-1535</v>
      </c>
      <c r="AJ519" s="156" t="n">
        <f aca="false">AJ516+AJ504+AJ490+AJ518</f>
        <v>411.2</v>
      </c>
      <c r="AK519" s="399" t="n">
        <f aca="false">AK516+AK504+AK490+AK518</f>
        <v>411.2</v>
      </c>
      <c r="AL519" s="156" t="n">
        <f aca="false">AL516+AL504+AL490+AL518</f>
        <v>-808.6</v>
      </c>
      <c r="AM519" s="156" t="n">
        <f aca="false">AM516+AM504+AM490+AM518</f>
        <v>-33.2000000000001</v>
      </c>
      <c r="AN519" s="156" t="n">
        <f aca="false">AN516+AN504+AN490+AN518</f>
        <v>-0.800000000000341</v>
      </c>
      <c r="AO519" s="156" t="n">
        <f aca="false">AO516+AO504+AO490+AO518</f>
        <v>2517.1</v>
      </c>
      <c r="AP519" s="399" t="n">
        <f aca="false">AP516+AP504+AP490+AP518</f>
        <v>2517.1</v>
      </c>
      <c r="AQ519" s="156" t="n">
        <f aca="false">AQ516+AQ504+AQ490+AQ518</f>
        <v>-2805.6</v>
      </c>
      <c r="AR519" s="156" t="n">
        <f aca="false">AR516+AR504+AR490+AR518</f>
        <v>-862.800000000001</v>
      </c>
      <c r="AS519" s="156" t="n">
        <f aca="false">AS516+AS504+AS490+AS518</f>
        <v>-1730.7</v>
      </c>
      <c r="AT519" s="156" t="n">
        <f aca="false">AT516+AT504+AT490+AT518</f>
        <v>902.4</v>
      </c>
      <c r="AU519" s="399" t="n">
        <f aca="false">AU516+AU504+AU490+AU518</f>
        <v>902.4</v>
      </c>
      <c r="AV519" s="156" t="n">
        <f aca="false">AV516+AV504+AV490+AV518</f>
        <v>-2627.7</v>
      </c>
      <c r="AW519" s="156" t="n">
        <f aca="false">AW516+AW504+AW490+AW518</f>
        <v>-2855.3</v>
      </c>
      <c r="AX519" s="156" t="n">
        <f aca="false">AX516+AX504+AX490+AX518</f>
        <v>-3799</v>
      </c>
      <c r="AY519" s="156" t="n">
        <f aca="false">AY516+AY504+AY490+AY518</f>
        <v>316.499999999999</v>
      </c>
      <c r="AZ519" s="399" t="n">
        <f aca="false">AZ516+AZ504+AZ490+AZ518</f>
        <v>316.499999999999</v>
      </c>
      <c r="BA519" s="156" t="n">
        <f aca="false">BA516+BA504+BA490+BA518</f>
        <v>-620.6</v>
      </c>
      <c r="BB519" s="156" t="n">
        <f aca="false">BB516+BB504+BB490+BB518</f>
        <v>-927</v>
      </c>
      <c r="BC519" s="156" t="n">
        <f aca="false">BC516+BC504+BC490+BC518</f>
        <v>-2292.8</v>
      </c>
      <c r="BD519" s="156" t="n">
        <f aca="false">BD516+BD504+BD490+BD518</f>
        <v>-263.6</v>
      </c>
      <c r="BE519" s="399" t="n">
        <f aca="false">BE516+BE504+BE490+BE518</f>
        <v>-263.6</v>
      </c>
      <c r="BF519" s="156" t="n">
        <f aca="false">BF516+BF504+BF490+BF518</f>
        <v>-1903.9</v>
      </c>
      <c r="BG519" s="156" t="n">
        <f aca="false">BG516+BG504+BG490+BG518</f>
        <v>-2191.1</v>
      </c>
      <c r="BH519" s="156" t="n">
        <f aca="false">BH516+BH504+BH490+BH518</f>
        <v>-2025.4</v>
      </c>
      <c r="BI519" s="156" t="n">
        <f aca="false">BI516+BI504+BI490+BI518</f>
        <v>5731.2</v>
      </c>
      <c r="BJ519" s="399" t="n">
        <f aca="false">BJ516+BJ504+BJ490+BJ518</f>
        <v>5731.2</v>
      </c>
      <c r="BK519" s="156" t="n">
        <f aca="false">BK516+BK504+BK490+BK518</f>
        <v>-3637.5</v>
      </c>
      <c r="BL519" s="156" t="n">
        <f aca="false">BL516+BL504+BL490+BL518</f>
        <v>-5492.4</v>
      </c>
      <c r="BM519" s="156" t="n">
        <f aca="false">BM516+BM504+BM490+BM518</f>
        <v>-7609.4</v>
      </c>
      <c r="BN519" s="156" t="n">
        <f aca="false">BN516+BN504+BN490+BN518</f>
        <v>180.100000000001</v>
      </c>
      <c r="BO519" s="400" t="n">
        <f aca="false">BO516+BO504+BO490+BO518</f>
        <v>180.100000000001</v>
      </c>
      <c r="BP519" s="268"/>
      <c r="BQ519" s="268"/>
      <c r="BR519" s="268"/>
      <c r="BS519" s="268"/>
      <c r="BT519" s="267"/>
      <c r="BU519" s="268"/>
      <c r="BV519" s="268"/>
      <c r="BW519" s="268"/>
      <c r="BX519" s="268"/>
      <c r="BY519" s="267"/>
      <c r="BZ519" s="267"/>
      <c r="CA519" s="267"/>
      <c r="CB519" s="267"/>
      <c r="CC519" s="156"/>
    </row>
    <row r="520" s="115" customFormat="true" ht="15" hidden="true" customHeight="true" outlineLevel="1" collapsed="false">
      <c r="A520" s="123"/>
      <c r="B520" s="557"/>
      <c r="C520" s="558"/>
      <c r="D520" s="558"/>
      <c r="E520" s="558"/>
      <c r="F520" s="558"/>
      <c r="G520" s="558"/>
      <c r="H520" s="559"/>
      <c r="I520" s="559"/>
      <c r="J520" s="559"/>
      <c r="K520" s="559"/>
      <c r="L520" s="558"/>
      <c r="M520" s="559"/>
      <c r="N520" s="559"/>
      <c r="O520" s="559"/>
      <c r="P520" s="559"/>
      <c r="Q520" s="558"/>
      <c r="R520" s="559"/>
      <c r="S520" s="559"/>
      <c r="T520" s="559"/>
      <c r="U520" s="559"/>
      <c r="V520" s="558"/>
      <c r="W520" s="559"/>
      <c r="X520" s="559"/>
      <c r="Y520" s="559"/>
      <c r="Z520" s="559"/>
      <c r="AA520" s="558"/>
      <c r="AB520" s="559"/>
      <c r="AC520" s="559"/>
      <c r="AD520" s="559"/>
      <c r="AE520" s="559"/>
      <c r="AF520" s="558"/>
      <c r="AG520" s="559"/>
      <c r="AH520" s="559"/>
      <c r="AI520" s="559"/>
      <c r="AJ520" s="559"/>
      <c r="AK520" s="558"/>
      <c r="AL520" s="559"/>
      <c r="AM520" s="559"/>
      <c r="AN520" s="559"/>
      <c r="AO520" s="559"/>
      <c r="AP520" s="558"/>
      <c r="AQ520" s="559"/>
      <c r="AR520" s="559"/>
      <c r="AS520" s="559"/>
      <c r="AT520" s="559"/>
      <c r="AU520" s="558"/>
      <c r="AV520" s="559"/>
      <c r="AW520" s="559"/>
      <c r="AX520" s="559"/>
      <c r="AY520" s="559"/>
      <c r="AZ520" s="558"/>
      <c r="BA520" s="559"/>
      <c r="BB520" s="559"/>
      <c r="BC520" s="559"/>
      <c r="BD520" s="559"/>
      <c r="BE520" s="558"/>
      <c r="BF520" s="559"/>
      <c r="BG520" s="559"/>
      <c r="BH520" s="559"/>
      <c r="BI520" s="559"/>
      <c r="BJ520" s="558"/>
      <c r="BK520" s="559"/>
      <c r="BL520" s="559"/>
      <c r="BM520" s="559"/>
      <c r="BN520" s="559"/>
      <c r="BO520" s="560"/>
      <c r="BP520" s="559"/>
      <c r="BQ520" s="559"/>
      <c r="BR520" s="559"/>
      <c r="BS520" s="559"/>
      <c r="BT520" s="558"/>
      <c r="BU520" s="559"/>
      <c r="BV520" s="559"/>
      <c r="BW520" s="559"/>
      <c r="BX520" s="559"/>
      <c r="BY520" s="558"/>
      <c r="BZ520" s="558"/>
      <c r="CA520" s="558"/>
      <c r="CB520" s="558"/>
      <c r="CC520" s="114"/>
    </row>
    <row r="521" s="157" customFormat="true" ht="15" hidden="true" customHeight="true" outlineLevel="1" collapsed="false">
      <c r="A521" s="221" t="s">
        <v>549</v>
      </c>
      <c r="B521" s="266"/>
      <c r="C521" s="482" t="n">
        <v>1109.184</v>
      </c>
      <c r="D521" s="399" t="n">
        <f aca="false">C522</f>
        <v>1037.074</v>
      </c>
      <c r="E521" s="399" t="n">
        <f aca="false">D522</f>
        <v>1949.834</v>
      </c>
      <c r="F521" s="399" t="n">
        <f aca="false">E522</f>
        <v>2731.782</v>
      </c>
      <c r="G521" s="399" t="n">
        <f aca="false">F522</f>
        <v>1767.596</v>
      </c>
      <c r="H521" s="156" t="n">
        <f aca="false">ROUND(G522,1)</f>
        <v>2330.7</v>
      </c>
      <c r="I521" s="156" t="n">
        <f aca="false">H521</f>
        <v>2330.7</v>
      </c>
      <c r="J521" s="156" t="n">
        <f aca="false">I521</f>
        <v>2330.7</v>
      </c>
      <c r="K521" s="156" t="n">
        <f aca="false">J521-H521+G522</f>
        <v>2330.694</v>
      </c>
      <c r="L521" s="399" t="n">
        <f aca="false">K521</f>
        <v>2330.694</v>
      </c>
      <c r="M521" s="156" t="n">
        <f aca="false">ROUND(L522,1)</f>
        <v>2419.5</v>
      </c>
      <c r="N521" s="156" t="n">
        <f aca="false">M521</f>
        <v>2419.5</v>
      </c>
      <c r="O521" s="156" t="n">
        <f aca="false">N521</f>
        <v>2419.5</v>
      </c>
      <c r="P521" s="156" t="n">
        <f aca="false">O521-M521+L522</f>
        <v>2419.487</v>
      </c>
      <c r="Q521" s="399" t="n">
        <f aca="false">P521</f>
        <v>2419.487</v>
      </c>
      <c r="R521" s="156" t="n">
        <f aca="false">ROUND(Q522,1)</f>
        <v>2458.7</v>
      </c>
      <c r="S521" s="156" t="n">
        <f aca="false">R521</f>
        <v>2458.7</v>
      </c>
      <c r="T521" s="156" t="n">
        <f aca="false">S521</f>
        <v>2458.7</v>
      </c>
      <c r="U521" s="156" t="n">
        <f aca="false">T521</f>
        <v>2458.7</v>
      </c>
      <c r="V521" s="399" t="n">
        <f aca="false">U521</f>
        <v>2458.7</v>
      </c>
      <c r="W521" s="156" t="n">
        <f aca="false">V522</f>
        <v>2906.9</v>
      </c>
      <c r="X521" s="156" t="n">
        <f aca="false">W521</f>
        <v>2906.9</v>
      </c>
      <c r="Y521" s="156" t="n">
        <f aca="false">X521</f>
        <v>2906.9</v>
      </c>
      <c r="Z521" s="156" t="n">
        <f aca="false">Y521-W521+V522</f>
        <v>2906.9</v>
      </c>
      <c r="AA521" s="399" t="n">
        <f aca="false">Z521</f>
        <v>2906.9</v>
      </c>
      <c r="AB521" s="156" t="n">
        <f aca="false">AA522</f>
        <v>2259</v>
      </c>
      <c r="AC521" s="156" t="n">
        <f aca="false">AB521</f>
        <v>2259</v>
      </c>
      <c r="AD521" s="156" t="n">
        <f aca="false">AC521</f>
        <v>2259</v>
      </c>
      <c r="AE521" s="156" t="n">
        <f aca="false">AD521-AB521+AA522</f>
        <v>2259</v>
      </c>
      <c r="AF521" s="399" t="n">
        <f aca="false">AE521</f>
        <v>2259</v>
      </c>
      <c r="AG521" s="156" t="n">
        <f aca="false">AF522</f>
        <v>3121.1</v>
      </c>
      <c r="AH521" s="156" t="n">
        <f aca="false">AG521</f>
        <v>3121.1</v>
      </c>
      <c r="AI521" s="156" t="n">
        <f aca="false">AH521</f>
        <v>3121.1</v>
      </c>
      <c r="AJ521" s="156" t="n">
        <f aca="false">AI521</f>
        <v>3121.1</v>
      </c>
      <c r="AK521" s="399" t="n">
        <f aca="false">AJ521</f>
        <v>3121.1</v>
      </c>
      <c r="AL521" s="156" t="n">
        <f aca="false">AK522</f>
        <v>3532.3</v>
      </c>
      <c r="AM521" s="156" t="n">
        <f aca="false">AL521</f>
        <v>3532.3</v>
      </c>
      <c r="AN521" s="156" t="n">
        <f aca="false">AM521</f>
        <v>3532.3</v>
      </c>
      <c r="AO521" s="156" t="n">
        <f aca="false">AN521</f>
        <v>3532.3</v>
      </c>
      <c r="AP521" s="399" t="n">
        <f aca="false">AO521</f>
        <v>3532.3</v>
      </c>
      <c r="AQ521" s="156" t="n">
        <f aca="false">AP522</f>
        <v>6049.4</v>
      </c>
      <c r="AR521" s="156" t="n">
        <f aca="false">AQ521</f>
        <v>6049.4</v>
      </c>
      <c r="AS521" s="156" t="n">
        <f aca="false">AR521</f>
        <v>6049.4</v>
      </c>
      <c r="AT521" s="156" t="n">
        <f aca="false">AS521</f>
        <v>6049.4</v>
      </c>
      <c r="AU521" s="399" t="n">
        <f aca="false">AT521</f>
        <v>6049.4</v>
      </c>
      <c r="AV521" s="156" t="n">
        <f aca="false">AU522</f>
        <v>6951.8</v>
      </c>
      <c r="AW521" s="156" t="n">
        <f aca="false">AV521</f>
        <v>6951.8</v>
      </c>
      <c r="AX521" s="156" t="n">
        <f aca="false">AW521</f>
        <v>6951.8</v>
      </c>
      <c r="AY521" s="156" t="n">
        <f aca="false">AX521</f>
        <v>6951.8</v>
      </c>
      <c r="AZ521" s="399" t="n">
        <f aca="false">AY521</f>
        <v>6951.8</v>
      </c>
      <c r="BA521" s="156" t="n">
        <f aca="false">AZ522</f>
        <v>7268.3</v>
      </c>
      <c r="BB521" s="156" t="n">
        <f aca="false">BA521</f>
        <v>7268.3</v>
      </c>
      <c r="BC521" s="156" t="n">
        <f aca="false">BB521</f>
        <v>7268.3</v>
      </c>
      <c r="BD521" s="156" t="n">
        <f aca="false">BC521</f>
        <v>7268.3</v>
      </c>
      <c r="BE521" s="399" t="n">
        <f aca="false">BD521</f>
        <v>7268.3</v>
      </c>
      <c r="BF521" s="156" t="n">
        <f aca="false">BE522</f>
        <v>7004.7</v>
      </c>
      <c r="BG521" s="156" t="n">
        <f aca="false">BF521</f>
        <v>7004.7</v>
      </c>
      <c r="BH521" s="156" t="n">
        <f aca="false">BG521</f>
        <v>7004.7</v>
      </c>
      <c r="BI521" s="156" t="n">
        <f aca="false">BH521</f>
        <v>7004.7</v>
      </c>
      <c r="BJ521" s="399" t="n">
        <f aca="false">BI521</f>
        <v>7004.7</v>
      </c>
      <c r="BK521" s="156" t="n">
        <f aca="false">BJ522</f>
        <v>12735.9</v>
      </c>
      <c r="BL521" s="156" t="n">
        <f aca="false">BK521</f>
        <v>12735.9</v>
      </c>
      <c r="BM521" s="156" t="n">
        <f aca="false">BL521</f>
        <v>12735.9</v>
      </c>
      <c r="BN521" s="156" t="n">
        <f aca="false">BM521</f>
        <v>12735.9</v>
      </c>
      <c r="BO521" s="400" t="n">
        <f aca="false">BN521</f>
        <v>12735.9</v>
      </c>
      <c r="BP521" s="268"/>
      <c r="BQ521" s="268"/>
      <c r="BR521" s="268"/>
      <c r="BS521" s="268"/>
      <c r="BT521" s="267"/>
      <c r="BU521" s="268"/>
      <c r="BV521" s="268"/>
      <c r="BW521" s="268"/>
      <c r="BX521" s="268"/>
      <c r="BY521" s="267"/>
      <c r="BZ521" s="267"/>
      <c r="CA521" s="267"/>
      <c r="CB521" s="267"/>
      <c r="CC521" s="156"/>
    </row>
    <row r="522" s="157" customFormat="true" ht="15" hidden="true" customHeight="true" outlineLevel="1" collapsed="false">
      <c r="A522" s="221" t="s">
        <v>550</v>
      </c>
      <c r="B522" s="266"/>
      <c r="C522" s="399" t="n">
        <f aca="false">C519+C521</f>
        <v>1037.074</v>
      </c>
      <c r="D522" s="399" t="n">
        <f aca="false">D519+D521</f>
        <v>1949.834</v>
      </c>
      <c r="E522" s="399" t="n">
        <f aca="false">E519+E521</f>
        <v>2731.782</v>
      </c>
      <c r="F522" s="399" t="n">
        <f aca="false">F519+F521</f>
        <v>1767.596</v>
      </c>
      <c r="G522" s="399" t="n">
        <f aca="false">G519+G521</f>
        <v>2330.694</v>
      </c>
      <c r="H522" s="156" t="n">
        <f aca="false">H519+H521</f>
        <v>2398.1</v>
      </c>
      <c r="I522" s="156" t="n">
        <f aca="false">I519+I521</f>
        <v>2111</v>
      </c>
      <c r="J522" s="156" t="n">
        <f aca="false">J519+J521</f>
        <v>2144.8</v>
      </c>
      <c r="K522" s="156" t="n">
        <f aca="false">K519+K521</f>
        <v>2419.487</v>
      </c>
      <c r="L522" s="399" t="n">
        <f aca="false">L519+L521</f>
        <v>2419.487</v>
      </c>
      <c r="M522" s="156" t="n">
        <f aca="false">M519+M521</f>
        <v>2778.5</v>
      </c>
      <c r="N522" s="156" t="n">
        <f aca="false">N519+N521</f>
        <v>2495</v>
      </c>
      <c r="O522" s="156" t="n">
        <f aca="false">O519+O521</f>
        <v>2680.9</v>
      </c>
      <c r="P522" s="156" t="n">
        <f aca="false">P519+P521</f>
        <v>2458.717</v>
      </c>
      <c r="Q522" s="399" t="n">
        <f aca="false">Q519+Q521</f>
        <v>2458.717</v>
      </c>
      <c r="R522" s="156" t="n">
        <f aca="false">R519+R521</f>
        <v>2063.4</v>
      </c>
      <c r="S522" s="156" t="n">
        <f aca="false">S519+S521</f>
        <v>1926.1</v>
      </c>
      <c r="T522" s="156" t="n">
        <f aca="false">T519+T521</f>
        <v>2913</v>
      </c>
      <c r="U522" s="156" t="n">
        <f aca="false">U519+U521</f>
        <v>2906.9</v>
      </c>
      <c r="V522" s="399" t="n">
        <f aca="false">V519+V521</f>
        <v>2906.9</v>
      </c>
      <c r="W522" s="156" t="n">
        <f aca="false">W519+W521</f>
        <v>2910.6</v>
      </c>
      <c r="X522" s="156" t="n">
        <f aca="false">X519+X521</f>
        <v>1914.2</v>
      </c>
      <c r="Y522" s="156" t="n">
        <f aca="false">Y519+Y521</f>
        <v>2077.6</v>
      </c>
      <c r="Z522" s="156" t="n">
        <f aca="false">Z519+Z521</f>
        <v>2259</v>
      </c>
      <c r="AA522" s="399" t="n">
        <f aca="false">AA519+AA521</f>
        <v>2259</v>
      </c>
      <c r="AB522" s="156" t="n">
        <f aca="false">AB519+AB521</f>
        <v>2464.8</v>
      </c>
      <c r="AC522" s="156" t="n">
        <f aca="false">AC519+AC521</f>
        <v>2325.7</v>
      </c>
      <c r="AD522" s="156" t="n">
        <f aca="false">AD519+AD521</f>
        <v>2203.2</v>
      </c>
      <c r="AE522" s="156" t="n">
        <f aca="false">AE519+AE521</f>
        <v>3121.1</v>
      </c>
      <c r="AF522" s="399" t="n">
        <f aca="false">AF519+AF521</f>
        <v>3121.1</v>
      </c>
      <c r="AG522" s="156" t="n">
        <f aca="false">AG519+AG521</f>
        <v>2253</v>
      </c>
      <c r="AH522" s="156" t="n">
        <f aca="false">AH519+AH521</f>
        <v>1661.1</v>
      </c>
      <c r="AI522" s="156" t="n">
        <f aca="false">AI519+AI521</f>
        <v>1586.1</v>
      </c>
      <c r="AJ522" s="156" t="n">
        <f aca="false">AJ519+AJ521</f>
        <v>3532.3</v>
      </c>
      <c r="AK522" s="399" t="n">
        <f aca="false">AK519+AK521</f>
        <v>3532.3</v>
      </c>
      <c r="AL522" s="156" t="n">
        <f aca="false">AL519+AL521</f>
        <v>2723.7</v>
      </c>
      <c r="AM522" s="156" t="n">
        <f aca="false">AM519+AM521</f>
        <v>3499.1</v>
      </c>
      <c r="AN522" s="156" t="n">
        <f aca="false">AN519+AN521</f>
        <v>3531.5</v>
      </c>
      <c r="AO522" s="156" t="n">
        <f aca="false">AO519+AO521</f>
        <v>6049.4</v>
      </c>
      <c r="AP522" s="399" t="n">
        <f aca="false">AP519+AP521</f>
        <v>6049.4</v>
      </c>
      <c r="AQ522" s="156" t="n">
        <f aca="false">AQ519+AQ521</f>
        <v>3243.8</v>
      </c>
      <c r="AR522" s="156" t="n">
        <f aca="false">AR519+AR521</f>
        <v>5186.6</v>
      </c>
      <c r="AS522" s="156" t="n">
        <f aca="false">AS519+AS521</f>
        <v>4318.7</v>
      </c>
      <c r="AT522" s="156" t="n">
        <f aca="false">AT519+AT521</f>
        <v>6951.8</v>
      </c>
      <c r="AU522" s="399" t="n">
        <f aca="false">AU519+AU521</f>
        <v>6951.8</v>
      </c>
      <c r="AV522" s="156" t="n">
        <f aca="false">AV519+AV521</f>
        <v>4324.1</v>
      </c>
      <c r="AW522" s="156" t="n">
        <f aca="false">AW519+AW521</f>
        <v>4096.5</v>
      </c>
      <c r="AX522" s="156" t="n">
        <f aca="false">AX519+AX521</f>
        <v>3152.8</v>
      </c>
      <c r="AY522" s="156" t="n">
        <f aca="false">AY519+AY521</f>
        <v>7268.3</v>
      </c>
      <c r="AZ522" s="399" t="n">
        <f aca="false">AZ519+AZ521</f>
        <v>7268.3</v>
      </c>
      <c r="BA522" s="156" t="n">
        <f aca="false">BA519+BA521</f>
        <v>6647.7</v>
      </c>
      <c r="BB522" s="156" t="n">
        <f aca="false">BB519+BB521</f>
        <v>6341.3</v>
      </c>
      <c r="BC522" s="156" t="n">
        <f aca="false">BC519+BC521</f>
        <v>4975.5</v>
      </c>
      <c r="BD522" s="156" t="n">
        <f aca="false">BD519+BD521</f>
        <v>7004.7</v>
      </c>
      <c r="BE522" s="399" t="n">
        <f aca="false">BE519+BE521</f>
        <v>7004.7</v>
      </c>
      <c r="BF522" s="156" t="n">
        <f aca="false">BF519+BF521</f>
        <v>5100.8</v>
      </c>
      <c r="BG522" s="156" t="n">
        <f aca="false">BG519+BG521</f>
        <v>4813.6</v>
      </c>
      <c r="BH522" s="156" t="n">
        <f aca="false">BH519+BH521</f>
        <v>4979.3</v>
      </c>
      <c r="BI522" s="156" t="n">
        <f aca="false">BI519+BI521</f>
        <v>12735.9</v>
      </c>
      <c r="BJ522" s="399" t="n">
        <f aca="false">BJ519+BJ521</f>
        <v>12735.9</v>
      </c>
      <c r="BK522" s="156" t="n">
        <f aca="false">BK519+BK521</f>
        <v>9098.4</v>
      </c>
      <c r="BL522" s="156" t="n">
        <f aca="false">BL519+BL521</f>
        <v>7243.5</v>
      </c>
      <c r="BM522" s="156" t="n">
        <f aca="false">BM519+BM521</f>
        <v>5126.5</v>
      </c>
      <c r="BN522" s="156" t="n">
        <f aca="false">BN519+BN521</f>
        <v>12916</v>
      </c>
      <c r="BO522" s="400" t="n">
        <f aca="false">BO519+BO521</f>
        <v>12916</v>
      </c>
      <c r="BP522" s="268"/>
      <c r="BQ522" s="268"/>
      <c r="BR522" s="268"/>
      <c r="BS522" s="268"/>
      <c r="BT522" s="267"/>
      <c r="BU522" s="268"/>
      <c r="BV522" s="268"/>
      <c r="BW522" s="268"/>
      <c r="BX522" s="268"/>
      <c r="BY522" s="267"/>
      <c r="BZ522" s="267"/>
      <c r="CA522" s="267"/>
      <c r="CB522" s="267"/>
      <c r="CC522" s="156"/>
    </row>
    <row r="523" s="157" customFormat="true" ht="15" hidden="false" customHeight="true" outlineLevel="0" collapsed="false">
      <c r="A523" s="252"/>
      <c r="B523" s="266"/>
      <c r="C523" s="267"/>
      <c r="D523" s="267"/>
      <c r="E523" s="267"/>
      <c r="F523" s="267"/>
      <c r="G523" s="267"/>
      <c r="H523" s="268"/>
      <c r="I523" s="268"/>
      <c r="J523" s="268"/>
      <c r="K523" s="268"/>
      <c r="L523" s="267"/>
      <c r="M523" s="268"/>
      <c r="N523" s="268"/>
      <c r="O523" s="268"/>
      <c r="P523" s="268"/>
      <c r="Q523" s="267"/>
      <c r="R523" s="268"/>
      <c r="S523" s="268"/>
      <c r="T523" s="268"/>
      <c r="U523" s="268"/>
      <c r="V523" s="267"/>
      <c r="W523" s="268"/>
      <c r="X523" s="268"/>
      <c r="Y523" s="268"/>
      <c r="Z523" s="268"/>
      <c r="AA523" s="267"/>
      <c r="AB523" s="268"/>
      <c r="AC523" s="268"/>
      <c r="AD523" s="268"/>
      <c r="AE523" s="268"/>
      <c r="AF523" s="267"/>
      <c r="AG523" s="268"/>
      <c r="AH523" s="268"/>
      <c r="AI523" s="268"/>
      <c r="AJ523" s="268"/>
      <c r="AK523" s="267"/>
      <c r="AL523" s="268"/>
      <c r="AM523" s="268"/>
      <c r="AN523" s="268"/>
      <c r="AO523" s="268"/>
      <c r="AP523" s="267"/>
      <c r="AQ523" s="268"/>
      <c r="AR523" s="268"/>
      <c r="AS523" s="268"/>
      <c r="AT523" s="268"/>
      <c r="AU523" s="267"/>
      <c r="AV523" s="268"/>
      <c r="AW523" s="268"/>
      <c r="AX523" s="268"/>
      <c r="AY523" s="268"/>
      <c r="AZ523" s="267"/>
      <c r="BA523" s="268"/>
      <c r="BB523" s="268"/>
      <c r="BC523" s="268"/>
      <c r="BD523" s="268"/>
      <c r="BE523" s="267"/>
      <c r="BF523" s="268"/>
      <c r="BG523" s="268"/>
      <c r="BH523" s="268"/>
      <c r="BI523" s="268"/>
      <c r="BJ523" s="267"/>
      <c r="BK523" s="268"/>
      <c r="BL523" s="268"/>
      <c r="BM523" s="268"/>
      <c r="BN523" s="268"/>
      <c r="BO523" s="269"/>
      <c r="BP523" s="268"/>
      <c r="BQ523" s="268"/>
      <c r="BR523" s="268"/>
      <c r="BS523" s="268"/>
      <c r="BT523" s="267"/>
      <c r="BU523" s="268"/>
      <c r="BV523" s="268"/>
      <c r="BW523" s="268"/>
      <c r="BX523" s="268"/>
      <c r="BY523" s="267"/>
      <c r="BZ523" s="267"/>
      <c r="CA523" s="267"/>
      <c r="CB523" s="267"/>
      <c r="CC523" s="156"/>
    </row>
    <row r="524" s="157" customFormat="true" ht="15" hidden="false" customHeight="true" outlineLevel="0" collapsed="false">
      <c r="A524" s="219" t="s">
        <v>551</v>
      </c>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c r="AA524" s="219"/>
      <c r="AB524" s="219"/>
      <c r="AC524" s="219"/>
      <c r="AD524" s="219"/>
      <c r="AE524" s="219"/>
      <c r="AF524" s="219"/>
      <c r="AG524" s="219"/>
      <c r="AH524" s="219"/>
      <c r="AI524" s="219"/>
      <c r="AJ524" s="219"/>
      <c r="AK524" s="219"/>
      <c r="AL524" s="219"/>
      <c r="AM524" s="219"/>
      <c r="AN524" s="219"/>
      <c r="AO524" s="219"/>
      <c r="AP524" s="219"/>
      <c r="AQ524" s="219"/>
      <c r="AR524" s="219"/>
      <c r="AS524" s="219"/>
      <c r="AT524" s="219"/>
      <c r="AU524" s="219"/>
      <c r="AV524" s="219"/>
      <c r="AW524" s="219"/>
      <c r="AX524" s="219"/>
      <c r="AY524" s="219"/>
      <c r="AZ524" s="219"/>
      <c r="BA524" s="219"/>
      <c r="BB524" s="219"/>
      <c r="BC524" s="219"/>
      <c r="BD524" s="219"/>
      <c r="BE524" s="219"/>
      <c r="BF524" s="219"/>
      <c r="BG524" s="219"/>
      <c r="BH524" s="219"/>
      <c r="BI524" s="219"/>
      <c r="BJ524" s="219"/>
      <c r="BK524" s="219"/>
      <c r="BL524" s="219"/>
      <c r="BM524" s="219"/>
      <c r="BN524" s="219"/>
      <c r="BO524" s="220"/>
      <c r="BP524" s="219"/>
      <c r="BQ524" s="219"/>
      <c r="BR524" s="219"/>
      <c r="BS524" s="219"/>
      <c r="BT524" s="219"/>
      <c r="BU524" s="219"/>
      <c r="BV524" s="219"/>
      <c r="BW524" s="219"/>
      <c r="BX524" s="219"/>
      <c r="BY524" s="219"/>
      <c r="BZ524" s="219"/>
      <c r="CA524" s="219"/>
      <c r="CB524" s="219"/>
      <c r="CC524" s="156"/>
    </row>
    <row r="525" s="157" customFormat="true" ht="15" hidden="false" customHeight="true" outlineLevel="0" collapsed="false">
      <c r="A525" s="221" t="str">
        <f aca="false">A469</f>
        <v>CFO</v>
      </c>
      <c r="B525" s="266"/>
      <c r="C525" s="267"/>
      <c r="D525" s="267"/>
      <c r="E525" s="267"/>
      <c r="F525" s="267"/>
      <c r="G525" s="267"/>
      <c r="H525" s="268"/>
      <c r="I525" s="268"/>
      <c r="J525" s="268"/>
      <c r="K525" s="268"/>
      <c r="L525" s="267"/>
      <c r="M525" s="268"/>
      <c r="N525" s="268"/>
      <c r="O525" s="268"/>
      <c r="P525" s="268"/>
      <c r="Q525" s="267"/>
      <c r="R525" s="268"/>
      <c r="S525" s="268"/>
      <c r="T525" s="268"/>
      <c r="U525" s="268"/>
      <c r="V525" s="267"/>
      <c r="W525" s="268"/>
      <c r="X525" s="268"/>
      <c r="Y525" s="268"/>
      <c r="Z525" s="268"/>
      <c r="AA525" s="267"/>
      <c r="AB525" s="268"/>
      <c r="AC525" s="268"/>
      <c r="AD525" s="268"/>
      <c r="AE525" s="268"/>
      <c r="AF525" s="267"/>
      <c r="AG525" s="268"/>
      <c r="AH525" s="268"/>
      <c r="AI525" s="268"/>
      <c r="AJ525" s="268"/>
      <c r="AK525" s="267"/>
      <c r="AL525" s="268"/>
      <c r="AM525" s="268"/>
      <c r="AN525" s="268"/>
      <c r="AO525" s="268"/>
      <c r="AP525" s="267"/>
      <c r="AQ525" s="268"/>
      <c r="AR525" s="268"/>
      <c r="AS525" s="268"/>
      <c r="AT525" s="268"/>
      <c r="AU525" s="267"/>
      <c r="AV525" s="268"/>
      <c r="AW525" s="268"/>
      <c r="AX525" s="268"/>
      <c r="AY525" s="268"/>
      <c r="AZ525" s="267"/>
      <c r="BA525" s="268"/>
      <c r="BB525" s="268"/>
      <c r="BC525" s="268"/>
      <c r="BD525" s="268"/>
      <c r="BE525" s="267"/>
      <c r="BF525" s="268"/>
      <c r="BG525" s="268"/>
      <c r="BH525" s="268"/>
      <c r="BI525" s="268"/>
      <c r="BJ525" s="267"/>
      <c r="BK525" s="268"/>
      <c r="BL525" s="268"/>
      <c r="BM525" s="268"/>
      <c r="BN525" s="268"/>
      <c r="BO525" s="269"/>
      <c r="BP525" s="268"/>
      <c r="BQ525" s="268"/>
      <c r="BR525" s="268"/>
      <c r="BS525" s="268"/>
      <c r="BT525" s="267"/>
      <c r="BU525" s="268"/>
      <c r="BV525" s="268"/>
      <c r="BW525" s="268"/>
      <c r="BX525" s="268"/>
      <c r="BY525" s="267"/>
      <c r="BZ525" s="267"/>
      <c r="CA525" s="267"/>
      <c r="CB525" s="267"/>
      <c r="CC525" s="156"/>
    </row>
    <row r="526" s="157" customFormat="true" ht="15" hidden="false" customHeight="true" outlineLevel="0" collapsed="false">
      <c r="A526" s="145" t="str">
        <f aca="false">A470</f>
        <v>Net income</v>
      </c>
      <c r="B526" s="266"/>
      <c r="C526" s="159" t="n">
        <f aca="false">C470</f>
        <v>-150.925</v>
      </c>
      <c r="D526" s="159" t="n">
        <f aca="false">D470</f>
        <v>1021.82</v>
      </c>
      <c r="E526" s="159" t="n">
        <f aca="false">E470</f>
        <v>1466.96</v>
      </c>
      <c r="F526" s="159" t="n">
        <f aca="false">F470</f>
        <v>1146.316</v>
      </c>
      <c r="G526" s="159" t="n">
        <f aca="false">G470</f>
        <v>1015.49</v>
      </c>
      <c r="H526" s="48" t="n">
        <f aca="false">H470</f>
        <v>249.1</v>
      </c>
      <c r="I526" s="48" t="n">
        <f aca="false">I470-H470</f>
        <v>398.7</v>
      </c>
      <c r="J526" s="48" t="n">
        <f aca="false">J470-I470</f>
        <v>244</v>
      </c>
      <c r="K526" s="48" t="n">
        <f aca="false">K470-J470</f>
        <v>304.84</v>
      </c>
      <c r="L526" s="159" t="n">
        <f aca="false">L470</f>
        <v>1196.64</v>
      </c>
      <c r="M526" s="48" t="n">
        <f aca="false">M470</f>
        <v>402.7</v>
      </c>
      <c r="N526" s="48" t="n">
        <f aca="false">N470-M470</f>
        <v>369.7</v>
      </c>
      <c r="O526" s="48" t="n">
        <f aca="false">O470-N470</f>
        <v>322.4</v>
      </c>
      <c r="P526" s="48" t="n">
        <f aca="false">P470-O470</f>
        <v>292.374</v>
      </c>
      <c r="Q526" s="159" t="n">
        <f aca="false">Q470</f>
        <v>1387.174</v>
      </c>
      <c r="R526" s="48" t="n">
        <f aca="false">R470</f>
        <v>198</v>
      </c>
      <c r="S526" s="48" t="n">
        <f aca="false">S470-R470</f>
        <v>353.8</v>
      </c>
      <c r="T526" s="48" t="n">
        <f aca="false">T470-S470</f>
        <v>395.9</v>
      </c>
      <c r="U526" s="48" t="n">
        <f aca="false">U470-T470</f>
        <v>524.2</v>
      </c>
      <c r="V526" s="159" t="n">
        <f aca="false">V470</f>
        <v>1471.9</v>
      </c>
      <c r="W526" s="48" t="n">
        <f aca="false">W470</f>
        <v>452.1</v>
      </c>
      <c r="X526" s="48" t="n">
        <f aca="false">X470-W470</f>
        <v>466.3</v>
      </c>
      <c r="Y526" s="48" t="n">
        <f aca="false">Y470-X470</f>
        <v>557.1</v>
      </c>
      <c r="Z526" s="48" t="n">
        <f aca="false">Z470-Y470</f>
        <v>643</v>
      </c>
      <c r="AA526" s="159" t="n">
        <f aca="false">AA470</f>
        <v>2118.5</v>
      </c>
      <c r="AB526" s="48" t="n">
        <f aca="false">AB470</f>
        <v>539.7</v>
      </c>
      <c r="AC526" s="48" t="n">
        <f aca="false">AC470-AB470</f>
        <v>584</v>
      </c>
      <c r="AD526" s="48" t="n">
        <f aca="false">AD470-AC470</f>
        <v>680.4</v>
      </c>
      <c r="AE526" s="48" t="n">
        <f aca="false">AE470-AD470</f>
        <v>787.5</v>
      </c>
      <c r="AF526" s="159" t="n">
        <f aca="false">AF470</f>
        <v>2591.6</v>
      </c>
      <c r="AG526" s="48" t="n">
        <f aca="false">AG470</f>
        <v>355.4</v>
      </c>
      <c r="AH526" s="48" t="n">
        <f aca="false">AH470-AG470</f>
        <v>476</v>
      </c>
      <c r="AI526" s="48" t="n">
        <f aca="false">AI470-AH470</f>
        <v>626.8</v>
      </c>
      <c r="AJ526" s="48" t="n">
        <f aca="false">AJ470-AI470</f>
        <v>1134.1</v>
      </c>
      <c r="AK526" s="159" t="n">
        <f aca="false">AK470</f>
        <v>2592.3</v>
      </c>
      <c r="AL526" s="48" t="n">
        <f aca="false">AL470</f>
        <v>390.6</v>
      </c>
      <c r="AM526" s="48" t="n">
        <f aca="false">AM470-AL470</f>
        <v>751</v>
      </c>
      <c r="AN526" s="48" t="n">
        <f aca="false">AN470-AM470</f>
        <v>1061.5</v>
      </c>
      <c r="AO526" s="48" t="n">
        <f aca="false">AO470-AN470</f>
        <v>1350.6</v>
      </c>
      <c r="AP526" s="159" t="n">
        <f aca="false">AP470</f>
        <v>3553.7</v>
      </c>
      <c r="AQ526" s="48" t="n">
        <f aca="false">AQ470</f>
        <v>1331.4</v>
      </c>
      <c r="AR526" s="48" t="n">
        <f aca="false">AR470-AQ470</f>
        <v>1038.2</v>
      </c>
      <c r="AS526" s="48" t="n">
        <f aca="false">AS470-AR470</f>
        <v>1740.2</v>
      </c>
      <c r="AT526" s="48" t="n">
        <f aca="false">AT470-AS470</f>
        <v>1773.4</v>
      </c>
      <c r="AU526" s="159" t="n">
        <f aca="false">AU470</f>
        <v>5883.2</v>
      </c>
      <c r="AV526" s="48" t="n">
        <f aca="false">AV470</f>
        <v>695.3</v>
      </c>
      <c r="AW526" s="48" t="n">
        <f aca="false">AW470-AV470</f>
        <v>1410.9</v>
      </c>
      <c r="AX526" s="48" t="n">
        <f aca="false">AX470-AW470</f>
        <v>1701.5</v>
      </c>
      <c r="AY526" s="48" t="n">
        <f aca="false">AY470-AX470</f>
        <v>1816.5</v>
      </c>
      <c r="AZ526" s="159" t="n">
        <f aca="false">AZ470</f>
        <v>5624.2</v>
      </c>
      <c r="BA526" s="48" t="n">
        <f aca="false">BA470</f>
        <v>1955.8</v>
      </c>
      <c r="BB526" s="48" t="n">
        <f aca="false">BB470-BA470</f>
        <v>1941.7</v>
      </c>
      <c r="BC526" s="48" t="n">
        <f aca="false">BC470-BB470</f>
        <v>1893.4</v>
      </c>
      <c r="BD526" s="48" t="n">
        <f aca="false">BD470-BC470</f>
        <v>2048.1</v>
      </c>
      <c r="BE526" s="159" t="n">
        <f aca="false">BE470</f>
        <v>7839</v>
      </c>
      <c r="BF526" s="48" t="n">
        <f aca="false">BF470</f>
        <v>1223.8</v>
      </c>
      <c r="BG526" s="48" t="n">
        <f aca="false">BG470-BF470</f>
        <v>1577.9</v>
      </c>
      <c r="BH526" s="48" t="n">
        <f aca="false">BH470-BG470</f>
        <v>2076.5</v>
      </c>
      <c r="BI526" s="48" t="n">
        <f aca="false">BI470-BH470</f>
        <v>2693.4</v>
      </c>
      <c r="BJ526" s="159" t="n">
        <f aca="false">BJ470</f>
        <v>7571.6</v>
      </c>
      <c r="BK526" s="48" t="n">
        <f aca="false">BK470</f>
        <v>2355</v>
      </c>
      <c r="BL526" s="48" t="n">
        <f aca="false">BL470-BK470</f>
        <v>2290.3</v>
      </c>
      <c r="BM526" s="48" t="n">
        <f aca="false">BM470-BL470</f>
        <v>2124.5</v>
      </c>
      <c r="BN526" s="48" t="n">
        <f aca="false">BN470-BM470</f>
        <v>2839.6</v>
      </c>
      <c r="BO526" s="160" t="n">
        <f aca="false">BO470</f>
        <v>9609.4</v>
      </c>
      <c r="BP526" s="48" t="n">
        <f aca="false">BP356</f>
        <v>2444.60603974122</v>
      </c>
      <c r="BQ526" s="48" t="n">
        <f aca="false">BQ356</f>
        <v>2888.23413957748</v>
      </c>
      <c r="BR526" s="48" t="n">
        <f aca="false">BR356</f>
        <v>2723.68903577873</v>
      </c>
      <c r="BS526" s="48" t="n">
        <f aca="false">BS356</f>
        <v>2973.43577238699</v>
      </c>
      <c r="BT526" s="159" t="n">
        <f aca="false">SUM(BP526,BQ526,BR526,BS526)</f>
        <v>11029.9649874844</v>
      </c>
      <c r="BU526" s="48" t="n">
        <f aca="false">BU356</f>
        <v>2606.64839285746</v>
      </c>
      <c r="BV526" s="48" t="n">
        <f aca="false">BV356</f>
        <v>3519.42685000929</v>
      </c>
      <c r="BW526" s="48" t="n">
        <f aca="false">BW356</f>
        <v>3281.80062837639</v>
      </c>
      <c r="BX526" s="48" t="n">
        <f aca="false">BX356</f>
        <v>3429.36816119764</v>
      </c>
      <c r="BY526" s="159" t="n">
        <f aca="false">SUM(BU526,BV526,BW526,BX526)</f>
        <v>12837.2440324408</v>
      </c>
      <c r="BZ526" s="159" t="n">
        <f aca="false">BZ356</f>
        <v>15488.4289204566</v>
      </c>
      <c r="CA526" s="159" t="n">
        <f aca="false">CA356</f>
        <v>16524.636711957</v>
      </c>
      <c r="CB526" s="159" t="n">
        <f aca="false">CB356</f>
        <v>17634.2994082968</v>
      </c>
      <c r="CC526" s="156"/>
    </row>
    <row r="527" s="157" customFormat="true" ht="15" hidden="false" customHeight="true" outlineLevel="0" collapsed="false">
      <c r="A527" s="145" t="str">
        <f aca="false">A471</f>
        <v>Depreciation and amortization</v>
      </c>
      <c r="B527" s="266"/>
      <c r="C527" s="159" t="n">
        <f aca="false">C471</f>
        <v>141.631</v>
      </c>
      <c r="D527" s="159" t="n">
        <f aca="false">D471</f>
        <v>151.444</v>
      </c>
      <c r="E527" s="159" t="n">
        <f aca="false">E471</f>
        <v>165.185</v>
      </c>
      <c r="F527" s="159" t="n">
        <f aca="false">F471</f>
        <v>186.62</v>
      </c>
      <c r="G527" s="159" t="n">
        <f aca="false">G471</f>
        <v>228.775</v>
      </c>
      <c r="H527" s="48" t="n">
        <f aca="false">H471</f>
        <v>64.7</v>
      </c>
      <c r="I527" s="48" t="n">
        <f aca="false">I471-H471</f>
        <v>67</v>
      </c>
      <c r="J527" s="48" t="n">
        <f aca="false">J471-I471</f>
        <v>60.4</v>
      </c>
      <c r="K527" s="48" t="n">
        <f aca="false">K471-J471</f>
        <v>62.544</v>
      </c>
      <c r="L527" s="159" t="n">
        <f aca="false">L471</f>
        <v>254.644</v>
      </c>
      <c r="M527" s="48" t="n">
        <f aca="false">M471</f>
        <v>66.1</v>
      </c>
      <c r="N527" s="48" t="n">
        <f aca="false">N471-M471</f>
        <v>72.8</v>
      </c>
      <c r="O527" s="48" t="n">
        <f aca="false">O471-N471</f>
        <v>77.5</v>
      </c>
      <c r="P527" s="48" t="n">
        <f aca="false">P471-O471</f>
        <v>80.484</v>
      </c>
      <c r="Q527" s="159" t="n">
        <f aca="false">Q471</f>
        <v>296.884</v>
      </c>
      <c r="R527" s="48" t="n">
        <f aca="false">R471</f>
        <v>82</v>
      </c>
      <c r="S527" s="48" t="n">
        <f aca="false">S471-R471</f>
        <v>84.1</v>
      </c>
      <c r="T527" s="48" t="n">
        <f aca="false">T471-S471</f>
        <v>87.7</v>
      </c>
      <c r="U527" s="48" t="n">
        <f aca="false">U471-T471</f>
        <v>103.1</v>
      </c>
      <c r="V527" s="159" t="n">
        <f aca="false">V471</f>
        <v>356.9</v>
      </c>
      <c r="W527" s="48" t="n">
        <f aca="false">W471</f>
        <v>110.1</v>
      </c>
      <c r="X527" s="48" t="n">
        <f aca="false">X471-W471</f>
        <v>103.9</v>
      </c>
      <c r="Y527" s="48" t="n">
        <f aca="false">Y471-X471</f>
        <v>101.2</v>
      </c>
      <c r="Z527" s="48" t="n">
        <f aca="false">Z471-Y471</f>
        <v>102.3</v>
      </c>
      <c r="AA527" s="159" t="n">
        <f aca="false">AA471</f>
        <v>417.5</v>
      </c>
      <c r="AB527" s="48" t="n">
        <f aca="false">AB471</f>
        <v>102.6</v>
      </c>
      <c r="AC527" s="48" t="n">
        <f aca="false">AC471-AB471</f>
        <v>99.7</v>
      </c>
      <c r="AD527" s="48" t="n">
        <f aca="false">AD471-AC471</f>
        <v>110</v>
      </c>
      <c r="AE527" s="48" t="n">
        <f aca="false">AE471-AD471</f>
        <v>110.4</v>
      </c>
      <c r="AF527" s="159" t="n">
        <f aca="false">AF471</f>
        <v>422.7</v>
      </c>
      <c r="AG527" s="48" t="n">
        <f aca="false">AG471</f>
        <v>104.8</v>
      </c>
      <c r="AH527" s="48" t="n">
        <f aca="false">AH471-AG471</f>
        <v>108.4</v>
      </c>
      <c r="AI527" s="48" t="n">
        <f aca="false">AI471-AH471</f>
        <v>112.4</v>
      </c>
      <c r="AJ527" s="48" t="n">
        <f aca="false">AJ471-AI471</f>
        <v>122.9</v>
      </c>
      <c r="AK527" s="159" t="n">
        <f aca="false">AK471</f>
        <v>448.5</v>
      </c>
      <c r="AL527" s="48" t="n">
        <f aca="false">AL471</f>
        <v>118.3</v>
      </c>
      <c r="AM527" s="48" t="n">
        <f aca="false">AM471-AL471</f>
        <v>125.1</v>
      </c>
      <c r="AN527" s="48" t="n">
        <f aca="false">AN471-AM471</f>
        <v>122</v>
      </c>
      <c r="AO527" s="48" t="n">
        <f aca="false">AO471-AN471</f>
        <v>125.4</v>
      </c>
      <c r="AP527" s="159" t="n">
        <f aca="false">AP471</f>
        <v>490.8</v>
      </c>
      <c r="AQ527" s="48" t="n">
        <f aca="false">AQ471</f>
        <v>117.9</v>
      </c>
      <c r="AR527" s="48" t="n">
        <f aca="false">AR471-AQ471</f>
        <v>112.7</v>
      </c>
      <c r="AS527" s="48" t="n">
        <f aca="false">AS471-AR471</f>
        <v>116.2</v>
      </c>
      <c r="AT527" s="48" t="n">
        <f aca="false">AT471-AS471</f>
        <v>124.2</v>
      </c>
      <c r="AU527" s="159" t="n">
        <f aca="false">AU471</f>
        <v>471</v>
      </c>
      <c r="AV527" s="48" t="n">
        <f aca="false">AV471</f>
        <v>131</v>
      </c>
      <c r="AW527" s="48" t="n">
        <f aca="false">AW471-AV471</f>
        <v>131.5</v>
      </c>
      <c r="AX527" s="48" t="n">
        <f aca="false">AX471-AW471</f>
        <v>137.9</v>
      </c>
      <c r="AY527" s="48" t="n">
        <f aca="false">AY471-AX471</f>
        <v>183.2</v>
      </c>
      <c r="AZ527" s="159" t="n">
        <f aca="false">AZ471</f>
        <v>583.6</v>
      </c>
      <c r="BA527" s="48" t="n">
        <f aca="false">BA471</f>
        <v>170.3</v>
      </c>
      <c r="BB527" s="48" t="n">
        <f aca="false">BB471-BA471</f>
        <v>181.2</v>
      </c>
      <c r="BC527" s="48" t="n">
        <f aca="false">BC471-BB471</f>
        <v>176.2</v>
      </c>
      <c r="BD527" s="48" t="n">
        <f aca="false">BD471-BC471</f>
        <v>212.1</v>
      </c>
      <c r="BE527" s="159" t="n">
        <f aca="false">BE471</f>
        <v>739.8</v>
      </c>
      <c r="BF527" s="48" t="n">
        <f aca="false">BF471</f>
        <v>214.4</v>
      </c>
      <c r="BG527" s="48" t="n">
        <f aca="false">BG471-BF471</f>
        <v>227.5</v>
      </c>
      <c r="BH527" s="48" t="n">
        <f aca="false">BH471-BG471</f>
        <v>235.7</v>
      </c>
      <c r="BI527" s="48" t="n">
        <f aca="false">BI471-BH471</f>
        <v>241</v>
      </c>
      <c r="BJ527" s="159" t="n">
        <f aca="false">BJ471</f>
        <v>918.6</v>
      </c>
      <c r="BK527" s="48" t="n">
        <f aca="false">BK471</f>
        <v>241.3</v>
      </c>
      <c r="BL527" s="48" t="n">
        <f aca="false">BL471-BK471</f>
        <v>254.9</v>
      </c>
      <c r="BM527" s="48" t="n">
        <f aca="false">BM471-BL471</f>
        <v>274.6</v>
      </c>
      <c r="BN527" s="48" t="n">
        <f aca="false">BN471-BM471</f>
        <v>255.1</v>
      </c>
      <c r="BO527" s="160" t="n">
        <f aca="false">BO471</f>
        <v>1025.9</v>
      </c>
      <c r="BP527" s="48" t="n">
        <f aca="false">BP342</f>
        <v>293.974602739726</v>
      </c>
      <c r="BQ527" s="48" t="n">
        <f aca="false">BQ342</f>
        <v>291.483826785889</v>
      </c>
      <c r="BR527" s="48" t="n">
        <f aca="false">BR342</f>
        <v>288.955856862727</v>
      </c>
      <c r="BS527" s="48" t="n">
        <f aca="false">BS342</f>
        <v>283.331529943619</v>
      </c>
      <c r="BT527" s="159" t="n">
        <f aca="false">SUM(BP527,BQ527,BR527,BS527)</f>
        <v>1157.74581633196</v>
      </c>
      <c r="BU527" s="48" t="n">
        <f aca="false">BU342</f>
        <v>271.898392482231</v>
      </c>
      <c r="BV527" s="48" t="n">
        <f aca="false">BV342</f>
        <v>269.939025253942</v>
      </c>
      <c r="BW527" s="48" t="n">
        <f aca="false">BW342</f>
        <v>267.94061878581</v>
      </c>
      <c r="BX527" s="48" t="n">
        <f aca="false">BX342</f>
        <v>263.063761967524</v>
      </c>
      <c r="BY527" s="159" t="n">
        <f aca="false">SUM(BU527,BV527,BW527,BX527)</f>
        <v>1072.84179848951</v>
      </c>
      <c r="BZ527" s="159" t="n">
        <f aca="false">BZ342</f>
        <v>1025.06551328855</v>
      </c>
      <c r="CA527" s="159" t="n">
        <f aca="false">CA342</f>
        <v>965.052074523622</v>
      </c>
      <c r="CB527" s="159" t="n">
        <f aca="false">CB342</f>
        <v>913.516157221461</v>
      </c>
      <c r="CC527" s="156"/>
    </row>
    <row r="528" s="157" customFormat="true" ht="15" hidden="false" customHeight="true" outlineLevel="0" collapsed="false">
      <c r="A528" s="145" t="str">
        <f aca="false">A472</f>
        <v>Impairment</v>
      </c>
      <c r="B528" s="266"/>
      <c r="C528" s="159" t="n">
        <f aca="false">C472</f>
        <v>15.896</v>
      </c>
      <c r="D528" s="159" t="n">
        <f aca="false">D472</f>
        <v>8.563</v>
      </c>
      <c r="E528" s="159" t="n">
        <f aca="false">E472</f>
        <v>12.272</v>
      </c>
      <c r="F528" s="159" t="n">
        <f aca="false">F472</f>
        <v>3.234</v>
      </c>
      <c r="G528" s="159" t="n">
        <f aca="false">G472</f>
        <v>13.057</v>
      </c>
      <c r="H528" s="48" t="n">
        <f aca="false">H472</f>
        <v>3.9</v>
      </c>
      <c r="I528" s="48" t="n">
        <f aca="false">I472-H472</f>
        <v>2.5</v>
      </c>
      <c r="J528" s="48" t="n">
        <f aca="false">J472-I472</f>
        <v>3.6</v>
      </c>
      <c r="K528" s="48" t="n">
        <f aca="false">K472-J472</f>
        <v>0.528000000000001</v>
      </c>
      <c r="L528" s="159" t="n">
        <f aca="false">L472</f>
        <v>10.528</v>
      </c>
      <c r="M528" s="48" t="n">
        <f aca="false">M472</f>
        <v>0</v>
      </c>
      <c r="N528" s="48" t="n">
        <f aca="false">N472-M472</f>
        <v>0.6</v>
      </c>
      <c r="O528" s="48" t="n">
        <f aca="false">O472-N472</f>
        <v>0.2</v>
      </c>
      <c r="P528" s="48" t="n">
        <f aca="false">P472-O472</f>
        <v>1.487</v>
      </c>
      <c r="Q528" s="159" t="n">
        <f aca="false">Q472</f>
        <v>2.287</v>
      </c>
      <c r="R528" s="48" t="n">
        <f aca="false">R472</f>
        <v>0.5</v>
      </c>
      <c r="S528" s="48" t="n">
        <f aca="false">S472-R472</f>
        <v>0.4</v>
      </c>
      <c r="T528" s="48" t="n">
        <f aca="false">T472-S472</f>
        <v>1.4</v>
      </c>
      <c r="U528" s="48" t="n">
        <f aca="false">U472-T472</f>
        <v>1.2</v>
      </c>
      <c r="V528" s="159" t="n">
        <f aca="false">V472</f>
        <v>3.5</v>
      </c>
      <c r="W528" s="48" t="n">
        <f aca="false">W472</f>
        <v>0.2</v>
      </c>
      <c r="X528" s="48" t="n">
        <f aca="false">X472-W472</f>
        <v>7.6</v>
      </c>
      <c r="Y528" s="48" t="n">
        <f aca="false">Y472-X472</f>
        <v>0</v>
      </c>
      <c r="Z528" s="48" t="n">
        <f aca="false">Z472-Y472</f>
        <v>1.2</v>
      </c>
      <c r="AA528" s="159" t="n">
        <f aca="false">AA472</f>
        <v>9</v>
      </c>
      <c r="AB528" s="48" t="n">
        <f aca="false">AB472</f>
        <v>2</v>
      </c>
      <c r="AC528" s="48" t="n">
        <f aca="false">AC472-AB472</f>
        <v>2.6</v>
      </c>
      <c r="AD528" s="48" t="n">
        <f aca="false">AD472-AC472</f>
        <v>1.2</v>
      </c>
      <c r="AE528" s="48" t="n">
        <f aca="false">AE472-AD472</f>
        <v>9.6</v>
      </c>
      <c r="AF528" s="159" t="n">
        <f aca="false">AF472</f>
        <v>15.4</v>
      </c>
      <c r="AG528" s="48" t="n">
        <f aca="false">AG472</f>
        <v>2.7</v>
      </c>
      <c r="AH528" s="48" t="n">
        <f aca="false">AH472-AG472</f>
        <v>0</v>
      </c>
      <c r="AI528" s="48" t="n">
        <f aca="false">AI472-AH472</f>
        <v>2</v>
      </c>
      <c r="AJ528" s="48" t="n">
        <f aca="false">AJ472-AI472</f>
        <v>0</v>
      </c>
      <c r="AK528" s="159" t="n">
        <f aca="false">AK472</f>
        <v>4.7</v>
      </c>
      <c r="AL528" s="48" t="n">
        <f aca="false">AL472</f>
        <v>2.7</v>
      </c>
      <c r="AM528" s="48" t="n">
        <f aca="false">AM472-AL472</f>
        <v>0</v>
      </c>
      <c r="AN528" s="48" t="n">
        <f aca="false">AN472-AM472</f>
        <v>0</v>
      </c>
      <c r="AO528" s="48" t="n">
        <f aca="false">AO472-AN472</f>
        <v>0</v>
      </c>
      <c r="AP528" s="159" t="n">
        <f aca="false">AP472</f>
        <v>2.7</v>
      </c>
      <c r="AQ528" s="48" t="n">
        <f aca="false">AQ472</f>
        <v>0</v>
      </c>
      <c r="AR528" s="48" t="n">
        <f aca="false">AR472-AQ472</f>
        <v>0</v>
      </c>
      <c r="AS528" s="48" t="n">
        <f aca="false">AS472-AR472</f>
        <v>0</v>
      </c>
      <c r="AT528" s="48" t="n">
        <f aca="false">AT472-AS472</f>
        <v>0</v>
      </c>
      <c r="AU528" s="159" t="n">
        <f aca="false">AU472</f>
        <v>0</v>
      </c>
      <c r="AV528" s="48" t="n">
        <f aca="false">AV472</f>
        <v>0</v>
      </c>
      <c r="AW528" s="48" t="n">
        <f aca="false">AW472-AV472</f>
        <v>0</v>
      </c>
      <c r="AX528" s="48" t="n">
        <f aca="false">AX472-AW472</f>
        <v>0</v>
      </c>
      <c r="AY528" s="48" t="n">
        <f aca="false">AY472-AX472</f>
        <v>0</v>
      </c>
      <c r="AZ528" s="159" t="n">
        <f aca="false">AZ472</f>
        <v>0</v>
      </c>
      <c r="BA528" s="48" t="n">
        <f aca="false">BA472</f>
        <v>0</v>
      </c>
      <c r="BB528" s="48" t="n">
        <f aca="false">BB472-BA472</f>
        <v>0</v>
      </c>
      <c r="BC528" s="48" t="n">
        <f aca="false">BC472-BB472</f>
        <v>0</v>
      </c>
      <c r="BD528" s="48" t="n">
        <f aca="false">BD472-BC472</f>
        <v>0</v>
      </c>
      <c r="BE528" s="159" t="n">
        <f aca="false">BE472</f>
        <v>0</v>
      </c>
      <c r="BF528" s="48" t="n">
        <f aca="false">BF472</f>
        <v>0</v>
      </c>
      <c r="BG528" s="48" t="n">
        <f aca="false">BG472-BF472</f>
        <v>0</v>
      </c>
      <c r="BH528" s="48" t="n">
        <f aca="false">BH472-BG472</f>
        <v>0</v>
      </c>
      <c r="BI528" s="48" t="n">
        <f aca="false">BI472-BH472</f>
        <v>0</v>
      </c>
      <c r="BJ528" s="159" t="n">
        <f aca="false">BJ472</f>
        <v>0</v>
      </c>
      <c r="BK528" s="48" t="n">
        <f aca="false">BK472</f>
        <v>0</v>
      </c>
      <c r="BL528" s="48" t="n">
        <f aca="false">BL472-BK472</f>
        <v>0</v>
      </c>
      <c r="BM528" s="48" t="n">
        <f aca="false">BM472-BL472</f>
        <v>0</v>
      </c>
      <c r="BN528" s="48" t="n">
        <f aca="false">BN472-BM472</f>
        <v>0</v>
      </c>
      <c r="BO528" s="160" t="n">
        <f aca="false">BO472</f>
        <v>0</v>
      </c>
      <c r="BP528" s="48"/>
      <c r="BQ528" s="48"/>
      <c r="BR528" s="48"/>
      <c r="BS528" s="48"/>
      <c r="BT528" s="159" t="n">
        <f aca="false">SUM(BP528,BQ528,BR528,BS528)</f>
        <v>0</v>
      </c>
      <c r="BU528" s="48"/>
      <c r="BV528" s="48"/>
      <c r="BW528" s="48"/>
      <c r="BX528" s="48"/>
      <c r="BY528" s="159" t="n">
        <f aca="false">SUM(BU528,BV528,BW528,BX528)</f>
        <v>0</v>
      </c>
      <c r="BZ528" s="159"/>
      <c r="CA528" s="159"/>
      <c r="CB528" s="159"/>
      <c r="CC528" s="156"/>
    </row>
    <row r="529" s="51" customFormat="true" ht="15" hidden="false" customHeight="true" outlineLevel="0" collapsed="false">
      <c r="A529" s="145" t="str">
        <f aca="false">A473</f>
        <v>Loss on disposal of property, plant and equipment</v>
      </c>
      <c r="B529" s="254"/>
      <c r="C529" s="159" t="n">
        <f aca="false">C473</f>
        <v>4.053</v>
      </c>
      <c r="D529" s="159" t="n">
        <f aca="false">D473</f>
        <v>2.913</v>
      </c>
      <c r="E529" s="159" t="n">
        <f aca="false">E473</f>
        <v>3.368</v>
      </c>
      <c r="F529" s="159" t="n">
        <f aca="false">F473</f>
        <v>2.272</v>
      </c>
      <c r="G529" s="159" t="n">
        <f aca="false">G473</f>
        <v>2.823</v>
      </c>
      <c r="H529" s="48" t="n">
        <f aca="false">H473</f>
        <v>0.7</v>
      </c>
      <c r="I529" s="48" t="n">
        <f aca="false">I473-H473</f>
        <v>0.5</v>
      </c>
      <c r="J529" s="48" t="n">
        <f aca="false">J473-I473</f>
        <v>0.9</v>
      </c>
      <c r="K529" s="48" t="n">
        <f aca="false">K473-J473</f>
        <v>1.402</v>
      </c>
      <c r="L529" s="159" t="n">
        <f aca="false">L473</f>
        <v>3.502</v>
      </c>
      <c r="M529" s="48" t="n">
        <f aca="false">M473</f>
        <v>0.9</v>
      </c>
      <c r="N529" s="48" t="n">
        <f aca="false">N473-M473</f>
        <v>0.4</v>
      </c>
      <c r="O529" s="48" t="n">
        <f aca="false">O473-N473</f>
        <v>0.3</v>
      </c>
      <c r="P529" s="48" t="n">
        <f aca="false">P473-O473</f>
        <v>0.0299999999999998</v>
      </c>
      <c r="Q529" s="159" t="n">
        <f aca="false">Q473</f>
        <v>1.63</v>
      </c>
      <c r="R529" s="48" t="n">
        <f aca="false">R473</f>
        <v>1.2</v>
      </c>
      <c r="S529" s="48" t="n">
        <f aca="false">S473-R473</f>
        <v>0.9</v>
      </c>
      <c r="T529" s="48" t="n">
        <f aca="false">T473-S473</f>
        <v>1.7</v>
      </c>
      <c r="U529" s="48" t="n">
        <f aca="false">U473-T473</f>
        <v>1.4</v>
      </c>
      <c r="V529" s="159" t="n">
        <f aca="false">V473</f>
        <v>5.2</v>
      </c>
      <c r="W529" s="48" t="n">
        <f aca="false">W473</f>
        <v>0.3</v>
      </c>
      <c r="X529" s="48" t="n">
        <f aca="false">X473-W473</f>
        <v>0.8</v>
      </c>
      <c r="Y529" s="48" t="n">
        <f aca="false">Y473-X473</f>
        <v>0.0999999999999999</v>
      </c>
      <c r="Z529" s="48" t="n">
        <f aca="false">Z473-Y473</f>
        <v>1.6</v>
      </c>
      <c r="AA529" s="159" t="n">
        <f aca="false">AA473</f>
        <v>2.8</v>
      </c>
      <c r="AB529" s="48" t="n">
        <f aca="false">AB473</f>
        <v>0.4</v>
      </c>
      <c r="AC529" s="48" t="n">
        <f aca="false">AC473-AB473</f>
        <v>3</v>
      </c>
      <c r="AD529" s="48" t="n">
        <f aca="false">AD473-AC473</f>
        <v>0.1</v>
      </c>
      <c r="AE529" s="48" t="n">
        <f aca="false">AE473-AD473</f>
        <v>0.1</v>
      </c>
      <c r="AF529" s="159" t="n">
        <f aca="false">AF473</f>
        <v>3.6</v>
      </c>
      <c r="AG529" s="48" t="n">
        <f aca="false">AG473</f>
        <v>0.6</v>
      </c>
      <c r="AH529" s="48" t="n">
        <f aca="false">AH473-AG473</f>
        <v>1.4</v>
      </c>
      <c r="AI529" s="48" t="n">
        <f aca="false">AI473-AH473</f>
        <v>0.3</v>
      </c>
      <c r="AJ529" s="48" t="n">
        <f aca="false">AJ473-AI473</f>
        <v>0.8</v>
      </c>
      <c r="AK529" s="159" t="n">
        <f aca="false">AK473</f>
        <v>3.1</v>
      </c>
      <c r="AL529" s="48" t="n">
        <f aca="false">AL473</f>
        <v>1</v>
      </c>
      <c r="AM529" s="48" t="n">
        <f aca="false">AM473-AL473</f>
        <v>0.2</v>
      </c>
      <c r="AN529" s="48" t="n">
        <f aca="false">AN473-AM473</f>
        <v>0.8</v>
      </c>
      <c r="AO529" s="48" t="n">
        <f aca="false">AO473-AN473</f>
        <v>0.8</v>
      </c>
      <c r="AP529" s="159" t="n">
        <f aca="false">AP473</f>
        <v>2.8</v>
      </c>
      <c r="AQ529" s="48" t="n">
        <f aca="false">AQ473</f>
        <v>6.2</v>
      </c>
      <c r="AR529" s="48" t="n">
        <f aca="false">AR473-AQ473</f>
        <v>0.2</v>
      </c>
      <c r="AS529" s="48" t="n">
        <f aca="false">AS473-AR473</f>
        <v>-39.8</v>
      </c>
      <c r="AT529" s="48" t="n">
        <f aca="false">AT473-AS473</f>
        <v>17.5</v>
      </c>
      <c r="AU529" s="159" t="n">
        <f aca="false">AU473</f>
        <v>-15.9</v>
      </c>
      <c r="AV529" s="48" t="n">
        <f aca="false">AV473</f>
        <v>12.1</v>
      </c>
      <c r="AW529" s="48" t="n">
        <f aca="false">AW473-AV473</f>
        <v>0.300000000000001</v>
      </c>
      <c r="AX529" s="48" t="n">
        <f aca="false">AX473-AW473</f>
        <v>13.2</v>
      </c>
      <c r="AY529" s="48" t="n">
        <f aca="false">AY473-AX473</f>
        <v>13.7</v>
      </c>
      <c r="AZ529" s="159" t="n">
        <f aca="false">AZ473</f>
        <v>39.3</v>
      </c>
      <c r="BA529" s="48" t="n">
        <f aca="false">BA473</f>
        <v>3.2</v>
      </c>
      <c r="BB529" s="48" t="n">
        <f aca="false">BB473-BA473</f>
        <v>3.9</v>
      </c>
      <c r="BC529" s="48" t="n">
        <f aca="false">BC473-BB473</f>
        <v>20.4</v>
      </c>
      <c r="BD529" s="48" t="n">
        <f aca="false">BD473-BC473</f>
        <v>10</v>
      </c>
      <c r="BE529" s="159" t="n">
        <f aca="false">BE473</f>
        <v>37.5</v>
      </c>
      <c r="BF529" s="48" t="n">
        <f aca="false">BF473</f>
        <v>4.2</v>
      </c>
      <c r="BG529" s="48" t="n">
        <f aca="false">BG473-BF473</f>
        <v>13.7</v>
      </c>
      <c r="BH529" s="48" t="n">
        <f aca="false">BH473-BG473</f>
        <v>6.8</v>
      </c>
      <c r="BI529" s="48" t="n">
        <f aca="false">BI473-BH473</f>
        <v>11.1</v>
      </c>
      <c r="BJ529" s="159" t="n">
        <f aca="false">BJ473</f>
        <v>35.8</v>
      </c>
      <c r="BK529" s="48" t="n">
        <f aca="false">BK473</f>
        <v>2.1</v>
      </c>
      <c r="BL529" s="48" t="n">
        <f aca="false">BL473-BK473</f>
        <v>16.5</v>
      </c>
      <c r="BM529" s="48" t="n">
        <f aca="false">BM473-BL473</f>
        <v>3.1</v>
      </c>
      <c r="BN529" s="48" t="n">
        <f aca="false">BN473-BM473</f>
        <v>28</v>
      </c>
      <c r="BO529" s="160" t="n">
        <f aca="false">BO473</f>
        <v>49.7</v>
      </c>
      <c r="BP529" s="48"/>
      <c r="BQ529" s="48"/>
      <c r="BR529" s="48"/>
      <c r="BS529" s="48"/>
      <c r="BT529" s="159" t="n">
        <f aca="false">SUM(BP529,BQ529,BR529,BS529)</f>
        <v>0</v>
      </c>
      <c r="BU529" s="48"/>
      <c r="BV529" s="48"/>
      <c r="BW529" s="48"/>
      <c r="BX529" s="48"/>
      <c r="BY529" s="159" t="n">
        <f aca="false">SUM(BU529,BV529,BW529,BX529)</f>
        <v>0</v>
      </c>
      <c r="BZ529" s="159"/>
      <c r="CA529" s="159"/>
      <c r="CB529" s="159"/>
      <c r="CC529" s="50"/>
    </row>
    <row r="530" s="51" customFormat="true" ht="15" hidden="false" customHeight="true" outlineLevel="0" collapsed="false">
      <c r="A530" s="145" t="str">
        <f aca="false">A474</f>
        <v>Share-based payments</v>
      </c>
      <c r="B530" s="254"/>
      <c r="C530" s="159" t="n">
        <f aca="false">C474</f>
        <v>13.394</v>
      </c>
      <c r="D530" s="159" t="n">
        <f aca="false">D474</f>
        <v>12.109</v>
      </c>
      <c r="E530" s="159" t="n">
        <f aca="false">E474</f>
        <v>12.43</v>
      </c>
      <c r="F530" s="159" t="n">
        <f aca="false">F474</f>
        <v>18.714</v>
      </c>
      <c r="G530" s="159" t="n">
        <f aca="false">G474</f>
        <v>52.371</v>
      </c>
      <c r="H530" s="48" t="n">
        <f aca="false">H474</f>
        <v>23.1</v>
      </c>
      <c r="I530" s="48" t="n">
        <f aca="false">I474-H474</f>
        <v>13.5</v>
      </c>
      <c r="J530" s="48" t="n">
        <f aca="false">J474-I474</f>
        <v>13.7</v>
      </c>
      <c r="K530" s="48" t="n">
        <f aca="false">K474-J474</f>
        <v>13.08</v>
      </c>
      <c r="L530" s="159" t="n">
        <f aca="false">L474</f>
        <v>63.38</v>
      </c>
      <c r="M530" s="48" t="n">
        <f aca="false">M474</f>
        <v>14.6</v>
      </c>
      <c r="N530" s="48" t="n">
        <f aca="false">N474-M474</f>
        <v>15</v>
      </c>
      <c r="O530" s="48" t="n">
        <f aca="false">O474-N474</f>
        <v>14.8</v>
      </c>
      <c r="P530" s="48" t="n">
        <f aca="false">P474-O474</f>
        <v>14.67</v>
      </c>
      <c r="Q530" s="159" t="n">
        <f aca="false">Q474</f>
        <v>59.07</v>
      </c>
      <c r="R530" s="48" t="n">
        <f aca="false">R474</f>
        <v>13.2</v>
      </c>
      <c r="S530" s="48" t="n">
        <f aca="false">S474-R474</f>
        <v>10.9</v>
      </c>
      <c r="T530" s="48" t="n">
        <f aca="false">T474-S474</f>
        <v>11.6</v>
      </c>
      <c r="U530" s="48" t="n">
        <f aca="false">U474-T474</f>
        <v>12</v>
      </c>
      <c r="V530" s="159" t="n">
        <f aca="false">V474</f>
        <v>47.7</v>
      </c>
      <c r="W530" s="48" t="n">
        <f aca="false">W474</f>
        <v>13.5</v>
      </c>
      <c r="X530" s="48" t="n">
        <f aca="false">X474-W474</f>
        <v>10.1</v>
      </c>
      <c r="Y530" s="48" t="n">
        <f aca="false">Y474-X474</f>
        <v>14.8</v>
      </c>
      <c r="Z530" s="48" t="n">
        <f aca="false">Z474-Y474</f>
        <v>14.7</v>
      </c>
      <c r="AA530" s="159" t="n">
        <f aca="false">AA474</f>
        <v>53.1</v>
      </c>
      <c r="AB530" s="48" t="n">
        <f aca="false">AB474</f>
        <v>12.2</v>
      </c>
      <c r="AC530" s="48" t="n">
        <f aca="false">AC474-AB474</f>
        <v>9.2</v>
      </c>
      <c r="AD530" s="48" t="n">
        <f aca="false">AD474-AC474</f>
        <v>16.6</v>
      </c>
      <c r="AE530" s="48" t="n">
        <f aca="false">AE474-AD474</f>
        <v>8.3</v>
      </c>
      <c r="AF530" s="159" t="n">
        <f aca="false">AF474</f>
        <v>46.3</v>
      </c>
      <c r="AG530" s="48" t="n">
        <f aca="false">AG474</f>
        <v>14.9</v>
      </c>
      <c r="AH530" s="48" t="n">
        <f aca="false">AH474-AG474</f>
        <v>12.5</v>
      </c>
      <c r="AI530" s="48" t="n">
        <f aca="false">AI474-AH474</f>
        <v>18</v>
      </c>
      <c r="AJ530" s="48" t="n">
        <f aca="false">AJ474-AI474</f>
        <v>29.2</v>
      </c>
      <c r="AK530" s="159" t="n">
        <f aca="false">AK474</f>
        <v>74.6</v>
      </c>
      <c r="AL530" s="48" t="n">
        <f aca="false">AL474</f>
        <v>14.9</v>
      </c>
      <c r="AM530" s="48" t="n">
        <f aca="false">AM474-AL474</f>
        <v>10.3</v>
      </c>
      <c r="AN530" s="48" t="n">
        <f aca="false">AN474-AM474</f>
        <v>22.5</v>
      </c>
      <c r="AO530" s="48" t="n">
        <f aca="false">AO474-AN474</f>
        <v>6.2</v>
      </c>
      <c r="AP530" s="159" t="n">
        <f aca="false">AP474</f>
        <v>53.9</v>
      </c>
      <c r="AQ530" s="48" t="n">
        <f aca="false">AQ474</f>
        <v>21</v>
      </c>
      <c r="AR530" s="48" t="n">
        <f aca="false">AR474-AQ474</f>
        <v>29</v>
      </c>
      <c r="AS530" s="48" t="n">
        <f aca="false">AS474-AR474</f>
        <v>34</v>
      </c>
      <c r="AT530" s="48" t="n">
        <f aca="false">AT474-AS474</f>
        <v>33.5</v>
      </c>
      <c r="AU530" s="159" t="n">
        <f aca="false">AU474</f>
        <v>117.5</v>
      </c>
      <c r="AV530" s="48" t="n">
        <f aca="false">AV474</f>
        <v>11.5</v>
      </c>
      <c r="AW530" s="48" t="n">
        <f aca="false">AW474-AV474</f>
        <v>13.9</v>
      </c>
      <c r="AX530" s="48" t="n">
        <f aca="false">AX474-AW474</f>
        <v>22.5</v>
      </c>
      <c r="AY530" s="48" t="n">
        <f aca="false">AY474-AX474</f>
        <v>21</v>
      </c>
      <c r="AZ530" s="159" t="n">
        <f aca="false">AZ474</f>
        <v>68.9</v>
      </c>
      <c r="BA530" s="48" t="n">
        <f aca="false">BA474</f>
        <v>18.3</v>
      </c>
      <c r="BB530" s="48" t="n">
        <f aca="false">BB474-BA474</f>
        <v>33.4</v>
      </c>
      <c r="BC530" s="48" t="n">
        <f aca="false">BC474-BB474</f>
        <v>41.5</v>
      </c>
      <c r="BD530" s="48" t="n">
        <f aca="false">BD474-BC474</f>
        <v>41.6</v>
      </c>
      <c r="BE530" s="159" t="n">
        <f aca="false">BE474</f>
        <v>134.8</v>
      </c>
      <c r="BF530" s="48" t="n">
        <f aca="false">BF474</f>
        <v>19.8</v>
      </c>
      <c r="BG530" s="48" t="n">
        <f aca="false">BG474-BF474</f>
        <v>46.5</v>
      </c>
      <c r="BH530" s="48" t="n">
        <f aca="false">BH474-BG474</f>
        <v>53.3</v>
      </c>
      <c r="BI530" s="48" t="n">
        <f aca="false">BI474-BH474</f>
        <v>53</v>
      </c>
      <c r="BJ530" s="159" t="n">
        <f aca="false">BJ474</f>
        <v>172.6</v>
      </c>
      <c r="BK530" s="48" t="n">
        <f aca="false">BK474</f>
        <v>40</v>
      </c>
      <c r="BL530" s="48" t="n">
        <f aca="false">BL474-BK474</f>
        <v>49</v>
      </c>
      <c r="BM530" s="48" t="n">
        <f aca="false">BM474-BL474</f>
        <v>57.7</v>
      </c>
      <c r="BN530" s="48" t="n">
        <f aca="false">BN474-BM474</f>
        <v>55.6</v>
      </c>
      <c r="BO530" s="160" t="n">
        <f aca="false">BO474</f>
        <v>202.3</v>
      </c>
      <c r="BP530" s="48" t="n">
        <f aca="false">BP343</f>
        <v>25.7685902276923</v>
      </c>
      <c r="BQ530" s="48" t="n">
        <f aca="false">BQ343</f>
        <v>26.5903693450775</v>
      </c>
      <c r="BR530" s="48" t="n">
        <f aca="false">BR343</f>
        <v>28.1372378857416</v>
      </c>
      <c r="BS530" s="48" t="n">
        <f aca="false">BS343</f>
        <v>30.2475343758738</v>
      </c>
      <c r="BT530" s="159" t="n">
        <f aca="false">SUM(BP530,BQ530,BR530,BS530)</f>
        <v>110.743731834385</v>
      </c>
      <c r="BU530" s="48" t="n">
        <f aca="false">BU343</f>
        <v>26.6780658738462</v>
      </c>
      <c r="BV530" s="48" t="n">
        <f aca="false">BV343</f>
        <v>27.1105358626866</v>
      </c>
      <c r="BW530" s="48" t="n">
        <f aca="false">BW343</f>
        <v>29.8669949609282</v>
      </c>
      <c r="BX530" s="48" t="n">
        <f aca="false">BX343</f>
        <v>32.1569824690819</v>
      </c>
      <c r="BY530" s="159" t="n">
        <f aca="false">SUM(BU530,BV530,BW530,BX530)</f>
        <v>115.812579166543</v>
      </c>
      <c r="BZ530" s="159" t="n">
        <f aca="false">BZ343</f>
        <v>139.631869513985</v>
      </c>
      <c r="CA530" s="159" t="n">
        <f aca="false">CA343</f>
        <v>146.727103534985</v>
      </c>
      <c r="CB530" s="159" t="n">
        <f aca="false">CB343</f>
        <v>154.255047387228</v>
      </c>
      <c r="CC530" s="50"/>
    </row>
    <row r="531" s="51" customFormat="true" ht="15" hidden="false" customHeight="true" outlineLevel="0" collapsed="false">
      <c r="A531" s="145" t="str">
        <f aca="false">A475</f>
        <v>Gain on sale of subsidiaries</v>
      </c>
      <c r="B531" s="254"/>
      <c r="C531" s="159" t="n">
        <f aca="false">C475</f>
        <v>0</v>
      </c>
      <c r="D531" s="159" t="n">
        <f aca="false">D475</f>
        <v>0</v>
      </c>
      <c r="E531" s="159" t="n">
        <f aca="false">E475</f>
        <v>0</v>
      </c>
      <c r="F531" s="159" t="n">
        <f aca="false">F475</f>
        <v>0</v>
      </c>
      <c r="G531" s="159" t="n">
        <f aca="false">G475</f>
        <v>0</v>
      </c>
      <c r="H531" s="48" t="n">
        <f aca="false">H475</f>
        <v>0</v>
      </c>
      <c r="I531" s="48" t="n">
        <f aca="false">I475-H475</f>
        <v>0</v>
      </c>
      <c r="J531" s="48" t="n">
        <f aca="false">J475-I475</f>
        <v>0</v>
      </c>
      <c r="K531" s="48" t="n">
        <f aca="false">K475-J475</f>
        <v>0</v>
      </c>
      <c r="L531" s="159" t="n">
        <f aca="false">L475</f>
        <v>0</v>
      </c>
      <c r="M531" s="48" t="n">
        <f aca="false">M475</f>
        <v>0</v>
      </c>
      <c r="N531" s="48" t="n">
        <f aca="false">N475-M475</f>
        <v>0</v>
      </c>
      <c r="O531" s="48" t="n">
        <f aca="false">O475-N475</f>
        <v>0</v>
      </c>
      <c r="P531" s="48" t="n">
        <f aca="false">P475-O475</f>
        <v>0</v>
      </c>
      <c r="Q531" s="159" t="n">
        <f aca="false">Q475</f>
        <v>0</v>
      </c>
      <c r="R531" s="48" t="n">
        <f aca="false">R475</f>
        <v>0</v>
      </c>
      <c r="S531" s="48" t="n">
        <f aca="false">S475-R475</f>
        <v>0</v>
      </c>
      <c r="T531" s="48" t="n">
        <f aca="false">T475-S475</f>
        <v>0</v>
      </c>
      <c r="U531" s="48" t="n">
        <f aca="false">U475-T475</f>
        <v>0</v>
      </c>
      <c r="V531" s="159" t="n">
        <f aca="false">V475</f>
        <v>0</v>
      </c>
      <c r="W531" s="48" t="n">
        <f aca="false">W475</f>
        <v>0</v>
      </c>
      <c r="X531" s="48" t="n">
        <f aca="false">X475-W475</f>
        <v>0</v>
      </c>
      <c r="Y531" s="48" t="n">
        <f aca="false">Y475-X475</f>
        <v>0</v>
      </c>
      <c r="Z531" s="48" t="n">
        <f aca="false">Z475-Y475</f>
        <v>0</v>
      </c>
      <c r="AA531" s="159" t="n">
        <f aca="false">AA475</f>
        <v>0</v>
      </c>
      <c r="AB531" s="48" t="n">
        <f aca="false">AB475</f>
        <v>0</v>
      </c>
      <c r="AC531" s="48" t="n">
        <f aca="false">AC475-AB475</f>
        <v>0</v>
      </c>
      <c r="AD531" s="48" t="n">
        <f aca="false">AD475-AC475</f>
        <v>0</v>
      </c>
      <c r="AE531" s="48" t="n">
        <f aca="false">AE475-AD475</f>
        <v>0</v>
      </c>
      <c r="AF531" s="159" t="n">
        <f aca="false">AF475</f>
        <v>0</v>
      </c>
      <c r="AG531" s="48" t="n">
        <f aca="false">AG475</f>
        <v>0</v>
      </c>
      <c r="AH531" s="48" t="n">
        <f aca="false">AH475-AG475</f>
        <v>0</v>
      </c>
      <c r="AI531" s="48" t="n">
        <f aca="false">AI475-AH475</f>
        <v>0</v>
      </c>
      <c r="AJ531" s="48" t="n">
        <f aca="false">AJ475-AI475</f>
        <v>0</v>
      </c>
      <c r="AK531" s="159" t="n">
        <f aca="false">AK475</f>
        <v>0</v>
      </c>
      <c r="AL531" s="48" t="n">
        <f aca="false">AL475</f>
        <v>0</v>
      </c>
      <c r="AM531" s="48" t="n">
        <f aca="false">AM475-AL475</f>
        <v>0</v>
      </c>
      <c r="AN531" s="48" t="n">
        <f aca="false">AN475-AM475</f>
        <v>0</v>
      </c>
      <c r="AO531" s="48" t="n">
        <f aca="false">AO475-AN475</f>
        <v>0</v>
      </c>
      <c r="AP531" s="159" t="n">
        <f aca="false">AP475</f>
        <v>0</v>
      </c>
      <c r="AQ531" s="48" t="n">
        <f aca="false">AQ475</f>
        <v>0</v>
      </c>
      <c r="AR531" s="48" t="n">
        <f aca="false">AR475-AQ475</f>
        <v>0</v>
      </c>
      <c r="AS531" s="48" t="n">
        <f aca="false">AS475-AR475</f>
        <v>0</v>
      </c>
      <c r="AT531" s="48" t="n">
        <f aca="false">AT475-AS475</f>
        <v>-213.7</v>
      </c>
      <c r="AU531" s="159" t="n">
        <f aca="false">AU475</f>
        <v>-213.7</v>
      </c>
      <c r="AV531" s="48" t="n">
        <f aca="false">AV475</f>
        <v>0</v>
      </c>
      <c r="AW531" s="48" t="n">
        <f aca="false">AW475-AV475</f>
        <v>0</v>
      </c>
      <c r="AX531" s="48" t="n">
        <f aca="false">AX475-AW475</f>
        <v>0</v>
      </c>
      <c r="AY531" s="48" t="n">
        <f aca="false">AY475-AX475</f>
        <v>0</v>
      </c>
      <c r="AZ531" s="159" t="n">
        <f aca="false">AZ475</f>
        <v>0</v>
      </c>
      <c r="BA531" s="48" t="n">
        <f aca="false">BA475</f>
        <v>0</v>
      </c>
      <c r="BB531" s="48" t="n">
        <f aca="false">BB475-BA475</f>
        <v>0</v>
      </c>
      <c r="BC531" s="48" t="n">
        <f aca="false">BC475-BB475</f>
        <v>0</v>
      </c>
      <c r="BD531" s="48" t="n">
        <f aca="false">BD475-BC475</f>
        <v>0</v>
      </c>
      <c r="BE531" s="159" t="n">
        <f aca="false">BE475</f>
        <v>0</v>
      </c>
      <c r="BF531" s="48" t="n">
        <f aca="false">BF475</f>
        <v>0</v>
      </c>
      <c r="BG531" s="48" t="n">
        <f aca="false">BG475-BF475</f>
        <v>0</v>
      </c>
      <c r="BH531" s="48" t="n">
        <f aca="false">BH475-BG475</f>
        <v>0</v>
      </c>
      <c r="BI531" s="48" t="n">
        <f aca="false">BI475-BH475</f>
        <v>0</v>
      </c>
      <c r="BJ531" s="159" t="n">
        <f aca="false">BJ475</f>
        <v>0</v>
      </c>
      <c r="BK531" s="48" t="n">
        <f aca="false">BK475</f>
        <v>0</v>
      </c>
      <c r="BL531" s="48" t="n">
        <f aca="false">BL475-BK475</f>
        <v>0</v>
      </c>
      <c r="BM531" s="48" t="n">
        <f aca="false">BM475-BL475</f>
        <v>0</v>
      </c>
      <c r="BN531" s="48" t="n">
        <f aca="false">BN475-BM475</f>
        <v>0</v>
      </c>
      <c r="BO531" s="160" t="n">
        <f aca="false">BO475</f>
        <v>0</v>
      </c>
      <c r="BP531" s="48"/>
      <c r="BQ531" s="48"/>
      <c r="BR531" s="48"/>
      <c r="BS531" s="48"/>
      <c r="BT531" s="159" t="n">
        <f aca="false">SUM(BP531,BQ531,BR531,BS531)</f>
        <v>0</v>
      </c>
      <c r="BU531" s="48"/>
      <c r="BV531" s="48"/>
      <c r="BW531" s="48"/>
      <c r="BX531" s="48"/>
      <c r="BY531" s="159" t="n">
        <f aca="false">SUM(BU531,BV531,BW531,BX531)</f>
        <v>0</v>
      </c>
      <c r="BZ531" s="159"/>
      <c r="CA531" s="159"/>
      <c r="CB531" s="159"/>
      <c r="CC531" s="50"/>
    </row>
    <row r="532" s="51" customFormat="true" ht="15" hidden="false" customHeight="true" outlineLevel="0" collapsed="false">
      <c r="A532" s="145" t="str">
        <f aca="false">A476</f>
        <v>Allowance for doubtful receivables</v>
      </c>
      <c r="B532" s="254"/>
      <c r="C532" s="159" t="n">
        <f aca="false">C476</f>
        <v>1.889</v>
      </c>
      <c r="D532" s="159" t="n">
        <f aca="false">D476</f>
        <v>-1.256</v>
      </c>
      <c r="E532" s="159" t="n">
        <f aca="false">E476</f>
        <v>0.849</v>
      </c>
      <c r="F532" s="159" t="n">
        <f aca="false">F476</f>
        <v>0.458</v>
      </c>
      <c r="G532" s="159" t="n">
        <f aca="false">G476</f>
        <v>1.062</v>
      </c>
      <c r="H532" s="48" t="n">
        <f aca="false">H476</f>
        <v>0.1</v>
      </c>
      <c r="I532" s="48" t="n">
        <f aca="false">I476-H476</f>
        <v>0.1</v>
      </c>
      <c r="J532" s="48" t="n">
        <f aca="false">J476-I476</f>
        <v>0.1</v>
      </c>
      <c r="K532" s="48" t="n">
        <f aca="false">K476-J476</f>
        <v>-0.167</v>
      </c>
      <c r="L532" s="159" t="n">
        <f aca="false">L476</f>
        <v>0.133</v>
      </c>
      <c r="M532" s="48" t="n">
        <f aca="false">M476</f>
        <v>0.4</v>
      </c>
      <c r="N532" s="48" t="n">
        <f aca="false">N476-M476</f>
        <v>1.7</v>
      </c>
      <c r="O532" s="48" t="n">
        <f aca="false">O476-N476</f>
        <v>0.6</v>
      </c>
      <c r="P532" s="48" t="n">
        <f aca="false">P476-O476</f>
        <v>1.17</v>
      </c>
      <c r="Q532" s="159" t="n">
        <f aca="false">Q476</f>
        <v>3.87</v>
      </c>
      <c r="R532" s="48" t="n">
        <f aca="false">R476</f>
        <v>0.9</v>
      </c>
      <c r="S532" s="48" t="n">
        <f aca="false">S476-R476</f>
        <v>0.8</v>
      </c>
      <c r="T532" s="48" t="n">
        <f aca="false">T476-S476</f>
        <v>0.7</v>
      </c>
      <c r="U532" s="48" t="n">
        <f aca="false">U476-T476</f>
        <v>0.8</v>
      </c>
      <c r="V532" s="159" t="n">
        <f aca="false">V476</f>
        <v>3.2</v>
      </c>
      <c r="W532" s="48" t="n">
        <f aca="false">W476</f>
        <v>1.2</v>
      </c>
      <c r="X532" s="48" t="n">
        <f aca="false">X476-W476</f>
        <v>1.3</v>
      </c>
      <c r="Y532" s="48" t="n">
        <f aca="false">Y476-X476</f>
        <v>3.1</v>
      </c>
      <c r="Z532" s="48" t="n">
        <f aca="false">Z476-Y476</f>
        <v>2.2</v>
      </c>
      <c r="AA532" s="159" t="n">
        <f aca="false">AA476</f>
        <v>7.8</v>
      </c>
      <c r="AB532" s="48" t="n">
        <f aca="false">AB476</f>
        <v>2.4</v>
      </c>
      <c r="AC532" s="48" t="n">
        <f aca="false">AC476-AB476</f>
        <v>2.9</v>
      </c>
      <c r="AD532" s="48" t="n">
        <f aca="false">AD476-AC476</f>
        <v>2.7</v>
      </c>
      <c r="AE532" s="48" t="n">
        <f aca="false">AE476-AD476</f>
        <v>3.2</v>
      </c>
      <c r="AF532" s="159" t="n">
        <f aca="false">AF476</f>
        <v>11.2</v>
      </c>
      <c r="AG532" s="48" t="n">
        <f aca="false">AG476</f>
        <v>0.6</v>
      </c>
      <c r="AH532" s="48" t="n">
        <f aca="false">AH476-AG476</f>
        <v>-0.6</v>
      </c>
      <c r="AI532" s="48" t="n">
        <f aca="false">AI476-AH476</f>
        <v>0</v>
      </c>
      <c r="AJ532" s="48" t="n">
        <f aca="false">AJ476-AI476</f>
        <v>0</v>
      </c>
      <c r="AK532" s="159" t="n">
        <f aca="false">AK476</f>
        <v>0</v>
      </c>
      <c r="AL532" s="48" t="n">
        <f aca="false">AL476</f>
        <v>0</v>
      </c>
      <c r="AM532" s="48" t="n">
        <f aca="false">AM476-AL476</f>
        <v>0</v>
      </c>
      <c r="AN532" s="48" t="n">
        <f aca="false">AN476-AM476</f>
        <v>0</v>
      </c>
      <c r="AO532" s="48" t="n">
        <f aca="false">AO476-AN476</f>
        <v>0</v>
      </c>
      <c r="AP532" s="159" t="n">
        <f aca="false">AP476</f>
        <v>0</v>
      </c>
      <c r="AQ532" s="48" t="n">
        <f aca="false">AQ476</f>
        <v>0</v>
      </c>
      <c r="AR532" s="48" t="n">
        <f aca="false">AR476-AQ476</f>
        <v>0</v>
      </c>
      <c r="AS532" s="48" t="n">
        <f aca="false">AS476-AR476</f>
        <v>0</v>
      </c>
      <c r="AT532" s="48" t="n">
        <f aca="false">AT476-AS476</f>
        <v>0</v>
      </c>
      <c r="AU532" s="159" t="n">
        <f aca="false">AU476</f>
        <v>0</v>
      </c>
      <c r="AV532" s="48" t="n">
        <f aca="false">AV476</f>
        <v>0</v>
      </c>
      <c r="AW532" s="48" t="n">
        <f aca="false">AW476-AV476</f>
        <v>0</v>
      </c>
      <c r="AX532" s="48" t="n">
        <f aca="false">AX476-AW476</f>
        <v>0</v>
      </c>
      <c r="AY532" s="48" t="n">
        <f aca="false">AY476-AX476</f>
        <v>0</v>
      </c>
      <c r="AZ532" s="159" t="n">
        <f aca="false">AZ476</f>
        <v>0</v>
      </c>
      <c r="BA532" s="48" t="n">
        <f aca="false">BA476</f>
        <v>0</v>
      </c>
      <c r="BB532" s="48" t="n">
        <f aca="false">BB476-BA476</f>
        <v>0</v>
      </c>
      <c r="BC532" s="48" t="n">
        <f aca="false">BC476-BB476</f>
        <v>0</v>
      </c>
      <c r="BD532" s="48" t="n">
        <f aca="false">BD476-BC476</f>
        <v>0</v>
      </c>
      <c r="BE532" s="159" t="n">
        <f aca="false">BE476</f>
        <v>0</v>
      </c>
      <c r="BF532" s="48" t="n">
        <f aca="false">BF476</f>
        <v>0</v>
      </c>
      <c r="BG532" s="48" t="n">
        <f aca="false">BG476-BF476</f>
        <v>0</v>
      </c>
      <c r="BH532" s="48" t="n">
        <f aca="false">BH476-BG476</f>
        <v>0</v>
      </c>
      <c r="BI532" s="48" t="n">
        <f aca="false">BI476-BH476</f>
        <v>0</v>
      </c>
      <c r="BJ532" s="159" t="n">
        <f aca="false">BJ476</f>
        <v>0</v>
      </c>
      <c r="BK532" s="48" t="n">
        <f aca="false">BK476</f>
        <v>0</v>
      </c>
      <c r="BL532" s="48" t="n">
        <f aca="false">BL476-BK476</f>
        <v>0</v>
      </c>
      <c r="BM532" s="48" t="n">
        <f aca="false">BM476-BL476</f>
        <v>0</v>
      </c>
      <c r="BN532" s="48" t="n">
        <f aca="false">BN476-BM476</f>
        <v>0</v>
      </c>
      <c r="BO532" s="160" t="n">
        <f aca="false">BO476</f>
        <v>0</v>
      </c>
      <c r="BP532" s="48"/>
      <c r="BQ532" s="48"/>
      <c r="BR532" s="48"/>
      <c r="BS532" s="48"/>
      <c r="BT532" s="159" t="n">
        <f aca="false">SUM(BP532,BQ532,BR532,BS532)</f>
        <v>0</v>
      </c>
      <c r="BU532" s="48"/>
      <c r="BV532" s="48"/>
      <c r="BW532" s="48"/>
      <c r="BX532" s="48"/>
      <c r="BY532" s="159" t="n">
        <f aca="false">SUM(BU532,BV532,BW532,BX532)</f>
        <v>0</v>
      </c>
      <c r="BZ532" s="159"/>
      <c r="CA532" s="159"/>
      <c r="CB532" s="159"/>
      <c r="CC532" s="50"/>
    </row>
    <row r="533" s="51" customFormat="true" ht="15" hidden="false" customHeight="true" outlineLevel="0" collapsed="false">
      <c r="A533" s="145" t="str">
        <f aca="false">A477</f>
        <v>Allowance for obsolete inventory</v>
      </c>
      <c r="B533" s="254"/>
      <c r="C533" s="159" t="n">
        <f aca="false">C477</f>
        <v>86.636</v>
      </c>
      <c r="D533" s="159" t="n">
        <f aca="false">D477</f>
        <v>55.691</v>
      </c>
      <c r="E533" s="159" t="n">
        <f aca="false">E477</f>
        <v>60.3</v>
      </c>
      <c r="F533" s="159" t="n">
        <f aca="false">F477</f>
        <v>130.911</v>
      </c>
      <c r="G533" s="159" t="n">
        <f aca="false">G477</f>
        <v>164.852</v>
      </c>
      <c r="H533" s="48" t="n">
        <f aca="false">H477</f>
        <v>41.5</v>
      </c>
      <c r="I533" s="48" t="n">
        <f aca="false">I477-H477</f>
        <v>45.2</v>
      </c>
      <c r="J533" s="48" t="n">
        <f aca="false">J477-I477</f>
        <v>35.8</v>
      </c>
      <c r="K533" s="48" t="n">
        <f aca="false">K477-J477</f>
        <v>40.321</v>
      </c>
      <c r="L533" s="159" t="n">
        <f aca="false">L477</f>
        <v>162.821</v>
      </c>
      <c r="M533" s="48" t="n">
        <f aca="false">M477</f>
        <v>37</v>
      </c>
      <c r="N533" s="48" t="n">
        <f aca="false">N477-M477</f>
        <v>60.3</v>
      </c>
      <c r="O533" s="48" t="n">
        <f aca="false">O477-N477</f>
        <v>56.3</v>
      </c>
      <c r="P533" s="48" t="n">
        <f aca="false">P477-O477</f>
        <v>58.201</v>
      </c>
      <c r="Q533" s="159" t="n">
        <f aca="false">Q477</f>
        <v>211.801</v>
      </c>
      <c r="R533" s="48" t="n">
        <f aca="false">R477</f>
        <v>36.6</v>
      </c>
      <c r="S533" s="48" t="n">
        <f aca="false">S477-R477</f>
        <v>22.5</v>
      </c>
      <c r="T533" s="48" t="n">
        <f aca="false">T477-S477</f>
        <v>2.9</v>
      </c>
      <c r="U533" s="48" t="n">
        <f aca="false">U477-T477</f>
        <v>11</v>
      </c>
      <c r="V533" s="159" t="n">
        <f aca="false">V477</f>
        <v>73</v>
      </c>
      <c r="W533" s="48" t="n">
        <f aca="false">W477</f>
        <v>29.3</v>
      </c>
      <c r="X533" s="48" t="n">
        <f aca="false">X477-W477</f>
        <v>31.3</v>
      </c>
      <c r="Y533" s="48" t="n">
        <f aca="false">Y477-X477</f>
        <v>40.6</v>
      </c>
      <c r="Z533" s="48" t="n">
        <f aca="false">Z477-Y477</f>
        <v>18.9</v>
      </c>
      <c r="AA533" s="159" t="n">
        <f aca="false">AA477</f>
        <v>120.1</v>
      </c>
      <c r="AB533" s="48" t="n">
        <f aca="false">AB477</f>
        <v>59</v>
      </c>
      <c r="AC533" s="48" t="n">
        <f aca="false">AC477-AB477</f>
        <v>41.7</v>
      </c>
      <c r="AD533" s="48" t="n">
        <f aca="false">AD477-AC477</f>
        <v>45.5</v>
      </c>
      <c r="AE533" s="48" t="n">
        <f aca="false">AE477-AD477</f>
        <v>72</v>
      </c>
      <c r="AF533" s="159" t="n">
        <f aca="false">AF477</f>
        <v>218.2</v>
      </c>
      <c r="AG533" s="48" t="n">
        <f aca="false">AG477</f>
        <v>72.1</v>
      </c>
      <c r="AH533" s="48" t="n">
        <f aca="false">AH477-AG477</f>
        <v>49.1</v>
      </c>
      <c r="AI533" s="48" t="n">
        <f aca="false">AI477-AH477</f>
        <v>46.1</v>
      </c>
      <c r="AJ533" s="48" t="n">
        <f aca="false">AJ477-AI477</f>
        <v>54.2</v>
      </c>
      <c r="AK533" s="159" t="n">
        <f aca="false">AK477</f>
        <v>221.5</v>
      </c>
      <c r="AL533" s="48" t="n">
        <f aca="false">AL477</f>
        <v>39.3</v>
      </c>
      <c r="AM533" s="48" t="n">
        <f aca="false">AM477-AL477</f>
        <v>39.2</v>
      </c>
      <c r="AN533" s="48" t="n">
        <f aca="false">AN477-AM477</f>
        <v>36.3</v>
      </c>
      <c r="AO533" s="48" t="n">
        <f aca="false">AO477-AN477</f>
        <v>77.6</v>
      </c>
      <c r="AP533" s="159" t="n">
        <f aca="false">AP477</f>
        <v>192.4</v>
      </c>
      <c r="AQ533" s="48" t="n">
        <f aca="false">AQ477</f>
        <v>34.4</v>
      </c>
      <c r="AR533" s="48" t="n">
        <f aca="false">AR477-AQ477</f>
        <v>44</v>
      </c>
      <c r="AS533" s="48" t="n">
        <f aca="false">AS477-AR477</f>
        <v>52.9</v>
      </c>
      <c r="AT533" s="48" t="n">
        <f aca="false">AT477-AS477</f>
        <v>49.4</v>
      </c>
      <c r="AU533" s="159" t="n">
        <f aca="false">AU477</f>
        <v>180.7</v>
      </c>
      <c r="AV533" s="48" t="n">
        <f aca="false">AV477</f>
        <v>50.2</v>
      </c>
      <c r="AW533" s="48" t="n">
        <f aca="false">AW477-AV477</f>
        <v>75.2</v>
      </c>
      <c r="AX533" s="48" t="n">
        <f aca="false">AX477-AW477</f>
        <v>81.8</v>
      </c>
      <c r="AY533" s="48" t="n">
        <f aca="false">AY477-AX477</f>
        <v>71.3</v>
      </c>
      <c r="AZ533" s="159" t="n">
        <f aca="false">AZ477</f>
        <v>278.5</v>
      </c>
      <c r="BA533" s="48" t="n">
        <f aca="false">BA477</f>
        <v>81.7</v>
      </c>
      <c r="BB533" s="48" t="n">
        <f aca="false">BB477-BA477</f>
        <v>90.6</v>
      </c>
      <c r="BC533" s="48" t="n">
        <f aca="false">BC477-BB477</f>
        <v>102.3</v>
      </c>
      <c r="BD533" s="48" t="n">
        <f aca="false">BD477-BC477</f>
        <v>210.7</v>
      </c>
      <c r="BE533" s="159" t="n">
        <f aca="false">BE477</f>
        <v>485.3</v>
      </c>
      <c r="BF533" s="48" t="n">
        <f aca="false">BF477</f>
        <v>121.5</v>
      </c>
      <c r="BG533" s="48" t="n">
        <f aca="false">BG477-BF477</f>
        <v>110.7</v>
      </c>
      <c r="BH533" s="48" t="n">
        <f aca="false">BH477-BG477</f>
        <v>154.8</v>
      </c>
      <c r="BI533" s="48" t="n">
        <f aca="false">BI477-BH477</f>
        <v>167.7</v>
      </c>
      <c r="BJ533" s="159" t="n">
        <f aca="false">BJ477</f>
        <v>554.7</v>
      </c>
      <c r="BK533" s="48" t="n">
        <f aca="false">BK477</f>
        <v>59.6</v>
      </c>
      <c r="BL533" s="48" t="n">
        <f aca="false">BL477-BK477</f>
        <v>99.7</v>
      </c>
      <c r="BM533" s="48" t="n">
        <f aca="false">BM477-BL477</f>
        <v>138.6</v>
      </c>
      <c r="BN533" s="48" t="n">
        <f aca="false">BN477-BM477</f>
        <v>171.5</v>
      </c>
      <c r="BO533" s="160" t="n">
        <f aca="false">BO477</f>
        <v>469.4</v>
      </c>
      <c r="BP533" s="48"/>
      <c r="BQ533" s="48"/>
      <c r="BR533" s="48"/>
      <c r="BS533" s="48"/>
      <c r="BT533" s="159" t="n">
        <f aca="false">SUM(BP533,BQ533,BR533,BS533)</f>
        <v>0</v>
      </c>
      <c r="BU533" s="48"/>
      <c r="BV533" s="48"/>
      <c r="BW533" s="48"/>
      <c r="BX533" s="48"/>
      <c r="BY533" s="159" t="n">
        <f aca="false">SUM(BU533,BV533,BW533,BX533)</f>
        <v>0</v>
      </c>
      <c r="BZ533" s="159"/>
      <c r="CA533" s="159"/>
      <c r="CB533" s="159"/>
      <c r="CC533" s="50"/>
    </row>
    <row r="534" s="51" customFormat="true" ht="15" hidden="false" customHeight="true" outlineLevel="0" collapsed="false">
      <c r="A534" s="145" t="str">
        <f aca="false">A478</f>
        <v>Deferred income taxes</v>
      </c>
      <c r="B534" s="254"/>
      <c r="C534" s="159" t="n">
        <f aca="false">C478</f>
        <v>-49.423</v>
      </c>
      <c r="D534" s="159" t="n">
        <f aca="false">D478</f>
        <v>28.053</v>
      </c>
      <c r="E534" s="159" t="n">
        <f aca="false">E478</f>
        <v>63.25</v>
      </c>
      <c r="F534" s="159" t="n">
        <f aca="false">F478</f>
        <v>-72.374</v>
      </c>
      <c r="G534" s="159" t="n">
        <f aca="false">G478</f>
        <v>-22.658</v>
      </c>
      <c r="H534" s="48" t="n">
        <f aca="false">H478</f>
        <v>-29.9</v>
      </c>
      <c r="I534" s="48" t="n">
        <f aca="false">I478-H478</f>
        <v>11</v>
      </c>
      <c r="J534" s="48" t="n">
        <f aca="false">J478-I478</f>
        <v>-39</v>
      </c>
      <c r="K534" s="48" t="n">
        <f aca="false">K478-J478</f>
        <v>-1.15</v>
      </c>
      <c r="L534" s="159" t="n">
        <f aca="false">L478</f>
        <v>-59.05</v>
      </c>
      <c r="M534" s="48" t="n">
        <f aca="false">M478</f>
        <v>16.5</v>
      </c>
      <c r="N534" s="48" t="n">
        <f aca="false">N478-M478</f>
        <v>-9.4</v>
      </c>
      <c r="O534" s="48" t="n">
        <f aca="false">O478-N478</f>
        <v>41</v>
      </c>
      <c r="P534" s="48" t="n">
        <f aca="false">P478-O478</f>
        <v>-2.751</v>
      </c>
      <c r="Q534" s="159" t="n">
        <f aca="false">Q478</f>
        <v>45.349</v>
      </c>
      <c r="R534" s="48" t="n">
        <f aca="false">R478</f>
        <v>-4.5</v>
      </c>
      <c r="S534" s="48" t="n">
        <f aca="false">S478-R478</f>
        <v>-6.6</v>
      </c>
      <c r="T534" s="48" t="n">
        <f aca="false">T478-S478</f>
        <v>37.2</v>
      </c>
      <c r="U534" s="48" t="n">
        <f aca="false">U478-T478</f>
        <v>-26.7</v>
      </c>
      <c r="V534" s="159" t="n">
        <f aca="false">V478</f>
        <v>-0.6</v>
      </c>
      <c r="W534" s="48" t="n">
        <f aca="false">W478</f>
        <v>16.3</v>
      </c>
      <c r="X534" s="48" t="n">
        <f aca="false">X478-W478</f>
        <v>-1.5</v>
      </c>
      <c r="Y534" s="48" t="n">
        <f aca="false">Y478-X478</f>
        <v>-6.5</v>
      </c>
      <c r="Z534" s="48" t="n">
        <f aca="false">Z478-Y478</f>
        <v>-15.9</v>
      </c>
      <c r="AA534" s="159" t="n">
        <f aca="false">AA478</f>
        <v>-7.6</v>
      </c>
      <c r="AB534" s="48" t="n">
        <f aca="false">AB478</f>
        <v>8.6</v>
      </c>
      <c r="AC534" s="48" t="n">
        <f aca="false">AC478-AB478</f>
        <v>30</v>
      </c>
      <c r="AD534" s="48" t="n">
        <f aca="false">AD478-AC478</f>
        <v>-40.2</v>
      </c>
      <c r="AE534" s="48" t="n">
        <f aca="false">AE478-AD478</f>
        <v>-236.9</v>
      </c>
      <c r="AF534" s="159" t="n">
        <f aca="false">AF478</f>
        <v>-238.5</v>
      </c>
      <c r="AG534" s="48" t="n">
        <f aca="false">AG478</f>
        <v>-76.5</v>
      </c>
      <c r="AH534" s="48" t="n">
        <f aca="false">AH478-AG478</f>
        <v>-65.1</v>
      </c>
      <c r="AI534" s="48" t="n">
        <f aca="false">AI478-AH478</f>
        <v>22.5</v>
      </c>
      <c r="AJ534" s="48" t="n">
        <f aca="false">AJ478-AI478</f>
        <v>-117.7</v>
      </c>
      <c r="AK534" s="159" t="n">
        <f aca="false">AK478</f>
        <v>-236.8</v>
      </c>
      <c r="AL534" s="48" t="n">
        <f aca="false">AL478</f>
        <v>-24.6</v>
      </c>
      <c r="AM534" s="48" t="n">
        <f aca="false">AM478-AL478</f>
        <v>-15.4</v>
      </c>
      <c r="AN534" s="48" t="n">
        <f aca="false">AN478-AM478</f>
        <v>-110.6</v>
      </c>
      <c r="AO534" s="48" t="n">
        <f aca="false">AO478-AN478</f>
        <v>-60.7</v>
      </c>
      <c r="AP534" s="159" t="n">
        <f aca="false">AP478</f>
        <v>-211.3</v>
      </c>
      <c r="AQ534" s="48" t="n">
        <f aca="false">AQ478</f>
        <v>-35.8</v>
      </c>
      <c r="AR534" s="48" t="n">
        <f aca="false">AR478-AQ478</f>
        <v>-7.5</v>
      </c>
      <c r="AS534" s="48" t="n">
        <f aca="false">AS478-AR478</f>
        <v>-270.1</v>
      </c>
      <c r="AT534" s="48" t="n">
        <f aca="false">AT478-AS478</f>
        <v>-106.2</v>
      </c>
      <c r="AU534" s="159" t="n">
        <f aca="false">AU478</f>
        <v>-419.6</v>
      </c>
      <c r="AV534" s="48" t="n">
        <f aca="false">AV478</f>
        <v>-39.7</v>
      </c>
      <c r="AW534" s="48" t="n">
        <f aca="false">AW478-AV478</f>
        <v>-94.7</v>
      </c>
      <c r="AX534" s="48" t="n">
        <f aca="false">AX478-AW478</f>
        <v>-340.8</v>
      </c>
      <c r="AY534" s="48" t="n">
        <f aca="false">AY478-AX478</f>
        <v>-89.0000000000001</v>
      </c>
      <c r="AZ534" s="159" t="n">
        <f aca="false">AZ478</f>
        <v>-564.2</v>
      </c>
      <c r="BA534" s="48" t="n">
        <f aca="false">BA478</f>
        <v>12.7</v>
      </c>
      <c r="BB534" s="48" t="n">
        <f aca="false">BB478-BA478</f>
        <v>41.5</v>
      </c>
      <c r="BC534" s="48" t="n">
        <f aca="false">BC478-BB478</f>
        <v>-138.9</v>
      </c>
      <c r="BD534" s="48" t="n">
        <f aca="false">BD478-BC478</f>
        <v>-48.9</v>
      </c>
      <c r="BE534" s="159" t="n">
        <f aca="false">BE478</f>
        <v>-133.6</v>
      </c>
      <c r="BF534" s="48" t="n">
        <f aca="false">BF478</f>
        <v>-2.7</v>
      </c>
      <c r="BG534" s="48" t="n">
        <f aca="false">BG478-BF478</f>
        <v>0.8</v>
      </c>
      <c r="BH534" s="48" t="n">
        <f aca="false">BH478-BG478</f>
        <v>-114.6</v>
      </c>
      <c r="BI534" s="48" t="n">
        <f aca="false">BI478-BH478</f>
        <v>-28.3</v>
      </c>
      <c r="BJ534" s="159" t="n">
        <f aca="false">BJ478</f>
        <v>-144.8</v>
      </c>
      <c r="BK534" s="48" t="n">
        <f aca="false">BK478</f>
        <v>79.1</v>
      </c>
      <c r="BL534" s="48" t="n">
        <f aca="false">BL478-BK478</f>
        <v>38.1</v>
      </c>
      <c r="BM534" s="48" t="n">
        <f aca="false">BM478-BL478</f>
        <v>-55.3</v>
      </c>
      <c r="BN534" s="48" t="n">
        <f aca="false">BN478-BM478</f>
        <v>118.8</v>
      </c>
      <c r="BO534" s="160" t="n">
        <f aca="false">BO478</f>
        <v>180.7</v>
      </c>
      <c r="BP534" s="48" t="n">
        <f aca="false">BP355</f>
        <v>-117.812339264637</v>
      </c>
      <c r="BQ534" s="48" t="n">
        <f aca="false">BQ355</f>
        <v>-139.192006726625</v>
      </c>
      <c r="BR534" s="48" t="n">
        <f aca="false">BR355</f>
        <v>-129.699477894225</v>
      </c>
      <c r="BS534" s="48" t="n">
        <f aca="false">BS355</f>
        <v>-90.1041143147572</v>
      </c>
      <c r="BT534" s="159" t="n">
        <f aca="false">SUM(BP534,BQ534,BR534,BS534)</f>
        <v>-476.807938200245</v>
      </c>
      <c r="BU534" s="48" t="n">
        <f aca="false">BU355</f>
        <v>-155.157642431991</v>
      </c>
      <c r="BV534" s="48" t="n">
        <f aca="false">BV355</f>
        <v>-209.489693452934</v>
      </c>
      <c r="BW534" s="48" t="n">
        <f aca="false">BW355</f>
        <v>-193.047095786847</v>
      </c>
      <c r="BX534" s="48" t="n">
        <f aca="false">BX355</f>
        <v>-194.850463704411</v>
      </c>
      <c r="BY534" s="159" t="n">
        <f aca="false">SUM(BU534,BV534,BW534,BX534)</f>
        <v>-752.544895376184</v>
      </c>
      <c r="BZ534" s="159" t="n">
        <f aca="false">BZ355</f>
        <v>-921.930292884318</v>
      </c>
      <c r="CA534" s="159" t="n">
        <f aca="false">CA355</f>
        <v>-983.609328092678</v>
      </c>
      <c r="CB534" s="159" t="n">
        <f aca="false">CB355</f>
        <v>-1049.66067906528</v>
      </c>
      <c r="CC534" s="50"/>
    </row>
    <row r="535" s="51" customFormat="true" ht="15" hidden="false" customHeight="true" outlineLevel="0" collapsed="false">
      <c r="A535" s="251" t="str">
        <f aca="false">A479</f>
        <v>Equity method investments, net of income taxes</v>
      </c>
      <c r="B535" s="257"/>
      <c r="C535" s="261" t="n">
        <f aca="false">C479</f>
        <v>0</v>
      </c>
      <c r="D535" s="261" t="n">
        <f aca="false">D479</f>
        <v>0</v>
      </c>
      <c r="E535" s="261" t="n">
        <f aca="false">E479</f>
        <v>0</v>
      </c>
      <c r="F535" s="261" t="n">
        <f aca="false">F479</f>
        <v>0</v>
      </c>
      <c r="G535" s="261" t="n">
        <f aca="false">G479</f>
        <v>0</v>
      </c>
      <c r="H535" s="259" t="n">
        <f aca="false">H479</f>
        <v>0</v>
      </c>
      <c r="I535" s="259" t="n">
        <f aca="false">I479-H479</f>
        <v>0</v>
      </c>
      <c r="J535" s="259" t="n">
        <f aca="false">J479-I479</f>
        <v>0</v>
      </c>
      <c r="K535" s="259" t="n">
        <f aca="false">K479-J479</f>
        <v>0</v>
      </c>
      <c r="L535" s="261" t="n">
        <f aca="false">L479</f>
        <v>0</v>
      </c>
      <c r="M535" s="259" t="n">
        <f aca="false">M479</f>
        <v>0</v>
      </c>
      <c r="N535" s="259" t="n">
        <f aca="false">N479-M479</f>
        <v>0</v>
      </c>
      <c r="O535" s="259" t="n">
        <f aca="false">O479-N479</f>
        <v>0</v>
      </c>
      <c r="P535" s="259" t="n">
        <f aca="false">P479-O479</f>
        <v>0</v>
      </c>
      <c r="Q535" s="261" t="n">
        <f aca="false">Q479</f>
        <v>0</v>
      </c>
      <c r="R535" s="259" t="n">
        <f aca="false">R479</f>
        <v>0</v>
      </c>
      <c r="S535" s="259" t="n">
        <f aca="false">S479-R479</f>
        <v>0</v>
      </c>
      <c r="T535" s="259" t="n">
        <f aca="false">T479-S479</f>
        <v>0</v>
      </c>
      <c r="U535" s="259" t="n">
        <f aca="false">U479-T479</f>
        <v>0</v>
      </c>
      <c r="V535" s="261" t="n">
        <f aca="false">V479</f>
        <v>0</v>
      </c>
      <c r="W535" s="259" t="n">
        <f aca="false">W479</f>
        <v>0</v>
      </c>
      <c r="X535" s="259" t="n">
        <f aca="false">X479-W479</f>
        <v>0</v>
      </c>
      <c r="Y535" s="259" t="n">
        <f aca="false">Y479-X479</f>
        <v>0</v>
      </c>
      <c r="Z535" s="259" t="n">
        <f aca="false">Z479-Y479</f>
        <v>16.7</v>
      </c>
      <c r="AA535" s="261" t="n">
        <f aca="false">AA479</f>
        <v>16.7</v>
      </c>
      <c r="AB535" s="259" t="n">
        <f aca="false">AB479</f>
        <v>17.6</v>
      </c>
      <c r="AC535" s="259" t="n">
        <f aca="false">AC479-AB479</f>
        <v>-4.3</v>
      </c>
      <c r="AD535" s="259" t="n">
        <f aca="false">AD479-AC479</f>
        <v>-0.300000000000001</v>
      </c>
      <c r="AE535" s="259" t="n">
        <f aca="false">AE479-AD479</f>
        <v>48.6</v>
      </c>
      <c r="AF535" s="261" t="n">
        <f aca="false">AF479</f>
        <v>61.6</v>
      </c>
      <c r="AG535" s="259" t="n">
        <f aca="false">AG479</f>
        <v>-17</v>
      </c>
      <c r="AH535" s="259" t="n">
        <f aca="false">AH479-AG479</f>
        <v>-15.3</v>
      </c>
      <c r="AI535" s="259" t="n">
        <f aca="false">AI479-AH479</f>
        <v>-18.6</v>
      </c>
      <c r="AJ535" s="259" t="n">
        <f aca="false">AJ479-AI479</f>
        <v>107.8</v>
      </c>
      <c r="AK535" s="261" t="n">
        <f aca="false">AK479</f>
        <v>56.9</v>
      </c>
      <c r="AL535" s="259" t="n">
        <f aca="false">AL479</f>
        <v>-32.3</v>
      </c>
      <c r="AM535" s="259" t="n">
        <f aca="false">AM479-AL479</f>
        <v>-26.4</v>
      </c>
      <c r="AN535" s="259" t="n">
        <f aca="false">AN479-AM479</f>
        <v>-26.1</v>
      </c>
      <c r="AO535" s="259" t="n">
        <f aca="false">AO479-AN479</f>
        <v>95.8</v>
      </c>
      <c r="AP535" s="261" t="n">
        <f aca="false">AP479</f>
        <v>11</v>
      </c>
      <c r="AQ535" s="259" t="n">
        <f aca="false">AQ479</f>
        <v>-21.5</v>
      </c>
      <c r="AR535" s="259" t="n">
        <f aca="false">AR479-AQ479</f>
        <v>-22.5</v>
      </c>
      <c r="AS535" s="259" t="n">
        <f aca="false">AS479-AR479</f>
        <v>-97.2</v>
      </c>
      <c r="AT535" s="259" t="n">
        <f aca="false">AT479-AS479</f>
        <v>91.4</v>
      </c>
      <c r="AU535" s="261" t="n">
        <f aca="false">AU479</f>
        <v>-49.8</v>
      </c>
      <c r="AV535" s="259" t="n">
        <f aca="false">AV479</f>
        <v>-47.5</v>
      </c>
      <c r="AW535" s="259" t="n">
        <f aca="false">AW479-AV479</f>
        <v>-21.1</v>
      </c>
      <c r="AX535" s="259" t="n">
        <f aca="false">AX479-AW479</f>
        <v>-36.9</v>
      </c>
      <c r="AY535" s="259" t="n">
        <f aca="false">AY479-AX479</f>
        <v>120.8</v>
      </c>
      <c r="AZ535" s="261" t="n">
        <f aca="false">AZ479</f>
        <v>15.3</v>
      </c>
      <c r="BA535" s="259" t="n">
        <f aca="false">BA479</f>
        <v>-46.8</v>
      </c>
      <c r="BB535" s="259" t="n">
        <f aca="false">BB479-BA479</f>
        <v>-70.9</v>
      </c>
      <c r="BC535" s="259" t="n">
        <f aca="false">BC479-BB479</f>
        <v>-53.8</v>
      </c>
      <c r="BD535" s="259" t="n">
        <f aca="false">BD479-BC479</f>
        <v>175.7</v>
      </c>
      <c r="BE535" s="261" t="n">
        <f aca="false">BE479</f>
        <v>4.2</v>
      </c>
      <c r="BF535" s="259" t="n">
        <f aca="false">BF479</f>
        <v>-33.9</v>
      </c>
      <c r="BG535" s="259" t="n">
        <f aca="false">BG479-BF479</f>
        <v>-50.6</v>
      </c>
      <c r="BH535" s="259" t="n">
        <f aca="false">BH479-BG479</f>
        <v>-81</v>
      </c>
      <c r="BI535" s="259" t="n">
        <f aca="false">BI479-BH479</f>
        <v>169.9</v>
      </c>
      <c r="BJ535" s="261" t="n">
        <f aca="false">BJ479</f>
        <v>4.4</v>
      </c>
      <c r="BK535" s="259" t="n">
        <f aca="false">BK479</f>
        <v>-34.9</v>
      </c>
      <c r="BL535" s="259" t="n">
        <f aca="false">BL479-BK479</f>
        <v>-90.7</v>
      </c>
      <c r="BM535" s="259" t="n">
        <f aca="false">BM479-BL479</f>
        <v>-80.8</v>
      </c>
      <c r="BN535" s="259" t="n">
        <f aca="false">BN479-BM479</f>
        <v>301</v>
      </c>
      <c r="BO535" s="260" t="n">
        <f aca="false">BO479</f>
        <v>94.6</v>
      </c>
      <c r="BP535" s="259"/>
      <c r="BQ535" s="259"/>
      <c r="BR535" s="259"/>
      <c r="BS535" s="259"/>
      <c r="BT535" s="261" t="n">
        <f aca="false">SUM(BP535,BQ535,BR535,BS535)</f>
        <v>0</v>
      </c>
      <c r="BU535" s="259"/>
      <c r="BV535" s="259"/>
      <c r="BW535" s="259"/>
      <c r="BX535" s="259"/>
      <c r="BY535" s="261" t="n">
        <f aca="false">SUM(BU535,BV535,BW535,BX535)</f>
        <v>0</v>
      </c>
      <c r="BZ535" s="261"/>
      <c r="CA535" s="261"/>
      <c r="CB535" s="261"/>
      <c r="CC535" s="50"/>
    </row>
    <row r="536" s="157" customFormat="true" ht="15" hidden="false" customHeight="true" outlineLevel="0" collapsed="false">
      <c r="A536" s="151" t="str">
        <f aca="false">A480</f>
        <v>CFO before WC</v>
      </c>
      <c r="B536" s="393"/>
      <c r="C536" s="162" t="n">
        <f aca="false">SUM(C526:C535)</f>
        <v>63.151</v>
      </c>
      <c r="D536" s="162" t="n">
        <f aca="false">SUM(D526:D535)</f>
        <v>1279.337</v>
      </c>
      <c r="E536" s="162" t="n">
        <f aca="false">SUM(E526:E535)</f>
        <v>1784.614</v>
      </c>
      <c r="F536" s="162" t="n">
        <f aca="false">SUM(F526:F535)</f>
        <v>1416.151</v>
      </c>
      <c r="G536" s="162" t="n">
        <f aca="false">SUM(G526:G535)</f>
        <v>1455.772</v>
      </c>
      <c r="H536" s="163" t="n">
        <f aca="false">SUM(H526:H535)</f>
        <v>353.2</v>
      </c>
      <c r="I536" s="163" t="n">
        <f aca="false">SUM(I526:I535)</f>
        <v>538.5</v>
      </c>
      <c r="J536" s="163" t="n">
        <f aca="false">SUM(J526:J535)</f>
        <v>319.5</v>
      </c>
      <c r="K536" s="163" t="n">
        <f aca="false">SUM(K526:K535)</f>
        <v>421.398</v>
      </c>
      <c r="L536" s="162" t="n">
        <f aca="false">SUM(L526:L535)</f>
        <v>1632.598</v>
      </c>
      <c r="M536" s="163" t="n">
        <f aca="false">SUM(M526:M535)</f>
        <v>538.2</v>
      </c>
      <c r="N536" s="163" t="n">
        <f aca="false">SUM(N526:N535)</f>
        <v>511.1</v>
      </c>
      <c r="O536" s="163" t="n">
        <f aca="false">SUM(O526:O535)</f>
        <v>513.1</v>
      </c>
      <c r="P536" s="163" t="n">
        <f aca="false">SUM(P526:P535)</f>
        <v>445.665</v>
      </c>
      <c r="Q536" s="162" t="n">
        <f aca="false">SUM(Q526:Q535)</f>
        <v>2008.065</v>
      </c>
      <c r="R536" s="163" t="n">
        <f aca="false">SUM(R526:R535)</f>
        <v>327.9</v>
      </c>
      <c r="S536" s="163" t="n">
        <f aca="false">SUM(S526:S535)</f>
        <v>466.8</v>
      </c>
      <c r="T536" s="163" t="n">
        <f aca="false">SUM(T526:T535)</f>
        <v>539.1</v>
      </c>
      <c r="U536" s="163" t="n">
        <f aca="false">SUM(U526:U535)</f>
        <v>627</v>
      </c>
      <c r="V536" s="162" t="n">
        <f aca="false">SUM(V526:V535)</f>
        <v>1960.8</v>
      </c>
      <c r="W536" s="163" t="n">
        <f aca="false">SUM(W526:W535)</f>
        <v>623</v>
      </c>
      <c r="X536" s="163" t="n">
        <f aca="false">SUM(X526:X535)</f>
        <v>619.8</v>
      </c>
      <c r="Y536" s="163" t="n">
        <f aca="false">SUM(Y526:Y535)</f>
        <v>710.4</v>
      </c>
      <c r="Z536" s="163" t="n">
        <f aca="false">SUM(Z526:Z535)</f>
        <v>784.7</v>
      </c>
      <c r="AA536" s="162" t="n">
        <f aca="false">SUM(AA526:AA535)</f>
        <v>2737.9</v>
      </c>
      <c r="AB536" s="163" t="n">
        <f aca="false">SUM(AB526:AB535)</f>
        <v>744.5</v>
      </c>
      <c r="AC536" s="163" t="n">
        <f aca="false">SUM(AC526:AC535)</f>
        <v>768.8</v>
      </c>
      <c r="AD536" s="163" t="n">
        <f aca="false">SUM(AD526:AD535)</f>
        <v>816</v>
      </c>
      <c r="AE536" s="163" t="n">
        <f aca="false">SUM(AE526:AE535)</f>
        <v>802.8</v>
      </c>
      <c r="AF536" s="162" t="n">
        <f aca="false">SUM(AF526:AF535)</f>
        <v>3132.1</v>
      </c>
      <c r="AG536" s="163" t="n">
        <f aca="false">SUM(AG526:AG535)</f>
        <v>457.6</v>
      </c>
      <c r="AH536" s="163" t="n">
        <f aca="false">SUM(AH526:AH535)</f>
        <v>566.4</v>
      </c>
      <c r="AI536" s="163" t="n">
        <f aca="false">SUM(AI526:AI535)</f>
        <v>809.5</v>
      </c>
      <c r="AJ536" s="163" t="n">
        <f aca="false">SUM(AJ526:AJ535)</f>
        <v>1331.3</v>
      </c>
      <c r="AK536" s="162" t="n">
        <f aca="false">SUM(AK526:AK535)</f>
        <v>3164.8</v>
      </c>
      <c r="AL536" s="163" t="n">
        <f aca="false">SUM(AL526:AL535)</f>
        <v>509.9</v>
      </c>
      <c r="AM536" s="163" t="n">
        <f aca="false">SUM(AM526:AM535)</f>
        <v>884</v>
      </c>
      <c r="AN536" s="163" t="n">
        <f aca="false">SUM(AN526:AN535)</f>
        <v>1106.4</v>
      </c>
      <c r="AO536" s="163" t="n">
        <f aca="false">SUM(AO526:AO535)</f>
        <v>1595.7</v>
      </c>
      <c r="AP536" s="162" t="n">
        <f aca="false">SUM(AP526:AP535)</f>
        <v>4096</v>
      </c>
      <c r="AQ536" s="163" t="n">
        <f aca="false">SUM(AQ526:AQ535)</f>
        <v>1453.6</v>
      </c>
      <c r="AR536" s="163" t="n">
        <f aca="false">SUM(AR526:AR535)</f>
        <v>1194.1</v>
      </c>
      <c r="AS536" s="163" t="n">
        <f aca="false">SUM(AS526:AS535)</f>
        <v>1536.2</v>
      </c>
      <c r="AT536" s="163" t="n">
        <f aca="false">SUM(AT526:AT535)</f>
        <v>1769.5</v>
      </c>
      <c r="AU536" s="162" t="n">
        <f aca="false">SUM(AU526:AU535)</f>
        <v>5953.4</v>
      </c>
      <c r="AV536" s="163" t="n">
        <f aca="false">SUM(AV526:AV535)</f>
        <v>812.9</v>
      </c>
      <c r="AW536" s="163" t="n">
        <f aca="false">SUM(AW526:AW535)</f>
        <v>1516</v>
      </c>
      <c r="AX536" s="163" t="n">
        <f aca="false">SUM(AX526:AX535)</f>
        <v>1579.2</v>
      </c>
      <c r="AY536" s="163" t="n">
        <f aca="false">SUM(AY526:AY535)</f>
        <v>2137.5</v>
      </c>
      <c r="AZ536" s="162" t="n">
        <f aca="false">SUM(AZ526:AZ535)</f>
        <v>6045.6</v>
      </c>
      <c r="BA536" s="163" t="n">
        <f aca="false">SUM(BA526:BA535)</f>
        <v>2195.2</v>
      </c>
      <c r="BB536" s="163" t="n">
        <f aca="false">SUM(BB526:BB535)</f>
        <v>2221.4</v>
      </c>
      <c r="BC536" s="163" t="n">
        <f aca="false">SUM(BC526:BC535)</f>
        <v>2041.1</v>
      </c>
      <c r="BD536" s="163" t="n">
        <f aca="false">SUM(BD526:BD535)</f>
        <v>2649.3</v>
      </c>
      <c r="BE536" s="162" t="n">
        <f aca="false">SUM(BE526:BE535)</f>
        <v>9107</v>
      </c>
      <c r="BF536" s="163" t="n">
        <f aca="false">SUM(BF526:BF535)</f>
        <v>1547.1</v>
      </c>
      <c r="BG536" s="163" t="n">
        <f aca="false">SUM(BG526:BG535)</f>
        <v>1926.5</v>
      </c>
      <c r="BH536" s="163" t="n">
        <f aca="false">SUM(BH526:BH535)</f>
        <v>2331.5</v>
      </c>
      <c r="BI536" s="163" t="n">
        <f aca="false">SUM(BI526:BI535)</f>
        <v>3307.8</v>
      </c>
      <c r="BJ536" s="162" t="n">
        <f aca="false">SUM(BJ526:BJ535)</f>
        <v>9112.9</v>
      </c>
      <c r="BK536" s="163" t="n">
        <f aca="false">SUM(BK526:BK535)</f>
        <v>2742.2</v>
      </c>
      <c r="BL536" s="163" t="n">
        <f aca="false">SUM(BL526:BL535)</f>
        <v>2657.8</v>
      </c>
      <c r="BM536" s="163" t="n">
        <f aca="false">SUM(BM526:BM535)</f>
        <v>2462.4</v>
      </c>
      <c r="BN536" s="163" t="n">
        <f aca="false">SUM(BN526:BN535)</f>
        <v>3769.6</v>
      </c>
      <c r="BO536" s="164" t="n">
        <f aca="false">SUM(BO526:BO535)</f>
        <v>11632</v>
      </c>
      <c r="BP536" s="163" t="n">
        <f aca="false">SUM(BP526:BP535)</f>
        <v>2646.536893444</v>
      </c>
      <c r="BQ536" s="163" t="n">
        <f aca="false">SUM(BQ526:BQ535)</f>
        <v>3067.11632898182</v>
      </c>
      <c r="BR536" s="163" t="n">
        <f aca="false">SUM(BR526:BR535)</f>
        <v>2911.08265263297</v>
      </c>
      <c r="BS536" s="163" t="n">
        <f aca="false">SUM(BS526:BS535)</f>
        <v>3196.91072239172</v>
      </c>
      <c r="BT536" s="162" t="n">
        <f aca="false">SUM(BT526:BT535)</f>
        <v>11821.6465974505</v>
      </c>
      <c r="BU536" s="163" t="n">
        <f aca="false">SUM(BU526:BU535)</f>
        <v>2750.06720878154</v>
      </c>
      <c r="BV536" s="163" t="n">
        <f aca="false">SUM(BV526:BV535)</f>
        <v>3606.98671767299</v>
      </c>
      <c r="BW536" s="163" t="n">
        <f aca="false">SUM(BW526:BW535)</f>
        <v>3386.56114633628</v>
      </c>
      <c r="BX536" s="163" t="n">
        <f aca="false">SUM(BX526:BX535)</f>
        <v>3529.73844192984</v>
      </c>
      <c r="BY536" s="162" t="n">
        <f aca="false">SUM(BY526:BY535)</f>
        <v>13273.3535147207</v>
      </c>
      <c r="BZ536" s="162" t="n">
        <f aca="false">SUM(BZ526:BZ535)</f>
        <v>15731.1960103748</v>
      </c>
      <c r="CA536" s="162" t="n">
        <f aca="false">SUM(CA526:CA535)</f>
        <v>16652.8065619229</v>
      </c>
      <c r="CB536" s="162" t="n">
        <f aca="false">SUM(CB526:CB535)</f>
        <v>17652.4099338402</v>
      </c>
      <c r="CC536" s="156"/>
    </row>
    <row r="537" s="51" customFormat="true" ht="15" hidden="false" customHeight="true" outlineLevel="0" collapsed="false">
      <c r="A537" s="253" t="str">
        <f aca="false">A481</f>
        <v>Accounts receivable</v>
      </c>
      <c r="B537" s="254"/>
      <c r="C537" s="159" t="n">
        <f aca="false">C481</f>
        <v>81.838</v>
      </c>
      <c r="D537" s="159" t="n">
        <f aca="false">D481</f>
        <v>-748.898</v>
      </c>
      <c r="E537" s="159" t="n">
        <f aca="false">E481</f>
        <v>267.209</v>
      </c>
      <c r="F537" s="159" t="n">
        <f aca="false">F481</f>
        <v>246.982</v>
      </c>
      <c r="G537" s="159" t="n">
        <f aca="false">G481</f>
        <v>-192.149</v>
      </c>
      <c r="H537" s="48"/>
      <c r="I537" s="48"/>
      <c r="J537" s="48"/>
      <c r="K537" s="48"/>
      <c r="L537" s="159" t="n">
        <f aca="false">L481</f>
        <v>-164.85</v>
      </c>
      <c r="M537" s="48"/>
      <c r="N537" s="48"/>
      <c r="O537" s="48"/>
      <c r="P537" s="48"/>
      <c r="Q537" s="159" t="n">
        <f aca="false">Q481</f>
        <v>243.097</v>
      </c>
      <c r="R537" s="48"/>
      <c r="S537" s="48"/>
      <c r="T537" s="48"/>
      <c r="U537" s="48"/>
      <c r="V537" s="159" t="n">
        <f aca="false">V481</f>
        <v>187.4</v>
      </c>
      <c r="W537" s="48"/>
      <c r="X537" s="48"/>
      <c r="Y537" s="48"/>
      <c r="Z537" s="48"/>
      <c r="AA537" s="159" t="n">
        <f aca="false">AA481</f>
        <v>-1142.4</v>
      </c>
      <c r="AB537" s="48"/>
      <c r="AC537" s="48"/>
      <c r="AD537" s="48"/>
      <c r="AE537" s="48"/>
      <c r="AF537" s="159" t="n">
        <f aca="false">AF481</f>
        <v>201.2</v>
      </c>
      <c r="AG537" s="48"/>
      <c r="AH537" s="48"/>
      <c r="AI537" s="48"/>
      <c r="AJ537" s="48"/>
      <c r="AK537" s="159" t="n">
        <f aca="false">AK481</f>
        <v>-255</v>
      </c>
      <c r="AL537" s="48"/>
      <c r="AM537" s="48"/>
      <c r="AN537" s="48"/>
      <c r="AO537" s="48"/>
      <c r="AP537" s="159" t="n">
        <f aca="false">AP481</f>
        <v>507.5</v>
      </c>
      <c r="AQ537" s="48"/>
      <c r="AR537" s="48"/>
      <c r="AS537" s="48"/>
      <c r="AT537" s="48"/>
      <c r="AU537" s="159" t="n">
        <f aca="false">AU481</f>
        <v>-1754.9</v>
      </c>
      <c r="AV537" s="48"/>
      <c r="AW537" s="48"/>
      <c r="AX537" s="48"/>
      <c r="AY537" s="48"/>
      <c r="AZ537" s="159" t="n">
        <f aca="false">AZ481</f>
        <v>-2338</v>
      </c>
      <c r="BA537" s="48"/>
      <c r="BB537" s="48"/>
      <c r="BC537" s="48"/>
      <c r="BD537" s="48"/>
      <c r="BE537" s="159" t="n">
        <f aca="false">BE481</f>
        <v>959.9</v>
      </c>
      <c r="BF537" s="48"/>
      <c r="BG537" s="48"/>
      <c r="BH537" s="48"/>
      <c r="BI537" s="48"/>
      <c r="BJ537" s="262" t="n">
        <f aca="false">BJ481</f>
        <v>-139.9</v>
      </c>
      <c r="BK537" s="48"/>
      <c r="BL537" s="48"/>
      <c r="BM537" s="48"/>
      <c r="BN537" s="48"/>
      <c r="BO537" s="264" t="n">
        <f aca="false">BJ627-BO627</f>
        <v>1454.5</v>
      </c>
      <c r="BP537" s="48" t="n">
        <f aca="false">BO627-BP627</f>
        <v>-1993.75858958464</v>
      </c>
      <c r="BQ537" s="48" t="n">
        <f aca="false">BP627-BQ627</f>
        <v>-372.237646904086</v>
      </c>
      <c r="BR537" s="48" t="n">
        <f aca="false">BQ627-BR627</f>
        <v>-697.74331726653</v>
      </c>
      <c r="BS537" s="48" t="n">
        <f aca="false">BR627-BS627</f>
        <v>2670.7006674138</v>
      </c>
      <c r="BT537" s="159" t="n">
        <f aca="false">IF(OR(ISBLANK(BP537),ISBLANK(BQ537),ISBLANK(BR537),ISBLANK(BS537)),"n/a",SUM(BP537,BQ537,BR537,BS537))</f>
        <v>-393.038886341455</v>
      </c>
      <c r="BU537" s="48" t="n">
        <f aca="false">BT627-BU627</f>
        <v>-2154.91612055844</v>
      </c>
      <c r="BV537" s="48" t="n">
        <f aca="false">BU627-BV627</f>
        <v>-238.14141180659</v>
      </c>
      <c r="BW537" s="48" t="n">
        <f aca="false">BV627-BW627</f>
        <v>-513.7083954072</v>
      </c>
      <c r="BX537" s="48" t="n">
        <f aca="false">BW627-BX627</f>
        <v>2750.4105358348</v>
      </c>
      <c r="BY537" s="159" t="n">
        <f aca="false">IF(OR(ISBLANK(BU537),ISBLANK(BV537),ISBLANK(BW537),ISBLANK(BX537)),"n/a",SUM(BU537,BV537,BW537,BX537))</f>
        <v>-156.355391937429</v>
      </c>
      <c r="BZ537" s="159" t="n">
        <f aca="false">BY627-BZ627</f>
        <v>-734.737946104273</v>
      </c>
      <c r="CA537" s="159" t="n">
        <f aca="false">BZ627-CA627</f>
        <v>-218.862006200725</v>
      </c>
      <c r="CB537" s="159" t="n">
        <f aca="false">CA627-CB627</f>
        <v>-232.209521094296</v>
      </c>
      <c r="CC537" s="50"/>
    </row>
    <row r="538" s="51" customFormat="true" ht="15" hidden="false" customHeight="true" outlineLevel="0" collapsed="false">
      <c r="A538" s="253" t="str">
        <f aca="false">A482</f>
        <v>Finance receivables</v>
      </c>
      <c r="B538" s="254"/>
      <c r="C538" s="159" t="n">
        <f aca="false">C482</f>
        <v>15.702</v>
      </c>
      <c r="D538" s="159" t="n">
        <f aca="false">D482</f>
        <v>-20</v>
      </c>
      <c r="E538" s="159" t="n">
        <f aca="false">E482</f>
        <v>-37.301</v>
      </c>
      <c r="F538" s="159" t="n">
        <f aca="false">F482</f>
        <v>-225.103</v>
      </c>
      <c r="G538" s="159" t="n">
        <f aca="false">G482</f>
        <v>9.277</v>
      </c>
      <c r="H538" s="48"/>
      <c r="I538" s="48"/>
      <c r="J538" s="48"/>
      <c r="K538" s="48"/>
      <c r="L538" s="159" t="n">
        <f aca="false">L482</f>
        <v>51.132</v>
      </c>
      <c r="M538" s="48"/>
      <c r="N538" s="48"/>
      <c r="O538" s="48"/>
      <c r="P538" s="48"/>
      <c r="Q538" s="159" t="n">
        <f aca="false">Q482</f>
        <v>-145.278</v>
      </c>
      <c r="R538" s="48"/>
      <c r="S538" s="48"/>
      <c r="T538" s="48"/>
      <c r="U538" s="48"/>
      <c r="V538" s="159" t="n">
        <f aca="false">V482</f>
        <v>-156.1</v>
      </c>
      <c r="W538" s="48"/>
      <c r="X538" s="48"/>
      <c r="Y538" s="48"/>
      <c r="Z538" s="48"/>
      <c r="AA538" s="159" t="n">
        <f aca="false">AA482</f>
        <v>224.8</v>
      </c>
      <c r="AB538" s="48"/>
      <c r="AC538" s="48"/>
      <c r="AD538" s="48"/>
      <c r="AE538" s="48"/>
      <c r="AF538" s="159" t="n">
        <f aca="false">AF482</f>
        <v>-664.9</v>
      </c>
      <c r="AG538" s="48"/>
      <c r="AH538" s="48"/>
      <c r="AI538" s="48"/>
      <c r="AJ538" s="48"/>
      <c r="AK538" s="159" t="n">
        <f aca="false">AK482</f>
        <v>-95.3</v>
      </c>
      <c r="AL538" s="48"/>
      <c r="AM538" s="48"/>
      <c r="AN538" s="48"/>
      <c r="AO538" s="48"/>
      <c r="AP538" s="159" t="n">
        <f aca="false">AP482</f>
        <v>-1125.4</v>
      </c>
      <c r="AQ538" s="48"/>
      <c r="AR538" s="48"/>
      <c r="AS538" s="48"/>
      <c r="AT538" s="48"/>
      <c r="AU538" s="159" t="n">
        <f aca="false">AU482</f>
        <v>542.3</v>
      </c>
      <c r="AV538" s="48"/>
      <c r="AW538" s="48"/>
      <c r="AX538" s="48"/>
      <c r="AY538" s="48"/>
      <c r="AZ538" s="159" t="n">
        <f aca="false">AZ482</f>
        <v>212.2</v>
      </c>
      <c r="BA538" s="48"/>
      <c r="BB538" s="48"/>
      <c r="BC538" s="48"/>
      <c r="BD538" s="48"/>
      <c r="BE538" s="159" t="n">
        <f aca="false">BE482</f>
        <v>-88.6</v>
      </c>
      <c r="BF538" s="48"/>
      <c r="BG538" s="48"/>
      <c r="BH538" s="48"/>
      <c r="BI538" s="48"/>
      <c r="BJ538" s="262" t="n">
        <f aca="false">BJ482</f>
        <v>1038.7</v>
      </c>
      <c r="BK538" s="48"/>
      <c r="BL538" s="48"/>
      <c r="BM538" s="48"/>
      <c r="BN538" s="48"/>
      <c r="BO538" s="264" t="n">
        <f aca="false">BJ628-BO628</f>
        <v>-530.9</v>
      </c>
      <c r="BP538" s="48" t="n">
        <f aca="false">BO628-BP628</f>
        <v>196.991733845686</v>
      </c>
      <c r="BQ538" s="48" t="n">
        <f aca="false">BP628-BQ628</f>
        <v>-156.266034151709</v>
      </c>
      <c r="BR538" s="48" t="n">
        <f aca="false">BQ628-BR628</f>
        <v>-183.146489118833</v>
      </c>
      <c r="BS538" s="48" t="n">
        <f aca="false">BR628-BS628</f>
        <v>62.6558682305177</v>
      </c>
      <c r="BT538" s="159" t="n">
        <f aca="false">IF(OR(ISBLANK(BP538),ISBLANK(BQ538),ISBLANK(BR538),ISBLANK(BS538)),"n/a",SUM(BP538,BQ538,BR538,BS538))</f>
        <v>-79.7649211943376</v>
      </c>
      <c r="BU538" s="48" t="n">
        <f aca="false">BT628-BU628</f>
        <v>230.745394030947</v>
      </c>
      <c r="BV538" s="48" t="n">
        <f aca="false">BU628-BV628</f>
        <v>-154.905497947181</v>
      </c>
      <c r="BW538" s="48" t="n">
        <f aca="false">BV628-BW628</f>
        <v>-167.813042701172</v>
      </c>
      <c r="BX538" s="48" t="n">
        <f aca="false">BW628-BX628</f>
        <v>60.2417430601411</v>
      </c>
      <c r="BY538" s="159" t="n">
        <f aca="false">IF(OR(ISBLANK(BU538),ISBLANK(BV538),ISBLANK(BW538),ISBLANK(BX538)),"n/a",SUM(BU538,BV538,BW538,BX538))</f>
        <v>-31.7314035572653</v>
      </c>
      <c r="BZ538" s="159" t="n">
        <f aca="false">BY628-BZ628</f>
        <v>-149.110727732376</v>
      </c>
      <c r="CA538" s="159" t="n">
        <f aca="false">BZ628-CA628</f>
        <v>-44.4167518372957</v>
      </c>
      <c r="CB538" s="159" t="n">
        <f aca="false">CA628-CB628</f>
        <v>-47.1255511714691</v>
      </c>
      <c r="CC538" s="50"/>
    </row>
    <row r="539" s="51" customFormat="true" ht="15" hidden="false" customHeight="true" outlineLevel="0" collapsed="false">
      <c r="A539" s="253" t="str">
        <f aca="false">A483</f>
        <v>Inventories</v>
      </c>
      <c r="B539" s="254"/>
      <c r="C539" s="159" t="n">
        <f aca="false">C483</f>
        <v>-158.024</v>
      </c>
      <c r="D539" s="159" t="n">
        <f aca="false">D483</f>
        <v>-706.233</v>
      </c>
      <c r="E539" s="159" t="n">
        <f aca="false">E483</f>
        <v>-276.243</v>
      </c>
      <c r="F539" s="159" t="n">
        <f aca="false">F483</f>
        <v>-352.716</v>
      </c>
      <c r="G539" s="159" t="n">
        <f aca="false">G483</f>
        <v>-518.121</v>
      </c>
      <c r="H539" s="48"/>
      <c r="I539" s="48"/>
      <c r="J539" s="48"/>
      <c r="K539" s="48"/>
      <c r="L539" s="159" t="n">
        <f aca="false">L483</f>
        <v>-293.404</v>
      </c>
      <c r="M539" s="48"/>
      <c r="N539" s="48"/>
      <c r="O539" s="48"/>
      <c r="P539" s="48"/>
      <c r="Q539" s="159" t="n">
        <f aca="false">Q483</f>
        <v>-87.777</v>
      </c>
      <c r="R539" s="48"/>
      <c r="S539" s="48"/>
      <c r="T539" s="48"/>
      <c r="U539" s="48"/>
      <c r="V539" s="159" t="n">
        <f aca="false">V483</f>
        <v>-43.7</v>
      </c>
      <c r="W539" s="48"/>
      <c r="X539" s="48"/>
      <c r="Y539" s="48"/>
      <c r="Z539" s="48"/>
      <c r="AA539" s="159" t="n">
        <f aca="false">AA483</f>
        <v>-237.8</v>
      </c>
      <c r="AB539" s="48"/>
      <c r="AC539" s="48"/>
      <c r="AD539" s="48"/>
      <c r="AE539" s="48"/>
      <c r="AF539" s="159" t="n">
        <f aca="false">AF483</f>
        <v>-515.7</v>
      </c>
      <c r="AG539" s="48"/>
      <c r="AH539" s="48"/>
      <c r="AI539" s="48"/>
      <c r="AJ539" s="48"/>
      <c r="AK539" s="159" t="n">
        <f aca="false">AK483</f>
        <v>-404.7</v>
      </c>
      <c r="AL539" s="48"/>
      <c r="AM539" s="48"/>
      <c r="AN539" s="48"/>
      <c r="AO539" s="48"/>
      <c r="AP539" s="159" t="n">
        <f aca="false">AP483</f>
        <v>-706.7</v>
      </c>
      <c r="AQ539" s="48"/>
      <c r="AR539" s="48"/>
      <c r="AS539" s="48"/>
      <c r="AT539" s="48"/>
      <c r="AU539" s="159" t="n">
        <f aca="false">AU483</f>
        <v>-483.2</v>
      </c>
      <c r="AV539" s="48"/>
      <c r="AW539" s="48"/>
      <c r="AX539" s="48"/>
      <c r="AY539" s="48"/>
      <c r="AZ539" s="159" t="n">
        <f aca="false">AZ483</f>
        <v>-2080.9</v>
      </c>
      <c r="BA539" s="48"/>
      <c r="BB539" s="48"/>
      <c r="BC539" s="48"/>
      <c r="BD539" s="48"/>
      <c r="BE539" s="159" t="n">
        <f aca="false">BE483</f>
        <v>-1646.9</v>
      </c>
      <c r="BF539" s="48"/>
      <c r="BG539" s="48"/>
      <c r="BH539" s="48"/>
      <c r="BI539" s="48"/>
      <c r="BJ539" s="262" t="n">
        <f aca="false">BJ483</f>
        <v>-1860.9</v>
      </c>
      <c r="BK539" s="48"/>
      <c r="BL539" s="48"/>
      <c r="BM539" s="48"/>
      <c r="BN539" s="48"/>
      <c r="BO539" s="264" t="n">
        <f aca="false">BJ631-BO631</f>
        <v>-537.799999999999</v>
      </c>
      <c r="BP539" s="48" t="n">
        <f aca="false">BO631-BP631</f>
        <v>-600.772522587011</v>
      </c>
      <c r="BQ539" s="48" t="n">
        <f aca="false">BP631-BQ631</f>
        <v>-454.056164067953</v>
      </c>
      <c r="BR539" s="48" t="n">
        <f aca="false">BQ631-BR631</f>
        <v>-862.831778440634</v>
      </c>
      <c r="BS539" s="48" t="n">
        <f aca="false">BR631-BS631</f>
        <v>431.66663656024</v>
      </c>
      <c r="BT539" s="159" t="n">
        <f aca="false">IF(OR(ISBLANK(BP539),ISBLANK(BQ539),ISBLANK(BR539),ISBLANK(BS539)),"n/a",SUM(BP539,BQ539,BR539,BS539))</f>
        <v>-1485.99382853536</v>
      </c>
      <c r="BU539" s="48" t="n">
        <f aca="false">BT631-BU631</f>
        <v>-443.729045759212</v>
      </c>
      <c r="BV539" s="48" t="n">
        <f aca="false">BU631-BV631</f>
        <v>-98.3083357881897</v>
      </c>
      <c r="BW539" s="48" t="n">
        <f aca="false">BV631-BW631</f>
        <v>-407.27152791781</v>
      </c>
      <c r="BX539" s="48" t="n">
        <f aca="false">BW631-BX631</f>
        <v>358.163464188843</v>
      </c>
      <c r="BY539" s="159" t="n">
        <f aca="false">IF(OR(ISBLANK(BU539),ISBLANK(BV539),ISBLANK(BW539),ISBLANK(BX539)),"n/a",SUM(BU539,BV539,BW539,BX539))</f>
        <v>-591.145445276368</v>
      </c>
      <c r="BZ539" s="159" t="n">
        <f aca="false">BY631-BZ631</f>
        <v>-2777.88303255361</v>
      </c>
      <c r="CA539" s="159" t="n">
        <f aca="false">BZ631-CA631</f>
        <v>-827.469244945401</v>
      </c>
      <c r="CB539" s="159" t="n">
        <f aca="false">CA631-CB631</f>
        <v>-877.933271400278</v>
      </c>
      <c r="CC539" s="50"/>
    </row>
    <row r="540" s="51" customFormat="true" ht="15" hidden="false" customHeight="true" outlineLevel="0" collapsed="false">
      <c r="A540" s="253" t="str">
        <f aca="false">A484</f>
        <v>Other assets</v>
      </c>
      <c r="B540" s="254"/>
      <c r="C540" s="159" t="n">
        <f aca="false">C484</f>
        <v>4.893</v>
      </c>
      <c r="D540" s="159" t="n">
        <f aca="false">D484</f>
        <v>-114.003</v>
      </c>
      <c r="E540" s="159" t="n">
        <f aca="false">E484</f>
        <v>-58.292</v>
      </c>
      <c r="F540" s="159" t="n">
        <f aca="false">F484</f>
        <v>19.117</v>
      </c>
      <c r="G540" s="159" t="n">
        <f aca="false">G484</f>
        <v>-32.941</v>
      </c>
      <c r="H540" s="48"/>
      <c r="I540" s="48"/>
      <c r="J540" s="48"/>
      <c r="K540" s="48"/>
      <c r="L540" s="159" t="n">
        <f aca="false">L484</f>
        <v>-112.424</v>
      </c>
      <c r="M540" s="48"/>
      <c r="N540" s="48"/>
      <c r="O540" s="48"/>
      <c r="P540" s="48"/>
      <c r="Q540" s="159" t="n">
        <f aca="false">Q484</f>
        <v>-146.272</v>
      </c>
      <c r="R540" s="48"/>
      <c r="S540" s="48"/>
      <c r="T540" s="48"/>
      <c r="U540" s="48"/>
      <c r="V540" s="159" t="n">
        <f aca="false">V484</f>
        <v>-152.9</v>
      </c>
      <c r="W540" s="48"/>
      <c r="X540" s="48"/>
      <c r="Y540" s="48"/>
      <c r="Z540" s="48"/>
      <c r="AA540" s="159" t="n">
        <f aca="false">AA484</f>
        <v>-389.8</v>
      </c>
      <c r="AB540" s="48"/>
      <c r="AC540" s="48"/>
      <c r="AD540" s="48"/>
      <c r="AE540" s="48"/>
      <c r="AF540" s="159" t="n">
        <f aca="false">AF484</f>
        <v>-404</v>
      </c>
      <c r="AG540" s="48"/>
      <c r="AH540" s="48"/>
      <c r="AI540" s="48"/>
      <c r="AJ540" s="48"/>
      <c r="AK540" s="159" t="n">
        <f aca="false">AK484</f>
        <v>-199.1</v>
      </c>
      <c r="AL540" s="48"/>
      <c r="AM540" s="48"/>
      <c r="AN540" s="48"/>
      <c r="AO540" s="48"/>
      <c r="AP540" s="159" t="n">
        <f aca="false">AP484</f>
        <v>-75.1</v>
      </c>
      <c r="AQ540" s="48"/>
      <c r="AR540" s="48"/>
      <c r="AS540" s="48"/>
      <c r="AT540" s="48"/>
      <c r="AU540" s="159" t="n">
        <f aca="false">AU484</f>
        <v>-222.2</v>
      </c>
      <c r="AV540" s="48"/>
      <c r="AW540" s="48"/>
      <c r="AX540" s="48"/>
      <c r="AY540" s="48"/>
      <c r="AZ540" s="159" t="n">
        <f aca="false">AZ484</f>
        <v>-864.3</v>
      </c>
      <c r="BA540" s="48"/>
      <c r="BB540" s="48"/>
      <c r="BC540" s="48"/>
      <c r="BD540" s="48"/>
      <c r="BE540" s="159" t="n">
        <f aca="false">BE484</f>
        <v>-344.3</v>
      </c>
      <c r="BF540" s="48"/>
      <c r="BG540" s="48"/>
      <c r="BH540" s="48"/>
      <c r="BI540" s="48"/>
      <c r="BJ540" s="262" t="n">
        <f aca="false">BJ484</f>
        <v>-1299</v>
      </c>
      <c r="BK540" s="48"/>
      <c r="BL540" s="48"/>
      <c r="BM540" s="48"/>
      <c r="BN540" s="48"/>
      <c r="BO540" s="264" t="n">
        <f aca="false">BJ634-BO634</f>
        <v>507.5</v>
      </c>
      <c r="BP540" s="48" t="n">
        <f aca="false">BO634-BP634</f>
        <v>-584.378886069856</v>
      </c>
      <c r="BQ540" s="48" t="n">
        <f aca="false">BP634-BQ634</f>
        <v>-103.304693786481</v>
      </c>
      <c r="BR540" s="48" t="n">
        <f aca="false">BQ634-BR634</f>
        <v>333.256267603126</v>
      </c>
      <c r="BS540" s="48" t="n">
        <f aca="false">BR634-BS634</f>
        <v>168.140141776851</v>
      </c>
      <c r="BT540" s="159" t="n">
        <f aca="false">IF(OR(ISBLANK(BP540),ISBLANK(BQ540),ISBLANK(BR540),ISBLANK(BS540)),"n/a",SUM(BP540,BQ540,BR540,BS540))</f>
        <v>-186.28717047636</v>
      </c>
      <c r="BU540" s="48" t="n">
        <f aca="false">BT634-BU634</f>
        <v>-620.927495267011</v>
      </c>
      <c r="BV540" s="48" t="n">
        <f aca="false">BU634-BV634</f>
        <v>-45.7715974319367</v>
      </c>
      <c r="BW540" s="48" t="n">
        <f aca="false">BV634-BW634</f>
        <v>429.243962649523</v>
      </c>
      <c r="BX540" s="48" t="n">
        <f aca="false">BW634-BX634</f>
        <v>163.34794990786</v>
      </c>
      <c r="BY540" s="159" t="n">
        <f aca="false">IF(OR(ISBLANK(BU540),ISBLANK(BV540),ISBLANK(BW540),ISBLANK(BX540)),"n/a",SUM(BU540,BV540,BW540,BX540))</f>
        <v>-74.1071801415642</v>
      </c>
      <c r="BZ540" s="159" t="n">
        <f aca="false">BY634-BZ634</f>
        <v>-348.240995427788</v>
      </c>
      <c r="CA540" s="159" t="n">
        <f aca="false">BZ634-CA634</f>
        <v>-103.733206246907</v>
      </c>
      <c r="CB540" s="159" t="n">
        <f aca="false">CA634-CB634</f>
        <v>-110.059477943734</v>
      </c>
      <c r="CC540" s="50"/>
    </row>
    <row r="541" s="51" customFormat="true" ht="15" hidden="false" customHeight="true" outlineLevel="0" collapsed="false">
      <c r="A541" s="253" t="str">
        <f aca="false">A485</f>
        <v>Accrued and other liabilities</v>
      </c>
      <c r="B541" s="254"/>
      <c r="C541" s="159" t="n">
        <f aca="false">C485</f>
        <v>10.43</v>
      </c>
      <c r="D541" s="159" t="n">
        <f aca="false">D485</f>
        <v>862.919</v>
      </c>
      <c r="E541" s="159" t="n">
        <f aca="false">E485</f>
        <v>589.217</v>
      </c>
      <c r="F541" s="159" t="n">
        <f aca="false">F485</f>
        <v>-147.691</v>
      </c>
      <c r="G541" s="159" t="n">
        <f aca="false">G485</f>
        <v>-57.282</v>
      </c>
      <c r="H541" s="48"/>
      <c r="I541" s="48"/>
      <c r="J541" s="48"/>
      <c r="K541" s="48"/>
      <c r="L541" s="159" t="n">
        <f aca="false">L485</f>
        <v>36.524</v>
      </c>
      <c r="M541" s="48"/>
      <c r="N541" s="48"/>
      <c r="O541" s="48"/>
      <c r="P541" s="48"/>
      <c r="Q541" s="159" t="n">
        <f aca="false">Q485</f>
        <v>235.446</v>
      </c>
      <c r="R541" s="48"/>
      <c r="S541" s="48"/>
      <c r="T541" s="48"/>
      <c r="U541" s="48"/>
      <c r="V541" s="159" t="n">
        <f aca="false">V485</f>
        <v>-273.9</v>
      </c>
      <c r="W541" s="48"/>
      <c r="X541" s="48"/>
      <c r="Y541" s="48"/>
      <c r="Z541" s="48"/>
      <c r="AA541" s="159" t="n">
        <f aca="false">AA485</f>
        <v>491.2</v>
      </c>
      <c r="AB541" s="48"/>
      <c r="AC541" s="48"/>
      <c r="AD541" s="48"/>
      <c r="AE541" s="48"/>
      <c r="AF541" s="159" t="n">
        <f aca="false">AF485</f>
        <v>237.7</v>
      </c>
      <c r="AG541" s="48"/>
      <c r="AH541" s="48"/>
      <c r="AI541" s="48"/>
      <c r="AJ541" s="48"/>
      <c r="AK541" s="159" t="n">
        <f aca="false">AK485</f>
        <v>82.1</v>
      </c>
      <c r="AL541" s="48"/>
      <c r="AM541" s="48"/>
      <c r="AN541" s="48"/>
      <c r="AO541" s="48"/>
      <c r="AP541" s="159" t="n">
        <f aca="false">AP485</f>
        <v>47.5</v>
      </c>
      <c r="AQ541" s="48"/>
      <c r="AR541" s="48"/>
      <c r="AS541" s="48"/>
      <c r="AT541" s="48"/>
      <c r="AU541" s="159" t="n">
        <f aca="false">AU485</f>
        <v>347.6</v>
      </c>
      <c r="AV541" s="48"/>
      <c r="AW541" s="48"/>
      <c r="AX541" s="48"/>
      <c r="AY541" s="48"/>
      <c r="AZ541" s="159" t="n">
        <f aca="false">AZ485</f>
        <v>439.7</v>
      </c>
      <c r="BA541" s="48"/>
      <c r="BB541" s="48"/>
      <c r="BC541" s="48"/>
      <c r="BD541" s="48"/>
      <c r="BE541" s="159" t="n">
        <f aca="false">BE485</f>
        <v>222</v>
      </c>
      <c r="BF541" s="48"/>
      <c r="BG541" s="48"/>
      <c r="BH541" s="48"/>
      <c r="BI541" s="48"/>
      <c r="BJ541" s="262" t="n">
        <f aca="false">BJ485</f>
        <v>625.5</v>
      </c>
      <c r="BK541" s="48"/>
      <c r="BL541" s="48"/>
      <c r="BM541" s="48"/>
      <c r="BN541" s="48"/>
      <c r="BO541" s="264" t="n">
        <f aca="false">+BO657-BJ657</f>
        <v>416.7935</v>
      </c>
      <c r="BP541" s="48" t="n">
        <f aca="false">+BP657-BO657</f>
        <v>-120.529123245129</v>
      </c>
      <c r="BQ541" s="48" t="n">
        <f aca="false">+BQ657-BP657</f>
        <v>104.286323903966</v>
      </c>
      <c r="BR541" s="48" t="n">
        <f aca="false">+BR657-BQ657</f>
        <v>165.814057277002</v>
      </c>
      <c r="BS541" s="48" t="n">
        <f aca="false">+BS657-BR657</f>
        <v>253.92008348636</v>
      </c>
      <c r="BT541" s="159" t="n">
        <f aca="false">IF(OR(ISBLANK(BP541),ISBLANK(BQ541),ISBLANK(BR541),ISBLANK(BS541)),"n/a",SUM(BP541,BQ541,BR541,BS541))</f>
        <v>403.4913414222</v>
      </c>
      <c r="BU541" s="48" t="n">
        <f aca="false">+BU657-BT657</f>
        <v>-194.506352832873</v>
      </c>
      <c r="BV541" s="48" t="n">
        <f aca="false">+BV657-BU657</f>
        <v>15.4316066890706</v>
      </c>
      <c r="BW541" s="48" t="n">
        <f aca="false">+BW657-BV657</f>
        <v>51.3161265638696</v>
      </c>
      <c r="BX541" s="48" t="n">
        <f aca="false">+BX657-BW657</f>
        <v>288.272118431593</v>
      </c>
      <c r="BY541" s="159" t="n">
        <f aca="false">IF(OR(ISBLANK(BU541),ISBLANK(BV541),ISBLANK(BW541),ISBLANK(BX541)),"n/a",SUM(BU541,BV541,BW541,BX541))</f>
        <v>160.513498851661</v>
      </c>
      <c r="BZ541" s="159" t="n">
        <f aca="false">+BZ657-BY657</f>
        <v>754.277527668988</v>
      </c>
      <c r="CA541" s="159" t="n">
        <f aca="false">+CA657-BZ657</f>
        <v>224.682410664998</v>
      </c>
      <c r="CB541" s="159" t="n">
        <f aca="false">+CB657-CA657</f>
        <v>238.384888654367</v>
      </c>
      <c r="CC541" s="50"/>
    </row>
    <row r="542" s="51" customFormat="true" ht="15" hidden="false" customHeight="true" outlineLevel="0" collapsed="false">
      <c r="A542" s="253" t="str">
        <f aca="false">A486</f>
        <v>Accounts payable</v>
      </c>
      <c r="B542" s="254"/>
      <c r="C542" s="159" t="n">
        <f aca="false">C486</f>
        <v>71.267</v>
      </c>
      <c r="D542" s="159" t="n">
        <f aca="false">D486</f>
        <v>350.231</v>
      </c>
      <c r="E542" s="159" t="n">
        <f aca="false">E486</f>
        <v>-126.234</v>
      </c>
      <c r="F542" s="159" t="n">
        <f aca="false">F486</f>
        <v>-225.083</v>
      </c>
      <c r="G542" s="159" t="n">
        <f aca="false">G486</f>
        <v>321.486</v>
      </c>
      <c r="H542" s="48"/>
      <c r="I542" s="48"/>
      <c r="J542" s="48"/>
      <c r="K542" s="48"/>
      <c r="L542" s="159" t="n">
        <f aca="false">L486</f>
        <v>-136.192</v>
      </c>
      <c r="M542" s="48"/>
      <c r="N542" s="48"/>
      <c r="O542" s="48"/>
      <c r="P542" s="48"/>
      <c r="Q542" s="159" t="n">
        <f aca="false">Q486</f>
        <v>-77.09</v>
      </c>
      <c r="R542" s="48"/>
      <c r="S542" s="48"/>
      <c r="T542" s="48"/>
      <c r="U542" s="48"/>
      <c r="V542" s="159" t="n">
        <f aca="false">V486</f>
        <v>50.9</v>
      </c>
      <c r="W542" s="48"/>
      <c r="X542" s="48"/>
      <c r="Y542" s="48"/>
      <c r="Z542" s="48"/>
      <c r="AA542" s="159" t="n">
        <f aca="false">AA486</f>
        <v>266.5</v>
      </c>
      <c r="AB542" s="48"/>
      <c r="AC542" s="48"/>
      <c r="AD542" s="48"/>
      <c r="AE542" s="48"/>
      <c r="AF542" s="159" t="n">
        <f aca="false">AF486</f>
        <v>97.9</v>
      </c>
      <c r="AG542" s="48"/>
      <c r="AH542" s="48"/>
      <c r="AI542" s="48"/>
      <c r="AJ542" s="48"/>
      <c r="AK542" s="159" t="n">
        <f aca="false">AK486</f>
        <v>-12.1</v>
      </c>
      <c r="AL542" s="48"/>
      <c r="AM542" s="48"/>
      <c r="AN542" s="48"/>
      <c r="AO542" s="48"/>
      <c r="AP542" s="159" t="n">
        <f aca="false">AP486</f>
        <v>334.3</v>
      </c>
      <c r="AQ542" s="48"/>
      <c r="AR542" s="48"/>
      <c r="AS542" s="48"/>
      <c r="AT542" s="48"/>
      <c r="AU542" s="159" t="n">
        <f aca="false">AU486</f>
        <v>718.6</v>
      </c>
      <c r="AV542" s="48"/>
      <c r="AW542" s="48"/>
      <c r="AX542" s="48"/>
      <c r="AY542" s="48"/>
      <c r="AZ542" s="159" t="n">
        <f aca="false">AZ486</f>
        <v>406.2</v>
      </c>
      <c r="BA542" s="48"/>
      <c r="BB542" s="48"/>
      <c r="BC542" s="48"/>
      <c r="BD542" s="48"/>
      <c r="BE542" s="159" t="n">
        <f aca="false">BE486</f>
        <v>-261.7</v>
      </c>
      <c r="BF542" s="48"/>
      <c r="BG542" s="48"/>
      <c r="BH542" s="48"/>
      <c r="BI542" s="48"/>
      <c r="BJ542" s="262" t="n">
        <f aca="false">BJ486</f>
        <v>1127.6</v>
      </c>
      <c r="BK542" s="48"/>
      <c r="BL542" s="48"/>
      <c r="BM542" s="48"/>
      <c r="BN542" s="48"/>
      <c r="BO542" s="264" t="n">
        <f aca="false">+BO656-BJ656</f>
        <v>583.0125</v>
      </c>
      <c r="BP542" s="48" t="n">
        <f aca="false">+BP656-BO656</f>
        <v>-28.0575608164108</v>
      </c>
      <c r="BQ542" s="48" t="n">
        <f aca="false">+BQ656-BP656</f>
        <v>141.78253025146</v>
      </c>
      <c r="BR542" s="48" t="n">
        <f aca="false">+BR656-BQ656</f>
        <v>225.432594724912</v>
      </c>
      <c r="BS542" s="48" t="n">
        <f aca="false">+BS656-BR656</f>
        <v>191.752095606091</v>
      </c>
      <c r="BT542" s="159" t="n">
        <f aca="false">IF(OR(ISBLANK(BP542),ISBLANK(BQ542),ISBLANK(BR542),ISBLANK(BS542)),"n/a",SUM(BP542,BQ542,BR542,BS542))</f>
        <v>530.909659766052</v>
      </c>
      <c r="BU542" s="48" t="n">
        <f aca="false">+BU656-BT656</f>
        <v>-110.976124717641</v>
      </c>
      <c r="BV542" s="48" t="n">
        <f aca="false">+BV656-BU656</f>
        <v>20.9800495435684</v>
      </c>
      <c r="BW542" s="48" t="n">
        <f aca="false">+BW656-BV656</f>
        <v>69.7668686991929</v>
      </c>
      <c r="BX542" s="48" t="n">
        <f aca="false">+BX656-BW656</f>
        <v>231.431178648118</v>
      </c>
      <c r="BY542" s="159" t="n">
        <f aca="false">IF(OR(ISBLANK(BU542),ISBLANK(BV542),ISBLANK(BW542),ISBLANK(BX542)),"n/a",SUM(BU542,BV542,BW542,BX542))</f>
        <v>211.201972173238</v>
      </c>
      <c r="BZ542" s="159" t="n">
        <f aca="false">+BZ656-BY656</f>
        <v>992.470431143405</v>
      </c>
      <c r="CA542" s="159" t="n">
        <f aca="false">+CA656-BZ656</f>
        <v>295.634750874998</v>
      </c>
      <c r="CB542" s="159" t="n">
        <f aca="false">+CB656-CA656</f>
        <v>313.664327176799</v>
      </c>
      <c r="CC542" s="50"/>
    </row>
    <row r="543" s="51" customFormat="true" ht="15" hidden="false" customHeight="true" outlineLevel="0" collapsed="false">
      <c r="A543" s="253" t="str">
        <f aca="false">A487</f>
        <v>Contract assets and liabilities</v>
      </c>
      <c r="B543" s="254"/>
      <c r="C543" s="159" t="n">
        <f aca="false">C487</f>
        <v>0</v>
      </c>
      <c r="D543" s="159" t="n">
        <f aca="false">D487</f>
        <v>0</v>
      </c>
      <c r="E543" s="159" t="n">
        <f aca="false">E487</f>
        <v>0</v>
      </c>
      <c r="F543" s="159" t="n">
        <f aca="false">F487</f>
        <v>0</v>
      </c>
      <c r="G543" s="159" t="n">
        <f aca="false">G487</f>
        <v>0</v>
      </c>
      <c r="H543" s="48"/>
      <c r="I543" s="48"/>
      <c r="J543" s="48"/>
      <c r="K543" s="48"/>
      <c r="L543" s="159" t="n">
        <f aca="false">L487</f>
        <v>0</v>
      </c>
      <c r="M543" s="48"/>
      <c r="N543" s="48"/>
      <c r="O543" s="48"/>
      <c r="P543" s="48"/>
      <c r="Q543" s="159" t="n">
        <f aca="false">Q487</f>
        <v>0</v>
      </c>
      <c r="R543" s="48"/>
      <c r="S543" s="48"/>
      <c r="T543" s="48"/>
      <c r="U543" s="48"/>
      <c r="V543" s="159" t="n">
        <f aca="false">V487</f>
        <v>0</v>
      </c>
      <c r="W543" s="48"/>
      <c r="X543" s="48"/>
      <c r="Y543" s="48"/>
      <c r="Z543" s="48"/>
      <c r="AA543" s="159" t="n">
        <f aca="false">AA487</f>
        <v>0</v>
      </c>
      <c r="AB543" s="48"/>
      <c r="AC543" s="48"/>
      <c r="AD543" s="48"/>
      <c r="AE543" s="48"/>
      <c r="AF543" s="159" t="n">
        <f aca="false">AF487</f>
        <v>975.3</v>
      </c>
      <c r="AG543" s="48"/>
      <c r="AH543" s="48"/>
      <c r="AI543" s="48"/>
      <c r="AJ543" s="48"/>
      <c r="AK543" s="159" t="n">
        <f aca="false">AK487</f>
        <v>1198.3</v>
      </c>
      <c r="AL543" s="48"/>
      <c r="AM543" s="48"/>
      <c r="AN543" s="48"/>
      <c r="AO543" s="48"/>
      <c r="AP543" s="159" t="n">
        <f aca="false">AP487</f>
        <v>1418</v>
      </c>
      <c r="AQ543" s="48"/>
      <c r="AR543" s="48"/>
      <c r="AS543" s="48"/>
      <c r="AT543" s="48"/>
      <c r="AU543" s="159" t="n">
        <f aca="false">AU487</f>
        <v>5529.8</v>
      </c>
      <c r="AV543" s="48"/>
      <c r="AW543" s="48"/>
      <c r="AX543" s="48"/>
      <c r="AY543" s="48"/>
      <c r="AZ543" s="159" t="n">
        <f aca="false">AZ487</f>
        <v>6632.7</v>
      </c>
      <c r="BA543" s="48"/>
      <c r="BB543" s="48"/>
      <c r="BC543" s="48"/>
      <c r="BD543" s="48"/>
      <c r="BE543" s="159" t="n">
        <f aca="false">BE487</f>
        <v>-1564.6</v>
      </c>
      <c r="BF543" s="48"/>
      <c r="BG543" s="48"/>
      <c r="BH543" s="48"/>
      <c r="BI543" s="48"/>
      <c r="BJ543" s="262" t="n">
        <f aca="false">BJ487</f>
        <v>1871.8</v>
      </c>
      <c r="BK543" s="48"/>
      <c r="BL543" s="48"/>
      <c r="BM543" s="48"/>
      <c r="BN543" s="48"/>
      <c r="BO543" s="264" t="n">
        <f aca="false">+BO660-BJ660</f>
        <v>2129.485</v>
      </c>
      <c r="BP543" s="48" t="n">
        <f aca="false">+BP660-BO660</f>
        <v>5040.24441470359</v>
      </c>
      <c r="BQ543" s="48" t="n">
        <f aca="false">+BQ660-BP660</f>
        <v>690.164548083551</v>
      </c>
      <c r="BR543" s="48" t="n">
        <f aca="false">+BR660-BQ660</f>
        <v>1097.35370490061</v>
      </c>
      <c r="BS543" s="48" t="n">
        <f aca="false">+BS660-BR660</f>
        <v>-4916.48789252996</v>
      </c>
      <c r="BT543" s="159" t="n">
        <f aca="false">IF(OR(ISBLANK(BP543),ISBLANK(BQ543),ISBLANK(BR543),ISBLANK(BS543)),"n/a",SUM(BP543,BQ543,BR543,BS543))</f>
        <v>1911.27477515779</v>
      </c>
      <c r="BU543" s="48" t="n">
        <f aca="false">+BU660-BT660</f>
        <v>5309.68662685472</v>
      </c>
      <c r="BV543" s="48" t="n">
        <f aca="false">+BV660-BU660</f>
        <v>102.126026290593</v>
      </c>
      <c r="BW543" s="48" t="n">
        <f aca="false">+BW660-BV660</f>
        <v>339.608972428305</v>
      </c>
      <c r="BX543" s="48" t="n">
        <f aca="false">+BX660-BW660</f>
        <v>-4991.09452574997</v>
      </c>
      <c r="BY543" s="159" t="n">
        <f aca="false">IF(OR(ISBLANK(BU543),ISBLANK(BV543),ISBLANK(BW543),ISBLANK(BX543)),"n/a",SUM(BU543,BV543,BW543,BX543))</f>
        <v>760.327099823655</v>
      </c>
      <c r="BZ543" s="159" t="n">
        <f aca="false">+BZ660-BY660</f>
        <v>3572.89355211626</v>
      </c>
      <c r="CA543" s="159" t="n">
        <f aca="false">+CA660-BZ660</f>
        <v>1064.28510314999</v>
      </c>
      <c r="CB543" s="159" t="n">
        <f aca="false">+CB660-CA660</f>
        <v>1129.19157783647</v>
      </c>
      <c r="CC543" s="50"/>
    </row>
    <row r="544" s="51" customFormat="true" ht="15" hidden="false" customHeight="true" outlineLevel="0" collapsed="false">
      <c r="A544" s="256" t="str">
        <f aca="false">A488</f>
        <v>Current tax assets and liabilities</v>
      </c>
      <c r="B544" s="257"/>
      <c r="C544" s="261" t="n">
        <f aca="false">C488</f>
        <v>9.937</v>
      </c>
      <c r="D544" s="261" t="n">
        <f aca="false">D488</f>
        <v>36.695</v>
      </c>
      <c r="E544" s="261" t="n">
        <f aca="false">E488</f>
        <v>-72.53</v>
      </c>
      <c r="F544" s="261" t="n">
        <f aca="false">F488</f>
        <v>-28.179</v>
      </c>
      <c r="G544" s="261" t="n">
        <f aca="false">G488</f>
        <v>68.131</v>
      </c>
      <c r="H544" s="259"/>
      <c r="I544" s="259"/>
      <c r="J544" s="259"/>
      <c r="K544" s="259"/>
      <c r="L544" s="261" t="n">
        <f aca="false">L488</f>
        <v>11.822</v>
      </c>
      <c r="M544" s="259"/>
      <c r="N544" s="259"/>
      <c r="O544" s="259"/>
      <c r="P544" s="259"/>
      <c r="Q544" s="261" t="n">
        <f aca="false">Q488</f>
        <v>-4.611</v>
      </c>
      <c r="R544" s="259"/>
      <c r="S544" s="259"/>
      <c r="T544" s="259"/>
      <c r="U544" s="259"/>
      <c r="V544" s="261" t="n">
        <f aca="false">V488</f>
        <v>93.4</v>
      </c>
      <c r="W544" s="259"/>
      <c r="X544" s="259"/>
      <c r="Y544" s="259"/>
      <c r="Z544" s="259"/>
      <c r="AA544" s="261" t="n">
        <f aca="false">AA488</f>
        <v>-151.8</v>
      </c>
      <c r="AB544" s="259"/>
      <c r="AC544" s="259"/>
      <c r="AD544" s="259"/>
      <c r="AE544" s="259"/>
      <c r="AF544" s="261" t="n">
        <f aca="false">AF488</f>
        <v>13.1</v>
      </c>
      <c r="AG544" s="259"/>
      <c r="AH544" s="259"/>
      <c r="AI544" s="259"/>
      <c r="AJ544" s="259"/>
      <c r="AK544" s="261" t="n">
        <f aca="false">AK488</f>
        <v>-202.6</v>
      </c>
      <c r="AL544" s="259"/>
      <c r="AM544" s="259"/>
      <c r="AN544" s="259"/>
      <c r="AO544" s="259"/>
      <c r="AP544" s="261" t="n">
        <f aca="false">AP488</f>
        <v>131.5</v>
      </c>
      <c r="AQ544" s="259"/>
      <c r="AR544" s="259"/>
      <c r="AS544" s="259"/>
      <c r="AT544" s="259"/>
      <c r="AU544" s="261" t="n">
        <f aca="false">AU488</f>
        <v>214.4</v>
      </c>
      <c r="AV544" s="259"/>
      <c r="AW544" s="259"/>
      <c r="AX544" s="259"/>
      <c r="AY544" s="259"/>
      <c r="AZ544" s="261" t="n">
        <f aca="false">AZ488</f>
        <v>33.6</v>
      </c>
      <c r="BA544" s="259"/>
      <c r="BB544" s="259"/>
      <c r="BC544" s="259"/>
      <c r="BD544" s="259"/>
      <c r="BE544" s="261" t="n">
        <f aca="false">BE488</f>
        <v>-939.4</v>
      </c>
      <c r="BF544" s="259"/>
      <c r="BG544" s="259"/>
      <c r="BH544" s="259"/>
      <c r="BI544" s="259"/>
      <c r="BJ544" s="403" t="n">
        <f aca="false">BJ488</f>
        <v>689.5</v>
      </c>
      <c r="BK544" s="259"/>
      <c r="BL544" s="259"/>
      <c r="BM544" s="259"/>
      <c r="BN544" s="259"/>
      <c r="BO544" s="404" t="n">
        <f aca="false">BO545-SUM(BO537:BO543)</f>
        <v>-2996.091</v>
      </c>
      <c r="BP544" s="48" t="n">
        <f aca="false">+BP658-BO658</f>
        <v>176.056951138461</v>
      </c>
      <c r="BQ544" s="48" t="n">
        <f aca="false">+BQ658-BP658</f>
        <v>17.5763467253876</v>
      </c>
      <c r="BR544" s="48" t="n">
        <f aca="false">+BR658-BQ658</f>
        <v>27.9461894287082</v>
      </c>
      <c r="BS544" s="48" t="n">
        <f aca="false">+BS658-BR658</f>
        <v>-179.106714511273</v>
      </c>
      <c r="BT544" s="159" t="n">
        <f aca="false">IF(OR(ISBLANK(BP544),ISBLANK(BQ544),ISBLANK(BR544),ISBLANK(BS544)),"n/a",SUM(BP544,BQ544,BR544,BS544))</f>
        <v>42.4727727812841</v>
      </c>
      <c r="BU544" s="48" t="n">
        <f aca="false">+BU658-BT658</f>
        <v>189.120264621411</v>
      </c>
      <c r="BV544" s="48" t="n">
        <f aca="false">+BV658-BU658</f>
        <v>2.60083258804559</v>
      </c>
      <c r="BW544" s="48" t="n">
        <f aca="false">+BW658-BV658</f>
        <v>8.64878537593302</v>
      </c>
      <c r="BX544" s="48" t="n">
        <f aca="false">+BX658-BW658</f>
        <v>-183.473724811531</v>
      </c>
      <c r="BY544" s="159" t="n">
        <f aca="false">IF(OR(ISBLANK(BU544),ISBLANK(BV544),ISBLANK(BW544),ISBLANK(BX544)),"n/a",SUM(BU544,BV544,BW544,BX544))</f>
        <v>16.896157773859</v>
      </c>
      <c r="BZ544" s="159" t="n">
        <f aca="false">+BZ658-BY658</f>
        <v>79.3976344914724</v>
      </c>
      <c r="CA544" s="159" t="n">
        <f aca="false">+CA658-BZ658</f>
        <v>23.6507800699998</v>
      </c>
      <c r="CB544" s="159" t="n">
        <f aca="false">+CB658-CA658</f>
        <v>25.0931461741439</v>
      </c>
      <c r="CC544" s="50"/>
    </row>
    <row r="545" s="51" customFormat="true" ht="15" hidden="false" customHeight="true" outlineLevel="0" collapsed="false">
      <c r="A545" s="425" t="str">
        <f aca="false">A489</f>
        <v>Changes in assets and liabilities</v>
      </c>
      <c r="B545" s="426"/>
      <c r="C545" s="427" t="n">
        <f aca="false">C489</f>
        <v>36.043</v>
      </c>
      <c r="D545" s="427" t="n">
        <f aca="false">D489</f>
        <v>-339.289</v>
      </c>
      <c r="E545" s="427" t="n">
        <f aca="false">E489</f>
        <v>285.826</v>
      </c>
      <c r="F545" s="427" t="n">
        <f aca="false">F489</f>
        <v>-712.673</v>
      </c>
      <c r="G545" s="427" t="n">
        <f aca="false">G489</f>
        <v>-401.599</v>
      </c>
      <c r="H545" s="428" t="n">
        <f aca="false">H489</f>
        <v>-149.8</v>
      </c>
      <c r="I545" s="428" t="n">
        <f aca="false">I489-H489</f>
        <v>-340.1</v>
      </c>
      <c r="J545" s="428" t="n">
        <f aca="false">J489-I489</f>
        <v>-105.3</v>
      </c>
      <c r="K545" s="428" t="n">
        <f aca="false">K489-J489</f>
        <v>-12.192</v>
      </c>
      <c r="L545" s="427" t="n">
        <f aca="false">L489</f>
        <v>-607.392</v>
      </c>
      <c r="M545" s="428" t="n">
        <f aca="false">M489</f>
        <v>-201</v>
      </c>
      <c r="N545" s="428" t="n">
        <f aca="false">N489-M489</f>
        <v>-227.3</v>
      </c>
      <c r="O545" s="428" t="n">
        <f aca="false">O489-N489</f>
        <v>-93.3</v>
      </c>
      <c r="P545" s="428" t="n">
        <f aca="false">P489-O489</f>
        <v>539.115</v>
      </c>
      <c r="Q545" s="427" t="n">
        <f aca="false">Q489</f>
        <v>17.515</v>
      </c>
      <c r="R545" s="428" t="n">
        <f aca="false">R489</f>
        <v>-333.7</v>
      </c>
      <c r="S545" s="428" t="n">
        <f aca="false">S489-R489</f>
        <v>14.3</v>
      </c>
      <c r="T545" s="428" t="n">
        <f aca="false">T489-S489</f>
        <v>-541.8</v>
      </c>
      <c r="U545" s="428" t="n">
        <f aca="false">U489-T489</f>
        <v>566.3</v>
      </c>
      <c r="V545" s="427" t="n">
        <f aca="false">V489</f>
        <v>-294.9</v>
      </c>
      <c r="W545" s="428" t="n">
        <f aca="false">W489</f>
        <v>-791.4</v>
      </c>
      <c r="X545" s="428" t="n">
        <f aca="false">X489-W489</f>
        <v>-89.5</v>
      </c>
      <c r="Y545" s="428" t="n">
        <f aca="false">Y489-X489</f>
        <v>-310.4</v>
      </c>
      <c r="Z545" s="428" t="n">
        <f aca="false">Z489-Y489</f>
        <v>252</v>
      </c>
      <c r="AA545" s="427" t="n">
        <f aca="false">AA489</f>
        <v>-939.3</v>
      </c>
      <c r="AB545" s="428" t="n">
        <f aca="false">AB489</f>
        <v>-553.5</v>
      </c>
      <c r="AC545" s="428" t="n">
        <f aca="false">AC489-AB489</f>
        <v>-9.70000000000005</v>
      </c>
      <c r="AD545" s="428" t="n">
        <f aca="false">AD489-AC489</f>
        <v>-323.8</v>
      </c>
      <c r="AE545" s="428" t="n">
        <f aca="false">AE489-AD489</f>
        <v>827.6</v>
      </c>
      <c r="AF545" s="427" t="n">
        <f aca="false">AF489</f>
        <v>-59.4</v>
      </c>
      <c r="AG545" s="428" t="n">
        <f aca="false">AG489</f>
        <v>-938.4</v>
      </c>
      <c r="AH545" s="428" t="n">
        <f aca="false">AH489-AG489</f>
        <v>-466.9</v>
      </c>
      <c r="AI545" s="428" t="n">
        <f aca="false">AI489-AH489</f>
        <v>-740.1</v>
      </c>
      <c r="AJ545" s="428" t="n">
        <f aca="false">AJ489-AI489</f>
        <v>2257</v>
      </c>
      <c r="AK545" s="427" t="n">
        <f aca="false">AK489</f>
        <v>111.6</v>
      </c>
      <c r="AL545" s="428" t="n">
        <f aca="false">AL489</f>
        <v>-1115.7</v>
      </c>
      <c r="AM545" s="428" t="n">
        <f aca="false">AM489-AL489</f>
        <v>-512.1</v>
      </c>
      <c r="AN545" s="428" t="n">
        <f aca="false">AN489-AM489</f>
        <v>-915.3</v>
      </c>
      <c r="AO545" s="428" t="n">
        <f aca="false">AO489-AN489</f>
        <v>3074.7</v>
      </c>
      <c r="AP545" s="427" t="n">
        <f aca="false">AP489</f>
        <v>531.6</v>
      </c>
      <c r="AQ545" s="428" t="n">
        <f aca="false">AQ489</f>
        <v>-2395.3</v>
      </c>
      <c r="AR545" s="428" t="n">
        <f aca="false">AR489-AQ489</f>
        <v>2374.8</v>
      </c>
      <c r="AS545" s="428" t="n">
        <f aca="false">AS489-AR489</f>
        <v>265.4</v>
      </c>
      <c r="AT545" s="428" t="n">
        <f aca="false">AT489-AS489</f>
        <v>4647.5</v>
      </c>
      <c r="AU545" s="427" t="n">
        <f aca="false">AU489</f>
        <v>4892.4</v>
      </c>
      <c r="AV545" s="428" t="n">
        <f aca="false">AV489</f>
        <v>-1399</v>
      </c>
      <c r="AW545" s="428" t="n">
        <f aca="false">AW489-AV489</f>
        <v>1036.9</v>
      </c>
      <c r="AX545" s="428" t="n">
        <f aca="false">AX489-AW489</f>
        <v>-409.7</v>
      </c>
      <c r="AY545" s="428" t="n">
        <f aca="false">AY489-AX489</f>
        <v>3213</v>
      </c>
      <c r="AZ545" s="427" t="n">
        <f aca="false">AZ489</f>
        <v>2441.2</v>
      </c>
      <c r="BA545" s="428" t="n">
        <f aca="false">BA489</f>
        <v>-1461.6</v>
      </c>
      <c r="BB545" s="428" t="n">
        <f aca="false">BB489-BA489</f>
        <v>-1836.7</v>
      </c>
      <c r="BC545" s="428" t="n">
        <f aca="false">BC489-BB489</f>
        <v>-913</v>
      </c>
      <c r="BD545" s="428" t="n">
        <f aca="false">BD489-BC489</f>
        <v>547.7</v>
      </c>
      <c r="BE545" s="427" t="n">
        <f aca="false">BE489</f>
        <v>-3663.6</v>
      </c>
      <c r="BF545" s="428" t="n">
        <f aca="false">BF489</f>
        <v>-1799</v>
      </c>
      <c r="BG545" s="428" t="n">
        <f aca="false">BG489-BF489</f>
        <v>-1003.1</v>
      </c>
      <c r="BH545" s="428" t="n">
        <f aca="false">BH489-BG489</f>
        <v>-1381.6</v>
      </c>
      <c r="BI545" s="428" t="n">
        <f aca="false">BI489-BH489</f>
        <v>6237</v>
      </c>
      <c r="BJ545" s="552" t="n">
        <f aca="false">BJ489</f>
        <v>2053.3</v>
      </c>
      <c r="BK545" s="428" t="n">
        <f aca="false">BK489</f>
        <v>-2800.8</v>
      </c>
      <c r="BL545" s="428" t="n">
        <f aca="false">BL489-BK489</f>
        <v>-1910.1</v>
      </c>
      <c r="BM545" s="428" t="n">
        <f aca="false">BM489-BL489</f>
        <v>-1903.3</v>
      </c>
      <c r="BN545" s="428" t="n">
        <f aca="false">BN489-BM489</f>
        <v>7640.7</v>
      </c>
      <c r="BO545" s="561" t="n">
        <f aca="false">BO489</f>
        <v>1026.5</v>
      </c>
      <c r="BP545" s="428" t="n">
        <f aca="false">SUM(BP537:BP544)</f>
        <v>2085.79641738469</v>
      </c>
      <c r="BQ545" s="428" t="n">
        <f aca="false">SUM(BQ537:BQ544)</f>
        <v>-132.054789945865</v>
      </c>
      <c r="BR545" s="428" t="n">
        <f aca="false">SUM(BR537:BR544)</f>
        <v>106.08122910836</v>
      </c>
      <c r="BS545" s="428" t="n">
        <f aca="false">SUM(BS537:BS544)</f>
        <v>-1316.75911396737</v>
      </c>
      <c r="BT545" s="427" t="n">
        <f aca="false">IF(OR(ISBLANK(BP545),ISBLANK(BQ545),ISBLANK(BR545),ISBLANK(BS545)),"n/a",SUM(BP545,BQ545,BR545,BS545))</f>
        <v>743.063742579811</v>
      </c>
      <c r="BU545" s="428" t="n">
        <f aca="false">SUM(BU537:BU544)</f>
        <v>2204.49714637191</v>
      </c>
      <c r="BV545" s="428" t="n">
        <f aca="false">SUM(BV537:BV544)</f>
        <v>-395.988327862619</v>
      </c>
      <c r="BW545" s="428" t="n">
        <f aca="false">SUM(BW537:BW544)</f>
        <v>-190.20825030936</v>
      </c>
      <c r="BX545" s="428" t="n">
        <f aca="false">SUM(BX537:BX544)</f>
        <v>-1322.70126049014</v>
      </c>
      <c r="BY545" s="427" t="n">
        <f aca="false">IF(OR(ISBLANK(BU545),ISBLANK(BV545),ISBLANK(BW545),ISBLANK(BX545)),"n/a",SUM(BU545,BV545,BW545,BX545))</f>
        <v>295.599307709786</v>
      </c>
      <c r="BZ545" s="427" t="n">
        <f aca="false">SUM(BZ537:BZ544)</f>
        <v>1389.06644360208</v>
      </c>
      <c r="CA545" s="427" t="n">
        <f aca="false">SUM(CA537:CA544)</f>
        <v>413.771835529659</v>
      </c>
      <c r="CB545" s="427" t="n">
        <f aca="false">SUM(CB537:CB544)</f>
        <v>439.006118232008</v>
      </c>
      <c r="CC545" s="50"/>
    </row>
    <row r="546" s="157" customFormat="true" ht="15" hidden="false" customHeight="true" outlineLevel="0" collapsed="false">
      <c r="A546" s="151" t="str">
        <f aca="false">A490</f>
        <v>Net CFO</v>
      </c>
      <c r="B546" s="393"/>
      <c r="C546" s="162" t="n">
        <f aca="false">C545+C536</f>
        <v>99.194</v>
      </c>
      <c r="D546" s="162" t="n">
        <f aca="false">D545+D536</f>
        <v>940.048</v>
      </c>
      <c r="E546" s="162" t="n">
        <f aca="false">E545+E536</f>
        <v>2070.44</v>
      </c>
      <c r="F546" s="162" t="n">
        <f aca="false">F545+F536</f>
        <v>703.478</v>
      </c>
      <c r="G546" s="162" t="n">
        <f aca="false">G545+G536</f>
        <v>1054.173</v>
      </c>
      <c r="H546" s="163" t="n">
        <f aca="false">H545+H536</f>
        <v>203.4</v>
      </c>
      <c r="I546" s="163" t="n">
        <f aca="false">I545+I536</f>
        <v>198.4</v>
      </c>
      <c r="J546" s="163" t="n">
        <f aca="false">J545+J536</f>
        <v>214.2</v>
      </c>
      <c r="K546" s="163" t="n">
        <f aca="false">K545+K536</f>
        <v>409.206</v>
      </c>
      <c r="L546" s="162" t="n">
        <f aca="false">L545+L536</f>
        <v>1025.206</v>
      </c>
      <c r="M546" s="163" t="n">
        <f aca="false">M545+M536</f>
        <v>337.2</v>
      </c>
      <c r="N546" s="163" t="n">
        <f aca="false">N545+N536</f>
        <v>283.8</v>
      </c>
      <c r="O546" s="163" t="n">
        <f aca="false">O545+O536</f>
        <v>419.8</v>
      </c>
      <c r="P546" s="163" t="n">
        <f aca="false">P545+P536</f>
        <v>984.78</v>
      </c>
      <c r="Q546" s="162" t="n">
        <f aca="false">Q545+Q536</f>
        <v>2025.58</v>
      </c>
      <c r="R546" s="163" t="n">
        <f aca="false">R545+R536</f>
        <v>-5.80000000000001</v>
      </c>
      <c r="S546" s="163" t="n">
        <f aca="false">S545+S536</f>
        <v>481.1</v>
      </c>
      <c r="T546" s="163" t="n">
        <f aca="false">T545+T536</f>
        <v>-2.69999999999993</v>
      </c>
      <c r="U546" s="163" t="n">
        <f aca="false">U545+U536</f>
        <v>1193.3</v>
      </c>
      <c r="V546" s="162" t="n">
        <f aca="false">V545+V536</f>
        <v>1665.9</v>
      </c>
      <c r="W546" s="163" t="n">
        <f aca="false">W545+W536</f>
        <v>-168.4</v>
      </c>
      <c r="X546" s="163" t="n">
        <f aca="false">X545+X536</f>
        <v>530.3</v>
      </c>
      <c r="Y546" s="163" t="n">
        <f aca="false">Y545+Y536</f>
        <v>400</v>
      </c>
      <c r="Z546" s="163" t="n">
        <f aca="false">Z545+Z536</f>
        <v>1036.7</v>
      </c>
      <c r="AA546" s="162" t="n">
        <f aca="false">AA545+AA536</f>
        <v>1798.6</v>
      </c>
      <c r="AB546" s="163" t="n">
        <f aca="false">AB545+AB536</f>
        <v>191</v>
      </c>
      <c r="AC546" s="163" t="n">
        <f aca="false">AC545+AC536</f>
        <v>759.1</v>
      </c>
      <c r="AD546" s="163" t="n">
        <f aca="false">AD545+AD536</f>
        <v>492.2</v>
      </c>
      <c r="AE546" s="163" t="n">
        <f aca="false">AE545+AE536</f>
        <v>1630.4</v>
      </c>
      <c r="AF546" s="162" t="n">
        <f aca="false">AF545+AF536</f>
        <v>3072.7</v>
      </c>
      <c r="AG546" s="163" t="n">
        <f aca="false">AG545+AG536</f>
        <v>-480.8</v>
      </c>
      <c r="AH546" s="163" t="n">
        <f aca="false">AH545+AH536</f>
        <v>99.5</v>
      </c>
      <c r="AI546" s="163" t="n">
        <f aca="false">AI545+AI536</f>
        <v>69.4</v>
      </c>
      <c r="AJ546" s="163" t="n">
        <f aca="false">AJ545+AJ536</f>
        <v>3588.3</v>
      </c>
      <c r="AK546" s="162" t="n">
        <f aca="false">AK545+AK536</f>
        <v>3276.4</v>
      </c>
      <c r="AL546" s="163" t="n">
        <f aca="false">AL545+AL536</f>
        <v>-605.8</v>
      </c>
      <c r="AM546" s="163" t="n">
        <f aca="false">AM545+AM536</f>
        <v>371.9</v>
      </c>
      <c r="AN546" s="163" t="n">
        <f aca="false">AN545+AN536</f>
        <v>191.1</v>
      </c>
      <c r="AO546" s="163" t="n">
        <f aca="false">AO545+AO536</f>
        <v>4670.4</v>
      </c>
      <c r="AP546" s="162" t="n">
        <f aca="false">AP545+AP536</f>
        <v>4627.6</v>
      </c>
      <c r="AQ546" s="163" t="n">
        <f aca="false">AQ545+AQ536</f>
        <v>-941.7</v>
      </c>
      <c r="AR546" s="163" t="n">
        <f aca="false">AR545+AR536</f>
        <v>3568.9</v>
      </c>
      <c r="AS546" s="163" t="n">
        <f aca="false">AS545+AS536</f>
        <v>1801.6</v>
      </c>
      <c r="AT546" s="163" t="n">
        <f aca="false">AT545+AT536</f>
        <v>6417</v>
      </c>
      <c r="AU546" s="162" t="n">
        <f aca="false">AU545+AU536</f>
        <v>10845.8</v>
      </c>
      <c r="AV546" s="163" t="n">
        <f aca="false">AV545+AV536</f>
        <v>-586.1</v>
      </c>
      <c r="AW546" s="163" t="n">
        <f aca="false">AW545+AW536</f>
        <v>2552.9</v>
      </c>
      <c r="AX546" s="163" t="n">
        <f aca="false">AX545+AX536</f>
        <v>1169.5</v>
      </c>
      <c r="AY546" s="163" t="n">
        <f aca="false">AY545+AY536</f>
        <v>5350.5</v>
      </c>
      <c r="AZ546" s="162" t="n">
        <f aca="false">AZ545+AZ536</f>
        <v>8486.8</v>
      </c>
      <c r="BA546" s="163" t="n">
        <f aca="false">BA545+BA536</f>
        <v>733.6</v>
      </c>
      <c r="BB546" s="163" t="n">
        <f aca="false">BB545+BB536</f>
        <v>384.7</v>
      </c>
      <c r="BC546" s="163" t="n">
        <f aca="false">BC545+BC536</f>
        <v>1128.1</v>
      </c>
      <c r="BD546" s="163" t="n">
        <f aca="false">BD545+BD536</f>
        <v>3197</v>
      </c>
      <c r="BE546" s="162" t="n">
        <f aca="false">BE545+BE536</f>
        <v>5443.4</v>
      </c>
      <c r="BF546" s="163" t="n">
        <f aca="false">BF545+BF536</f>
        <v>-251.9</v>
      </c>
      <c r="BG546" s="163" t="n">
        <f aca="false">BG545+BG536</f>
        <v>923.4</v>
      </c>
      <c r="BH546" s="163" t="n">
        <f aca="false">BH545+BH536</f>
        <v>949.9</v>
      </c>
      <c r="BI546" s="163" t="n">
        <f aca="false">BI545+BI536</f>
        <v>9544.8</v>
      </c>
      <c r="BJ546" s="162" t="n">
        <f aca="false">BJ545+BJ536</f>
        <v>11166.2</v>
      </c>
      <c r="BK546" s="163" t="n">
        <f aca="false">BK545+BK536</f>
        <v>-58.6000000000004</v>
      </c>
      <c r="BL546" s="163" t="n">
        <f aca="false">BL545+BL536</f>
        <v>747.700000000001</v>
      </c>
      <c r="BM546" s="163" t="n">
        <f aca="false">BM545+BM536</f>
        <v>559.1</v>
      </c>
      <c r="BN546" s="163" t="n">
        <f aca="false">BN545+BN536</f>
        <v>11410.3</v>
      </c>
      <c r="BO546" s="164" t="n">
        <f aca="false">BO545+BO536</f>
        <v>12658.5</v>
      </c>
      <c r="BP546" s="163" t="n">
        <f aca="false">BP545+BP536</f>
        <v>4732.33331082869</v>
      </c>
      <c r="BQ546" s="163" t="n">
        <f aca="false">BQ545+BQ536</f>
        <v>2935.06153903595</v>
      </c>
      <c r="BR546" s="163" t="n">
        <f aca="false">BR545+BR536</f>
        <v>3017.16388174133</v>
      </c>
      <c r="BS546" s="163" t="n">
        <f aca="false">BS545+BS536</f>
        <v>1880.15160842435</v>
      </c>
      <c r="BT546" s="162" t="n">
        <f aca="false">BT545+BT536</f>
        <v>12564.7103400303</v>
      </c>
      <c r="BU546" s="163" t="n">
        <f aca="false">BU545+BU536</f>
        <v>4954.56435515345</v>
      </c>
      <c r="BV546" s="163" t="n">
        <f aca="false">BV545+BV536</f>
        <v>3210.99838981037</v>
      </c>
      <c r="BW546" s="163" t="n">
        <f aca="false">BW545+BW536</f>
        <v>3196.35289602693</v>
      </c>
      <c r="BX546" s="163" t="n">
        <f aca="false">BX545+BX536</f>
        <v>2207.0371814397</v>
      </c>
      <c r="BY546" s="162" t="n">
        <f aca="false">BY545+BY536</f>
        <v>13568.9528224304</v>
      </c>
      <c r="BZ546" s="162" t="n">
        <f aca="false">BZ545+BZ536</f>
        <v>17120.2624539768</v>
      </c>
      <c r="CA546" s="162" t="n">
        <f aca="false">CA545+CA536</f>
        <v>17066.5783974526</v>
      </c>
      <c r="CB546" s="162" t="n">
        <f aca="false">CB545+CB536</f>
        <v>18091.4160520722</v>
      </c>
      <c r="CC546" s="156"/>
    </row>
    <row r="547" s="157" customFormat="true" ht="15" hidden="false" customHeight="true" outlineLevel="0" collapsed="false">
      <c r="A547" s="252"/>
      <c r="B547" s="266"/>
      <c r="C547" s="267"/>
      <c r="D547" s="267"/>
      <c r="E547" s="267"/>
      <c r="F547" s="267"/>
      <c r="G547" s="267"/>
      <c r="H547" s="268"/>
      <c r="I547" s="268"/>
      <c r="J547" s="268"/>
      <c r="K547" s="268"/>
      <c r="L547" s="267"/>
      <c r="M547" s="268"/>
      <c r="N547" s="268"/>
      <c r="O547" s="268"/>
      <c r="P547" s="268"/>
      <c r="Q547" s="267"/>
      <c r="R547" s="268"/>
      <c r="S547" s="268"/>
      <c r="T547" s="268"/>
      <c r="U547" s="268"/>
      <c r="V547" s="267"/>
      <c r="W547" s="268"/>
      <c r="X547" s="268"/>
      <c r="Y547" s="268"/>
      <c r="Z547" s="268"/>
      <c r="AA547" s="267"/>
      <c r="AB547" s="268"/>
      <c r="AC547" s="268"/>
      <c r="AD547" s="268"/>
      <c r="AE547" s="268"/>
      <c r="AF547" s="267"/>
      <c r="AG547" s="268"/>
      <c r="AH547" s="268"/>
      <c r="AI547" s="268"/>
      <c r="AJ547" s="268"/>
      <c r="AK547" s="267"/>
      <c r="AL547" s="268"/>
      <c r="AM547" s="268"/>
      <c r="AN547" s="268"/>
      <c r="AO547" s="268"/>
      <c r="AP547" s="267"/>
      <c r="AQ547" s="268"/>
      <c r="AR547" s="268"/>
      <c r="AS547" s="268"/>
      <c r="AT547" s="268"/>
      <c r="AU547" s="267"/>
      <c r="AV547" s="268"/>
      <c r="AW547" s="268"/>
      <c r="AX547" s="268"/>
      <c r="AY547" s="268"/>
      <c r="AZ547" s="267"/>
      <c r="BA547" s="268"/>
      <c r="BB547" s="268"/>
      <c r="BC547" s="268"/>
      <c r="BD547" s="268"/>
      <c r="BE547" s="267"/>
      <c r="BF547" s="268"/>
      <c r="BG547" s="268"/>
      <c r="BH547" s="268"/>
      <c r="BI547" s="268"/>
      <c r="BJ547" s="267"/>
      <c r="BK547" s="268"/>
      <c r="BL547" s="268"/>
      <c r="BM547" s="268"/>
      <c r="BN547" s="268"/>
      <c r="BO547" s="269"/>
      <c r="BP547" s="268"/>
      <c r="BQ547" s="268"/>
      <c r="BR547" s="268"/>
      <c r="BS547" s="268"/>
      <c r="BT547" s="267"/>
      <c r="BU547" s="268"/>
      <c r="BV547" s="268"/>
      <c r="BW547" s="268"/>
      <c r="BX547" s="268"/>
      <c r="BY547" s="267"/>
      <c r="BZ547" s="267"/>
      <c r="CA547" s="267"/>
      <c r="CB547" s="267"/>
      <c r="CC547" s="156"/>
    </row>
    <row r="548" s="157" customFormat="true" ht="15" hidden="false" customHeight="true" outlineLevel="0" collapsed="false">
      <c r="A548" s="252" t="str">
        <f aca="false">A492</f>
        <v>CFI</v>
      </c>
      <c r="B548" s="266"/>
      <c r="C548" s="267"/>
      <c r="D548" s="267"/>
      <c r="E548" s="267"/>
      <c r="F548" s="267"/>
      <c r="G548" s="267"/>
      <c r="H548" s="268"/>
      <c r="I548" s="268"/>
      <c r="J548" s="268"/>
      <c r="K548" s="268"/>
      <c r="L548" s="267"/>
      <c r="M548" s="268"/>
      <c r="N548" s="268"/>
      <c r="O548" s="268"/>
      <c r="P548" s="268"/>
      <c r="Q548" s="267"/>
      <c r="R548" s="268"/>
      <c r="S548" s="268"/>
      <c r="T548" s="268"/>
      <c r="U548" s="268"/>
      <c r="V548" s="267"/>
      <c r="W548" s="268"/>
      <c r="X548" s="268"/>
      <c r="Y548" s="268"/>
      <c r="Z548" s="268"/>
      <c r="AA548" s="267"/>
      <c r="AB548" s="268"/>
      <c r="AC548" s="268"/>
      <c r="AD548" s="268"/>
      <c r="AE548" s="268"/>
      <c r="AF548" s="267"/>
      <c r="AG548" s="268"/>
      <c r="AH548" s="268"/>
      <c r="AI548" s="268"/>
      <c r="AJ548" s="268"/>
      <c r="AK548" s="267"/>
      <c r="AL548" s="268"/>
      <c r="AM548" s="268"/>
      <c r="AN548" s="268"/>
      <c r="AO548" s="268"/>
      <c r="AP548" s="267"/>
      <c r="AQ548" s="268"/>
      <c r="AR548" s="268"/>
      <c r="AS548" s="268"/>
      <c r="AT548" s="268"/>
      <c r="AU548" s="267"/>
      <c r="AV548" s="268"/>
      <c r="AW548" s="268"/>
      <c r="AX548" s="268"/>
      <c r="AY548" s="268"/>
      <c r="AZ548" s="267"/>
      <c r="BA548" s="268"/>
      <c r="BB548" s="268"/>
      <c r="BC548" s="268"/>
      <c r="BD548" s="268"/>
      <c r="BE548" s="267"/>
      <c r="BF548" s="268"/>
      <c r="BG548" s="268"/>
      <c r="BH548" s="268"/>
      <c r="BI548" s="268"/>
      <c r="BJ548" s="267"/>
      <c r="BK548" s="268"/>
      <c r="BL548" s="268"/>
      <c r="BM548" s="268"/>
      <c r="BN548" s="268"/>
      <c r="BO548" s="269"/>
      <c r="BP548" s="268"/>
      <c r="BQ548" s="268"/>
      <c r="BR548" s="268"/>
      <c r="BS548" s="268"/>
      <c r="BT548" s="267"/>
      <c r="BU548" s="268"/>
      <c r="BV548" s="268"/>
      <c r="BW548" s="268"/>
      <c r="BX548" s="268"/>
      <c r="BY548" s="267"/>
      <c r="BZ548" s="267"/>
      <c r="CA548" s="267"/>
      <c r="CB548" s="267"/>
      <c r="CC548" s="156"/>
    </row>
    <row r="549" s="51" customFormat="true" ht="15" hidden="false" customHeight="true" outlineLevel="0" collapsed="false">
      <c r="A549" s="145" t="str">
        <f aca="false">A493</f>
        <v>Purchase of property, plant and equipment</v>
      </c>
      <c r="B549" s="254"/>
      <c r="C549" s="159" t="n">
        <f aca="false">C493</f>
        <v>-104.959</v>
      </c>
      <c r="D549" s="159" t="n">
        <f aca="false">D493</f>
        <v>-128.728</v>
      </c>
      <c r="E549" s="159" t="n">
        <f aca="false">E493</f>
        <v>-300.898</v>
      </c>
      <c r="F549" s="159" t="n">
        <f aca="false">F493</f>
        <v>-171.878</v>
      </c>
      <c r="G549" s="159" t="n">
        <f aca="false">G493</f>
        <v>-210.804</v>
      </c>
      <c r="H549" s="48" t="n">
        <f aca="false">H493</f>
        <v>-75.5</v>
      </c>
      <c r="I549" s="48" t="n">
        <f aca="false">I493-H493</f>
        <v>-70.7</v>
      </c>
      <c r="J549" s="48" t="n">
        <f aca="false">J493-I493</f>
        <v>-84.2</v>
      </c>
      <c r="K549" s="48" t="n">
        <f aca="false">K493-J493</f>
        <v>-127.88</v>
      </c>
      <c r="L549" s="159" t="n">
        <f aca="false">L493</f>
        <v>-358.28</v>
      </c>
      <c r="M549" s="48" t="n">
        <f aca="false">M493</f>
        <v>-85.6</v>
      </c>
      <c r="N549" s="48" t="n">
        <f aca="false">N493-M493</f>
        <v>-79.2</v>
      </c>
      <c r="O549" s="48" t="n">
        <f aca="false">O493-N493</f>
        <v>-86.5</v>
      </c>
      <c r="P549" s="48" t="n">
        <f aca="false">P493-O493</f>
        <v>-120.47</v>
      </c>
      <c r="Q549" s="159" t="n">
        <f aca="false">Q493</f>
        <v>-371.77</v>
      </c>
      <c r="R549" s="48" t="n">
        <f aca="false">R493</f>
        <v>-55.2</v>
      </c>
      <c r="S549" s="48" t="n">
        <f aca="false">S493-R493</f>
        <v>-98.9</v>
      </c>
      <c r="T549" s="48" t="n">
        <f aca="false">T493-S493</f>
        <v>-66.3</v>
      </c>
      <c r="U549" s="48" t="n">
        <f aca="false">U493-T493</f>
        <v>-95.9</v>
      </c>
      <c r="V549" s="159" t="n">
        <f aca="false">V493</f>
        <v>-316.3</v>
      </c>
      <c r="W549" s="48" t="n">
        <f aca="false">W493</f>
        <v>-38.6</v>
      </c>
      <c r="X549" s="48" t="n">
        <f aca="false">X493-W493</f>
        <v>-56.3</v>
      </c>
      <c r="Y549" s="48" t="n">
        <f aca="false">Y493-X493</f>
        <v>-95.7</v>
      </c>
      <c r="Z549" s="48" t="n">
        <f aca="false">Z493-Y493</f>
        <v>-148.3</v>
      </c>
      <c r="AA549" s="159" t="n">
        <f aca="false">AA493</f>
        <v>-338.9</v>
      </c>
      <c r="AB549" s="48" t="n">
        <f aca="false">AB493</f>
        <v>-129.2</v>
      </c>
      <c r="AC549" s="48" t="n">
        <f aca="false">AC493-AB493</f>
        <v>-125.6</v>
      </c>
      <c r="AD549" s="48" t="n">
        <f aca="false">AD493-AC493</f>
        <v>-129.1</v>
      </c>
      <c r="AE549" s="48" t="n">
        <f aca="false">AE493-AD493</f>
        <v>-190.1</v>
      </c>
      <c r="AF549" s="159" t="n">
        <f aca="false">AF493</f>
        <v>-574</v>
      </c>
      <c r="AG549" s="48" t="n">
        <f aca="false">AG493</f>
        <v>-147</v>
      </c>
      <c r="AH549" s="48" t="n">
        <f aca="false">AH493-AG493</f>
        <v>-128.3</v>
      </c>
      <c r="AI549" s="48" t="n">
        <f aca="false">AI493-AH493</f>
        <v>-185.8</v>
      </c>
      <c r="AJ549" s="48" t="n">
        <f aca="false">AJ493-AI493</f>
        <v>-305.5</v>
      </c>
      <c r="AK549" s="159" t="n">
        <f aca="false">AK493</f>
        <v>-766.6</v>
      </c>
      <c r="AL549" s="48" t="n">
        <f aca="false">AL493</f>
        <v>-231.5</v>
      </c>
      <c r="AM549" s="48" t="n">
        <f aca="false">AM493-AL493</f>
        <v>-225.1</v>
      </c>
      <c r="AN549" s="48" t="n">
        <f aca="false">AN493-AM493</f>
        <v>-212.5</v>
      </c>
      <c r="AO549" s="48" t="n">
        <f aca="false">AO493-AN493</f>
        <v>-292.9</v>
      </c>
      <c r="AP549" s="159" t="n">
        <f aca="false">AP493</f>
        <v>-962</v>
      </c>
      <c r="AQ549" s="48" t="n">
        <f aca="false">AQ493</f>
        <v>-189.4</v>
      </c>
      <c r="AR549" s="48" t="n">
        <f aca="false">AR493-AQ493</f>
        <v>-241.1</v>
      </c>
      <c r="AS549" s="48" t="n">
        <f aca="false">AS493-AR493</f>
        <v>-197</v>
      </c>
      <c r="AT549" s="48" t="n">
        <f aca="false">AT493-AS493</f>
        <v>-273.2</v>
      </c>
      <c r="AU549" s="159" t="n">
        <f aca="false">AU493</f>
        <v>-900.7</v>
      </c>
      <c r="AV549" s="48" t="n">
        <f aca="false">AV493</f>
        <v>-240.1</v>
      </c>
      <c r="AW549" s="48" t="n">
        <f aca="false">AW493-AV493</f>
        <v>-231.5</v>
      </c>
      <c r="AX549" s="48" t="n">
        <f aca="false">AX493-AW493</f>
        <v>-356.6</v>
      </c>
      <c r="AY549" s="48" t="n">
        <f aca="false">AY493-AX493</f>
        <v>-453.6</v>
      </c>
      <c r="AZ549" s="159" t="n">
        <f aca="false">AZ493</f>
        <v>-1281.8</v>
      </c>
      <c r="BA549" s="48" t="n">
        <f aca="false">BA493</f>
        <v>-532</v>
      </c>
      <c r="BB549" s="48" t="n">
        <f aca="false">BB493-BA493</f>
        <v>-537.8</v>
      </c>
      <c r="BC549" s="48" t="n">
        <f aca="false">BC493-BB493</f>
        <v>-501.8</v>
      </c>
      <c r="BD549" s="48" t="n">
        <f aca="false">BD493-BC493</f>
        <v>-584</v>
      </c>
      <c r="BE549" s="159" t="n">
        <f aca="false">BE493</f>
        <v>-2155.6</v>
      </c>
      <c r="BF549" s="48" t="n">
        <f aca="false">BF493</f>
        <v>-417.3</v>
      </c>
      <c r="BG549" s="48" t="n">
        <f aca="false">BG493-BF493</f>
        <v>-531</v>
      </c>
      <c r="BH549" s="48" t="n">
        <f aca="false">BH493-BG493</f>
        <v>-414.9</v>
      </c>
      <c r="BI549" s="48" t="n">
        <f aca="false">BI493-BH493</f>
        <v>-704</v>
      </c>
      <c r="BJ549" s="159" t="n">
        <f aca="false">BJ493</f>
        <v>-2067.2</v>
      </c>
      <c r="BK549" s="48" t="n">
        <f aca="false">BK493</f>
        <v>-415</v>
      </c>
      <c r="BL549" s="48" t="n">
        <f aca="false">BL493-BK493</f>
        <v>-414.8</v>
      </c>
      <c r="BM549" s="48" t="n">
        <f aca="false">BM493-BL493</f>
        <v>-295.9</v>
      </c>
      <c r="BN549" s="48" t="n">
        <f aca="false">BN493-BM493</f>
        <v>-447.9</v>
      </c>
      <c r="BO549" s="160" t="n">
        <f aca="false">BO493</f>
        <v>-1573.6</v>
      </c>
      <c r="BP549" s="48" t="n">
        <f aca="false">-BP585</f>
        <v>-128.135</v>
      </c>
      <c r="BQ549" s="48" t="n">
        <f aca="false">-BQ585</f>
        <v>-128.135</v>
      </c>
      <c r="BR549" s="48" t="n">
        <f aca="false">-BR585</f>
        <v>-128.135</v>
      </c>
      <c r="BS549" s="48" t="n">
        <f aca="false">-BS585</f>
        <v>-128.135</v>
      </c>
      <c r="BT549" s="159" t="n">
        <f aca="false">SUM(BP549,BQ549,BR549,BS549)</f>
        <v>-512.54</v>
      </c>
      <c r="BU549" s="48" t="n">
        <f aca="false">-BU585</f>
        <v>-128.135</v>
      </c>
      <c r="BV549" s="48" t="n">
        <f aca="false">-BV585</f>
        <v>-128.135</v>
      </c>
      <c r="BW549" s="48" t="n">
        <f aca="false">-BW585</f>
        <v>-128.135</v>
      </c>
      <c r="BX549" s="48" t="n">
        <f aca="false">-BX585</f>
        <v>-128.135</v>
      </c>
      <c r="BY549" s="159" t="n">
        <f aca="false">SUM(BU549,BV549,BW549,BX549)</f>
        <v>-512.54</v>
      </c>
      <c r="BZ549" s="159" t="n">
        <f aca="false">-BZ585</f>
        <v>-588</v>
      </c>
      <c r="CA549" s="159" t="n">
        <f aca="false">-CA585</f>
        <v>-588</v>
      </c>
      <c r="CB549" s="159" t="n">
        <f aca="false">-CB585</f>
        <v>-588</v>
      </c>
      <c r="CC549" s="50"/>
    </row>
    <row r="550" s="51" customFormat="true" ht="15" hidden="false" customHeight="true" outlineLevel="0" collapsed="false">
      <c r="A550" s="145" t="str">
        <f aca="false">A494</f>
        <v>Purchase of intangible assets</v>
      </c>
      <c r="B550" s="254"/>
      <c r="C550" s="159" t="n">
        <f aca="false">C494</f>
        <v>0</v>
      </c>
      <c r="D550" s="159" t="n">
        <f aca="false">D494</f>
        <v>0</v>
      </c>
      <c r="E550" s="159" t="n">
        <f aca="false">E494</f>
        <v>0</v>
      </c>
      <c r="F550" s="159" t="n">
        <f aca="false">F494</f>
        <v>-7.658</v>
      </c>
      <c r="G550" s="159" t="n">
        <f aca="false">G494</f>
        <v>-4</v>
      </c>
      <c r="H550" s="48" t="n">
        <f aca="false">H494</f>
        <v>0</v>
      </c>
      <c r="I550" s="48" t="n">
        <f aca="false">I494-H494</f>
        <v>-3</v>
      </c>
      <c r="J550" s="48" t="n">
        <f aca="false">J494-I494</f>
        <v>0</v>
      </c>
      <c r="K550" s="48" t="n">
        <f aca="false">K494-J494</f>
        <v>0.048</v>
      </c>
      <c r="L550" s="159" t="n">
        <f aca="false">L494</f>
        <v>-2.952</v>
      </c>
      <c r="M550" s="48" t="n">
        <f aca="false">M494</f>
        <v>-1.1</v>
      </c>
      <c r="N550" s="48" t="n">
        <f aca="false">N494-M494</f>
        <v>0</v>
      </c>
      <c r="O550" s="48" t="n">
        <f aca="false">O494-N494</f>
        <v>0</v>
      </c>
      <c r="P550" s="48" t="n">
        <f aca="false">P494-O494</f>
        <v>-0.00800000000000001</v>
      </c>
      <c r="Q550" s="159" t="n">
        <f aca="false">Q494</f>
        <v>-1.108</v>
      </c>
      <c r="R550" s="48" t="n">
        <f aca="false">R494</f>
        <v>-3.6</v>
      </c>
      <c r="S550" s="48" t="n">
        <f aca="false">S494-R494</f>
        <v>-1.3</v>
      </c>
      <c r="T550" s="48" t="n">
        <f aca="false">T494-S494</f>
        <v>-2.6</v>
      </c>
      <c r="U550" s="48" t="n">
        <f aca="false">U494-T494</f>
        <v>-0.9</v>
      </c>
      <c r="V550" s="159" t="n">
        <f aca="false">V494</f>
        <v>-8.4</v>
      </c>
      <c r="W550" s="48" t="n">
        <f aca="false">W494</f>
        <v>-5.2</v>
      </c>
      <c r="X550" s="48" t="n">
        <f aca="false">X494-W494</f>
        <v>-5</v>
      </c>
      <c r="Y550" s="48" t="n">
        <f aca="false">Y494-X494</f>
        <v>-2.1</v>
      </c>
      <c r="Z550" s="48" t="n">
        <f aca="false">Z494-Y494</f>
        <v>-6.8</v>
      </c>
      <c r="AA550" s="159" t="n">
        <f aca="false">AA494</f>
        <v>-19.1</v>
      </c>
      <c r="AB550" s="48" t="n">
        <f aca="false">AB494</f>
        <v>-6.1</v>
      </c>
      <c r="AC550" s="48" t="n">
        <f aca="false">AC494-AB494</f>
        <v>-9.8</v>
      </c>
      <c r="AD550" s="48" t="n">
        <f aca="false">AD494-AC494</f>
        <v>-5.2</v>
      </c>
      <c r="AE550" s="48" t="n">
        <f aca="false">AE494-AD494</f>
        <v>-14.4</v>
      </c>
      <c r="AF550" s="159" t="n">
        <f aca="false">AF494</f>
        <v>-35.5</v>
      </c>
      <c r="AG550" s="48" t="n">
        <f aca="false">AG494</f>
        <v>-86.7</v>
      </c>
      <c r="AH550" s="48" t="n">
        <f aca="false">AH494-AG494</f>
        <v>-11.7</v>
      </c>
      <c r="AI550" s="48" t="n">
        <f aca="false">AI494-AH494</f>
        <v>-11.2</v>
      </c>
      <c r="AJ550" s="48" t="n">
        <f aca="false">AJ494-AI494</f>
        <v>-9.7</v>
      </c>
      <c r="AK550" s="159" t="n">
        <f aca="false">AK494</f>
        <v>-119.3</v>
      </c>
      <c r="AL550" s="48" t="n">
        <f aca="false">AL494</f>
        <v>-10.8</v>
      </c>
      <c r="AM550" s="48" t="n">
        <f aca="false">AM494-AL494</f>
        <v>-6.7</v>
      </c>
      <c r="AN550" s="48" t="n">
        <f aca="false">AN494-AM494</f>
        <v>-9.1</v>
      </c>
      <c r="AO550" s="48" t="n">
        <f aca="false">AO494-AN494</f>
        <v>-12.2</v>
      </c>
      <c r="AP550" s="159" t="n">
        <f aca="false">AP494</f>
        <v>-38.8</v>
      </c>
      <c r="AQ550" s="48" t="n">
        <f aca="false">AQ494</f>
        <v>-7.9</v>
      </c>
      <c r="AR550" s="48" t="n">
        <f aca="false">AR494-AQ494</f>
        <v>-6.3</v>
      </c>
      <c r="AS550" s="48" t="n">
        <f aca="false">AS494-AR494</f>
        <v>-8</v>
      </c>
      <c r="AT550" s="48" t="n">
        <f aca="false">AT494-AS494</f>
        <v>-17.4</v>
      </c>
      <c r="AU550" s="159" t="n">
        <f aca="false">AU494</f>
        <v>-39.6</v>
      </c>
      <c r="AV550" s="48" t="n">
        <f aca="false">AV494</f>
        <v>-11.5</v>
      </c>
      <c r="AW550" s="48" t="n">
        <f aca="false">AW494-AV494</f>
        <v>-6</v>
      </c>
      <c r="AX550" s="48" t="n">
        <f aca="false">AX494-AW494</f>
        <v>-7.7</v>
      </c>
      <c r="AY550" s="48" t="n">
        <f aca="false">AY494-AX494</f>
        <v>-12.3</v>
      </c>
      <c r="AZ550" s="159" t="n">
        <f aca="false">AZ494</f>
        <v>-37.5</v>
      </c>
      <c r="BA550" s="48" t="n">
        <f aca="false">BA494</f>
        <v>-7.4</v>
      </c>
      <c r="BB550" s="48" t="n">
        <f aca="false">BB494-BA494</f>
        <v>-6.6</v>
      </c>
      <c r="BC550" s="48" t="n">
        <f aca="false">BC494-BB494</f>
        <v>-8.3</v>
      </c>
      <c r="BD550" s="48" t="n">
        <f aca="false">BD494-BC494</f>
        <v>-18.3</v>
      </c>
      <c r="BE550" s="159" t="n">
        <f aca="false">BE494</f>
        <v>-40.6</v>
      </c>
      <c r="BF550" s="48" t="n">
        <f aca="false">BF494</f>
        <v>-6.5</v>
      </c>
      <c r="BG550" s="48" t="n">
        <f aca="false">BG494-BF494</f>
        <v>-7</v>
      </c>
      <c r="BH550" s="48" t="n">
        <f aca="false">BH494-BG494</f>
        <v>-0.9</v>
      </c>
      <c r="BI550" s="48" t="n">
        <f aca="false">BI494-BH494</f>
        <v>-1.5</v>
      </c>
      <c r="BJ550" s="159" t="n">
        <f aca="false">BJ494</f>
        <v>-15.9</v>
      </c>
      <c r="BK550" s="48" t="n">
        <f aca="false">BK494</f>
        <v>-1.5</v>
      </c>
      <c r="BL550" s="48" t="n">
        <f aca="false">BL494-BK494</f>
        <v>-14.1</v>
      </c>
      <c r="BM550" s="48" t="n">
        <f aca="false">BM494-BL494</f>
        <v>-19.5</v>
      </c>
      <c r="BN550" s="48" t="n">
        <f aca="false">BN494-BM494</f>
        <v>-22.5</v>
      </c>
      <c r="BO550" s="160" t="n">
        <f aca="false">BO494</f>
        <v>-57.6</v>
      </c>
      <c r="BP550" s="48" t="n">
        <f aca="false">-BP591</f>
        <v>-2.615</v>
      </c>
      <c r="BQ550" s="48" t="n">
        <f aca="false">-BQ591</f>
        <v>-2.615</v>
      </c>
      <c r="BR550" s="48" t="n">
        <f aca="false">-BR591</f>
        <v>-2.615</v>
      </c>
      <c r="BS550" s="48" t="n">
        <f aca="false">-BS591</f>
        <v>-2.615</v>
      </c>
      <c r="BT550" s="159" t="n">
        <f aca="false">SUM(BP550,BQ550,BR550,BS550)</f>
        <v>-10.46</v>
      </c>
      <c r="BU550" s="48" t="n">
        <f aca="false">-BU591</f>
        <v>-2.615</v>
      </c>
      <c r="BV550" s="48" t="n">
        <f aca="false">-BV591</f>
        <v>-2.615</v>
      </c>
      <c r="BW550" s="48" t="n">
        <f aca="false">-BW591</f>
        <v>-2.615</v>
      </c>
      <c r="BX550" s="48" t="n">
        <f aca="false">-BX591</f>
        <v>-2.615</v>
      </c>
      <c r="BY550" s="159" t="n">
        <f aca="false">SUM(BU550,BV550,BW550,BX550)</f>
        <v>-10.46</v>
      </c>
      <c r="BZ550" s="159" t="n">
        <f aca="false">-BZ591</f>
        <v>-12</v>
      </c>
      <c r="CA550" s="159" t="n">
        <f aca="false">-CA591</f>
        <v>-12</v>
      </c>
      <c r="CB550" s="159" t="n">
        <f aca="false">-CB591</f>
        <v>-12</v>
      </c>
      <c r="CC550" s="50"/>
    </row>
    <row r="551" s="51" customFormat="true" ht="15" hidden="false" customHeight="true" outlineLevel="0" collapsed="false">
      <c r="A551" s="145" t="str">
        <f aca="false">A495</f>
        <v>Purchase of short-term investments</v>
      </c>
      <c r="B551" s="254"/>
      <c r="C551" s="159" t="n">
        <f aca="false">C495</f>
        <v>0</v>
      </c>
      <c r="D551" s="159" t="n">
        <f aca="false">D495</f>
        <v>0</v>
      </c>
      <c r="E551" s="159" t="n">
        <f aca="false">E495</f>
        <v>0</v>
      </c>
      <c r="F551" s="159" t="n">
        <f aca="false">F495</f>
        <v>-1379.997</v>
      </c>
      <c r="G551" s="159" t="n">
        <f aca="false">G495</f>
        <v>-904.856</v>
      </c>
      <c r="H551" s="48" t="n">
        <f aca="false">H495</f>
        <v>-194.8</v>
      </c>
      <c r="I551" s="48" t="n">
        <f aca="false">I495-H495</f>
        <v>-174.9</v>
      </c>
      <c r="J551" s="48" t="n">
        <f aca="false">J495-I495</f>
        <v>-110</v>
      </c>
      <c r="K551" s="48" t="n">
        <f aca="false">K495-J495</f>
        <v>-25.056</v>
      </c>
      <c r="L551" s="159" t="n">
        <f aca="false">L495</f>
        <v>-504.756</v>
      </c>
      <c r="M551" s="48" t="n">
        <f aca="false">M495</f>
        <v>0</v>
      </c>
      <c r="N551" s="48" t="n">
        <f aca="false">N495-M495</f>
        <v>0</v>
      </c>
      <c r="O551" s="48" t="n">
        <f aca="false">O495-N495</f>
        <v>0</v>
      </c>
      <c r="P551" s="48" t="n">
        <f aca="false">P495-O495</f>
        <v>-950</v>
      </c>
      <c r="Q551" s="159" t="n">
        <f aca="false">Q495</f>
        <v>-950</v>
      </c>
      <c r="R551" s="48" t="n">
        <f aca="false">R495</f>
        <v>-350</v>
      </c>
      <c r="S551" s="48" t="n">
        <f aca="false">S495-R495</f>
        <v>-350</v>
      </c>
      <c r="T551" s="48" t="n">
        <f aca="false">T495-S495</f>
        <v>-770</v>
      </c>
      <c r="U551" s="48" t="n">
        <f aca="false">U495-T495</f>
        <v>-1050</v>
      </c>
      <c r="V551" s="159" t="n">
        <f aca="false">V495</f>
        <v>-2520</v>
      </c>
      <c r="W551" s="48" t="n">
        <f aca="false">W495</f>
        <v>-75</v>
      </c>
      <c r="X551" s="48" t="n">
        <f aca="false">X495-W495</f>
        <v>-275</v>
      </c>
      <c r="Y551" s="48" t="n">
        <f aca="false">Y495-X495</f>
        <v>-100</v>
      </c>
      <c r="Z551" s="48" t="n">
        <f aca="false">Z495-Y495</f>
        <v>-679.3</v>
      </c>
      <c r="AA551" s="159" t="n">
        <f aca="false">AA495</f>
        <v>-1129.3</v>
      </c>
      <c r="AB551" s="48" t="n">
        <f aca="false">AB495</f>
        <v>-79.3</v>
      </c>
      <c r="AC551" s="48" t="n">
        <f aca="false">AC495-AB495</f>
        <v>-104.5</v>
      </c>
      <c r="AD551" s="48" t="n">
        <f aca="false">AD495-AC495</f>
        <v>-214.8</v>
      </c>
      <c r="AE551" s="48" t="n">
        <f aca="false">AE495-AD495</f>
        <v>-519.5</v>
      </c>
      <c r="AF551" s="159" t="n">
        <f aca="false">AF495</f>
        <v>-918.1</v>
      </c>
      <c r="AG551" s="48" t="n">
        <f aca="false">AG495</f>
        <v>-288.1</v>
      </c>
      <c r="AH551" s="48" t="n">
        <f aca="false">AH495-AG495</f>
        <v>-0.699999999999989</v>
      </c>
      <c r="AI551" s="48" t="n">
        <f aca="false">AI495-AH495</f>
        <v>-100.3</v>
      </c>
      <c r="AJ551" s="48" t="n">
        <f aca="false">AJ495-AI495</f>
        <v>-902.4</v>
      </c>
      <c r="AK551" s="159" t="n">
        <f aca="false">AK495</f>
        <v>-1291.5</v>
      </c>
      <c r="AL551" s="48" t="n">
        <f aca="false">AL495</f>
        <v>-310.5</v>
      </c>
      <c r="AM551" s="48" t="n">
        <f aca="false">AM495-AL495</f>
        <v>-0.5</v>
      </c>
      <c r="AN551" s="48" t="n">
        <f aca="false">AN495-AM495</f>
        <v>-343.7</v>
      </c>
      <c r="AO551" s="48" t="n">
        <f aca="false">AO495-AN495</f>
        <v>-820.8</v>
      </c>
      <c r="AP551" s="159" t="n">
        <f aca="false">AP495</f>
        <v>-1475.5</v>
      </c>
      <c r="AQ551" s="48" t="n">
        <f aca="false">AQ495</f>
        <v>-608.5</v>
      </c>
      <c r="AR551" s="48" t="n">
        <f aca="false">AR495-AQ495</f>
        <v>0</v>
      </c>
      <c r="AS551" s="48" t="n">
        <f aca="false">AS495-AR495</f>
        <v>-50</v>
      </c>
      <c r="AT551" s="48" t="n">
        <f aca="false">AT495-AS495</f>
        <v>-504.2</v>
      </c>
      <c r="AU551" s="159" t="n">
        <f aca="false">AU495</f>
        <v>-1162.7</v>
      </c>
      <c r="AV551" s="48" t="n">
        <f aca="false">AV495</f>
        <v>-19.6</v>
      </c>
      <c r="AW551" s="48" t="n">
        <f aca="false">AW495-AV495</f>
        <v>-206.4</v>
      </c>
      <c r="AX551" s="48" t="n">
        <f aca="false">AX495-AW495</f>
        <v>-104.1</v>
      </c>
      <c r="AY551" s="48" t="n">
        <f aca="false">AY495-AX495</f>
        <v>-4.19999999999999</v>
      </c>
      <c r="AZ551" s="159" t="n">
        <f aca="false">AZ495</f>
        <v>-334.3</v>
      </c>
      <c r="BA551" s="48" t="n">
        <f aca="false">BA495</f>
        <v>-18.2</v>
      </c>
      <c r="BB551" s="48" t="n">
        <f aca="false">BB495-BA495</f>
        <v>-0.5</v>
      </c>
      <c r="BC551" s="48" t="n">
        <f aca="false">BC495-BB495</f>
        <v>-3.9</v>
      </c>
      <c r="BD551" s="48" t="n">
        <f aca="false">BD495-BC495</f>
        <v>-1</v>
      </c>
      <c r="BE551" s="159" t="n">
        <f aca="false">BE495</f>
        <v>-23.6</v>
      </c>
      <c r="BF551" s="48" t="n">
        <f aca="false">BF495</f>
        <v>-300</v>
      </c>
      <c r="BG551" s="48" t="n">
        <f aca="false">BG495-BF495</f>
        <v>-0.5</v>
      </c>
      <c r="BH551" s="48" t="n">
        <f aca="false">BH495-BG495</f>
        <v>-3.80000000000001</v>
      </c>
      <c r="BI551" s="48" t="n">
        <f aca="false">BI495-BH495</f>
        <v>-0.899999999999977</v>
      </c>
      <c r="BJ551" s="159" t="n">
        <f aca="false">BJ495</f>
        <v>-305.2</v>
      </c>
      <c r="BK551" s="48" t="n">
        <f aca="false">BK495</f>
        <v>0</v>
      </c>
      <c r="BL551" s="48" t="n">
        <f aca="false">BL495-BK495</f>
        <v>0</v>
      </c>
      <c r="BM551" s="48" t="n">
        <f aca="false">BM495-BL495</f>
        <v>3.5</v>
      </c>
      <c r="BN551" s="48" t="n">
        <f aca="false">BN495-BM495</f>
        <v>-409.7</v>
      </c>
      <c r="BO551" s="160" t="n">
        <f aca="false">BO495</f>
        <v>-406.2</v>
      </c>
      <c r="BP551" s="48"/>
      <c r="BQ551" s="48"/>
      <c r="BR551" s="48"/>
      <c r="BS551" s="48"/>
      <c r="BT551" s="159" t="n">
        <f aca="false">SUM(BP551,BQ551,BR551,BS551)</f>
        <v>0</v>
      </c>
      <c r="BU551" s="48"/>
      <c r="BV551" s="48"/>
      <c r="BW551" s="48"/>
      <c r="BX551" s="48"/>
      <c r="BY551" s="159" t="n">
        <f aca="false">SUM(BU551,BV551,BW551,BX551)</f>
        <v>0</v>
      </c>
      <c r="BZ551" s="159"/>
      <c r="CA551" s="159"/>
      <c r="CB551" s="159"/>
      <c r="CC551" s="50"/>
    </row>
    <row r="552" s="51" customFormat="true" ht="15" hidden="false" customHeight="true" outlineLevel="0" collapsed="false">
      <c r="A552" s="145" t="str">
        <f aca="false">A496</f>
        <v>Maturity of short-term investments</v>
      </c>
      <c r="B552" s="254"/>
      <c r="C552" s="159" t="n">
        <f aca="false">C496</f>
        <v>0</v>
      </c>
      <c r="D552" s="159" t="n">
        <f aca="false">D496</f>
        <v>0</v>
      </c>
      <c r="E552" s="159" t="n">
        <f aca="false">E496</f>
        <v>0</v>
      </c>
      <c r="F552" s="159" t="n">
        <f aca="false">F496</f>
        <v>449.992</v>
      </c>
      <c r="G552" s="159" t="n">
        <f aca="false">G496</f>
        <v>1195.031</v>
      </c>
      <c r="H552" s="48" t="n">
        <f aca="false">H496</f>
        <v>275</v>
      </c>
      <c r="I552" s="48" t="n">
        <f aca="false">I496-H496</f>
        <v>175</v>
      </c>
      <c r="J552" s="48" t="n">
        <f aca="false">J496-I496</f>
        <v>169.9</v>
      </c>
      <c r="K552" s="48" t="n">
        <f aca="false">K496-J496</f>
        <v>229.876</v>
      </c>
      <c r="L552" s="159" t="n">
        <f aca="false">L496</f>
        <v>849.776</v>
      </c>
      <c r="M552" s="48" t="n">
        <f aca="false">M496</f>
        <v>274.9</v>
      </c>
      <c r="N552" s="48" t="n">
        <f aca="false">N496-M496</f>
        <v>35</v>
      </c>
      <c r="O552" s="48" t="n">
        <f aca="false">O496-N496</f>
        <v>25</v>
      </c>
      <c r="P552" s="48" t="n">
        <f aca="false">P496-O496</f>
        <v>-0.0360000000000014</v>
      </c>
      <c r="Q552" s="159" t="n">
        <f aca="false">Q496</f>
        <v>334.864</v>
      </c>
      <c r="R552" s="48" t="n">
        <f aca="false">R496</f>
        <v>225</v>
      </c>
      <c r="S552" s="48" t="n">
        <f aca="false">S496-R496</f>
        <v>425</v>
      </c>
      <c r="T552" s="48" t="n">
        <f aca="false">T496-S496</f>
        <v>370</v>
      </c>
      <c r="U552" s="48" t="n">
        <f aca="false">U496-T496</f>
        <v>1300</v>
      </c>
      <c r="V552" s="159" t="n">
        <f aca="false">V496</f>
        <v>2320</v>
      </c>
      <c r="W552" s="48" t="n">
        <f aca="false">W496</f>
        <v>300</v>
      </c>
      <c r="X552" s="48" t="n">
        <f aca="false">X496-W496</f>
        <v>600</v>
      </c>
      <c r="Y552" s="48" t="n">
        <f aca="false">Y496-X496</f>
        <v>100</v>
      </c>
      <c r="Z552" s="48" t="n">
        <f aca="false">Z496-Y496</f>
        <v>250</v>
      </c>
      <c r="AA552" s="159" t="n">
        <f aca="false">AA496</f>
        <v>1250</v>
      </c>
      <c r="AB552" s="48" t="n">
        <f aca="false">AB496</f>
        <v>379.3</v>
      </c>
      <c r="AC552" s="48" t="n">
        <f aca="false">AC496-AB496</f>
        <v>179.5</v>
      </c>
      <c r="AD552" s="48" t="n">
        <f aca="false">AD496-AC496</f>
        <v>124.9</v>
      </c>
      <c r="AE552" s="48" t="n">
        <f aca="false">AE496-AD496</f>
        <v>350.4</v>
      </c>
      <c r="AF552" s="159" t="n">
        <f aca="false">AF496</f>
        <v>1034.1</v>
      </c>
      <c r="AG552" s="48" t="n">
        <f aca="false">AG496</f>
        <v>179.4</v>
      </c>
      <c r="AH552" s="48" t="n">
        <f aca="false">AH496-AG496</f>
        <v>349.3</v>
      </c>
      <c r="AI552" s="48" t="n">
        <f aca="false">AI496-AH496</f>
        <v>290</v>
      </c>
      <c r="AJ552" s="48" t="n">
        <f aca="false">AJ496-AI496</f>
        <v>200.3</v>
      </c>
      <c r="AK552" s="159" t="n">
        <f aca="false">AK496</f>
        <v>1019</v>
      </c>
      <c r="AL552" s="48" t="n">
        <f aca="false">AL496</f>
        <v>108.2</v>
      </c>
      <c r="AM552" s="48" t="n">
        <f aca="false">AM496-AL496</f>
        <v>447.4</v>
      </c>
      <c r="AN552" s="48" t="n">
        <f aca="false">AN496-AM496</f>
        <v>408.7</v>
      </c>
      <c r="AO552" s="48" t="n">
        <f aca="false">AO496-AN496</f>
        <v>394.8</v>
      </c>
      <c r="AP552" s="159" t="n">
        <f aca="false">AP496</f>
        <v>1359.1</v>
      </c>
      <c r="AQ552" s="48" t="n">
        <f aca="false">AQ496</f>
        <v>499.1</v>
      </c>
      <c r="AR552" s="48" t="n">
        <f aca="false">AR496-AQ496</f>
        <v>1224.9</v>
      </c>
      <c r="AS552" s="48" t="n">
        <f aca="false">AS496-AR496</f>
        <v>99.7000000000001</v>
      </c>
      <c r="AT552" s="48" t="n">
        <f aca="false">AT496-AS496</f>
        <v>2.70000000000005</v>
      </c>
      <c r="AU552" s="159" t="n">
        <f aca="false">AU496</f>
        <v>1826.4</v>
      </c>
      <c r="AV552" s="48" t="n">
        <f aca="false">AV496</f>
        <v>259.5</v>
      </c>
      <c r="AW552" s="48" t="n">
        <f aca="false">AW496-AV496</f>
        <v>299.6</v>
      </c>
      <c r="AX552" s="48" t="n">
        <f aca="false">AX496-AW496</f>
        <v>199.5</v>
      </c>
      <c r="AY552" s="48" t="n">
        <f aca="false">AY496-AX496</f>
        <v>106.1</v>
      </c>
      <c r="AZ552" s="159" t="n">
        <f aca="false">AZ496</f>
        <v>864.7</v>
      </c>
      <c r="BA552" s="48" t="n">
        <f aca="false">BA496</f>
        <v>121.1</v>
      </c>
      <c r="BB552" s="48" t="n">
        <f aca="false">BB496-BA496</f>
        <v>0</v>
      </c>
      <c r="BC552" s="48" t="n">
        <f aca="false">BC496-BB496</f>
        <v>3.60000000000001</v>
      </c>
      <c r="BD552" s="48" t="n">
        <f aca="false">BD496-BC496</f>
        <v>0.899999999999992</v>
      </c>
      <c r="BE552" s="159" t="n">
        <f aca="false">BE496</f>
        <v>125.6</v>
      </c>
      <c r="BF552" s="48" t="n">
        <f aca="false">BF496</f>
        <v>0</v>
      </c>
      <c r="BG552" s="48" t="n">
        <f aca="false">BG496-BF496</f>
        <v>100.4</v>
      </c>
      <c r="BH552" s="48" t="n">
        <f aca="false">BH496-BG496</f>
        <v>203.9</v>
      </c>
      <c r="BI552" s="48" t="n">
        <f aca="false">BI496-BH496</f>
        <v>0.899999999999977</v>
      </c>
      <c r="BJ552" s="159" t="n">
        <f aca="false">BJ496</f>
        <v>305.2</v>
      </c>
      <c r="BK552" s="48" t="n">
        <f aca="false">BK496</f>
        <v>0</v>
      </c>
      <c r="BL552" s="48" t="n">
        <f aca="false">BL496-BK496</f>
        <v>0</v>
      </c>
      <c r="BM552" s="48" t="n">
        <f aca="false">BM496-BL496</f>
        <v>0</v>
      </c>
      <c r="BN552" s="48" t="n">
        <f aca="false">BN496-BM496</f>
        <v>5.3</v>
      </c>
      <c r="BO552" s="160" t="n">
        <f aca="false">BO496</f>
        <v>5.3</v>
      </c>
      <c r="BP552" s="48"/>
      <c r="BQ552" s="48"/>
      <c r="BR552" s="48"/>
      <c r="BS552" s="48"/>
      <c r="BT552" s="159" t="n">
        <f aca="false">SUM(BP552,BQ552,BR552,BS552)</f>
        <v>0</v>
      </c>
      <c r="BU552" s="48"/>
      <c r="BV552" s="48"/>
      <c r="BW552" s="48"/>
      <c r="BX552" s="48"/>
      <c r="BY552" s="159" t="n">
        <f aca="false">SUM(BU552,BV552,BW552,BX552)</f>
        <v>0</v>
      </c>
      <c r="BZ552" s="159"/>
      <c r="CA552" s="159"/>
      <c r="CB552" s="159"/>
      <c r="CC552" s="50"/>
    </row>
    <row r="553" s="51" customFormat="true" ht="15" hidden="false" customHeight="true" outlineLevel="0" collapsed="false">
      <c r="A553" s="145" t="str">
        <f aca="false">A497</f>
        <v>Cash from (used for) derivative financial instruments</v>
      </c>
      <c r="B553" s="254"/>
      <c r="C553" s="159" t="n">
        <f aca="false">C497</f>
        <v>0</v>
      </c>
      <c r="D553" s="159" t="n">
        <f aca="false">D497</f>
        <v>0</v>
      </c>
      <c r="E553" s="159" t="n">
        <f aca="false">E497</f>
        <v>0</v>
      </c>
      <c r="F553" s="159" t="n">
        <f aca="false">F497</f>
        <v>0</v>
      </c>
      <c r="G553" s="159" t="n">
        <f aca="false">G497</f>
        <v>0</v>
      </c>
      <c r="H553" s="48" t="n">
        <f aca="false">H497</f>
        <v>0</v>
      </c>
      <c r="I553" s="48" t="n">
        <f aca="false">I497-H497</f>
        <v>0</v>
      </c>
      <c r="J553" s="48" t="n">
        <f aca="false">J497-I497</f>
        <v>0</v>
      </c>
      <c r="K553" s="48" t="n">
        <f aca="false">K497-J497</f>
        <v>0</v>
      </c>
      <c r="L553" s="159" t="n">
        <f aca="false">L497</f>
        <v>0</v>
      </c>
      <c r="M553" s="48" t="n">
        <f aca="false">M497</f>
        <v>-64</v>
      </c>
      <c r="N553" s="48" t="n">
        <f aca="false">N497-M497</f>
        <v>-63</v>
      </c>
      <c r="O553" s="48" t="n">
        <f aca="false">O497-N497</f>
        <v>-37.8</v>
      </c>
      <c r="P553" s="48" t="n">
        <f aca="false">P497-O497</f>
        <v>-7.09899999999999</v>
      </c>
      <c r="Q553" s="159" t="n">
        <f aca="false">Q497</f>
        <v>-171.899</v>
      </c>
      <c r="R553" s="48" t="n">
        <f aca="false">R497</f>
        <v>1.1</v>
      </c>
      <c r="S553" s="48" t="n">
        <f aca="false">S497-R497</f>
        <v>7.7</v>
      </c>
      <c r="T553" s="48" t="n">
        <f aca="false">T497-S497</f>
        <v>-14.4</v>
      </c>
      <c r="U553" s="48" t="n">
        <f aca="false">U497-T497</f>
        <v>-9.4</v>
      </c>
      <c r="V553" s="159" t="n">
        <f aca="false">V497</f>
        <v>-15</v>
      </c>
      <c r="W553" s="48" t="n">
        <f aca="false">W497</f>
        <v>-30.7</v>
      </c>
      <c r="X553" s="48" t="n">
        <f aca="false">X497-W497</f>
        <v>-16.5</v>
      </c>
      <c r="Y553" s="48" t="n">
        <f aca="false">Y497-X497</f>
        <v>32</v>
      </c>
      <c r="Z553" s="48" t="n">
        <f aca="false">Z497-Y497</f>
        <v>42.2</v>
      </c>
      <c r="AA553" s="159" t="n">
        <f aca="false">AA497</f>
        <v>27</v>
      </c>
      <c r="AB553" s="48" t="n">
        <f aca="false">AB497</f>
        <v>23.6</v>
      </c>
      <c r="AC553" s="48" t="n">
        <f aca="false">AC497-AB497</f>
        <v>3.5</v>
      </c>
      <c r="AD553" s="48" t="n">
        <f aca="false">AD497-AC497</f>
        <v>-20.2</v>
      </c>
      <c r="AE553" s="48" t="n">
        <f aca="false">AE497-AD497</f>
        <v>-9.3</v>
      </c>
      <c r="AF553" s="159" t="n">
        <f aca="false">AF497</f>
        <v>-2.4</v>
      </c>
      <c r="AG553" s="48" t="n">
        <f aca="false">AG497</f>
        <v>0</v>
      </c>
      <c r="AH553" s="48" t="n">
        <f aca="false">AH497-AG497</f>
        <v>0</v>
      </c>
      <c r="AI553" s="48" t="n">
        <f aca="false">AI497-AH497</f>
        <v>0</v>
      </c>
      <c r="AJ553" s="48" t="n">
        <f aca="false">AJ497-AI497</f>
        <v>0</v>
      </c>
      <c r="AK553" s="159" t="n">
        <f aca="false">AK497</f>
        <v>0</v>
      </c>
      <c r="AL553" s="48" t="n">
        <f aca="false">AL497</f>
        <v>0</v>
      </c>
      <c r="AM553" s="48" t="n">
        <f aca="false">AM497-AL497</f>
        <v>0</v>
      </c>
      <c r="AN553" s="48" t="n">
        <f aca="false">AN497-AM497</f>
        <v>0</v>
      </c>
      <c r="AO553" s="48" t="n">
        <f aca="false">AO497-AN497</f>
        <v>0</v>
      </c>
      <c r="AP553" s="159" t="n">
        <f aca="false">AP497</f>
        <v>0</v>
      </c>
      <c r="AQ553" s="48" t="n">
        <f aca="false">AQ497</f>
        <v>0</v>
      </c>
      <c r="AR553" s="48" t="n">
        <f aca="false">AR497-AQ497</f>
        <v>0</v>
      </c>
      <c r="AS553" s="48" t="n">
        <f aca="false">AS497-AR497</f>
        <v>0</v>
      </c>
      <c r="AT553" s="48" t="n">
        <f aca="false">AT497-AS497</f>
        <v>0</v>
      </c>
      <c r="AU553" s="159" t="n">
        <f aca="false">AU497</f>
        <v>0</v>
      </c>
      <c r="AV553" s="48" t="n">
        <f aca="false">AV497</f>
        <v>0</v>
      </c>
      <c r="AW553" s="48" t="n">
        <f aca="false">AW497-AV497</f>
        <v>0</v>
      </c>
      <c r="AX553" s="48" t="n">
        <f aca="false">AX497-AW497</f>
        <v>0</v>
      </c>
      <c r="AY553" s="48" t="n">
        <f aca="false">AY497-AX497</f>
        <v>0</v>
      </c>
      <c r="AZ553" s="159" t="n">
        <f aca="false">AZ497</f>
        <v>0</v>
      </c>
      <c r="BA553" s="48" t="n">
        <f aca="false">BA497</f>
        <v>0</v>
      </c>
      <c r="BB553" s="48" t="n">
        <f aca="false">BB497-BA497</f>
        <v>0</v>
      </c>
      <c r="BC553" s="48" t="n">
        <f aca="false">BC497-BB497</f>
        <v>0</v>
      </c>
      <c r="BD553" s="48" t="n">
        <f aca="false">BD497-BC497</f>
        <v>0</v>
      </c>
      <c r="BE553" s="159" t="n">
        <f aca="false">BE497</f>
        <v>0</v>
      </c>
      <c r="BF553" s="48" t="n">
        <f aca="false">BF497</f>
        <v>0</v>
      </c>
      <c r="BG553" s="48" t="n">
        <f aca="false">BG497-BF497</f>
        <v>0</v>
      </c>
      <c r="BH553" s="48" t="n">
        <f aca="false">BH497-BG497</f>
        <v>0</v>
      </c>
      <c r="BI553" s="48" t="n">
        <f aca="false">BI497-BH497</f>
        <v>0</v>
      </c>
      <c r="BJ553" s="159" t="n">
        <f aca="false">BJ497</f>
        <v>0</v>
      </c>
      <c r="BK553" s="48" t="n">
        <f aca="false">BK497</f>
        <v>0</v>
      </c>
      <c r="BL553" s="48" t="n">
        <f aca="false">BL497-BK497</f>
        <v>0</v>
      </c>
      <c r="BM553" s="48" t="n">
        <f aca="false">BM497-BL497</f>
        <v>0</v>
      </c>
      <c r="BN553" s="48" t="n">
        <f aca="false">BN497-BM497</f>
        <v>0</v>
      </c>
      <c r="BO553" s="160" t="n">
        <f aca="false">BO497</f>
        <v>0</v>
      </c>
      <c r="BP553" s="48"/>
      <c r="BQ553" s="48"/>
      <c r="BR553" s="48"/>
      <c r="BS553" s="48"/>
      <c r="BT553" s="159" t="n">
        <f aca="false">SUM(BP553,BQ553,BR553,BS553)</f>
        <v>0</v>
      </c>
      <c r="BU553" s="48"/>
      <c r="BV553" s="48"/>
      <c r="BW553" s="48"/>
      <c r="BX553" s="48"/>
      <c r="BY553" s="159" t="n">
        <f aca="false">SUM(BU553,BV553,BW553,BX553)</f>
        <v>0</v>
      </c>
      <c r="BZ553" s="159"/>
      <c r="CA553" s="159"/>
      <c r="CB553" s="159"/>
      <c r="CC553" s="50"/>
    </row>
    <row r="554" s="51" customFormat="true" ht="15" hidden="false" customHeight="true" outlineLevel="0" collapsed="false">
      <c r="A554" s="145" t="str">
        <f aca="false">A498</f>
        <v>Loans issued and other investments</v>
      </c>
      <c r="B554" s="254"/>
      <c r="C554" s="159" t="n">
        <f aca="false">C498</f>
        <v>0</v>
      </c>
      <c r="D554" s="159" t="n">
        <f aca="false">D498</f>
        <v>0</v>
      </c>
      <c r="E554" s="159" t="n">
        <f aca="false">E498</f>
        <v>0</v>
      </c>
      <c r="F554" s="159" t="n">
        <f aca="false">F498</f>
        <v>0</v>
      </c>
      <c r="G554" s="159" t="n">
        <f aca="false">G498</f>
        <v>0</v>
      </c>
      <c r="H554" s="48" t="n">
        <f aca="false">H498</f>
        <v>0</v>
      </c>
      <c r="I554" s="48" t="n">
        <f aca="false">I498-H498</f>
        <v>0</v>
      </c>
      <c r="J554" s="48" t="n">
        <f aca="false">J498-I498</f>
        <v>0</v>
      </c>
      <c r="K554" s="48" t="n">
        <f aca="false">K498-J498</f>
        <v>0</v>
      </c>
      <c r="L554" s="159" t="n">
        <f aca="false">L498</f>
        <v>0</v>
      </c>
      <c r="M554" s="48" t="n">
        <f aca="false">M498</f>
        <v>0</v>
      </c>
      <c r="N554" s="48" t="n">
        <f aca="false">N498-M498</f>
        <v>0</v>
      </c>
      <c r="O554" s="48" t="n">
        <f aca="false">O498-N498</f>
        <v>0</v>
      </c>
      <c r="P554" s="48" t="n">
        <f aca="false">P498-O498</f>
        <v>0</v>
      </c>
      <c r="Q554" s="159" t="n">
        <f aca="false">Q498</f>
        <v>0</v>
      </c>
      <c r="R554" s="48" t="n">
        <f aca="false">R498</f>
        <v>0</v>
      </c>
      <c r="S554" s="48" t="n">
        <f aca="false">S498-R498</f>
        <v>-6</v>
      </c>
      <c r="T554" s="48" t="n">
        <f aca="false">T498-S498</f>
        <v>-1.2</v>
      </c>
      <c r="U554" s="48" t="n">
        <f aca="false">U498-T498</f>
        <v>-0.2</v>
      </c>
      <c r="V554" s="159" t="n">
        <f aca="false">V498</f>
        <v>-7.4</v>
      </c>
      <c r="W554" s="48" t="n">
        <f aca="false">W498</f>
        <v>0</v>
      </c>
      <c r="X554" s="48" t="n">
        <f aca="false">X498-W498</f>
        <v>0</v>
      </c>
      <c r="Y554" s="48" t="n">
        <f aca="false">Y498-X498</f>
        <v>0</v>
      </c>
      <c r="Z554" s="48" t="n">
        <f aca="false">Z498-Y498</f>
        <v>-0.6</v>
      </c>
      <c r="AA554" s="159" t="n">
        <f aca="false">AA498</f>
        <v>-0.6</v>
      </c>
      <c r="AB554" s="48" t="n">
        <f aca="false">AB498</f>
        <v>-0.2</v>
      </c>
      <c r="AC554" s="48" t="n">
        <f aca="false">AC498-AB498</f>
        <v>-0.4</v>
      </c>
      <c r="AD554" s="48" t="n">
        <f aca="false">AD498-AC498</f>
        <v>-0.3</v>
      </c>
      <c r="AE554" s="48" t="n">
        <f aca="false">AE498-AD498</f>
        <v>-0.1</v>
      </c>
      <c r="AF554" s="159" t="n">
        <f aca="false">AF498</f>
        <v>-1</v>
      </c>
      <c r="AG554" s="48" t="n">
        <f aca="false">AG498</f>
        <v>0</v>
      </c>
      <c r="AH554" s="48" t="n">
        <f aca="false">AH498-AG498</f>
        <v>0</v>
      </c>
      <c r="AI554" s="48" t="n">
        <f aca="false">AI498-AH498</f>
        <v>0</v>
      </c>
      <c r="AJ554" s="48" t="n">
        <f aca="false">AJ498-AI498</f>
        <v>0</v>
      </c>
      <c r="AK554" s="159" t="n">
        <f aca="false">AK498</f>
        <v>0</v>
      </c>
      <c r="AL554" s="48" t="n">
        <f aca="false">AL498</f>
        <v>0</v>
      </c>
      <c r="AM554" s="48" t="n">
        <f aca="false">AM498-AL498</f>
        <v>0</v>
      </c>
      <c r="AN554" s="48" t="n">
        <f aca="false">AN498-AM498</f>
        <v>-10</v>
      </c>
      <c r="AO554" s="48" t="n">
        <f aca="false">AO498-AN498</f>
        <v>10</v>
      </c>
      <c r="AP554" s="159" t="n">
        <f aca="false">AP498</f>
        <v>0</v>
      </c>
      <c r="AQ554" s="48" t="n">
        <f aca="false">AQ498</f>
        <v>0</v>
      </c>
      <c r="AR554" s="48" t="n">
        <f aca="false">AR498-AQ498</f>
        <v>0</v>
      </c>
      <c r="AS554" s="48" t="n">
        <f aca="false">AS498-AR498</f>
        <v>-124.3</v>
      </c>
      <c r="AT554" s="48" t="n">
        <f aca="false">AT498-AS498</f>
        <v>-0.100000000000009</v>
      </c>
      <c r="AU554" s="159" t="n">
        <f aca="false">AU498</f>
        <v>-124.4</v>
      </c>
      <c r="AV554" s="48" t="n">
        <f aca="false">AV498</f>
        <v>0</v>
      </c>
      <c r="AW554" s="48" t="n">
        <f aca="false">AW498-AV498</f>
        <v>0</v>
      </c>
      <c r="AX554" s="48" t="n">
        <f aca="false">AX498-AW498</f>
        <v>-240</v>
      </c>
      <c r="AY554" s="48" t="n">
        <f aca="false">AY498-AX498</f>
        <v>0</v>
      </c>
      <c r="AZ554" s="159" t="n">
        <f aca="false">AZ498</f>
        <v>-240</v>
      </c>
      <c r="BA554" s="48" t="n">
        <f aca="false">BA498</f>
        <v>0</v>
      </c>
      <c r="BB554" s="48" t="n">
        <f aca="false">BB498-BA498</f>
        <v>0</v>
      </c>
      <c r="BC554" s="48" t="n">
        <f aca="false">BC498-BB498</f>
        <v>-553</v>
      </c>
      <c r="BD554" s="48" t="n">
        <f aca="false">BD498-BC498</f>
        <v>-8.5</v>
      </c>
      <c r="BE554" s="159" t="n">
        <f aca="false">BE498</f>
        <v>-561.5</v>
      </c>
      <c r="BF554" s="48" t="n">
        <f aca="false">BF498</f>
        <v>0.2</v>
      </c>
      <c r="BG554" s="48" t="n">
        <f aca="false">BG498-BF498</f>
        <v>0.3</v>
      </c>
      <c r="BH554" s="48" t="n">
        <f aca="false">BH498-BG498</f>
        <v>0.7</v>
      </c>
      <c r="BI554" s="48" t="n">
        <f aca="false">BI498-BH498</f>
        <v>-527.4</v>
      </c>
      <c r="BJ554" s="159" t="n">
        <f aca="false">BJ498</f>
        <v>-526.2</v>
      </c>
      <c r="BK554" s="48" t="n">
        <f aca="false">BK498</f>
        <v>0.8</v>
      </c>
      <c r="BL554" s="48" t="n">
        <f aca="false">BL498-BK498</f>
        <v>0.9</v>
      </c>
      <c r="BM554" s="48" t="n">
        <f aca="false">BM498-BL498</f>
        <v>-405.9</v>
      </c>
      <c r="BN554" s="48" t="n">
        <f aca="false">BN498-BM498</f>
        <v>-299.5</v>
      </c>
      <c r="BO554" s="160" t="n">
        <f aca="false">BO498</f>
        <v>-703.7</v>
      </c>
      <c r="BP554" s="48"/>
      <c r="BQ554" s="48"/>
      <c r="BR554" s="48"/>
      <c r="BS554" s="48"/>
      <c r="BT554" s="159" t="n">
        <f aca="false">SUM(BP554,BQ554,BR554,BS554)</f>
        <v>0</v>
      </c>
      <c r="BU554" s="48"/>
      <c r="BV554" s="48"/>
      <c r="BW554" s="48"/>
      <c r="BX554" s="48"/>
      <c r="BY554" s="159" t="n">
        <f aca="false">SUM(BU554,BV554,BW554,BX554)</f>
        <v>0</v>
      </c>
      <c r="BZ554" s="159"/>
      <c r="CA554" s="159"/>
      <c r="CB554" s="159"/>
      <c r="CC554" s="50"/>
    </row>
    <row r="555" s="51" customFormat="true" ht="15" hidden="false" customHeight="true" outlineLevel="0" collapsed="false">
      <c r="A555" s="145" t="str">
        <f aca="false">A499</f>
        <v>Repayment on loans</v>
      </c>
      <c r="B555" s="254"/>
      <c r="C555" s="159" t="n">
        <f aca="false">C499</f>
        <v>0</v>
      </c>
      <c r="D555" s="159" t="n">
        <f aca="false">D499</f>
        <v>0</v>
      </c>
      <c r="E555" s="159" t="n">
        <f aca="false">E499</f>
        <v>0</v>
      </c>
      <c r="F555" s="159" t="n">
        <f aca="false">F499</f>
        <v>0</v>
      </c>
      <c r="G555" s="159" t="n">
        <f aca="false">G499</f>
        <v>0</v>
      </c>
      <c r="H555" s="48" t="n">
        <f aca="false">H499</f>
        <v>0</v>
      </c>
      <c r="I555" s="48" t="n">
        <f aca="false">I499-H499</f>
        <v>0</v>
      </c>
      <c r="J555" s="48" t="n">
        <f aca="false">J499-I499</f>
        <v>0</v>
      </c>
      <c r="K555" s="48" t="n">
        <f aca="false">K499-J499</f>
        <v>0</v>
      </c>
      <c r="L555" s="159" t="n">
        <f aca="false">L499</f>
        <v>0</v>
      </c>
      <c r="M555" s="48" t="n">
        <f aca="false">M499</f>
        <v>0</v>
      </c>
      <c r="N555" s="48" t="n">
        <f aca="false">N499-M499</f>
        <v>0</v>
      </c>
      <c r="O555" s="48" t="n">
        <f aca="false">O499-N499</f>
        <v>0</v>
      </c>
      <c r="P555" s="48" t="n">
        <f aca="false">P499-O499</f>
        <v>0</v>
      </c>
      <c r="Q555" s="159" t="n">
        <f aca="false">Q499</f>
        <v>0</v>
      </c>
      <c r="R555" s="48" t="n">
        <f aca="false">R499</f>
        <v>0</v>
      </c>
      <c r="S555" s="48" t="n">
        <f aca="false">S499-R499</f>
        <v>0</v>
      </c>
      <c r="T555" s="48" t="n">
        <f aca="false">T499-S499</f>
        <v>0</v>
      </c>
      <c r="U555" s="48" t="n">
        <f aca="false">U499-T499</f>
        <v>0</v>
      </c>
      <c r="V555" s="159" t="n">
        <f aca="false">V499</f>
        <v>0</v>
      </c>
      <c r="W555" s="48" t="n">
        <f aca="false">W499</f>
        <v>0</v>
      </c>
      <c r="X555" s="48" t="n">
        <f aca="false">X499-W499</f>
        <v>0</v>
      </c>
      <c r="Y555" s="48" t="n">
        <f aca="false">Y499-X499</f>
        <v>0</v>
      </c>
      <c r="Z555" s="48" t="n">
        <f aca="false">Z499-Y499</f>
        <v>1.6</v>
      </c>
      <c r="AA555" s="159" t="n">
        <f aca="false">AA499</f>
        <v>1.6</v>
      </c>
      <c r="AB555" s="48" t="n">
        <f aca="false">AB499</f>
        <v>0</v>
      </c>
      <c r="AC555" s="48" t="n">
        <f aca="false">AC499-AB499</f>
        <v>0</v>
      </c>
      <c r="AD555" s="48" t="n">
        <f aca="false">AD499-AC499</f>
        <v>5.4</v>
      </c>
      <c r="AE555" s="48" t="n">
        <f aca="false">AE499-AD499</f>
        <v>0</v>
      </c>
      <c r="AF555" s="159" t="n">
        <f aca="false">AF499</f>
        <v>5.4</v>
      </c>
      <c r="AG555" s="48" t="n">
        <f aca="false">AG499</f>
        <v>0</v>
      </c>
      <c r="AH555" s="48" t="n">
        <f aca="false">AH499-AG499</f>
        <v>0</v>
      </c>
      <c r="AI555" s="48" t="n">
        <f aca="false">AI499-AH499</f>
        <v>0</v>
      </c>
      <c r="AJ555" s="48" t="n">
        <f aca="false">AJ499-AI499</f>
        <v>0.9</v>
      </c>
      <c r="AK555" s="159" t="n">
        <f aca="false">AK499</f>
        <v>0.9</v>
      </c>
      <c r="AL555" s="48" t="n">
        <f aca="false">AL499</f>
        <v>0.3</v>
      </c>
      <c r="AM555" s="48" t="n">
        <f aca="false">AM499-AL499</f>
        <v>-0.3</v>
      </c>
      <c r="AN555" s="48" t="n">
        <f aca="false">AN499-AM499</f>
        <v>0</v>
      </c>
      <c r="AO555" s="48" t="n">
        <f aca="false">AO499-AN499</f>
        <v>-12.2</v>
      </c>
      <c r="AP555" s="159" t="n">
        <f aca="false">AP499</f>
        <v>-12.2</v>
      </c>
      <c r="AQ555" s="48" t="n">
        <f aca="false">AQ499</f>
        <v>0</v>
      </c>
      <c r="AR555" s="48" t="n">
        <f aca="false">AR499-AQ499</f>
        <v>0</v>
      </c>
      <c r="AS555" s="48" t="n">
        <f aca="false">AS499-AR499</f>
        <v>0</v>
      </c>
      <c r="AT555" s="48" t="n">
        <f aca="false">AT499-AS499</f>
        <v>0</v>
      </c>
      <c r="AU555" s="159" t="n">
        <f aca="false">AU499</f>
        <v>0</v>
      </c>
      <c r="AV555" s="48" t="n">
        <f aca="false">AV499</f>
        <v>0</v>
      </c>
      <c r="AW555" s="48" t="n">
        <f aca="false">AW499-AV499</f>
        <v>0</v>
      </c>
      <c r="AX555" s="48" t="n">
        <f aca="false">AX499-AW499</f>
        <v>0</v>
      </c>
      <c r="AY555" s="48" t="n">
        <f aca="false">AY499-AX499</f>
        <v>0</v>
      </c>
      <c r="AZ555" s="159" t="n">
        <f aca="false">AZ499</f>
        <v>0</v>
      </c>
      <c r="BA555" s="48" t="n">
        <f aca="false">BA499</f>
        <v>0</v>
      </c>
      <c r="BB555" s="48" t="n">
        <f aca="false">BB499-BA499</f>
        <v>0</v>
      </c>
      <c r="BC555" s="48" t="n">
        <f aca="false">BC499-BB499</f>
        <v>0</v>
      </c>
      <c r="BD555" s="48" t="n">
        <f aca="false">BD499-BC499</f>
        <v>0</v>
      </c>
      <c r="BE555" s="159" t="n">
        <f aca="false">BE499</f>
        <v>0</v>
      </c>
      <c r="BF555" s="48" t="n">
        <f aca="false">BF499</f>
        <v>0</v>
      </c>
      <c r="BG555" s="48" t="n">
        <f aca="false">BG499-BF499</f>
        <v>0</v>
      </c>
      <c r="BH555" s="48" t="n">
        <f aca="false">BH499-BG499</f>
        <v>0</v>
      </c>
      <c r="BI555" s="48" t="n">
        <f aca="false">BI499-BH499</f>
        <v>0</v>
      </c>
      <c r="BJ555" s="159" t="n">
        <f aca="false">BJ499</f>
        <v>0</v>
      </c>
      <c r="BK555" s="48" t="n">
        <f aca="false">BK499</f>
        <v>0</v>
      </c>
      <c r="BL555" s="48" t="n">
        <f aca="false">BL499-BK499</f>
        <v>0</v>
      </c>
      <c r="BM555" s="48" t="n">
        <f aca="false">BM499-BL499</f>
        <v>0</v>
      </c>
      <c r="BN555" s="48" t="n">
        <f aca="false">BN499-BM499</f>
        <v>260.2</v>
      </c>
      <c r="BO555" s="160" t="n">
        <f aca="false">BO499</f>
        <v>260.2</v>
      </c>
      <c r="BP555" s="48"/>
      <c r="BQ555" s="48"/>
      <c r="BR555" s="48"/>
      <c r="BS555" s="48"/>
      <c r="BT555" s="159" t="n">
        <f aca="false">SUM(BP555,BQ555,BR555,BS555)</f>
        <v>0</v>
      </c>
      <c r="BU555" s="48"/>
      <c r="BV555" s="48"/>
      <c r="BW555" s="48"/>
      <c r="BX555" s="48"/>
      <c r="BY555" s="159" t="n">
        <f aca="false">SUM(BU555,BV555,BW555,BX555)</f>
        <v>0</v>
      </c>
      <c r="BZ555" s="159"/>
      <c r="CA555" s="159"/>
      <c r="CB555" s="159"/>
      <c r="CC555" s="50"/>
    </row>
    <row r="556" s="51" customFormat="true" ht="15" hidden="false" customHeight="true" outlineLevel="0" collapsed="false">
      <c r="A556" s="145" t="str">
        <f aca="false">A500</f>
        <v>Acquisition of equity method investments</v>
      </c>
      <c r="B556" s="254"/>
      <c r="C556" s="159" t="n">
        <f aca="false">C500</f>
        <v>0</v>
      </c>
      <c r="D556" s="159" t="n">
        <f aca="false">D500</f>
        <v>0</v>
      </c>
      <c r="E556" s="159" t="n">
        <f aca="false">E500</f>
        <v>0</v>
      </c>
      <c r="F556" s="159" t="n">
        <f aca="false">F500</f>
        <v>0</v>
      </c>
      <c r="G556" s="159" t="n">
        <f aca="false">G500</f>
        <v>0</v>
      </c>
      <c r="H556" s="48" t="n">
        <f aca="false">H500</f>
        <v>0</v>
      </c>
      <c r="I556" s="48" t="n">
        <f aca="false">I500-H500</f>
        <v>0</v>
      </c>
      <c r="J556" s="48" t="n">
        <f aca="false">J500-I500</f>
        <v>0</v>
      </c>
      <c r="K556" s="48" t="n">
        <f aca="false">K500-J500</f>
        <v>0</v>
      </c>
      <c r="L556" s="159" t="n">
        <f aca="false">L500</f>
        <v>0</v>
      </c>
      <c r="M556" s="48" t="n">
        <f aca="false">M500</f>
        <v>0</v>
      </c>
      <c r="N556" s="48" t="n">
        <f aca="false">N500-M500</f>
        <v>0</v>
      </c>
      <c r="O556" s="48" t="n">
        <f aca="false">O500-N500</f>
        <v>0</v>
      </c>
      <c r="P556" s="48" t="n">
        <f aca="false">P500-O500</f>
        <v>0</v>
      </c>
      <c r="Q556" s="159" t="n">
        <f aca="false">Q500</f>
        <v>0</v>
      </c>
      <c r="R556" s="48" t="n">
        <f aca="false">R500</f>
        <v>0</v>
      </c>
      <c r="S556" s="48" t="n">
        <f aca="false">S500-R500</f>
        <v>0</v>
      </c>
      <c r="T556" s="48" t="n">
        <f aca="false">T500-S500</f>
        <v>0</v>
      </c>
      <c r="U556" s="48" t="n">
        <f aca="false">U500-T500</f>
        <v>0</v>
      </c>
      <c r="V556" s="159" t="n">
        <f aca="false">V500</f>
        <v>0</v>
      </c>
      <c r="W556" s="48" t="n">
        <f aca="false">W500</f>
        <v>0</v>
      </c>
      <c r="X556" s="48" t="n">
        <f aca="false">X500-W500</f>
        <v>-1002.1</v>
      </c>
      <c r="Y556" s="48" t="n">
        <f aca="false">Y500-X500</f>
        <v>-5.79999999999995</v>
      </c>
      <c r="Z556" s="48" t="n">
        <f aca="false">Z500-Y500</f>
        <v>-11.8000000000001</v>
      </c>
      <c r="AA556" s="159" t="n">
        <f aca="false">AA500</f>
        <v>-1019.7</v>
      </c>
      <c r="AB556" s="48" t="n">
        <f aca="false">AB500</f>
        <v>-5.9</v>
      </c>
      <c r="AC556" s="48" t="n">
        <f aca="false">AC500-AB500</f>
        <v>-4.6</v>
      </c>
      <c r="AD556" s="48" t="n">
        <f aca="false">AD500-AC500</f>
        <v>-5.5</v>
      </c>
      <c r="AE556" s="48" t="n">
        <f aca="false">AE500-AD500</f>
        <v>16</v>
      </c>
      <c r="AF556" s="159" t="n">
        <f aca="false">AF500</f>
        <v>0</v>
      </c>
      <c r="AG556" s="48" t="n">
        <f aca="false">AG500</f>
        <v>0</v>
      </c>
      <c r="AH556" s="48" t="n">
        <f aca="false">AH500-AG500</f>
        <v>0</v>
      </c>
      <c r="AI556" s="48" t="n">
        <f aca="false">AI500-AH500</f>
        <v>0</v>
      </c>
      <c r="AJ556" s="48" t="n">
        <f aca="false">AJ500-AI500</f>
        <v>0</v>
      </c>
      <c r="AK556" s="159" t="n">
        <f aca="false">AK500</f>
        <v>0</v>
      </c>
      <c r="AL556" s="48" t="n">
        <f aca="false">AL500</f>
        <v>0</v>
      </c>
      <c r="AM556" s="48" t="n">
        <f aca="false">AM500-AL500</f>
        <v>0</v>
      </c>
      <c r="AN556" s="48" t="n">
        <f aca="false">AN500-AM500</f>
        <v>0</v>
      </c>
      <c r="AO556" s="48" t="n">
        <f aca="false">AO500-AN500</f>
        <v>0</v>
      </c>
      <c r="AP556" s="159" t="n">
        <f aca="false">AP500</f>
        <v>0</v>
      </c>
      <c r="AQ556" s="48" t="n">
        <f aca="false">AQ500</f>
        <v>0</v>
      </c>
      <c r="AR556" s="48" t="n">
        <f aca="false">AR500-AQ500</f>
        <v>0</v>
      </c>
      <c r="AS556" s="48" t="n">
        <f aca="false">AS500-AR500</f>
        <v>0</v>
      </c>
      <c r="AT556" s="48" t="n">
        <f aca="false">AT500-AS500</f>
        <v>0</v>
      </c>
      <c r="AU556" s="159" t="n">
        <f aca="false">AU500</f>
        <v>0</v>
      </c>
      <c r="AV556" s="48" t="n">
        <f aca="false">AV500</f>
        <v>0</v>
      </c>
      <c r="AW556" s="48" t="n">
        <f aca="false">AW500-AV500</f>
        <v>0</v>
      </c>
      <c r="AX556" s="48" t="n">
        <f aca="false">AX500-AW500</f>
        <v>0</v>
      </c>
      <c r="AY556" s="48" t="n">
        <f aca="false">AY500-AX500</f>
        <v>0</v>
      </c>
      <c r="AZ556" s="159" t="n">
        <f aca="false">AZ500</f>
        <v>0</v>
      </c>
      <c r="BA556" s="48" t="n">
        <f aca="false">BA500</f>
        <v>0</v>
      </c>
      <c r="BB556" s="48" t="n">
        <f aca="false">BB500-BA500</f>
        <v>0</v>
      </c>
      <c r="BC556" s="48" t="n">
        <f aca="false">BC500-BB500</f>
        <v>0</v>
      </c>
      <c r="BD556" s="48" t="n">
        <f aca="false">BD500-BC500</f>
        <v>0</v>
      </c>
      <c r="BE556" s="159" t="n">
        <f aca="false">BE500</f>
        <v>0</v>
      </c>
      <c r="BF556" s="48" t="n">
        <f aca="false">BF500</f>
        <v>0</v>
      </c>
      <c r="BG556" s="48" t="n">
        <f aca="false">BG500-BF500</f>
        <v>0</v>
      </c>
      <c r="BH556" s="48" t="n">
        <f aca="false">BH500-BG500</f>
        <v>0</v>
      </c>
      <c r="BI556" s="48" t="n">
        <f aca="false">BI500-BH500</f>
        <v>0</v>
      </c>
      <c r="BJ556" s="159" t="n">
        <f aca="false">BJ500</f>
        <v>0</v>
      </c>
      <c r="BK556" s="48" t="n">
        <f aca="false">BK500</f>
        <v>0</v>
      </c>
      <c r="BL556" s="48" t="n">
        <f aca="false">BL500-BK500</f>
        <v>0</v>
      </c>
      <c r="BM556" s="48" t="n">
        <f aca="false">BM500-BL500</f>
        <v>-1210</v>
      </c>
      <c r="BN556" s="48" t="n">
        <f aca="false">BN500-BM500</f>
        <v>-92.2000000000001</v>
      </c>
      <c r="BO556" s="160" t="n">
        <f aca="false">BO500</f>
        <v>-1302.2</v>
      </c>
      <c r="BP556" s="48"/>
      <c r="BQ556" s="48"/>
      <c r="BR556" s="48"/>
      <c r="BS556" s="48"/>
      <c r="BT556" s="159" t="n">
        <f aca="false">SUM(BP556,BQ556,BR556,BS556)</f>
        <v>0</v>
      </c>
      <c r="BU556" s="48"/>
      <c r="BV556" s="48"/>
      <c r="BW556" s="48"/>
      <c r="BX556" s="48"/>
      <c r="BY556" s="159" t="n">
        <f aca="false">SUM(BU556,BV556,BW556,BX556)</f>
        <v>0</v>
      </c>
      <c r="BZ556" s="159"/>
      <c r="CA556" s="159"/>
      <c r="CB556" s="159"/>
      <c r="CC556" s="50"/>
    </row>
    <row r="557" s="51" customFormat="true" ht="15" hidden="false" customHeight="true" outlineLevel="0" collapsed="false">
      <c r="A557" s="145" t="str">
        <f aca="false">A501</f>
        <v>Dividend income from equity method investments</v>
      </c>
      <c r="B557" s="254"/>
      <c r="C557" s="159" t="n">
        <f aca="false">C501</f>
        <v>0</v>
      </c>
      <c r="D557" s="159" t="n">
        <f aca="false">D501</f>
        <v>0</v>
      </c>
      <c r="E557" s="159" t="n">
        <f aca="false">E501</f>
        <v>0</v>
      </c>
      <c r="F557" s="159" t="n">
        <f aca="false">F501</f>
        <v>0</v>
      </c>
      <c r="G557" s="159" t="n">
        <f aca="false">G501</f>
        <v>0</v>
      </c>
      <c r="H557" s="48" t="n">
        <f aca="false">H501</f>
        <v>0</v>
      </c>
      <c r="I557" s="48" t="n">
        <f aca="false">I501-H501</f>
        <v>0</v>
      </c>
      <c r="J557" s="48" t="n">
        <f aca="false">J501-I501</f>
        <v>0</v>
      </c>
      <c r="K557" s="48" t="n">
        <f aca="false">K501-J501</f>
        <v>0</v>
      </c>
      <c r="L557" s="159" t="n">
        <f aca="false">L501</f>
        <v>0</v>
      </c>
      <c r="M557" s="48" t="n">
        <f aca="false">M501</f>
        <v>0</v>
      </c>
      <c r="N557" s="48" t="n">
        <f aca="false">N501-M501</f>
        <v>0</v>
      </c>
      <c r="O557" s="48" t="n">
        <f aca="false">O501-N501</f>
        <v>0</v>
      </c>
      <c r="P557" s="48" t="n">
        <f aca="false">P501-O501</f>
        <v>0</v>
      </c>
      <c r="Q557" s="159" t="n">
        <f aca="false">Q501</f>
        <v>0</v>
      </c>
      <c r="R557" s="48" t="n">
        <f aca="false">R501</f>
        <v>0</v>
      </c>
      <c r="S557" s="48" t="n">
        <f aca="false">S501-R501</f>
        <v>0</v>
      </c>
      <c r="T557" s="48" t="n">
        <f aca="false">T501-S501</f>
        <v>0</v>
      </c>
      <c r="U557" s="48" t="n">
        <f aca="false">U501-T501</f>
        <v>0</v>
      </c>
      <c r="V557" s="159" t="n">
        <f aca="false">V501</f>
        <v>0</v>
      </c>
      <c r="W557" s="48" t="n">
        <f aca="false">W501</f>
        <v>0</v>
      </c>
      <c r="X557" s="48" t="n">
        <f aca="false">X501-W501</f>
        <v>0</v>
      </c>
      <c r="Y557" s="48" t="n">
        <f aca="false">Y501-X501</f>
        <v>0</v>
      </c>
      <c r="Z557" s="48" t="n">
        <f aca="false">Z501-Y501</f>
        <v>19.7</v>
      </c>
      <c r="AA557" s="159" t="n">
        <f aca="false">AA501</f>
        <v>19.7</v>
      </c>
      <c r="AB557" s="48" t="n">
        <f aca="false">AB501</f>
        <v>0</v>
      </c>
      <c r="AC557" s="48" t="n">
        <f aca="false">AC501-AB501</f>
        <v>0</v>
      </c>
      <c r="AD557" s="48" t="n">
        <f aca="false">AD501-AC501</f>
        <v>0</v>
      </c>
      <c r="AE557" s="48" t="n">
        <f aca="false">AE501-AD501</f>
        <v>0</v>
      </c>
      <c r="AF557" s="159" t="n">
        <f aca="false">AF501</f>
        <v>0</v>
      </c>
      <c r="AG557" s="48" t="n">
        <f aca="false">AG501</f>
        <v>0</v>
      </c>
      <c r="AH557" s="48" t="n">
        <f aca="false">AH501-AG501</f>
        <v>0</v>
      </c>
      <c r="AI557" s="48" t="n">
        <f aca="false">AI501-AH501</f>
        <v>0</v>
      </c>
      <c r="AJ557" s="48" t="n">
        <f aca="false">AJ501-AI501</f>
        <v>0</v>
      </c>
      <c r="AK557" s="159" t="n">
        <f aca="false">AK501</f>
        <v>0</v>
      </c>
      <c r="AL557" s="48" t="n">
        <f aca="false">AL501</f>
        <v>0</v>
      </c>
      <c r="AM557" s="48" t="n">
        <f aca="false">AM501-AL501</f>
        <v>0</v>
      </c>
      <c r="AN557" s="48" t="n">
        <f aca="false">AN501-AM501</f>
        <v>0</v>
      </c>
      <c r="AO557" s="48" t="n">
        <f aca="false">AO501-AN501</f>
        <v>0</v>
      </c>
      <c r="AP557" s="159" t="n">
        <f aca="false">AP501</f>
        <v>0</v>
      </c>
      <c r="AQ557" s="48" t="n">
        <f aca="false">AQ501</f>
        <v>0</v>
      </c>
      <c r="AR557" s="48" t="n">
        <f aca="false">AR501-AQ501</f>
        <v>0</v>
      </c>
      <c r="AS557" s="48" t="n">
        <f aca="false">AS501-AR501</f>
        <v>0</v>
      </c>
      <c r="AT557" s="48" t="n">
        <f aca="false">AT501-AS501</f>
        <v>0</v>
      </c>
      <c r="AU557" s="159" t="n">
        <f aca="false">AU501</f>
        <v>0</v>
      </c>
      <c r="AV557" s="48" t="n">
        <f aca="false">AV501</f>
        <v>0</v>
      </c>
      <c r="AW557" s="48" t="n">
        <f aca="false">AW501-AV501</f>
        <v>0</v>
      </c>
      <c r="AX557" s="48" t="n">
        <f aca="false">AX501-AW501</f>
        <v>0</v>
      </c>
      <c r="AY557" s="48" t="n">
        <f aca="false">AY501-AX501</f>
        <v>0</v>
      </c>
      <c r="AZ557" s="159" t="n">
        <f aca="false">AZ501</f>
        <v>0</v>
      </c>
      <c r="BA557" s="48" t="n">
        <f aca="false">BA501</f>
        <v>0</v>
      </c>
      <c r="BB557" s="48" t="n">
        <f aca="false">BB501-BA501</f>
        <v>0</v>
      </c>
      <c r="BC557" s="48" t="n">
        <f aca="false">BC501-BB501</f>
        <v>0</v>
      </c>
      <c r="BD557" s="48" t="n">
        <f aca="false">BD501-BC501</f>
        <v>0</v>
      </c>
      <c r="BE557" s="159" t="n">
        <f aca="false">BE501</f>
        <v>0</v>
      </c>
      <c r="BF557" s="48" t="n">
        <f aca="false">BF501</f>
        <v>0</v>
      </c>
      <c r="BG557" s="48" t="n">
        <f aca="false">BG501-BF501</f>
        <v>0</v>
      </c>
      <c r="BH557" s="48" t="n">
        <f aca="false">BH501-BG501</f>
        <v>0</v>
      </c>
      <c r="BI557" s="48" t="n">
        <f aca="false">BI501-BH501</f>
        <v>0</v>
      </c>
      <c r="BJ557" s="159" t="n">
        <f aca="false">BJ501</f>
        <v>0</v>
      </c>
      <c r="BK557" s="48" t="n">
        <f aca="false">BK501</f>
        <v>0</v>
      </c>
      <c r="BL557" s="48" t="n">
        <f aca="false">BL501-BK501</f>
        <v>0</v>
      </c>
      <c r="BM557" s="48" t="n">
        <f aca="false">BM501-BL501</f>
        <v>0</v>
      </c>
      <c r="BN557" s="48" t="n">
        <f aca="false">BN501-BM501</f>
        <v>0</v>
      </c>
      <c r="BO557" s="160" t="n">
        <f aca="false">BO501</f>
        <v>0</v>
      </c>
      <c r="BP557" s="48"/>
      <c r="BQ557" s="48"/>
      <c r="BR557" s="48"/>
      <c r="BS557" s="48"/>
      <c r="BT557" s="159" t="n">
        <f aca="false">SUM(BP557,BQ557,BR557,BS557)</f>
        <v>0</v>
      </c>
      <c r="BU557" s="48"/>
      <c r="BV557" s="48"/>
      <c r="BW557" s="48"/>
      <c r="BX557" s="48"/>
      <c r="BY557" s="159" t="n">
        <f aca="false">SUM(BU557,BV557,BW557,BX557)</f>
        <v>0</v>
      </c>
      <c r="BZ557" s="159"/>
      <c r="CA557" s="159"/>
      <c r="CB557" s="159"/>
      <c r="CC557" s="50"/>
    </row>
    <row r="558" s="51" customFormat="true" ht="15" hidden="false" customHeight="true" outlineLevel="0" collapsed="false">
      <c r="A558" s="145" t="str">
        <f aca="false">A502</f>
        <v>Proceeds from sale of property, plant and equipment</v>
      </c>
      <c r="B558" s="254"/>
      <c r="C558" s="159" t="n">
        <f aca="false">C502</f>
        <v>6.877</v>
      </c>
      <c r="D558" s="159" t="n">
        <f aca="false">D502</f>
        <v>3.825</v>
      </c>
      <c r="E558" s="159" t="n">
        <f aca="false">E502</f>
        <v>0</v>
      </c>
      <c r="F558" s="159" t="n">
        <f aca="false">F502</f>
        <v>0</v>
      </c>
      <c r="G558" s="159" t="n">
        <f aca="false">G502</f>
        <v>0</v>
      </c>
      <c r="H558" s="48" t="n">
        <f aca="false">H502</f>
        <v>0</v>
      </c>
      <c r="I558" s="48" t="n">
        <f aca="false">I502-H502</f>
        <v>0</v>
      </c>
      <c r="J558" s="48" t="n">
        <f aca="false">J502-I502</f>
        <v>0</v>
      </c>
      <c r="K558" s="48" t="n">
        <f aca="false">K502-J502</f>
        <v>0</v>
      </c>
      <c r="L558" s="159" t="n">
        <f aca="false">L502</f>
        <v>0</v>
      </c>
      <c r="M558" s="48" t="n">
        <f aca="false">M502</f>
        <v>0</v>
      </c>
      <c r="N558" s="48" t="n">
        <f aca="false">N502-M502</f>
        <v>0</v>
      </c>
      <c r="O558" s="48" t="n">
        <f aca="false">O502-N502</f>
        <v>0</v>
      </c>
      <c r="P558" s="48" t="n">
        <f aca="false">P502-O502</f>
        <v>0</v>
      </c>
      <c r="Q558" s="159" t="n">
        <f aca="false">Q502</f>
        <v>0</v>
      </c>
      <c r="R558" s="48" t="n">
        <f aca="false">R502</f>
        <v>0</v>
      </c>
      <c r="S558" s="48" t="n">
        <f aca="false">S502-R502</f>
        <v>0</v>
      </c>
      <c r="T558" s="48" t="n">
        <f aca="false">T502-S502</f>
        <v>0</v>
      </c>
      <c r="U558" s="48" t="n">
        <f aca="false">U502-T502</f>
        <v>0</v>
      </c>
      <c r="V558" s="159" t="n">
        <f aca="false">V502</f>
        <v>0</v>
      </c>
      <c r="W558" s="48" t="n">
        <f aca="false">W502</f>
        <v>0</v>
      </c>
      <c r="X558" s="48" t="n">
        <f aca="false">X502-W502</f>
        <v>0</v>
      </c>
      <c r="Y558" s="48" t="n">
        <f aca="false">Y502-X502</f>
        <v>0</v>
      </c>
      <c r="Z558" s="48" t="n">
        <f aca="false">Z502-Y502</f>
        <v>0</v>
      </c>
      <c r="AA558" s="159" t="n">
        <f aca="false">AA502</f>
        <v>0</v>
      </c>
      <c r="AB558" s="48" t="n">
        <f aca="false">AB502</f>
        <v>0</v>
      </c>
      <c r="AC558" s="48" t="n">
        <f aca="false">AC502-AB502</f>
        <v>0</v>
      </c>
      <c r="AD558" s="48" t="n">
        <f aca="false">AD502-AC502</f>
        <v>0</v>
      </c>
      <c r="AE558" s="48" t="n">
        <f aca="false">AE502-AD502</f>
        <v>0</v>
      </c>
      <c r="AF558" s="159" t="n">
        <f aca="false">AF502</f>
        <v>0</v>
      </c>
      <c r="AG558" s="48" t="n">
        <f aca="false">AG502</f>
        <v>0</v>
      </c>
      <c r="AH558" s="48" t="n">
        <f aca="false">AH502-AG502</f>
        <v>0</v>
      </c>
      <c r="AI558" s="48" t="n">
        <f aca="false">AI502-AH502</f>
        <v>0</v>
      </c>
      <c r="AJ558" s="48" t="n">
        <f aca="false">AJ502-AI502</f>
        <v>0</v>
      </c>
      <c r="AK558" s="159" t="n">
        <f aca="false">AK502</f>
        <v>0</v>
      </c>
      <c r="AL558" s="48" t="n">
        <f aca="false">AL502</f>
        <v>0</v>
      </c>
      <c r="AM558" s="48" t="n">
        <f aca="false">AM502-AL502</f>
        <v>0</v>
      </c>
      <c r="AN558" s="48" t="n">
        <f aca="false">AN502-AM502</f>
        <v>0</v>
      </c>
      <c r="AO558" s="48" t="n">
        <f aca="false">AO502-AN502</f>
        <v>0</v>
      </c>
      <c r="AP558" s="159" t="n">
        <f aca="false">AP502</f>
        <v>0</v>
      </c>
      <c r="AQ558" s="48" t="n">
        <f aca="false">AQ502</f>
        <v>0</v>
      </c>
      <c r="AR558" s="48" t="n">
        <f aca="false">AR502-AQ502</f>
        <v>12.9</v>
      </c>
      <c r="AS558" s="48" t="n">
        <f aca="false">AS502-AR502</f>
        <v>0</v>
      </c>
      <c r="AT558" s="48" t="n">
        <f aca="false">AT502-AS502</f>
        <v>316.1</v>
      </c>
      <c r="AU558" s="159" t="n">
        <f aca="false">AU502</f>
        <v>329</v>
      </c>
      <c r="AV558" s="48" t="n">
        <f aca="false">AV502</f>
        <v>0</v>
      </c>
      <c r="AW558" s="48" t="n">
        <f aca="false">AW502-AV502</f>
        <v>0</v>
      </c>
      <c r="AX558" s="48" t="n">
        <f aca="false">AX502-AW502</f>
        <v>0</v>
      </c>
      <c r="AY558" s="48" t="n">
        <f aca="false">AY502-AX502</f>
        <v>0</v>
      </c>
      <c r="AZ558" s="159" t="n">
        <f aca="false">AZ502</f>
        <v>0</v>
      </c>
      <c r="BA558" s="48" t="n">
        <f aca="false">BA502</f>
        <v>0</v>
      </c>
      <c r="BB558" s="48" t="n">
        <f aca="false">BB502-BA502</f>
        <v>0</v>
      </c>
      <c r="BC558" s="48" t="n">
        <f aca="false">BC502-BB502</f>
        <v>0</v>
      </c>
      <c r="BD558" s="48" t="n">
        <f aca="false">BD502-BC502</f>
        <v>0</v>
      </c>
      <c r="BE558" s="159" t="n">
        <f aca="false">BE502</f>
        <v>0</v>
      </c>
      <c r="BF558" s="48" t="n">
        <f aca="false">BF502</f>
        <v>0</v>
      </c>
      <c r="BG558" s="48" t="n">
        <f aca="false">BG502-BF502</f>
        <v>0</v>
      </c>
      <c r="BH558" s="48" t="n">
        <f aca="false">BH502-BG502</f>
        <v>0</v>
      </c>
      <c r="BI558" s="48" t="n">
        <f aca="false">BI502-BH502</f>
        <v>0</v>
      </c>
      <c r="BJ558" s="159" t="n">
        <f aca="false">BJ502</f>
        <v>0</v>
      </c>
      <c r="BK558" s="48" t="n">
        <f aca="false">BK502</f>
        <v>0</v>
      </c>
      <c r="BL558" s="48" t="n">
        <f aca="false">BL502-BK502</f>
        <v>0</v>
      </c>
      <c r="BM558" s="48" t="n">
        <f aca="false">BM502-BL502</f>
        <v>0</v>
      </c>
      <c r="BN558" s="48" t="n">
        <f aca="false">BN502-BM502</f>
        <v>0</v>
      </c>
      <c r="BO558" s="160" t="n">
        <f aca="false">BO502</f>
        <v>0</v>
      </c>
      <c r="BP558" s="48" t="n">
        <f aca="false">BP406</f>
        <v>0</v>
      </c>
      <c r="BQ558" s="48" t="n">
        <f aca="false">BQ406</f>
        <v>0</v>
      </c>
      <c r="BR558" s="48" t="n">
        <f aca="false">BR406</f>
        <v>0</v>
      </c>
      <c r="BS558" s="48" t="n">
        <f aca="false">BS406</f>
        <v>0</v>
      </c>
      <c r="BT558" s="159" t="n">
        <f aca="false">SUM(BP558,BQ558,BR558,BS558)</f>
        <v>0</v>
      </c>
      <c r="BU558" s="48" t="n">
        <f aca="false">BU406</f>
        <v>0</v>
      </c>
      <c r="BV558" s="48" t="n">
        <f aca="false">BV406</f>
        <v>0</v>
      </c>
      <c r="BW558" s="48" t="n">
        <f aca="false">BW406</f>
        <v>0</v>
      </c>
      <c r="BX558" s="48" t="n">
        <f aca="false">BX406</f>
        <v>0</v>
      </c>
      <c r="BY558" s="159" t="n">
        <f aca="false">SUM(BU558,BV558,BW558,BX558)</f>
        <v>0</v>
      </c>
      <c r="BZ558" s="159" t="n">
        <f aca="false">BZ406</f>
        <v>0</v>
      </c>
      <c r="CA558" s="159" t="n">
        <f aca="false">CA406</f>
        <v>0</v>
      </c>
      <c r="CB558" s="159" t="n">
        <f aca="false">CB406</f>
        <v>0</v>
      </c>
      <c r="CC558" s="50"/>
    </row>
    <row r="559" s="51" customFormat="true" ht="15" hidden="false" customHeight="true" outlineLevel="0" collapsed="false">
      <c r="A559" s="251" t="str">
        <f aca="false">A503</f>
        <v>Acquisition of subsidiaries (net of cash acquired)</v>
      </c>
      <c r="B559" s="257"/>
      <c r="C559" s="261" t="n">
        <f aca="false">C503</f>
        <v>0</v>
      </c>
      <c r="D559" s="261" t="n">
        <f aca="false">D503</f>
        <v>0</v>
      </c>
      <c r="E559" s="261" t="n">
        <f aca="false">E503</f>
        <v>0</v>
      </c>
      <c r="F559" s="261" t="n">
        <f aca="false">F503</f>
        <v>-10.292</v>
      </c>
      <c r="G559" s="261" t="n">
        <f aca="false">G503</f>
        <v>-443.712</v>
      </c>
      <c r="H559" s="259" t="n">
        <f aca="false">H503</f>
        <v>0</v>
      </c>
      <c r="I559" s="259" t="n">
        <f aca="false">I503-H503</f>
        <v>0</v>
      </c>
      <c r="J559" s="259" t="n">
        <f aca="false">J503-I503</f>
        <v>0</v>
      </c>
      <c r="K559" s="259" t="n">
        <f aca="false">K503-J503</f>
        <v>0</v>
      </c>
      <c r="L559" s="261" t="n">
        <f aca="false">L503</f>
        <v>0</v>
      </c>
      <c r="M559" s="259" t="n">
        <f aca="false">M503</f>
        <v>0</v>
      </c>
      <c r="N559" s="259" t="n">
        <f aca="false">N503-M503</f>
        <v>0</v>
      </c>
      <c r="O559" s="259" t="n">
        <f aca="false">O503-N503</f>
        <v>0</v>
      </c>
      <c r="P559" s="259" t="n">
        <f aca="false">P503-O503</f>
        <v>0</v>
      </c>
      <c r="Q559" s="261" t="n">
        <f aca="false">Q503</f>
        <v>0</v>
      </c>
      <c r="R559" s="259" t="n">
        <f aca="false">R503</f>
        <v>0</v>
      </c>
      <c r="S559" s="259" t="n">
        <f aca="false">S503-R503</f>
        <v>0</v>
      </c>
      <c r="T559" s="259" t="n">
        <f aca="false">T503-S503</f>
        <v>0</v>
      </c>
      <c r="U559" s="259" t="n">
        <f aca="false">U503-T503</f>
        <v>-2641.3</v>
      </c>
      <c r="V559" s="261" t="n">
        <f aca="false">V503</f>
        <v>-2641.3</v>
      </c>
      <c r="W559" s="259" t="n">
        <f aca="false">W503</f>
        <v>0</v>
      </c>
      <c r="X559" s="259" t="n">
        <f aca="false">X503-W503</f>
        <v>0</v>
      </c>
      <c r="Y559" s="259" t="n">
        <f aca="false">Y503-X503</f>
        <v>0</v>
      </c>
      <c r="Z559" s="259" t="n">
        <f aca="false">Z503-Y503</f>
        <v>0</v>
      </c>
      <c r="AA559" s="261" t="n">
        <f aca="false">AA503</f>
        <v>0</v>
      </c>
      <c r="AB559" s="259" t="n">
        <f aca="false">AB503</f>
        <v>0</v>
      </c>
      <c r="AC559" s="259" t="n">
        <f aca="false">AC503-AB503</f>
        <v>0</v>
      </c>
      <c r="AD559" s="259" t="n">
        <f aca="false">AD503-AC503</f>
        <v>0</v>
      </c>
      <c r="AE559" s="259" t="n">
        <f aca="false">AE503-AD503</f>
        <v>0</v>
      </c>
      <c r="AF559" s="261" t="n">
        <f aca="false">AF503</f>
        <v>0</v>
      </c>
      <c r="AG559" s="259" t="n">
        <f aca="false">AG503</f>
        <v>0</v>
      </c>
      <c r="AH559" s="259" t="n">
        <f aca="false">AH503-AG503</f>
        <v>0</v>
      </c>
      <c r="AI559" s="259" t="n">
        <f aca="false">AI503-AH503</f>
        <v>0</v>
      </c>
      <c r="AJ559" s="259" t="n">
        <f aca="false">AJ503-AI503</f>
        <v>0</v>
      </c>
      <c r="AK559" s="261" t="n">
        <f aca="false">AK503</f>
        <v>0</v>
      </c>
      <c r="AL559" s="259" t="n">
        <f aca="false">AL503</f>
        <v>0</v>
      </c>
      <c r="AM559" s="259" t="n">
        <f aca="false">AM503-AL503</f>
        <v>0</v>
      </c>
      <c r="AN559" s="259" t="n">
        <f aca="false">AN503-AM503</f>
        <v>0</v>
      </c>
      <c r="AO559" s="259" t="n">
        <f aca="false">AO503-AN503</f>
        <v>-222.8</v>
      </c>
      <c r="AP559" s="261" t="n">
        <f aca="false">AP503</f>
        <v>-222.8</v>
      </c>
      <c r="AQ559" s="259" t="n">
        <f aca="false">AQ503</f>
        <v>0</v>
      </c>
      <c r="AR559" s="259" t="n">
        <f aca="false">AR503-AQ503</f>
        <v>0</v>
      </c>
      <c r="AS559" s="259" t="n">
        <f aca="false">AS503-AR503</f>
        <v>0</v>
      </c>
      <c r="AT559" s="259" t="n">
        <f aca="false">AT503-AS503</f>
        <v>0</v>
      </c>
      <c r="AU559" s="261" t="n">
        <f aca="false">AU503</f>
        <v>0</v>
      </c>
      <c r="AV559" s="259" t="n">
        <f aca="false">AV503</f>
        <v>0</v>
      </c>
      <c r="AW559" s="259" t="n">
        <f aca="false">AW503-AV503</f>
        <v>0</v>
      </c>
      <c r="AX559" s="259" t="n">
        <f aca="false">AX503-AW503</f>
        <v>0</v>
      </c>
      <c r="AY559" s="259" t="n">
        <f aca="false">AY503-AX503</f>
        <v>0</v>
      </c>
      <c r="AZ559" s="261" t="n">
        <f aca="false">AZ503</f>
        <v>0</v>
      </c>
      <c r="BA559" s="259" t="n">
        <f aca="false">BA503</f>
        <v>0</v>
      </c>
      <c r="BB559" s="259" t="n">
        <f aca="false">BB503-BA503</f>
        <v>0</v>
      </c>
      <c r="BC559" s="259" t="n">
        <f aca="false">BC503-BB503</f>
        <v>-27.6</v>
      </c>
      <c r="BD559" s="259" t="n">
        <f aca="false">BD503-BC503</f>
        <v>-6</v>
      </c>
      <c r="BE559" s="261" t="n">
        <f aca="false">BE503</f>
        <v>-33.6</v>
      </c>
      <c r="BF559" s="259" t="n">
        <f aca="false">BF503</f>
        <v>0</v>
      </c>
      <c r="BG559" s="259" t="n">
        <f aca="false">BG503-BF503</f>
        <v>0</v>
      </c>
      <c r="BH559" s="259" t="n">
        <f aca="false">BH503-BG503</f>
        <v>0</v>
      </c>
      <c r="BI559" s="259" t="n">
        <f aca="false">BI503-BH503</f>
        <v>0</v>
      </c>
      <c r="BJ559" s="261" t="n">
        <f aca="false">BJ503</f>
        <v>0</v>
      </c>
      <c r="BK559" s="259" t="n">
        <f aca="false">BK503</f>
        <v>0</v>
      </c>
      <c r="BL559" s="259" t="n">
        <f aca="false">BL503-BK503</f>
        <v>0</v>
      </c>
      <c r="BM559" s="259" t="n">
        <f aca="false">BM503-BL503</f>
        <v>0</v>
      </c>
      <c r="BN559" s="259" t="n">
        <f aca="false">BN503-BM503</f>
        <v>0</v>
      </c>
      <c r="BO559" s="260" t="n">
        <f aca="false">BO503</f>
        <v>0</v>
      </c>
      <c r="BP559" s="259" t="n">
        <f aca="false">BP405</f>
        <v>0</v>
      </c>
      <c r="BQ559" s="259" t="n">
        <f aca="false">BQ405</f>
        <v>0</v>
      </c>
      <c r="BR559" s="259" t="n">
        <f aca="false">BR405</f>
        <v>0</v>
      </c>
      <c r="BS559" s="259" t="n">
        <f aca="false">BS405</f>
        <v>0</v>
      </c>
      <c r="BT559" s="261" t="n">
        <f aca="false">SUM(BP559,BQ559,BR559,BS559)</f>
        <v>0</v>
      </c>
      <c r="BU559" s="259" t="n">
        <f aca="false">BU405</f>
        <v>0</v>
      </c>
      <c r="BV559" s="259" t="n">
        <f aca="false">BV405</f>
        <v>0</v>
      </c>
      <c r="BW559" s="259" t="n">
        <f aca="false">BW405</f>
        <v>0</v>
      </c>
      <c r="BX559" s="259" t="n">
        <f aca="false">BX405</f>
        <v>0</v>
      </c>
      <c r="BY559" s="261" t="n">
        <f aca="false">SUM(BU559,BV559,BW559,BX559)</f>
        <v>0</v>
      </c>
      <c r="BZ559" s="261" t="n">
        <f aca="false">BZ405</f>
        <v>0</v>
      </c>
      <c r="CA559" s="261" t="n">
        <f aca="false">CA405</f>
        <v>0</v>
      </c>
      <c r="CB559" s="261" t="n">
        <f aca="false">CB405</f>
        <v>0</v>
      </c>
      <c r="CC559" s="50"/>
    </row>
    <row r="560" s="157" customFormat="true" ht="15" hidden="false" customHeight="true" outlineLevel="0" collapsed="false">
      <c r="A560" s="151" t="str">
        <f aca="false">A504</f>
        <v>Net CFI</v>
      </c>
      <c r="B560" s="393"/>
      <c r="C560" s="162" t="n">
        <f aca="false">SUM(C549:C559)</f>
        <v>-98.082</v>
      </c>
      <c r="D560" s="162" t="n">
        <f aca="false">SUM(D549:D559)</f>
        <v>-124.903</v>
      </c>
      <c r="E560" s="162" t="n">
        <f aca="false">SUM(E549:E559)</f>
        <v>-300.898</v>
      </c>
      <c r="F560" s="162" t="n">
        <f aca="false">SUM(F549:F559)</f>
        <v>-1119.833</v>
      </c>
      <c r="G560" s="162" t="n">
        <f aca="false">SUM(G549:G559)</f>
        <v>-368.341</v>
      </c>
      <c r="H560" s="163" t="n">
        <f aca="false">SUM(H549:H559)</f>
        <v>4.69999999999999</v>
      </c>
      <c r="I560" s="163" t="n">
        <f aca="false">SUM(I549:I559)</f>
        <v>-73.6</v>
      </c>
      <c r="J560" s="163" t="n">
        <f aca="false">SUM(J549:J559)</f>
        <v>-24.3</v>
      </c>
      <c r="K560" s="163" t="n">
        <f aca="false">SUM(K549:K559)</f>
        <v>76.988</v>
      </c>
      <c r="L560" s="162" t="n">
        <f aca="false">SUM(L549:L559)</f>
        <v>-16.212</v>
      </c>
      <c r="M560" s="163" t="n">
        <f aca="false">SUM(M549:M559)</f>
        <v>124.2</v>
      </c>
      <c r="N560" s="163" t="n">
        <f aca="false">SUM(N549:N559)</f>
        <v>-107.2</v>
      </c>
      <c r="O560" s="163" t="n">
        <f aca="false">SUM(O549:O559)</f>
        <v>-99.3</v>
      </c>
      <c r="P560" s="163" t="n">
        <f aca="false">SUM(P549:P559)</f>
        <v>-1077.613</v>
      </c>
      <c r="Q560" s="162" t="n">
        <f aca="false">SUM(Q549:Q559)</f>
        <v>-1159.913</v>
      </c>
      <c r="R560" s="163" t="n">
        <f aca="false">SUM(R549:R559)</f>
        <v>-182.7</v>
      </c>
      <c r="S560" s="163" t="n">
        <f aca="false">SUM(S549:S559)</f>
        <v>-23.5</v>
      </c>
      <c r="T560" s="163" t="n">
        <f aca="false">SUM(T549:T559)</f>
        <v>-484.5</v>
      </c>
      <c r="U560" s="163" t="n">
        <f aca="false">SUM(U549:U559)</f>
        <v>-2497.7</v>
      </c>
      <c r="V560" s="162" t="n">
        <f aca="false">SUM(V549:V559)</f>
        <v>-3188.4</v>
      </c>
      <c r="W560" s="163" t="n">
        <f aca="false">SUM(W549:W559)</f>
        <v>150.5</v>
      </c>
      <c r="X560" s="163" t="n">
        <f aca="false">SUM(X549:X559)</f>
        <v>-754.9</v>
      </c>
      <c r="Y560" s="163" t="n">
        <f aca="false">SUM(Y549:Y559)</f>
        <v>-71.5999999999999</v>
      </c>
      <c r="Z560" s="163" t="n">
        <f aca="false">SUM(Z549:Z559)</f>
        <v>-533.3</v>
      </c>
      <c r="AA560" s="162" t="n">
        <f aca="false">SUM(AA549:AA559)</f>
        <v>-1209.3</v>
      </c>
      <c r="AB560" s="163" t="n">
        <f aca="false">SUM(AB549:AB559)</f>
        <v>182.2</v>
      </c>
      <c r="AC560" s="163" t="n">
        <f aca="false">SUM(AC549:AC559)</f>
        <v>-61.9000000000001</v>
      </c>
      <c r="AD560" s="163" t="n">
        <f aca="false">SUM(AD549:AD559)</f>
        <v>-244.8</v>
      </c>
      <c r="AE560" s="163" t="n">
        <f aca="false">SUM(AE549:AE559)</f>
        <v>-367</v>
      </c>
      <c r="AF560" s="162" t="n">
        <f aca="false">SUM(AF549:AF559)</f>
        <v>-491.5</v>
      </c>
      <c r="AG560" s="163" t="n">
        <f aca="false">SUM(AG549:AG559)</f>
        <v>-342.4</v>
      </c>
      <c r="AH560" s="163" t="n">
        <f aca="false">SUM(AH549:AH559)</f>
        <v>208.6</v>
      </c>
      <c r="AI560" s="163" t="n">
        <f aca="false">SUM(AI549:AI559)</f>
        <v>-7.30000000000001</v>
      </c>
      <c r="AJ560" s="163" t="n">
        <f aca="false">SUM(AJ549:AJ559)</f>
        <v>-1016.4</v>
      </c>
      <c r="AK560" s="162" t="n">
        <f aca="false">SUM(AK549:AK559)</f>
        <v>-1157.5</v>
      </c>
      <c r="AL560" s="163" t="n">
        <f aca="false">SUM(AL549:AL559)</f>
        <v>-444.3</v>
      </c>
      <c r="AM560" s="163" t="n">
        <f aca="false">SUM(AM549:AM559)</f>
        <v>214.8</v>
      </c>
      <c r="AN560" s="163" t="n">
        <f aca="false">SUM(AN549:AN559)</f>
        <v>-166.6</v>
      </c>
      <c r="AO560" s="163" t="n">
        <f aca="false">SUM(AO549:AO559)</f>
        <v>-956.1</v>
      </c>
      <c r="AP560" s="162" t="n">
        <f aca="false">SUM(AP549:AP559)</f>
        <v>-1352.2</v>
      </c>
      <c r="AQ560" s="163" t="n">
        <f aca="false">SUM(AQ549:AQ559)</f>
        <v>-306.7</v>
      </c>
      <c r="AR560" s="163" t="n">
        <f aca="false">SUM(AR549:AR559)</f>
        <v>990.4</v>
      </c>
      <c r="AS560" s="163" t="n">
        <f aca="false">SUM(AS549:AS559)</f>
        <v>-279.6</v>
      </c>
      <c r="AT560" s="163" t="n">
        <f aca="false">SUM(AT549:AT559)</f>
        <v>-476.1</v>
      </c>
      <c r="AU560" s="162" t="n">
        <f aca="false">SUM(AU549:AU559)</f>
        <v>-72</v>
      </c>
      <c r="AV560" s="163" t="n">
        <f aca="false">SUM(AV549:AV559)</f>
        <v>-11.7</v>
      </c>
      <c r="AW560" s="163" t="n">
        <f aca="false">SUM(AW549:AW559)</f>
        <v>-144.3</v>
      </c>
      <c r="AX560" s="163" t="n">
        <f aca="false">SUM(AX549:AX559)</f>
        <v>-508.9</v>
      </c>
      <c r="AY560" s="163" t="n">
        <f aca="false">SUM(AY549:AY559)</f>
        <v>-364</v>
      </c>
      <c r="AZ560" s="162" t="n">
        <f aca="false">SUM(AZ549:AZ559)</f>
        <v>-1028.9</v>
      </c>
      <c r="BA560" s="163" t="n">
        <f aca="false">SUM(BA549:BA559)</f>
        <v>-436.5</v>
      </c>
      <c r="BB560" s="163" t="n">
        <f aca="false">SUM(BB549:BB559)</f>
        <v>-544.9</v>
      </c>
      <c r="BC560" s="163" t="n">
        <f aca="false">SUM(BC549:BC559)</f>
        <v>-1091</v>
      </c>
      <c r="BD560" s="163" t="n">
        <f aca="false">SUM(BD549:BD559)</f>
        <v>-616.9</v>
      </c>
      <c r="BE560" s="162" t="n">
        <f aca="false">SUM(BE549:BE559)</f>
        <v>-2689.3</v>
      </c>
      <c r="BF560" s="163" t="n">
        <f aca="false">SUM(BF549:BF559)</f>
        <v>-723.6</v>
      </c>
      <c r="BG560" s="163" t="n">
        <f aca="false">SUM(BG549:BG559)</f>
        <v>-437.8</v>
      </c>
      <c r="BH560" s="163" t="n">
        <f aca="false">SUM(BH549:BH559)</f>
        <v>-215</v>
      </c>
      <c r="BI560" s="163" t="n">
        <f aca="false">SUM(BI549:BI559)</f>
        <v>-1232.9</v>
      </c>
      <c r="BJ560" s="162" t="n">
        <f aca="false">SUM(BJ549:BJ559)</f>
        <v>-2609.3</v>
      </c>
      <c r="BK560" s="163" t="n">
        <f aca="false">SUM(BK549:BK559)</f>
        <v>-415.7</v>
      </c>
      <c r="BL560" s="163" t="n">
        <f aca="false">SUM(BL549:BL559)</f>
        <v>-428</v>
      </c>
      <c r="BM560" s="163" t="n">
        <f aca="false">SUM(BM549:BM559)</f>
        <v>-1927.8</v>
      </c>
      <c r="BN560" s="163" t="n">
        <f aca="false">SUM(BN549:BN559)</f>
        <v>-1006.3</v>
      </c>
      <c r="BO560" s="164" t="n">
        <f aca="false">SUM(BO549:BO559)</f>
        <v>-3777.8</v>
      </c>
      <c r="BP560" s="163" t="n">
        <f aca="false">SUM(BP549:BP559)</f>
        <v>-130.75</v>
      </c>
      <c r="BQ560" s="163" t="n">
        <f aca="false">SUM(BQ549:BQ559)</f>
        <v>-130.75</v>
      </c>
      <c r="BR560" s="163" t="n">
        <f aca="false">SUM(BR549:BR559)</f>
        <v>-130.75</v>
      </c>
      <c r="BS560" s="163" t="n">
        <f aca="false">SUM(BS549:BS559)</f>
        <v>-130.75</v>
      </c>
      <c r="BT560" s="162" t="n">
        <f aca="false">SUM(BT549:BT559)</f>
        <v>-523</v>
      </c>
      <c r="BU560" s="163" t="n">
        <f aca="false">SUM(BU549:BU559)</f>
        <v>-130.75</v>
      </c>
      <c r="BV560" s="163" t="n">
        <f aca="false">SUM(BV549:BV559)</f>
        <v>-130.75</v>
      </c>
      <c r="BW560" s="163" t="n">
        <f aca="false">SUM(BW549:BW559)</f>
        <v>-130.75</v>
      </c>
      <c r="BX560" s="163" t="n">
        <f aca="false">SUM(BX549:BX559)</f>
        <v>-130.75</v>
      </c>
      <c r="BY560" s="162" t="n">
        <f aca="false">SUM(BY549:BY559)</f>
        <v>-523</v>
      </c>
      <c r="BZ560" s="162" t="n">
        <f aca="false">SUM(BZ549:BZ559)</f>
        <v>-600</v>
      </c>
      <c r="CA560" s="162" t="n">
        <f aca="false">SUM(CA549:CA559)</f>
        <v>-600</v>
      </c>
      <c r="CB560" s="162" t="n">
        <f aca="false">SUM(CB549:CB559)</f>
        <v>-600</v>
      </c>
      <c r="CC560" s="156"/>
    </row>
    <row r="561" s="157" customFormat="true" ht="15" hidden="false" customHeight="true" outlineLevel="0" collapsed="false">
      <c r="A561" s="252"/>
      <c r="B561" s="266"/>
      <c r="C561" s="267"/>
      <c r="D561" s="267"/>
      <c r="E561" s="267"/>
      <c r="F561" s="267"/>
      <c r="G561" s="267"/>
      <c r="H561" s="268"/>
      <c r="I561" s="268"/>
      <c r="J561" s="268"/>
      <c r="K561" s="268"/>
      <c r="L561" s="267"/>
      <c r="M561" s="268"/>
      <c r="N561" s="268"/>
      <c r="O561" s="268"/>
      <c r="P561" s="268"/>
      <c r="Q561" s="267"/>
      <c r="R561" s="268"/>
      <c r="S561" s="268"/>
      <c r="T561" s="268"/>
      <c r="U561" s="268"/>
      <c r="V561" s="267"/>
      <c r="W561" s="268"/>
      <c r="X561" s="268"/>
      <c r="Y561" s="268"/>
      <c r="Z561" s="268"/>
      <c r="AA561" s="267"/>
      <c r="AB561" s="268"/>
      <c r="AC561" s="268"/>
      <c r="AD561" s="268"/>
      <c r="AE561" s="268"/>
      <c r="AF561" s="267"/>
      <c r="AG561" s="268"/>
      <c r="AH561" s="268"/>
      <c r="AI561" s="268"/>
      <c r="AJ561" s="268"/>
      <c r="AK561" s="267"/>
      <c r="AL561" s="268"/>
      <c r="AM561" s="268"/>
      <c r="AN561" s="268"/>
      <c r="AO561" s="268"/>
      <c r="AP561" s="267"/>
      <c r="AQ561" s="268"/>
      <c r="AR561" s="268"/>
      <c r="AS561" s="268"/>
      <c r="AT561" s="268"/>
      <c r="AU561" s="267"/>
      <c r="AV561" s="268"/>
      <c r="AW561" s="268"/>
      <c r="AX561" s="268"/>
      <c r="AY561" s="268"/>
      <c r="AZ561" s="267"/>
      <c r="BA561" s="268"/>
      <c r="BB561" s="268"/>
      <c r="BC561" s="268"/>
      <c r="BD561" s="268"/>
      <c r="BE561" s="267"/>
      <c r="BF561" s="268"/>
      <c r="BG561" s="268"/>
      <c r="BH561" s="268"/>
      <c r="BI561" s="268"/>
      <c r="BJ561" s="267"/>
      <c r="BK561" s="268"/>
      <c r="BL561" s="268"/>
      <c r="BM561" s="268"/>
      <c r="BN561" s="268"/>
      <c r="BO561" s="269"/>
      <c r="BP561" s="268"/>
      <c r="BQ561" s="268"/>
      <c r="BR561" s="268"/>
      <c r="BS561" s="268"/>
      <c r="BT561" s="267"/>
      <c r="BU561" s="268"/>
      <c r="BV561" s="268"/>
      <c r="BW561" s="268"/>
      <c r="BX561" s="268"/>
      <c r="BY561" s="267"/>
      <c r="BZ561" s="267"/>
      <c r="CA561" s="267"/>
      <c r="CB561" s="267"/>
      <c r="CC561" s="156"/>
    </row>
    <row r="562" s="157" customFormat="true" ht="15" hidden="false" customHeight="true" outlineLevel="0" collapsed="false">
      <c r="A562" s="252" t="str">
        <f aca="false">A506</f>
        <v>CFF</v>
      </c>
      <c r="B562" s="266"/>
      <c r="C562" s="267"/>
      <c r="D562" s="267"/>
      <c r="E562" s="267"/>
      <c r="F562" s="267"/>
      <c r="G562" s="267"/>
      <c r="H562" s="268"/>
      <c r="I562" s="268"/>
      <c r="J562" s="268"/>
      <c r="K562" s="268"/>
      <c r="L562" s="267"/>
      <c r="M562" s="268"/>
      <c r="N562" s="268"/>
      <c r="O562" s="268"/>
      <c r="P562" s="268"/>
      <c r="Q562" s="267"/>
      <c r="R562" s="268"/>
      <c r="S562" s="268"/>
      <c r="T562" s="268"/>
      <c r="U562" s="268"/>
      <c r="V562" s="267"/>
      <c r="W562" s="268"/>
      <c r="X562" s="268"/>
      <c r="Y562" s="268"/>
      <c r="Z562" s="268"/>
      <c r="AA562" s="267"/>
      <c r="AB562" s="268"/>
      <c r="AC562" s="268"/>
      <c r="AD562" s="268"/>
      <c r="AE562" s="268"/>
      <c r="AF562" s="267"/>
      <c r="AG562" s="268"/>
      <c r="AH562" s="268"/>
      <c r="AI562" s="268"/>
      <c r="AJ562" s="268"/>
      <c r="AK562" s="267"/>
      <c r="AL562" s="268"/>
      <c r="AM562" s="268"/>
      <c r="AN562" s="268"/>
      <c r="AO562" s="268"/>
      <c r="AP562" s="267"/>
      <c r="AQ562" s="268"/>
      <c r="AR562" s="268"/>
      <c r="AS562" s="268"/>
      <c r="AT562" s="268"/>
      <c r="AU562" s="267"/>
      <c r="AV562" s="268"/>
      <c r="AW562" s="268"/>
      <c r="AX562" s="268"/>
      <c r="AY562" s="268"/>
      <c r="AZ562" s="267"/>
      <c r="BA562" s="268"/>
      <c r="BB562" s="268"/>
      <c r="BC562" s="268"/>
      <c r="BD562" s="268"/>
      <c r="BE562" s="267"/>
      <c r="BF562" s="268"/>
      <c r="BG562" s="268"/>
      <c r="BH562" s="268"/>
      <c r="BI562" s="268"/>
      <c r="BJ562" s="267"/>
      <c r="BK562" s="268"/>
      <c r="BL562" s="268"/>
      <c r="BM562" s="268"/>
      <c r="BN562" s="268"/>
      <c r="BO562" s="269"/>
      <c r="BP562" s="268"/>
      <c r="BQ562" s="268"/>
      <c r="BR562" s="268"/>
      <c r="BS562" s="268"/>
      <c r="BT562" s="267"/>
      <c r="BU562" s="268"/>
      <c r="BV562" s="268"/>
      <c r="BW562" s="268"/>
      <c r="BX562" s="268"/>
      <c r="BY562" s="267"/>
      <c r="BZ562" s="267"/>
      <c r="CA562" s="267"/>
      <c r="CB562" s="267"/>
      <c r="CC562" s="156"/>
    </row>
    <row r="563" s="51" customFormat="true" ht="15" hidden="false" customHeight="true" outlineLevel="0" collapsed="false">
      <c r="A563" s="145" t="str">
        <f aca="false">A507</f>
        <v>Dividend paid</v>
      </c>
      <c r="B563" s="254"/>
      <c r="C563" s="159" t="n">
        <f aca="false">C507</f>
        <v>-86.486</v>
      </c>
      <c r="D563" s="159" t="n">
        <f aca="false">D507</f>
        <v>-86.96</v>
      </c>
      <c r="E563" s="159" t="n">
        <f aca="false">E507</f>
        <v>-172.645</v>
      </c>
      <c r="F563" s="159" t="n">
        <f aca="false">F507</f>
        <v>-188.892</v>
      </c>
      <c r="G563" s="159" t="n">
        <f aca="false">G507</f>
        <v>-216.085</v>
      </c>
      <c r="H563" s="48" t="n">
        <f aca="false">H507</f>
        <v>0</v>
      </c>
      <c r="I563" s="48" t="n">
        <f aca="false">I507-H507</f>
        <v>-268</v>
      </c>
      <c r="J563" s="48" t="n">
        <f aca="false">J507-I507</f>
        <v>0</v>
      </c>
      <c r="K563" s="48" t="n">
        <f aca="false">K507-J507</f>
        <v>0.0380000000000109</v>
      </c>
      <c r="L563" s="159" t="n">
        <f aca="false">L507</f>
        <v>-267.962</v>
      </c>
      <c r="M563" s="48" t="n">
        <f aca="false">M507</f>
        <v>0</v>
      </c>
      <c r="N563" s="48" t="n">
        <f aca="false">N507-M507</f>
        <v>-302.3</v>
      </c>
      <c r="O563" s="48" t="n">
        <f aca="false">O507-N507</f>
        <v>0</v>
      </c>
      <c r="P563" s="48" t="n">
        <f aca="false">P507-O507</f>
        <v>-0.00999999999999091</v>
      </c>
      <c r="Q563" s="159" t="n">
        <f aca="false">Q507</f>
        <v>-302.31</v>
      </c>
      <c r="R563" s="48" t="n">
        <f aca="false">R507</f>
        <v>0</v>
      </c>
      <c r="S563" s="48" t="n">
        <f aca="false">S507-R507</f>
        <v>-445.9</v>
      </c>
      <c r="T563" s="48" t="n">
        <f aca="false">T507-S507</f>
        <v>0</v>
      </c>
      <c r="U563" s="48" t="n">
        <f aca="false">U507-T507</f>
        <v>0</v>
      </c>
      <c r="V563" s="159" t="n">
        <f aca="false">V507</f>
        <v>-445.9</v>
      </c>
      <c r="W563" s="48" t="n">
        <f aca="false">W507</f>
        <v>0</v>
      </c>
      <c r="X563" s="48" t="n">
        <f aca="false">X507-W507</f>
        <v>-516.7</v>
      </c>
      <c r="Y563" s="48" t="n">
        <f aca="false">Y507-X507</f>
        <v>0</v>
      </c>
      <c r="Z563" s="48" t="n">
        <f aca="false">Z507-Y507</f>
        <v>0</v>
      </c>
      <c r="AA563" s="159" t="n">
        <f aca="false">AA507</f>
        <v>-516.7</v>
      </c>
      <c r="AB563" s="48" t="n">
        <f aca="false">AB507</f>
        <v>0</v>
      </c>
      <c r="AC563" s="48" t="n">
        <f aca="false">AC507-AB507</f>
        <v>-597.1</v>
      </c>
      <c r="AD563" s="48" t="n">
        <f aca="false">AD507-AC507</f>
        <v>0</v>
      </c>
      <c r="AE563" s="48" t="n">
        <f aca="false">AE507-AD507</f>
        <v>0</v>
      </c>
      <c r="AF563" s="159" t="n">
        <f aca="false">AF507</f>
        <v>-597.1</v>
      </c>
      <c r="AG563" s="48" t="n">
        <f aca="false">AG507</f>
        <v>0</v>
      </c>
      <c r="AH563" s="48" t="n">
        <f aca="false">AH507-AG507</f>
        <v>-884.4</v>
      </c>
      <c r="AI563" s="48" t="n">
        <f aca="false">AI507-AH507</f>
        <v>0</v>
      </c>
      <c r="AJ563" s="48" t="n">
        <f aca="false">AJ507-AI507</f>
        <v>-441.3</v>
      </c>
      <c r="AK563" s="159" t="n">
        <f aca="false">AK507</f>
        <v>-1325.7</v>
      </c>
      <c r="AL563" s="48" t="n">
        <f aca="false">AL507</f>
        <v>0</v>
      </c>
      <c r="AM563" s="48" t="n">
        <f aca="false">AM507-AL507</f>
        <v>-564.8</v>
      </c>
      <c r="AN563" s="48" t="n">
        <f aca="false">AN507-AM507</f>
        <v>0</v>
      </c>
      <c r="AO563" s="48" t="n">
        <f aca="false">AO507-AN507</f>
        <v>-501.6</v>
      </c>
      <c r="AP563" s="159" t="n">
        <f aca="false">AP507</f>
        <v>-1066.4</v>
      </c>
      <c r="AQ563" s="48" t="n">
        <f aca="false">AQ507</f>
        <v>0</v>
      </c>
      <c r="AR563" s="48" t="n">
        <f aca="false">AR507-AQ507</f>
        <v>-639.1</v>
      </c>
      <c r="AS563" s="48" t="n">
        <f aca="false">AS507-AR507</f>
        <v>0</v>
      </c>
      <c r="AT563" s="48" t="n">
        <f aca="false">AT507-AS507</f>
        <v>-729.2</v>
      </c>
      <c r="AU563" s="159" t="n">
        <f aca="false">AU507</f>
        <v>-1368.3</v>
      </c>
      <c r="AV563" s="48" t="n">
        <f aca="false">AV507</f>
        <v>0</v>
      </c>
      <c r="AW563" s="48" t="n">
        <f aca="false">AW507-AV507</f>
        <v>-1475.3</v>
      </c>
      <c r="AX563" s="48" t="n">
        <f aca="false">AX507-AW507</f>
        <v>-543.4</v>
      </c>
      <c r="AY563" s="48" t="n">
        <f aca="false">AY507-AX507</f>
        <v>-541.1</v>
      </c>
      <c r="AZ563" s="159" t="n">
        <f aca="false">AZ507</f>
        <v>-2559.8</v>
      </c>
      <c r="BA563" s="48" t="n">
        <f aca="false">BA507</f>
        <v>-541.1</v>
      </c>
      <c r="BB563" s="48" t="n">
        <f aca="false">BB507-BA507</f>
        <v>-666</v>
      </c>
      <c r="BC563" s="48" t="n">
        <f aca="false">BC507-BB507</f>
        <v>-570.4</v>
      </c>
      <c r="BD563" s="48" t="n">
        <f aca="false">BD507-BC507</f>
        <v>-570.8</v>
      </c>
      <c r="BE563" s="159" t="n">
        <f aca="false">BE507</f>
        <v>-2348.3</v>
      </c>
      <c r="BF563" s="48" t="n">
        <f aca="false">BF507</f>
        <v>-571</v>
      </c>
      <c r="BG563" s="48" t="n">
        <f aca="false">BG507-BF507</f>
        <v>-688.3</v>
      </c>
      <c r="BH563" s="48" t="n">
        <f aca="false">BH507-BG507</f>
        <v>-595.8</v>
      </c>
      <c r="BI563" s="48" t="n">
        <f aca="false">BI507-BH507</f>
        <v>-597.8</v>
      </c>
      <c r="BJ563" s="159" t="n">
        <f aca="false">BJ507</f>
        <v>-2452.9</v>
      </c>
      <c r="BK563" s="48" t="n">
        <f aca="false">BK507</f>
        <v>-597.2</v>
      </c>
      <c r="BL563" s="48" t="n">
        <f aca="false">BL507-BK507</f>
        <v>-714.4</v>
      </c>
      <c r="BM563" s="48" t="n">
        <f aca="false">BM507-BL507</f>
        <v>-619.6</v>
      </c>
      <c r="BN563" s="48" t="n">
        <f aca="false">BN507-BM507</f>
        <v>-619.1</v>
      </c>
      <c r="BO563" s="160" t="n">
        <f aca="false">BO507</f>
        <v>-2550.3</v>
      </c>
      <c r="BP563" s="48" t="n">
        <f aca="false">BP407</f>
        <v>-621.63108</v>
      </c>
      <c r="BQ563" s="48" t="n">
        <f aca="false">BQ407</f>
        <v>-714.9472295742</v>
      </c>
      <c r="BR563" s="48" t="n">
        <f aca="false">BR407</f>
        <v>-621.755412432311</v>
      </c>
      <c r="BS563" s="48" t="n">
        <f aca="false">BS407</f>
        <v>-621.817587973554</v>
      </c>
      <c r="BT563" s="159" t="n">
        <f aca="false">SUM(BP563,BQ563,BR563,BS563)</f>
        <v>-2580.15130998007</v>
      </c>
      <c r="BU563" s="48" t="n">
        <f aca="false">BU407</f>
        <v>-621.879769732351</v>
      </c>
      <c r="BV563" s="48" t="n">
        <f aca="false">BV407</f>
        <v>-715.233251365723</v>
      </c>
      <c r="BW563" s="48" t="n">
        <f aca="false">BW407</f>
        <v>-622.004151905096</v>
      </c>
      <c r="BX563" s="48" t="n">
        <f aca="false">BX407</f>
        <v>-622.066352320286</v>
      </c>
      <c r="BY563" s="159" t="n">
        <f aca="false">SUM(BU563,BV563,BW563,BX563)</f>
        <v>-2581.18352532346</v>
      </c>
      <c r="BZ563" s="159" t="n">
        <f aca="false">BZ407</f>
        <v>-2582.22077533057</v>
      </c>
      <c r="CA563" s="159" t="n">
        <f aca="false">CA407</f>
        <v>-2583.2536636407</v>
      </c>
      <c r="CB563" s="159" t="n">
        <f aca="false">CB407</f>
        <v>-2584.28696510615</v>
      </c>
      <c r="CC563" s="50"/>
    </row>
    <row r="564" s="51" customFormat="true" ht="15" hidden="false" customHeight="true" outlineLevel="0" collapsed="false">
      <c r="A564" s="145" t="str">
        <f aca="false">A508</f>
        <v>Purchase of treasury shares</v>
      </c>
      <c r="B564" s="254"/>
      <c r="C564" s="159" t="n">
        <f aca="false">C508</f>
        <v>0</v>
      </c>
      <c r="D564" s="159" t="n">
        <f aca="false">D508</f>
        <v>0</v>
      </c>
      <c r="E564" s="159" t="n">
        <f aca="false">E508</f>
        <v>-700.452</v>
      </c>
      <c r="F564" s="159" t="n">
        <f aca="false">F508</f>
        <v>-535.373</v>
      </c>
      <c r="G564" s="159" t="n">
        <f aca="false">G508</f>
        <v>-300</v>
      </c>
      <c r="H564" s="48" t="n">
        <f aca="false">H508</f>
        <v>-145</v>
      </c>
      <c r="I564" s="48" t="n">
        <f aca="false">I508-H508</f>
        <v>-154.9</v>
      </c>
      <c r="J564" s="48" t="n">
        <f aca="false">J508-I508</f>
        <v>-171.1</v>
      </c>
      <c r="K564" s="48" t="n">
        <f aca="false">K508-J508</f>
        <v>-229</v>
      </c>
      <c r="L564" s="159" t="n">
        <f aca="false">L508</f>
        <v>-700</v>
      </c>
      <c r="M564" s="48" t="n">
        <f aca="false">M508</f>
        <v>-117.1</v>
      </c>
      <c r="N564" s="48" t="n">
        <f aca="false">N508-M508</f>
        <v>-165.6</v>
      </c>
      <c r="O564" s="48" t="n">
        <f aca="false">O508-N508</f>
        <v>-141.5</v>
      </c>
      <c r="P564" s="48" t="n">
        <f aca="false">P508-O508</f>
        <v>-140.687</v>
      </c>
      <c r="Q564" s="159" t="n">
        <f aca="false">Q508</f>
        <v>-564.887</v>
      </c>
      <c r="R564" s="48" t="n">
        <f aca="false">R508</f>
        <v>-213.5</v>
      </c>
      <c r="S564" s="48" t="n">
        <f aca="false">S508-R508</f>
        <v>-171.9</v>
      </c>
      <c r="T564" s="48" t="n">
        <f aca="false">T508-S508</f>
        <v>-14.6</v>
      </c>
      <c r="U564" s="48" t="n">
        <f aca="false">U508-T508</f>
        <v>0</v>
      </c>
      <c r="V564" s="159" t="n">
        <f aca="false">V508</f>
        <v>-400</v>
      </c>
      <c r="W564" s="48" t="n">
        <f aca="false">W508</f>
        <v>0</v>
      </c>
      <c r="X564" s="48" t="n">
        <f aca="false">X508-W508</f>
        <v>0</v>
      </c>
      <c r="Y564" s="48" t="n">
        <f aca="false">Y508-X508</f>
        <v>-165.5</v>
      </c>
      <c r="Z564" s="48" t="n">
        <f aca="false">Z508-Y508</f>
        <v>-334.5</v>
      </c>
      <c r="AA564" s="159" t="n">
        <f aca="false">AA508</f>
        <v>-500</v>
      </c>
      <c r="AB564" s="48" t="n">
        <f aca="false">AB508</f>
        <v>-166.9</v>
      </c>
      <c r="AC564" s="48" t="n">
        <f aca="false">AC508-AB508</f>
        <v>-252.9</v>
      </c>
      <c r="AD564" s="48" t="n">
        <f aca="false">AD508-AC508</f>
        <v>-370</v>
      </c>
      <c r="AE564" s="48" t="n">
        <f aca="false">AE508-AD508</f>
        <v>-356.4</v>
      </c>
      <c r="AF564" s="159" t="n">
        <f aca="false">AF508</f>
        <v>-1146.2</v>
      </c>
      <c r="AG564" s="48" t="n">
        <f aca="false">AG508</f>
        <v>-52.6</v>
      </c>
      <c r="AH564" s="48" t="n">
        <f aca="false">AH508-AG508</f>
        <v>-17.4</v>
      </c>
      <c r="AI564" s="48" t="n">
        <f aca="false">AI508-AH508</f>
        <v>-148.4</v>
      </c>
      <c r="AJ564" s="48" t="n">
        <f aca="false">AJ508-AI508</f>
        <v>-191.6</v>
      </c>
      <c r="AK564" s="159" t="n">
        <f aca="false">AK508</f>
        <v>-410</v>
      </c>
      <c r="AL564" s="48" t="n">
        <f aca="false">AL508</f>
        <v>-507.5</v>
      </c>
      <c r="AM564" s="48" t="n">
        <f aca="false">AM508-AL508</f>
        <v>0</v>
      </c>
      <c r="AN564" s="48" t="n">
        <f aca="false">AN508-AM508</f>
        <v>0</v>
      </c>
      <c r="AO564" s="48" t="n">
        <f aca="false">AO508-AN508</f>
        <v>-700</v>
      </c>
      <c r="AP564" s="159" t="n">
        <f aca="false">AP508</f>
        <v>-1207.5</v>
      </c>
      <c r="AQ564" s="48" t="n">
        <f aca="false">AQ508</f>
        <v>-1567.6</v>
      </c>
      <c r="AR564" s="48" t="n">
        <f aca="false">AR508-AQ508</f>
        <v>-1983.9</v>
      </c>
      <c r="AS564" s="48" t="n">
        <f aca="false">AS508-AR508</f>
        <v>-2401.6</v>
      </c>
      <c r="AT564" s="48" t="n">
        <f aca="false">AT508-AS508</f>
        <v>-2607.2</v>
      </c>
      <c r="AU564" s="159" t="n">
        <f aca="false">AU508</f>
        <v>-8560.3</v>
      </c>
      <c r="AV564" s="48" t="n">
        <f aca="false">AV508</f>
        <v>-2038.2</v>
      </c>
      <c r="AW564" s="48" t="n">
        <f aca="false">AW508-AV508</f>
        <v>-1178.5</v>
      </c>
      <c r="AX564" s="48" t="n">
        <f aca="false">AX508-AW508</f>
        <v>-1088</v>
      </c>
      <c r="AY564" s="48" t="n">
        <f aca="false">AY508-AX508</f>
        <v>-335</v>
      </c>
      <c r="AZ564" s="159" t="n">
        <f aca="false">AZ508</f>
        <v>-4639.7</v>
      </c>
      <c r="BA564" s="48" t="n">
        <f aca="false">BA508</f>
        <v>-396.2</v>
      </c>
      <c r="BB564" s="48" t="n">
        <f aca="false">BB508-BA508</f>
        <v>-492.7</v>
      </c>
      <c r="BC564" s="48" t="n">
        <f aca="false">BC508-BB508</f>
        <v>-111.1</v>
      </c>
      <c r="BD564" s="48" t="n">
        <f aca="false">BD508-BC508</f>
        <v>0</v>
      </c>
      <c r="BE564" s="159" t="n">
        <f aca="false">BE508</f>
        <v>-1000</v>
      </c>
      <c r="BF564" s="48" t="n">
        <f aca="false">BF508</f>
        <v>-385.1</v>
      </c>
      <c r="BG564" s="48" t="n">
        <f aca="false">BG508-BF508</f>
        <v>-114.9</v>
      </c>
      <c r="BH564" s="48" t="n">
        <f aca="false">BH508-BG508</f>
        <v>0</v>
      </c>
      <c r="BI564" s="48" t="n">
        <f aca="false">BI508-BH508</f>
        <v>0</v>
      </c>
      <c r="BJ564" s="159" t="n">
        <f aca="false">BJ508</f>
        <v>-500</v>
      </c>
      <c r="BK564" s="48" t="n">
        <f aca="false">BK508</f>
        <v>-2592.6</v>
      </c>
      <c r="BL564" s="48" t="n">
        <f aca="false">BL508-BK508</f>
        <v>-1485.2</v>
      </c>
      <c r="BM564" s="48" t="n">
        <f aca="false">BM508-BL508</f>
        <v>-172.2</v>
      </c>
      <c r="BN564" s="48" t="n">
        <f aca="false">BN508-BM508</f>
        <v>-1700</v>
      </c>
      <c r="BO564" s="160" t="n">
        <f aca="false">BO508</f>
        <v>-5950</v>
      </c>
      <c r="BP564" s="48" t="n">
        <f aca="false">BP411</f>
        <v>0</v>
      </c>
      <c r="BQ564" s="48" t="n">
        <f aca="false">BQ411</f>
        <v>0</v>
      </c>
      <c r="BR564" s="48" t="n">
        <f aca="false">BR411</f>
        <v>0</v>
      </c>
      <c r="BS564" s="48" t="n">
        <f aca="false">BS411</f>
        <v>0</v>
      </c>
      <c r="BT564" s="159" t="n">
        <f aca="false">SUM(BP564,BQ564,BR564,BS564)</f>
        <v>0</v>
      </c>
      <c r="BU564" s="48" t="n">
        <f aca="false">BU411</f>
        <v>0</v>
      </c>
      <c r="BV564" s="48" t="n">
        <f aca="false">BV411</f>
        <v>0</v>
      </c>
      <c r="BW564" s="48" t="n">
        <f aca="false">BW411</f>
        <v>0</v>
      </c>
      <c r="BX564" s="48" t="n">
        <f aca="false">BX411</f>
        <v>0</v>
      </c>
      <c r="BY564" s="159" t="n">
        <f aca="false">SUM(BU564,BV564,BW564,BX564)</f>
        <v>0</v>
      </c>
      <c r="BZ564" s="159" t="n">
        <f aca="false">BZ411</f>
        <v>0</v>
      </c>
      <c r="CA564" s="159" t="n">
        <f aca="false">CA411</f>
        <v>0</v>
      </c>
      <c r="CB564" s="159" t="n">
        <f aca="false">CB411</f>
        <v>0</v>
      </c>
      <c r="CC564" s="50"/>
    </row>
    <row r="565" s="51" customFormat="true" ht="15" hidden="false" customHeight="true" outlineLevel="0" collapsed="false">
      <c r="A565" s="145" t="str">
        <f aca="false">A509</f>
        <v>Net proceeds from issuance of shares</v>
      </c>
      <c r="B565" s="254"/>
      <c r="C565" s="159" t="n">
        <f aca="false">C509</f>
        <v>11.073</v>
      </c>
      <c r="D565" s="159" t="n">
        <f aca="false">D509</f>
        <v>31</v>
      </c>
      <c r="E565" s="159" t="n">
        <f aca="false">E509</f>
        <v>34.084</v>
      </c>
      <c r="F565" s="159" t="n">
        <f aca="false">F509</f>
        <v>3907.666</v>
      </c>
      <c r="G565" s="159" t="n">
        <f aca="false">G509</f>
        <v>31.822</v>
      </c>
      <c r="H565" s="48" t="n">
        <f aca="false">H509</f>
        <v>5.5</v>
      </c>
      <c r="I565" s="48" t="n">
        <f aca="false">I509-H509</f>
        <v>8.1</v>
      </c>
      <c r="J565" s="48" t="n">
        <f aca="false">J509-I509</f>
        <v>10.6</v>
      </c>
      <c r="K565" s="48" t="n">
        <f aca="false">K509-J509</f>
        <v>15.479</v>
      </c>
      <c r="L565" s="159" t="n">
        <f aca="false">L509</f>
        <v>39.679</v>
      </c>
      <c r="M565" s="48" t="n">
        <f aca="false">M509</f>
        <v>4.4</v>
      </c>
      <c r="N565" s="48" t="n">
        <f aca="false">N509-M509</f>
        <v>10.1</v>
      </c>
      <c r="O565" s="48" t="n">
        <f aca="false">O509-N509</f>
        <v>9</v>
      </c>
      <c r="P565" s="48" t="n">
        <f aca="false">P509-O509</f>
        <v>9.73</v>
      </c>
      <c r="Q565" s="159" t="n">
        <f aca="false">Q509</f>
        <v>33.23</v>
      </c>
      <c r="R565" s="48" t="n">
        <f aca="false">R509</f>
        <v>10.6</v>
      </c>
      <c r="S565" s="48" t="n">
        <f aca="false">S509-R509</f>
        <v>12.1</v>
      </c>
      <c r="T565" s="48" t="n">
        <f aca="false">T509-S509</f>
        <v>11.7</v>
      </c>
      <c r="U565" s="48" t="n">
        <f aca="false">U509-T509</f>
        <v>548.3</v>
      </c>
      <c r="V565" s="159" t="n">
        <f aca="false">V509</f>
        <v>582.7</v>
      </c>
      <c r="W565" s="48" t="n">
        <f aca="false">W509</f>
        <v>13</v>
      </c>
      <c r="X565" s="48" t="n">
        <f aca="false">X509-W509</f>
        <v>11.9</v>
      </c>
      <c r="Y565" s="48" t="n">
        <f aca="false">Y509-X509</f>
        <v>12.7</v>
      </c>
      <c r="Z565" s="48" t="n">
        <f aca="false">Z509-Y509</f>
        <v>13</v>
      </c>
      <c r="AA565" s="159" t="n">
        <f aca="false">AA509</f>
        <v>50.6</v>
      </c>
      <c r="AB565" s="48" t="n">
        <f aca="false">AB509</f>
        <v>7</v>
      </c>
      <c r="AC565" s="48" t="n">
        <f aca="false">AC509-AB509</f>
        <v>6.1</v>
      </c>
      <c r="AD565" s="48" t="n">
        <f aca="false">AD509-AC509</f>
        <v>4.3</v>
      </c>
      <c r="AE565" s="48" t="n">
        <f aca="false">AE509-AD509</f>
        <v>4.4</v>
      </c>
      <c r="AF565" s="159" t="n">
        <f aca="false">AF509</f>
        <v>21.8</v>
      </c>
      <c r="AG565" s="48" t="n">
        <f aca="false">AG509</f>
        <v>5.2</v>
      </c>
      <c r="AH565" s="48" t="n">
        <f aca="false">AH509-AG509</f>
        <v>7.4</v>
      </c>
      <c r="AI565" s="48" t="n">
        <f aca="false">AI509-AH509</f>
        <v>7.4</v>
      </c>
      <c r="AJ565" s="48" t="n">
        <f aca="false">AJ509-AI509</f>
        <v>7.2</v>
      </c>
      <c r="AK565" s="159" t="n">
        <f aca="false">AK509</f>
        <v>27.2</v>
      </c>
      <c r="AL565" s="48" t="n">
        <f aca="false">AL509</f>
        <v>8.6</v>
      </c>
      <c r="AM565" s="48" t="n">
        <f aca="false">AM509-AL509</f>
        <v>11</v>
      </c>
      <c r="AN565" s="48" t="n">
        <f aca="false">AN509-AM509</f>
        <v>10.4</v>
      </c>
      <c r="AO565" s="48" t="n">
        <f aca="false">AO509-AN509</f>
        <v>7.9</v>
      </c>
      <c r="AP565" s="159" t="n">
        <f aca="false">AP509</f>
        <v>37.9</v>
      </c>
      <c r="AQ565" s="48" t="n">
        <f aca="false">AQ509</f>
        <v>11</v>
      </c>
      <c r="AR565" s="48" t="n">
        <f aca="false">AR509-AQ509</f>
        <v>13.6</v>
      </c>
      <c r="AS565" s="48" t="n">
        <f aca="false">AS509-AR509</f>
        <v>12.3</v>
      </c>
      <c r="AT565" s="48" t="n">
        <f aca="false">AT509-AS509</f>
        <v>12</v>
      </c>
      <c r="AU565" s="159" t="n">
        <f aca="false">AU509</f>
        <v>48.9</v>
      </c>
      <c r="AV565" s="48" t="n">
        <f aca="false">AV509</f>
        <v>21.5</v>
      </c>
      <c r="AW565" s="48" t="n">
        <f aca="false">AW509-AV509</f>
        <v>21.5</v>
      </c>
      <c r="AX565" s="48" t="n">
        <f aca="false">AX509-AW509</f>
        <v>19.9</v>
      </c>
      <c r="AY565" s="48" t="n">
        <f aca="false">AY509-AX509</f>
        <v>18.9</v>
      </c>
      <c r="AZ565" s="159" t="n">
        <f aca="false">AZ509</f>
        <v>81.8</v>
      </c>
      <c r="BA565" s="48" t="n">
        <f aca="false">BA509</f>
        <v>22.7</v>
      </c>
      <c r="BB565" s="48" t="n">
        <f aca="false">BB509-BA509</f>
        <v>25.1</v>
      </c>
      <c r="BC565" s="48" t="n">
        <f aca="false">BC509-BB509</f>
        <v>25.7</v>
      </c>
      <c r="BD565" s="48" t="n">
        <f aca="false">BD509-BC509</f>
        <v>25.9</v>
      </c>
      <c r="BE565" s="159" t="n">
        <f aca="false">BE509</f>
        <v>99.4</v>
      </c>
      <c r="BF565" s="48" t="n">
        <f aca="false">BF509</f>
        <v>29.3</v>
      </c>
      <c r="BG565" s="48" t="n">
        <f aca="false">BG509-BF509</f>
        <v>31.2</v>
      </c>
      <c r="BH565" s="48" t="n">
        <f aca="false">BH509-BG509</f>
        <v>31.5</v>
      </c>
      <c r="BI565" s="48" t="n">
        <f aca="false">BI509-BH509</f>
        <v>32</v>
      </c>
      <c r="BJ565" s="159" t="n">
        <f aca="false">BJ509</f>
        <v>124</v>
      </c>
      <c r="BK565" s="48" t="n">
        <f aca="false">BK509</f>
        <v>38</v>
      </c>
      <c r="BL565" s="48" t="n">
        <f aca="false">BL509-BK509</f>
        <v>36.4</v>
      </c>
      <c r="BM565" s="48" t="n">
        <f aca="false">BM509-BL509</f>
        <v>35.3</v>
      </c>
      <c r="BN565" s="48" t="n">
        <f aca="false">BN509-BM509</f>
        <v>32.6</v>
      </c>
      <c r="BO565" s="160" t="n">
        <f aca="false">BO509</f>
        <v>142.3</v>
      </c>
      <c r="BP565" s="48"/>
      <c r="BQ565" s="48"/>
      <c r="BR565" s="48"/>
      <c r="BS565" s="48"/>
      <c r="BT565" s="159" t="n">
        <f aca="false">SUM(BP565,BQ565,BR565,BS565)</f>
        <v>0</v>
      </c>
      <c r="BU565" s="48"/>
      <c r="BV565" s="48"/>
      <c r="BW565" s="48"/>
      <c r="BX565" s="48"/>
      <c r="BY565" s="159" t="n">
        <f aca="false">SUM(BU565,BV565,BW565,BX565)</f>
        <v>0</v>
      </c>
      <c r="BZ565" s="159"/>
      <c r="CA565" s="159"/>
      <c r="CB565" s="159"/>
      <c r="CC565" s="50"/>
    </row>
    <row r="566" s="51" customFormat="true" ht="15" hidden="false" customHeight="true" outlineLevel="0" collapsed="false">
      <c r="A566" s="145" t="str">
        <f aca="false">A510</f>
        <v>Net proceeds from issuance of notes</v>
      </c>
      <c r="B566" s="254"/>
      <c r="C566" s="159" t="n">
        <f aca="false">C510</f>
        <v>0.032</v>
      </c>
      <c r="D566" s="159" t="n">
        <f aca="false">D510</f>
        <v>0</v>
      </c>
      <c r="E566" s="159" t="n">
        <f aca="false">E510</f>
        <v>0</v>
      </c>
      <c r="F566" s="159" t="n">
        <f aca="false">F510</f>
        <v>0</v>
      </c>
      <c r="G566" s="159" t="n">
        <f aca="false">G510</f>
        <v>740.445</v>
      </c>
      <c r="H566" s="48" t="n">
        <f aca="false">H510</f>
        <v>0</v>
      </c>
      <c r="I566" s="48" t="n">
        <f aca="false">I510-H510</f>
        <v>0</v>
      </c>
      <c r="J566" s="48" t="n">
        <f aca="false">J510-I510</f>
        <v>0</v>
      </c>
      <c r="K566" s="48" t="n">
        <f aca="false">K510-J510</f>
        <v>0</v>
      </c>
      <c r="L566" s="159" t="n">
        <f aca="false">L510</f>
        <v>0</v>
      </c>
      <c r="M566" s="48" t="n">
        <f aca="false">M510</f>
        <v>0</v>
      </c>
      <c r="N566" s="48" t="n">
        <f aca="false">N510-M510</f>
        <v>0</v>
      </c>
      <c r="O566" s="48" t="n">
        <f aca="false">O510-N510</f>
        <v>0</v>
      </c>
      <c r="P566" s="48" t="n">
        <f aca="false">P510-O510</f>
        <v>0</v>
      </c>
      <c r="Q566" s="159" t="n">
        <f aca="false">Q510</f>
        <v>0</v>
      </c>
      <c r="R566" s="48" t="n">
        <f aca="false">R510</f>
        <v>0</v>
      </c>
      <c r="S566" s="48" t="n">
        <f aca="false">S510-R510</f>
        <v>0</v>
      </c>
      <c r="T566" s="48" t="n">
        <f aca="false">T510-S510</f>
        <v>1484.7</v>
      </c>
      <c r="U566" s="48" t="n">
        <f aca="false">U510-T510</f>
        <v>745.9</v>
      </c>
      <c r="V566" s="159" t="n">
        <f aca="false">V510</f>
        <v>2230.6</v>
      </c>
      <c r="W566" s="48" t="n">
        <f aca="false">W510</f>
        <v>0</v>
      </c>
      <c r="X566" s="48" t="n">
        <f aca="false">X510-W510</f>
        <v>0</v>
      </c>
      <c r="Y566" s="48" t="n">
        <f aca="false">Y510-X510</f>
        <v>0</v>
      </c>
      <c r="Z566" s="48" t="n">
        <f aca="false">Z510-Y510</f>
        <v>0</v>
      </c>
      <c r="AA566" s="159" t="n">
        <f aca="false">AA510</f>
        <v>0</v>
      </c>
      <c r="AB566" s="48" t="n">
        <f aca="false">AB510</f>
        <v>0</v>
      </c>
      <c r="AC566" s="48" t="n">
        <f aca="false">AC510-AB510</f>
        <v>0</v>
      </c>
      <c r="AD566" s="48" t="n">
        <f aca="false">AD510-AC510</f>
        <v>0</v>
      </c>
      <c r="AE566" s="48" t="n">
        <f aca="false">AE510-AD510</f>
        <v>0</v>
      </c>
      <c r="AF566" s="159" t="n">
        <f aca="false">AF510</f>
        <v>0</v>
      </c>
      <c r="AG566" s="48" t="n">
        <f aca="false">AG510</f>
        <v>0</v>
      </c>
      <c r="AH566" s="48" t="n">
        <f aca="false">AH510-AG510</f>
        <v>0</v>
      </c>
      <c r="AI566" s="48" t="n">
        <f aca="false">AI510-AH510</f>
        <v>0</v>
      </c>
      <c r="AJ566" s="48" t="n">
        <f aca="false">AJ510-AI510</f>
        <v>0</v>
      </c>
      <c r="AK566" s="159" t="n">
        <f aca="false">AK510</f>
        <v>0</v>
      </c>
      <c r="AL566" s="48" t="n">
        <f aca="false">AL510</f>
        <v>739.8</v>
      </c>
      <c r="AM566" s="48" t="n">
        <f aca="false">AM510-AL510</f>
        <v>746.5</v>
      </c>
      <c r="AN566" s="48" t="n">
        <f aca="false">AN510-AM510</f>
        <v>0</v>
      </c>
      <c r="AO566" s="48" t="n">
        <f aca="false">AO510-AN510</f>
        <v>0</v>
      </c>
      <c r="AP566" s="159" t="n">
        <f aca="false">AP510</f>
        <v>1486.3</v>
      </c>
      <c r="AQ566" s="48" t="n">
        <f aca="false">AQ510</f>
        <v>0</v>
      </c>
      <c r="AR566" s="48" t="n">
        <f aca="false">AR510-AQ510</f>
        <v>0</v>
      </c>
      <c r="AS566" s="48" t="n">
        <f aca="false">AS510-AR510</f>
        <v>0</v>
      </c>
      <c r="AT566" s="48" t="n">
        <f aca="false">AT510-AS510</f>
        <v>0</v>
      </c>
      <c r="AU566" s="159" t="n">
        <f aca="false">AU510</f>
        <v>0</v>
      </c>
      <c r="AV566" s="48" t="n">
        <f aca="false">AV510</f>
        <v>0</v>
      </c>
      <c r="AW566" s="48" t="n">
        <f aca="false">AW510-AV510</f>
        <v>495.6</v>
      </c>
      <c r="AX566" s="48" t="n">
        <f aca="false">AX510-AW510</f>
        <v>0</v>
      </c>
      <c r="AY566" s="48" t="n">
        <f aca="false">AY510-AX510</f>
        <v>0</v>
      </c>
      <c r="AZ566" s="159" t="n">
        <f aca="false">AZ510</f>
        <v>495.6</v>
      </c>
      <c r="BA566" s="48" t="n">
        <f aca="false">BA510</f>
        <v>0</v>
      </c>
      <c r="BB566" s="48" t="n">
        <f aca="false">BB510-BA510</f>
        <v>997.8</v>
      </c>
      <c r="BC566" s="48" t="n">
        <f aca="false">BC510-BB510</f>
        <v>0</v>
      </c>
      <c r="BD566" s="48" t="n">
        <f aca="false">BD510-BC510</f>
        <v>0</v>
      </c>
      <c r="BE566" s="159" t="n">
        <f aca="false">BE510</f>
        <v>997.8</v>
      </c>
      <c r="BF566" s="48" t="n">
        <f aca="false">BF510</f>
        <v>0</v>
      </c>
      <c r="BG566" s="48" t="n">
        <f aca="false">BG510-BF510</f>
        <v>0</v>
      </c>
      <c r="BH566" s="48" t="n">
        <f aca="false">BH510-BG510</f>
        <v>0</v>
      </c>
      <c r="BI566" s="48" t="n">
        <f aca="false">BI510-BH510</f>
        <v>22.5</v>
      </c>
      <c r="BJ566" s="159" t="n">
        <f aca="false">BJ510</f>
        <v>22.5</v>
      </c>
      <c r="BK566" s="48" t="n">
        <f aca="false">BK510</f>
        <v>0</v>
      </c>
      <c r="BL566" s="48" t="n">
        <f aca="false">BL510-BK510</f>
        <v>0</v>
      </c>
      <c r="BM566" s="48" t="n">
        <f aca="false">BM510-BL510</f>
        <v>15</v>
      </c>
      <c r="BN566" s="48" t="n">
        <f aca="false">BN510-BM510</f>
        <v>739.2</v>
      </c>
      <c r="BO566" s="160" t="n">
        <f aca="false">BO510</f>
        <v>754.2</v>
      </c>
      <c r="BP566" s="48" t="n">
        <f aca="false">BP410</f>
        <v>0</v>
      </c>
      <c r="BQ566" s="48" t="n">
        <f aca="false">BQ410</f>
        <v>0</v>
      </c>
      <c r="BR566" s="48" t="n">
        <f aca="false">BR410</f>
        <v>0</v>
      </c>
      <c r="BS566" s="48" t="n">
        <f aca="false">BS410</f>
        <v>0</v>
      </c>
      <c r="BT566" s="159" t="n">
        <f aca="false">SUM(BP566,BQ566,BR566,BS566)</f>
        <v>0</v>
      </c>
      <c r="BU566" s="48" t="n">
        <f aca="false">BU410</f>
        <v>0</v>
      </c>
      <c r="BV566" s="48" t="n">
        <f aca="false">BV410</f>
        <v>0</v>
      </c>
      <c r="BW566" s="48" t="n">
        <f aca="false">BW410</f>
        <v>0</v>
      </c>
      <c r="BX566" s="48" t="n">
        <f aca="false">BX410</f>
        <v>0</v>
      </c>
      <c r="BY566" s="159" t="n">
        <f aca="false">SUM(BU566,BV566,BW566,BX566)</f>
        <v>0</v>
      </c>
      <c r="BZ566" s="159" t="n">
        <f aca="false">BZ410</f>
        <v>0</v>
      </c>
      <c r="CA566" s="159" t="n">
        <f aca="false">CA410</f>
        <v>0</v>
      </c>
      <c r="CB566" s="159" t="n">
        <f aca="false">CB410</f>
        <v>0</v>
      </c>
      <c r="CC566" s="50"/>
    </row>
    <row r="567" s="51" customFormat="true" ht="15" hidden="false" customHeight="true" outlineLevel="0" collapsed="false">
      <c r="A567" s="145" t="str">
        <f aca="false">A511</f>
        <v>Capital repayment</v>
      </c>
      <c r="B567" s="254"/>
      <c r="C567" s="159" t="n">
        <f aca="false">C511</f>
        <v>0</v>
      </c>
      <c r="D567" s="159" t="n">
        <f aca="false">D511</f>
        <v>0</v>
      </c>
      <c r="E567" s="159" t="n">
        <f aca="false">E511</f>
        <v>0</v>
      </c>
      <c r="F567" s="159" t="n">
        <f aca="false">F511</f>
        <v>-3728.324</v>
      </c>
      <c r="G567" s="159" t="n">
        <f aca="false">G511</f>
        <v>0</v>
      </c>
      <c r="H567" s="48" t="n">
        <f aca="false">H511</f>
        <v>0</v>
      </c>
      <c r="I567" s="48" t="n">
        <f aca="false">I511-H511</f>
        <v>0</v>
      </c>
      <c r="J567" s="48" t="n">
        <f aca="false">J511-I511</f>
        <v>0</v>
      </c>
      <c r="K567" s="48" t="n">
        <f aca="false">K511-J511</f>
        <v>0</v>
      </c>
      <c r="L567" s="159" t="n">
        <f aca="false">L511</f>
        <v>0</v>
      </c>
      <c r="M567" s="48" t="n">
        <f aca="false">M511</f>
        <v>0</v>
      </c>
      <c r="N567" s="48" t="n">
        <f aca="false">N511-M511</f>
        <v>0</v>
      </c>
      <c r="O567" s="48" t="n">
        <f aca="false">O511-N511</f>
        <v>0</v>
      </c>
      <c r="P567" s="48" t="n">
        <f aca="false">P511-O511</f>
        <v>0</v>
      </c>
      <c r="Q567" s="159" t="n">
        <f aca="false">Q511</f>
        <v>0</v>
      </c>
      <c r="R567" s="48" t="n">
        <f aca="false">R511</f>
        <v>0</v>
      </c>
      <c r="S567" s="48" t="n">
        <f aca="false">S511-R511</f>
        <v>0</v>
      </c>
      <c r="T567" s="48" t="n">
        <f aca="false">T511-S511</f>
        <v>0</v>
      </c>
      <c r="U567" s="48" t="n">
        <f aca="false">U511-T511</f>
        <v>0</v>
      </c>
      <c r="V567" s="159" t="n">
        <f aca="false">V511</f>
        <v>0</v>
      </c>
      <c r="W567" s="48" t="n">
        <f aca="false">W511</f>
        <v>0</v>
      </c>
      <c r="X567" s="48" t="n">
        <f aca="false">X511-W511</f>
        <v>0</v>
      </c>
      <c r="Y567" s="48" t="n">
        <f aca="false">Y511-X511</f>
        <v>0</v>
      </c>
      <c r="Z567" s="48" t="n">
        <f aca="false">Z511-Y511</f>
        <v>0</v>
      </c>
      <c r="AA567" s="159" t="n">
        <f aca="false">AA511</f>
        <v>0</v>
      </c>
      <c r="AB567" s="48" t="n">
        <f aca="false">AB511</f>
        <v>0</v>
      </c>
      <c r="AC567" s="48" t="n">
        <f aca="false">AC511-AB511</f>
        <v>0</v>
      </c>
      <c r="AD567" s="48" t="n">
        <f aca="false">AD511-AC511</f>
        <v>0</v>
      </c>
      <c r="AE567" s="48" t="n">
        <f aca="false">AE511-AD511</f>
        <v>0</v>
      </c>
      <c r="AF567" s="159" t="n">
        <f aca="false">AF511</f>
        <v>0</v>
      </c>
      <c r="AG567" s="48" t="n">
        <f aca="false">AG511</f>
        <v>0</v>
      </c>
      <c r="AH567" s="48" t="n">
        <f aca="false">AH511-AG511</f>
        <v>0</v>
      </c>
      <c r="AI567" s="48" t="n">
        <f aca="false">AI511-AH511</f>
        <v>0</v>
      </c>
      <c r="AJ567" s="48" t="n">
        <f aca="false">AJ511-AI511</f>
        <v>0</v>
      </c>
      <c r="AK567" s="159" t="n">
        <f aca="false">AK511</f>
        <v>0</v>
      </c>
      <c r="AL567" s="48" t="n">
        <f aca="false">AL511</f>
        <v>0</v>
      </c>
      <c r="AM567" s="48" t="n">
        <f aca="false">AM511-AL511</f>
        <v>0</v>
      </c>
      <c r="AN567" s="48" t="n">
        <f aca="false">AN511-AM511</f>
        <v>0</v>
      </c>
      <c r="AO567" s="48" t="n">
        <f aca="false">AO511-AN511</f>
        <v>0</v>
      </c>
      <c r="AP567" s="159" t="n">
        <f aca="false">AP511</f>
        <v>0</v>
      </c>
      <c r="AQ567" s="48" t="n">
        <f aca="false">AQ511</f>
        <v>0</v>
      </c>
      <c r="AR567" s="48" t="n">
        <f aca="false">AR511-AQ511</f>
        <v>0</v>
      </c>
      <c r="AS567" s="48" t="n">
        <f aca="false">AS511-AR511</f>
        <v>0</v>
      </c>
      <c r="AT567" s="48" t="n">
        <f aca="false">AT511-AS511</f>
        <v>0</v>
      </c>
      <c r="AU567" s="159" t="n">
        <f aca="false">AU511</f>
        <v>0</v>
      </c>
      <c r="AV567" s="48" t="n">
        <f aca="false">AV511</f>
        <v>0</v>
      </c>
      <c r="AW567" s="48" t="n">
        <f aca="false">AW511-AV511</f>
        <v>0</v>
      </c>
      <c r="AX567" s="48" t="n">
        <f aca="false">AX511-AW511</f>
        <v>0</v>
      </c>
      <c r="AY567" s="48" t="n">
        <f aca="false">AY511-AX511</f>
        <v>0</v>
      </c>
      <c r="AZ567" s="159" t="n">
        <f aca="false">AZ511</f>
        <v>0</v>
      </c>
      <c r="BA567" s="48" t="n">
        <f aca="false">BA511</f>
        <v>0</v>
      </c>
      <c r="BB567" s="48" t="n">
        <f aca="false">BB511-BA511</f>
        <v>0</v>
      </c>
      <c r="BC567" s="48" t="n">
        <f aca="false">BC511-BB511</f>
        <v>0</v>
      </c>
      <c r="BD567" s="48" t="n">
        <f aca="false">BD511-BC511</f>
        <v>0</v>
      </c>
      <c r="BE567" s="159" t="n">
        <f aca="false">BE511</f>
        <v>0</v>
      </c>
      <c r="BF567" s="48" t="n">
        <f aca="false">BF511</f>
        <v>0</v>
      </c>
      <c r="BG567" s="48" t="n">
        <f aca="false">BG511-BF511</f>
        <v>0</v>
      </c>
      <c r="BH567" s="48" t="n">
        <f aca="false">BH511-BG511</f>
        <v>0</v>
      </c>
      <c r="BI567" s="48" t="n">
        <f aca="false">BI511-BH511</f>
        <v>0</v>
      </c>
      <c r="BJ567" s="159" t="n">
        <f aca="false">BJ511</f>
        <v>0</v>
      </c>
      <c r="BK567" s="48" t="n">
        <f aca="false">BK511</f>
        <v>0</v>
      </c>
      <c r="BL567" s="48" t="n">
        <f aca="false">BL511-BK511</f>
        <v>0</v>
      </c>
      <c r="BM567" s="48" t="n">
        <f aca="false">BM511-BL511</f>
        <v>0</v>
      </c>
      <c r="BN567" s="48" t="n">
        <f aca="false">BN511-BM511</f>
        <v>0</v>
      </c>
      <c r="BO567" s="160" t="n">
        <f aca="false">BO511</f>
        <v>0</v>
      </c>
      <c r="BP567" s="48"/>
      <c r="BQ567" s="48"/>
      <c r="BR567" s="48"/>
      <c r="BS567" s="48"/>
      <c r="BT567" s="159" t="n">
        <f aca="false">SUM(BP567,BQ567,BR567,BS567)</f>
        <v>0</v>
      </c>
      <c r="BU567" s="48"/>
      <c r="BV567" s="48"/>
      <c r="BW567" s="48"/>
      <c r="BX567" s="48"/>
      <c r="BY567" s="159" t="n">
        <f aca="false">SUM(BU567,BV567,BW567,BX567)</f>
        <v>0</v>
      </c>
      <c r="BZ567" s="159"/>
      <c r="CA567" s="159"/>
      <c r="CB567" s="159"/>
      <c r="CC567" s="50"/>
    </row>
    <row r="568" s="51" customFormat="true" ht="15" hidden="false" customHeight="true" outlineLevel="0" collapsed="false">
      <c r="A568" s="145" t="str">
        <f aca="false">A512</f>
        <v>Repurchase of notes</v>
      </c>
      <c r="B568" s="254"/>
      <c r="C568" s="159" t="n">
        <f aca="false">C512</f>
        <v>0</v>
      </c>
      <c r="D568" s="159" t="n">
        <f aca="false">D512</f>
        <v>0</v>
      </c>
      <c r="E568" s="159" t="n">
        <f aca="false">E512</f>
        <v>0</v>
      </c>
      <c r="F568" s="262" t="n">
        <f aca="false">F512</f>
        <v>0</v>
      </c>
      <c r="G568" s="159" t="n">
        <f aca="false">G512</f>
        <v>-368.303</v>
      </c>
      <c r="H568" s="48" t="n">
        <f aca="false">H512</f>
        <v>0</v>
      </c>
      <c r="I568" s="48" t="n">
        <f aca="false">I512-H512</f>
        <v>0</v>
      </c>
      <c r="J568" s="48" t="n">
        <f aca="false">J512-I512</f>
        <v>0</v>
      </c>
      <c r="K568" s="48" t="n">
        <f aca="false">K512-J512</f>
        <v>0</v>
      </c>
      <c r="L568" s="159" t="n">
        <f aca="false">L512</f>
        <v>0</v>
      </c>
      <c r="M568" s="48" t="n">
        <f aca="false">M512</f>
        <v>0</v>
      </c>
      <c r="N568" s="48" t="n">
        <f aca="false">N512-M512</f>
        <v>0</v>
      </c>
      <c r="O568" s="48" t="n">
        <f aca="false">O512-N512</f>
        <v>0</v>
      </c>
      <c r="P568" s="48" t="n">
        <f aca="false">P512-O512</f>
        <v>0</v>
      </c>
      <c r="Q568" s="159" t="n">
        <f aca="false">Q512</f>
        <v>0</v>
      </c>
      <c r="R568" s="48" t="n">
        <f aca="false">R512</f>
        <v>0</v>
      </c>
      <c r="S568" s="48" t="n">
        <f aca="false">S512-R512</f>
        <v>0</v>
      </c>
      <c r="T568" s="48" t="n">
        <f aca="false">T512-S512</f>
        <v>0</v>
      </c>
      <c r="U568" s="48" t="n">
        <f aca="false">U512-T512</f>
        <v>0</v>
      </c>
      <c r="V568" s="159" t="n">
        <f aca="false">V512</f>
        <v>0</v>
      </c>
      <c r="W568" s="48" t="n">
        <f aca="false">W512</f>
        <v>0</v>
      </c>
      <c r="X568" s="48" t="n">
        <f aca="false">X512-W512</f>
        <v>0</v>
      </c>
      <c r="Y568" s="48" t="n">
        <f aca="false">Y512-X512</f>
        <v>0</v>
      </c>
      <c r="Z568" s="48" t="n">
        <f aca="false">Z512-Y512</f>
        <v>0</v>
      </c>
      <c r="AA568" s="159" t="n">
        <f aca="false">AA512</f>
        <v>0</v>
      </c>
      <c r="AB568" s="48" t="n">
        <f aca="false">AB512</f>
        <v>0</v>
      </c>
      <c r="AC568" s="48" t="n">
        <f aca="false">AC512-AB512</f>
        <v>0</v>
      </c>
      <c r="AD568" s="48" t="n">
        <f aca="false">AD512-AC512</f>
        <v>0</v>
      </c>
      <c r="AE568" s="48" t="n">
        <f aca="false">AE512-AD512</f>
        <v>0</v>
      </c>
      <c r="AF568" s="159" t="n">
        <f aca="false">AF512</f>
        <v>0</v>
      </c>
      <c r="AG568" s="48" t="n">
        <f aca="false">AG512</f>
        <v>0</v>
      </c>
      <c r="AH568" s="48" t="n">
        <f aca="false">AH512-AG512</f>
        <v>0</v>
      </c>
      <c r="AI568" s="48" t="n">
        <f aca="false">AI512-AH512</f>
        <v>0</v>
      </c>
      <c r="AJ568" s="48" t="n">
        <f aca="false">AJ512-AI512</f>
        <v>0</v>
      </c>
      <c r="AK568" s="159" t="n">
        <f aca="false">AK512</f>
        <v>0</v>
      </c>
      <c r="AL568" s="48" t="n">
        <f aca="false">AL512</f>
        <v>0</v>
      </c>
      <c r="AM568" s="48" t="n">
        <f aca="false">AM512-AL512</f>
        <v>0</v>
      </c>
      <c r="AN568" s="48" t="n">
        <f aca="false">AN512-AM512</f>
        <v>0</v>
      </c>
      <c r="AO568" s="48" t="n">
        <f aca="false">AO512-AN512</f>
        <v>0</v>
      </c>
      <c r="AP568" s="159" t="n">
        <f aca="false">AP512</f>
        <v>0</v>
      </c>
      <c r="AQ568" s="48" t="n">
        <f aca="false">AQ512</f>
        <v>0</v>
      </c>
      <c r="AR568" s="48" t="n">
        <f aca="false">AR512-AQ512</f>
        <v>0</v>
      </c>
      <c r="AS568" s="48" t="n">
        <f aca="false">AS512-AR512</f>
        <v>0</v>
      </c>
      <c r="AT568" s="48" t="n">
        <f aca="false">AT512-AS512</f>
        <v>0</v>
      </c>
      <c r="AU568" s="159" t="n">
        <f aca="false">AU512</f>
        <v>0</v>
      </c>
      <c r="AV568" s="48" t="n">
        <f aca="false">AV512</f>
        <v>0</v>
      </c>
      <c r="AW568" s="48" t="n">
        <f aca="false">AW512-AV512</f>
        <v>0</v>
      </c>
      <c r="AX568" s="48" t="n">
        <f aca="false">AX512-AW512</f>
        <v>0</v>
      </c>
      <c r="AY568" s="48" t="n">
        <f aca="false">AY512-AX512</f>
        <v>0</v>
      </c>
      <c r="AZ568" s="159" t="n">
        <f aca="false">AZ512</f>
        <v>0</v>
      </c>
      <c r="BA568" s="48" t="n">
        <f aca="false">BA512</f>
        <v>0</v>
      </c>
      <c r="BB568" s="48" t="n">
        <f aca="false">BB512-BA512</f>
        <v>0</v>
      </c>
      <c r="BC568" s="48" t="n">
        <f aca="false">BC512-BB512</f>
        <v>0</v>
      </c>
      <c r="BD568" s="48" t="n">
        <f aca="false">BD512-BC512</f>
        <v>0</v>
      </c>
      <c r="BE568" s="159" t="n">
        <f aca="false">BE512</f>
        <v>0</v>
      </c>
      <c r="BF568" s="48" t="n">
        <f aca="false">BF512</f>
        <v>0</v>
      </c>
      <c r="BG568" s="48" t="n">
        <f aca="false">BG512-BF512</f>
        <v>0</v>
      </c>
      <c r="BH568" s="48" t="n">
        <f aca="false">BH512-BG512</f>
        <v>0</v>
      </c>
      <c r="BI568" s="48" t="n">
        <f aca="false">BI512-BH512</f>
        <v>0</v>
      </c>
      <c r="BJ568" s="159" t="n">
        <f aca="false">BJ512</f>
        <v>0</v>
      </c>
      <c r="BK568" s="48" t="n">
        <f aca="false">BK512</f>
        <v>0</v>
      </c>
      <c r="BL568" s="48" t="n">
        <f aca="false">BL512-BK512</f>
        <v>0</v>
      </c>
      <c r="BM568" s="48" t="n">
        <f aca="false">BM512-BL512</f>
        <v>0</v>
      </c>
      <c r="BN568" s="48" t="n">
        <f aca="false">BN512-BM512</f>
        <v>0</v>
      </c>
      <c r="BO568" s="160" t="n">
        <f aca="false">BO512</f>
        <v>0</v>
      </c>
      <c r="BP568" s="48"/>
      <c r="BQ568" s="48"/>
      <c r="BR568" s="48"/>
      <c r="BS568" s="48"/>
      <c r="BT568" s="159" t="n">
        <f aca="false">SUM(BP568,BQ568,BR568,BS568)</f>
        <v>0</v>
      </c>
      <c r="BU568" s="48"/>
      <c r="BV568" s="48"/>
      <c r="BW568" s="48"/>
      <c r="BX568" s="48"/>
      <c r="BY568" s="159" t="n">
        <f aca="false">SUM(BU568,BV568,BW568,BX568)</f>
        <v>0</v>
      </c>
      <c r="BZ568" s="159"/>
      <c r="CA568" s="159"/>
      <c r="CB568" s="159"/>
      <c r="CC568" s="50"/>
    </row>
    <row r="569" s="51" customFormat="true" ht="15" hidden="false" customHeight="true" outlineLevel="0" collapsed="false">
      <c r="A569" s="145" t="str">
        <f aca="false">A513</f>
        <v>Deposits from customers</v>
      </c>
      <c r="B569" s="254"/>
      <c r="C569" s="159" t="n">
        <f aca="false">C513</f>
        <v>0</v>
      </c>
      <c r="D569" s="159" t="n">
        <f aca="false">D513</f>
        <v>150</v>
      </c>
      <c r="E569" s="159" t="n">
        <f aca="false">E513</f>
        <v>-150</v>
      </c>
      <c r="F569" s="159" t="n">
        <f aca="false">F513</f>
        <v>0</v>
      </c>
      <c r="G569" s="159" t="n">
        <f aca="false">G513</f>
        <v>0</v>
      </c>
      <c r="H569" s="48" t="n">
        <f aca="false">H513</f>
        <v>0</v>
      </c>
      <c r="I569" s="48" t="n">
        <f aca="false">I513-H513</f>
        <v>0</v>
      </c>
      <c r="J569" s="48" t="n">
        <f aca="false">J513-I513</f>
        <v>0</v>
      </c>
      <c r="K569" s="48" t="n">
        <f aca="false">K513-J513</f>
        <v>0</v>
      </c>
      <c r="L569" s="159" t="n">
        <f aca="false">L513</f>
        <v>0</v>
      </c>
      <c r="M569" s="48" t="n">
        <f aca="false">M513</f>
        <v>0</v>
      </c>
      <c r="N569" s="48" t="n">
        <f aca="false">N513-M513</f>
        <v>0</v>
      </c>
      <c r="O569" s="48" t="n">
        <f aca="false">O513-N513</f>
        <v>0</v>
      </c>
      <c r="P569" s="48" t="n">
        <f aca="false">P513-O513</f>
        <v>0</v>
      </c>
      <c r="Q569" s="159" t="n">
        <f aca="false">Q513</f>
        <v>0</v>
      </c>
      <c r="R569" s="48" t="n">
        <f aca="false">R513</f>
        <v>0</v>
      </c>
      <c r="S569" s="48" t="n">
        <f aca="false">S513-R513</f>
        <v>0</v>
      </c>
      <c r="T569" s="48" t="n">
        <f aca="false">T513-S513</f>
        <v>0</v>
      </c>
      <c r="U569" s="48" t="n">
        <f aca="false">U513-T513</f>
        <v>0</v>
      </c>
      <c r="V569" s="159" t="n">
        <f aca="false">V513</f>
        <v>0</v>
      </c>
      <c r="W569" s="48" t="n">
        <f aca="false">W513</f>
        <v>0</v>
      </c>
      <c r="X569" s="48" t="n">
        <f aca="false">X513-W513</f>
        <v>0</v>
      </c>
      <c r="Y569" s="48" t="n">
        <f aca="false">Y513-X513</f>
        <v>0</v>
      </c>
      <c r="Z569" s="48" t="n">
        <f aca="false">Z513-Y513</f>
        <v>0</v>
      </c>
      <c r="AA569" s="159" t="n">
        <f aca="false">AA513</f>
        <v>0</v>
      </c>
      <c r="AB569" s="48" t="n">
        <f aca="false">AB513</f>
        <v>0</v>
      </c>
      <c r="AC569" s="48" t="n">
        <f aca="false">AC513-AB513</f>
        <v>0</v>
      </c>
      <c r="AD569" s="48" t="n">
        <f aca="false">AD513-AC513</f>
        <v>0</v>
      </c>
      <c r="AE569" s="48" t="n">
        <f aca="false">AE513-AD513</f>
        <v>0</v>
      </c>
      <c r="AF569" s="159" t="n">
        <f aca="false">AF513</f>
        <v>0</v>
      </c>
      <c r="AG569" s="48" t="n">
        <f aca="false">AG513</f>
        <v>0</v>
      </c>
      <c r="AH569" s="48" t="n">
        <f aca="false">AH513-AG513</f>
        <v>0</v>
      </c>
      <c r="AI569" s="48" t="n">
        <f aca="false">AI513-AH513</f>
        <v>0</v>
      </c>
      <c r="AJ569" s="48" t="n">
        <f aca="false">AJ513-AI513</f>
        <v>0</v>
      </c>
      <c r="AK569" s="159" t="n">
        <f aca="false">AK513</f>
        <v>0</v>
      </c>
      <c r="AL569" s="48" t="n">
        <f aca="false">AL513</f>
        <v>0</v>
      </c>
      <c r="AM569" s="48" t="n">
        <f aca="false">AM513-AL513</f>
        <v>0</v>
      </c>
      <c r="AN569" s="48" t="n">
        <f aca="false">AN513-AM513</f>
        <v>0</v>
      </c>
      <c r="AO569" s="48" t="n">
        <f aca="false">AO513-AN513</f>
        <v>0</v>
      </c>
      <c r="AP569" s="159" t="n">
        <f aca="false">AP513</f>
        <v>0</v>
      </c>
      <c r="AQ569" s="48" t="n">
        <f aca="false">AQ513</f>
        <v>0</v>
      </c>
      <c r="AR569" s="48" t="n">
        <f aca="false">AR513-AQ513</f>
        <v>0</v>
      </c>
      <c r="AS569" s="48" t="n">
        <f aca="false">AS513-AR513</f>
        <v>0</v>
      </c>
      <c r="AT569" s="48" t="n">
        <f aca="false">AT513-AS513</f>
        <v>0</v>
      </c>
      <c r="AU569" s="159" t="n">
        <f aca="false">AU513</f>
        <v>0</v>
      </c>
      <c r="AV569" s="48" t="n">
        <f aca="false">AV513</f>
        <v>0</v>
      </c>
      <c r="AW569" s="48" t="n">
        <f aca="false">AW513-AV513</f>
        <v>0</v>
      </c>
      <c r="AX569" s="48" t="n">
        <f aca="false">AX513-AW513</f>
        <v>0</v>
      </c>
      <c r="AY569" s="48" t="n">
        <f aca="false">AY513-AX513</f>
        <v>0</v>
      </c>
      <c r="AZ569" s="159" t="n">
        <f aca="false">AZ513</f>
        <v>0</v>
      </c>
      <c r="BA569" s="48" t="n">
        <f aca="false">BA513</f>
        <v>0</v>
      </c>
      <c r="BB569" s="48" t="n">
        <f aca="false">BB513-BA513</f>
        <v>0</v>
      </c>
      <c r="BC569" s="48" t="n">
        <f aca="false">BC513-BB513</f>
        <v>0</v>
      </c>
      <c r="BD569" s="48" t="n">
        <f aca="false">BD513-BC513</f>
        <v>0</v>
      </c>
      <c r="BE569" s="159" t="n">
        <f aca="false">BE513</f>
        <v>0</v>
      </c>
      <c r="BF569" s="48" t="n">
        <f aca="false">BF513</f>
        <v>0</v>
      </c>
      <c r="BG569" s="48" t="n">
        <f aca="false">BG513-BF513</f>
        <v>0</v>
      </c>
      <c r="BH569" s="48" t="n">
        <f aca="false">BH513-BG513</f>
        <v>0</v>
      </c>
      <c r="BI569" s="48" t="n">
        <f aca="false">BI513-BH513</f>
        <v>0</v>
      </c>
      <c r="BJ569" s="159" t="n">
        <f aca="false">BJ513</f>
        <v>0</v>
      </c>
      <c r="BK569" s="48" t="n">
        <f aca="false">BK513</f>
        <v>0</v>
      </c>
      <c r="BL569" s="48" t="n">
        <f aca="false">BL513-BK513</f>
        <v>0</v>
      </c>
      <c r="BM569" s="48" t="n">
        <f aca="false">BM513-BL513</f>
        <v>0</v>
      </c>
      <c r="BN569" s="48" t="n">
        <f aca="false">BN513-BM513</f>
        <v>0</v>
      </c>
      <c r="BO569" s="160" t="n">
        <f aca="false">BO513</f>
        <v>0</v>
      </c>
      <c r="BP569" s="48"/>
      <c r="BQ569" s="48"/>
      <c r="BR569" s="48"/>
      <c r="BS569" s="48"/>
      <c r="BT569" s="159" t="n">
        <f aca="false">SUM(BP569,BQ569,BR569,BS569)</f>
        <v>0</v>
      </c>
      <c r="BU569" s="48"/>
      <c r="BV569" s="48"/>
      <c r="BW569" s="48"/>
      <c r="BX569" s="48"/>
      <c r="BY569" s="159" t="n">
        <f aca="false">SUM(BU569,BV569,BW569,BX569)</f>
        <v>0</v>
      </c>
      <c r="BZ569" s="159"/>
      <c r="CA569" s="159"/>
      <c r="CB569" s="159"/>
      <c r="CC569" s="50"/>
    </row>
    <row r="570" s="51" customFormat="true" ht="15" hidden="false" customHeight="true" outlineLevel="0" collapsed="false">
      <c r="A570" s="145" t="str">
        <f aca="false">A514</f>
        <v>Repayment of debt</v>
      </c>
      <c r="B570" s="254"/>
      <c r="C570" s="159" t="n">
        <f aca="false">C514</f>
        <v>-1.447</v>
      </c>
      <c r="D570" s="159" t="n">
        <f aca="false">D514</f>
        <v>-1.444</v>
      </c>
      <c r="E570" s="159" t="n">
        <f aca="false">E514</f>
        <v>-2.537</v>
      </c>
      <c r="F570" s="159" t="n">
        <f aca="false">F514</f>
        <v>-2.776</v>
      </c>
      <c r="G570" s="159" t="n">
        <f aca="false">G514</f>
        <v>-4.1</v>
      </c>
      <c r="H570" s="48" t="n">
        <f aca="false">H514</f>
        <v>-1.1</v>
      </c>
      <c r="I570" s="48" t="n">
        <f aca="false">I514-H514</f>
        <v>-1</v>
      </c>
      <c r="J570" s="48" t="n">
        <f aca="false">J514-I514</f>
        <v>-1.2</v>
      </c>
      <c r="K570" s="48" t="n">
        <f aca="false">K514-J514</f>
        <v>-0.828</v>
      </c>
      <c r="L570" s="159" t="n">
        <f aca="false">L514</f>
        <v>-4.128</v>
      </c>
      <c r="M570" s="48" t="n">
        <f aca="false">M514</f>
        <v>-0.8</v>
      </c>
      <c r="N570" s="48" t="n">
        <f aca="false">N514-M514</f>
        <v>-0.7</v>
      </c>
      <c r="O570" s="48" t="n">
        <f aca="false">O514-N514</f>
        <v>-1</v>
      </c>
      <c r="P570" s="48" t="n">
        <f aca="false">P514-O514</f>
        <v>-1.139</v>
      </c>
      <c r="Q570" s="159" t="n">
        <f aca="false">Q514</f>
        <v>-3.639</v>
      </c>
      <c r="R570" s="48" t="n">
        <f aca="false">R514</f>
        <v>-1.2</v>
      </c>
      <c r="S570" s="48" t="n">
        <f aca="false">S514-R514</f>
        <v>-1.2</v>
      </c>
      <c r="T570" s="48" t="n">
        <f aca="false">T514-S514</f>
        <v>-1.1</v>
      </c>
      <c r="U570" s="48" t="n">
        <f aca="false">U514-T514</f>
        <v>-1.2</v>
      </c>
      <c r="V570" s="159" t="n">
        <f aca="false">V514</f>
        <v>-4.7</v>
      </c>
      <c r="W570" s="48" t="n">
        <f aca="false">W514</f>
        <v>-1.2</v>
      </c>
      <c r="X570" s="48" t="n">
        <f aca="false">X514-W514</f>
        <v>-239.5</v>
      </c>
      <c r="Y570" s="48" t="n">
        <f aca="false">Y514-X514</f>
        <v>-1.20000000000002</v>
      </c>
      <c r="Z570" s="48" t="n">
        <f aca="false">Z514-Y514</f>
        <v>-1.09999999999999</v>
      </c>
      <c r="AA570" s="159" t="n">
        <f aca="false">AA514</f>
        <v>-243</v>
      </c>
      <c r="AB570" s="48" t="n">
        <f aca="false">AB514</f>
        <v>-0.3</v>
      </c>
      <c r="AC570" s="48" t="n">
        <f aca="false">AC514-AB514</f>
        <v>-1.3</v>
      </c>
      <c r="AD570" s="48" t="n">
        <f aca="false">AD514-AC514</f>
        <v>-0.2</v>
      </c>
      <c r="AE570" s="48" t="n">
        <f aca="false">AE514-AD514</f>
        <v>-1</v>
      </c>
      <c r="AF570" s="159" t="n">
        <f aca="false">AF514</f>
        <v>-2.8</v>
      </c>
      <c r="AG570" s="48" t="n">
        <f aca="false">AG514</f>
        <v>-0.7</v>
      </c>
      <c r="AH570" s="48" t="n">
        <f aca="false">AH514-AG514</f>
        <v>-1.2</v>
      </c>
      <c r="AI570" s="48" t="n">
        <f aca="false">AI514-AH514</f>
        <v>-1</v>
      </c>
      <c r="AJ570" s="48" t="n">
        <f aca="false">AJ514-AI514</f>
        <v>-0.9</v>
      </c>
      <c r="AK570" s="159" t="n">
        <f aca="false">AK514</f>
        <v>-3.8</v>
      </c>
      <c r="AL570" s="48" t="n">
        <f aca="false">AL514</f>
        <v>-0.9</v>
      </c>
      <c r="AM570" s="48" t="n">
        <f aca="false">AM514-AL514</f>
        <v>-0.8</v>
      </c>
      <c r="AN570" s="48" t="n">
        <f aca="false">AN514-AM514</f>
        <v>-0.9</v>
      </c>
      <c r="AO570" s="48" t="n">
        <f aca="false">AO514-AN514</f>
        <v>-0.7</v>
      </c>
      <c r="AP570" s="159" t="n">
        <f aca="false">AP514</f>
        <v>-3.3</v>
      </c>
      <c r="AQ570" s="48" t="n">
        <f aca="false">AQ514</f>
        <v>-3.6</v>
      </c>
      <c r="AR570" s="48" t="n">
        <f aca="false">AR514-AQ514</f>
        <v>-3.2</v>
      </c>
      <c r="AS570" s="48" t="n">
        <f aca="false">AS514-AR514</f>
        <v>-2.6</v>
      </c>
      <c r="AT570" s="48" t="n">
        <f aca="false">AT514-AS514</f>
        <v>-2.6</v>
      </c>
      <c r="AU570" s="159" t="n">
        <f aca="false">AU514</f>
        <v>-12</v>
      </c>
      <c r="AV570" s="48" t="n">
        <f aca="false">AV514</f>
        <v>-13.5</v>
      </c>
      <c r="AW570" s="48" t="n">
        <f aca="false">AW514-AV514</f>
        <v>-500.7</v>
      </c>
      <c r="AX570" s="48" t="n">
        <f aca="false">AX514-AW514</f>
        <v>-1.19999999999993</v>
      </c>
      <c r="AY570" s="48" t="n">
        <f aca="false">AY514-AX514</f>
        <v>-0.800000000000068</v>
      </c>
      <c r="AZ570" s="159" t="n">
        <f aca="false">AZ514</f>
        <v>-516.2</v>
      </c>
      <c r="BA570" s="48" t="n">
        <f aca="false">BA514</f>
        <v>-1.5</v>
      </c>
      <c r="BB570" s="48" t="n">
        <f aca="false">BB514-BA514</f>
        <v>-0.7</v>
      </c>
      <c r="BC570" s="48" t="n">
        <f aca="false">BC514-BB514</f>
        <v>-750.4</v>
      </c>
      <c r="BD570" s="48" t="n">
        <f aca="false">BD514-BC514</f>
        <v>-0.199999999999932</v>
      </c>
      <c r="BE570" s="159" t="n">
        <f aca="false">BE514</f>
        <v>-752.8</v>
      </c>
      <c r="BF570" s="48" t="n">
        <f aca="false">BF514</f>
        <v>-0.6</v>
      </c>
      <c r="BG570" s="48" t="n">
        <f aca="false">BG514-BF514</f>
        <v>-0.3</v>
      </c>
      <c r="BH570" s="48" t="n">
        <f aca="false">BH514-BG514</f>
        <v>-0.7</v>
      </c>
      <c r="BI570" s="48" t="n">
        <f aca="false">BI514-BH514</f>
        <v>-24.1</v>
      </c>
      <c r="BJ570" s="159" t="n">
        <f aca="false">BJ514</f>
        <v>-25.7</v>
      </c>
      <c r="BK570" s="48" t="n">
        <f aca="false">BK514</f>
        <v>0.4</v>
      </c>
      <c r="BL570" s="48" t="n">
        <f aca="false">BL514-BK514</f>
        <v>-0.6</v>
      </c>
      <c r="BM570" s="48" t="n">
        <f aca="false">BM514-BL514</f>
        <v>-0.5</v>
      </c>
      <c r="BN570" s="48" t="n">
        <f aca="false">BN514-BM514</f>
        <v>-1066</v>
      </c>
      <c r="BO570" s="160" t="n">
        <f aca="false">BO514</f>
        <v>-1066.7</v>
      </c>
      <c r="BP570" s="48"/>
      <c r="BQ570" s="48"/>
      <c r="BR570" s="48"/>
      <c r="BS570" s="48"/>
      <c r="BT570" s="159" t="n">
        <f aca="false">SUM(BP570,BQ570,BR570,BS570)</f>
        <v>0</v>
      </c>
      <c r="BU570" s="48"/>
      <c r="BV570" s="48"/>
      <c r="BW570" s="48"/>
      <c r="BX570" s="48"/>
      <c r="BY570" s="159" t="n">
        <f aca="false">SUM(BU570,BV570,BW570,BX570)</f>
        <v>0</v>
      </c>
      <c r="BZ570" s="159"/>
      <c r="CA570" s="159"/>
      <c r="CB570" s="159"/>
      <c r="CC570" s="50"/>
    </row>
    <row r="571" s="51" customFormat="true" ht="15" hidden="false" customHeight="true" outlineLevel="0" collapsed="false">
      <c r="A571" s="251" t="str">
        <f aca="false">A515</f>
        <v>Tax benefit (deficit) from share-based payments</v>
      </c>
      <c r="B571" s="257"/>
      <c r="C571" s="261" t="n">
        <f aca="false">C515</f>
        <v>1.954</v>
      </c>
      <c r="D571" s="261" t="n">
        <f aca="false">D515</f>
        <v>0.106</v>
      </c>
      <c r="E571" s="261" t="n">
        <f aca="false">E515</f>
        <v>-0.011</v>
      </c>
      <c r="F571" s="261" t="n">
        <f aca="false">F515</f>
        <v>2.116</v>
      </c>
      <c r="G571" s="261" t="n">
        <f aca="false">G515</f>
        <v>3.11</v>
      </c>
      <c r="H571" s="259" t="n">
        <f aca="false">H515</f>
        <v>0</v>
      </c>
      <c r="I571" s="259" t="n">
        <f aca="false">I515-H515</f>
        <v>1.9</v>
      </c>
      <c r="J571" s="259" t="n">
        <f aca="false">J515-I515</f>
        <v>0.9</v>
      </c>
      <c r="K571" s="259" t="n">
        <f aca="false">K515-J515</f>
        <v>1.172</v>
      </c>
      <c r="L571" s="261" t="n">
        <f aca="false">L515</f>
        <v>3.972</v>
      </c>
      <c r="M571" s="259" t="n">
        <f aca="false">M515</f>
        <v>1.8</v>
      </c>
      <c r="N571" s="259" t="n">
        <f aca="false">N515-M515</f>
        <v>0.6</v>
      </c>
      <c r="O571" s="259" t="n">
        <f aca="false">O515-N515</f>
        <v>0.5</v>
      </c>
      <c r="P571" s="259" t="n">
        <f aca="false">P515-O515</f>
        <v>0.76</v>
      </c>
      <c r="Q571" s="261" t="n">
        <f aca="false">Q515</f>
        <v>3.66</v>
      </c>
      <c r="R571" s="259" t="n">
        <f aca="false">R515</f>
        <v>0</v>
      </c>
      <c r="S571" s="259" t="n">
        <f aca="false">S515-R515</f>
        <v>0.1</v>
      </c>
      <c r="T571" s="259" t="n">
        <f aca="false">T515-S515</f>
        <v>0.5</v>
      </c>
      <c r="U571" s="259" t="n">
        <f aca="false">U515-T515</f>
        <v>0.3</v>
      </c>
      <c r="V571" s="261" t="n">
        <f aca="false">V515</f>
        <v>0.9</v>
      </c>
      <c r="W571" s="259" t="n">
        <f aca="false">W515</f>
        <v>0</v>
      </c>
      <c r="X571" s="259" t="n">
        <f aca="false">X515-W515</f>
        <v>0</v>
      </c>
      <c r="Y571" s="259" t="n">
        <f aca="false">Y515-X515</f>
        <v>0</v>
      </c>
      <c r="Z571" s="259" t="n">
        <f aca="false">Z515-Y515</f>
        <v>0</v>
      </c>
      <c r="AA571" s="261" t="n">
        <f aca="false">AA515</f>
        <v>0</v>
      </c>
      <c r="AB571" s="259" t="n">
        <f aca="false">AB515</f>
        <v>0</v>
      </c>
      <c r="AC571" s="259" t="n">
        <f aca="false">AC515-AB515</f>
        <v>0</v>
      </c>
      <c r="AD571" s="259" t="n">
        <f aca="false">AD515-AC515</f>
        <v>0</v>
      </c>
      <c r="AE571" s="259" t="n">
        <f aca="false">AE515-AD515</f>
        <v>0</v>
      </c>
      <c r="AF571" s="261" t="n">
        <f aca="false">AF515</f>
        <v>0</v>
      </c>
      <c r="AG571" s="259" t="n">
        <f aca="false">AG515</f>
        <v>0</v>
      </c>
      <c r="AH571" s="259" t="n">
        <f aca="false">AH515-AG515</f>
        <v>0</v>
      </c>
      <c r="AI571" s="259" t="n">
        <f aca="false">AI515-AH515</f>
        <v>0</v>
      </c>
      <c r="AJ571" s="259" t="n">
        <f aca="false">AJ515-AI515</f>
        <v>0</v>
      </c>
      <c r="AK571" s="261" t="n">
        <f aca="false">AK515</f>
        <v>0</v>
      </c>
      <c r="AL571" s="259" t="n">
        <f aca="false">AL515</f>
        <v>0</v>
      </c>
      <c r="AM571" s="259" t="n">
        <f aca="false">AM515-AL515</f>
        <v>0</v>
      </c>
      <c r="AN571" s="259" t="n">
        <f aca="false">AN515-AM515</f>
        <v>0</v>
      </c>
      <c r="AO571" s="259" t="n">
        <f aca="false">AO515-AN515</f>
        <v>0</v>
      </c>
      <c r="AP571" s="261" t="n">
        <f aca="false">AP515</f>
        <v>0</v>
      </c>
      <c r="AQ571" s="259" t="n">
        <f aca="false">AQ515</f>
        <v>0</v>
      </c>
      <c r="AR571" s="259" t="n">
        <f aca="false">AR515-AQ515</f>
        <v>0</v>
      </c>
      <c r="AS571" s="259" t="n">
        <f aca="false">AS515-AR515</f>
        <v>0</v>
      </c>
      <c r="AT571" s="259" t="n">
        <f aca="false">AT515-AS515</f>
        <v>0</v>
      </c>
      <c r="AU571" s="261" t="n">
        <f aca="false">AU515</f>
        <v>0</v>
      </c>
      <c r="AV571" s="259" t="n">
        <f aca="false">AV515</f>
        <v>0</v>
      </c>
      <c r="AW571" s="259" t="n">
        <f aca="false">AW515-AV515</f>
        <v>0</v>
      </c>
      <c r="AX571" s="259" t="n">
        <f aca="false">AX515-AW515</f>
        <v>0</v>
      </c>
      <c r="AY571" s="259" t="n">
        <f aca="false">AY515-AX515</f>
        <v>0</v>
      </c>
      <c r="AZ571" s="261" t="n">
        <f aca="false">AZ515</f>
        <v>0</v>
      </c>
      <c r="BA571" s="259" t="n">
        <f aca="false">BA515</f>
        <v>0</v>
      </c>
      <c r="BB571" s="259" t="n">
        <f aca="false">BB515-BA515</f>
        <v>0</v>
      </c>
      <c r="BC571" s="259" t="n">
        <f aca="false">BC515-BB515</f>
        <v>0</v>
      </c>
      <c r="BD571" s="259" t="n">
        <f aca="false">BD515-BC515</f>
        <v>0</v>
      </c>
      <c r="BE571" s="261" t="n">
        <f aca="false">BE515</f>
        <v>0</v>
      </c>
      <c r="BF571" s="259" t="n">
        <f aca="false">BF515</f>
        <v>0</v>
      </c>
      <c r="BG571" s="259" t="n">
        <f aca="false">BG515-BF515</f>
        <v>0</v>
      </c>
      <c r="BH571" s="259" t="n">
        <f aca="false">BH515-BG515</f>
        <v>0</v>
      </c>
      <c r="BI571" s="259" t="n">
        <f aca="false">BI515-BH515</f>
        <v>0</v>
      </c>
      <c r="BJ571" s="261" t="n">
        <f aca="false">BJ515</f>
        <v>0</v>
      </c>
      <c r="BK571" s="259" t="n">
        <f aca="false">BK515</f>
        <v>0</v>
      </c>
      <c r="BL571" s="259" t="n">
        <f aca="false">BL515-BK515</f>
        <v>0</v>
      </c>
      <c r="BM571" s="259" t="n">
        <f aca="false">BM515-BL515</f>
        <v>0</v>
      </c>
      <c r="BN571" s="259" t="n">
        <f aca="false">BN515-BM515</f>
        <v>0</v>
      </c>
      <c r="BO571" s="260" t="n">
        <f aca="false">BO515</f>
        <v>0</v>
      </c>
      <c r="BP571" s="259"/>
      <c r="BQ571" s="259"/>
      <c r="BR571" s="259"/>
      <c r="BS571" s="259"/>
      <c r="BT571" s="261" t="n">
        <f aca="false">SUM(BP571,BQ571,BR571,BS571)</f>
        <v>0</v>
      </c>
      <c r="BU571" s="259"/>
      <c r="BV571" s="259"/>
      <c r="BW571" s="259"/>
      <c r="BX571" s="259"/>
      <c r="BY571" s="261" t="n">
        <f aca="false">SUM(BU571,BV571,BW571,BX571)</f>
        <v>0</v>
      </c>
      <c r="BZ571" s="261"/>
      <c r="CA571" s="261"/>
      <c r="CB571" s="261"/>
      <c r="CC571" s="50"/>
    </row>
    <row r="572" s="157" customFormat="true" ht="15" hidden="false" customHeight="true" outlineLevel="0" collapsed="false">
      <c r="A572" s="151" t="str">
        <f aca="false">A516</f>
        <v>Net CFF</v>
      </c>
      <c r="B572" s="393"/>
      <c r="C572" s="162" t="n">
        <f aca="false">SUM(C563:C571)</f>
        <v>-74.874</v>
      </c>
      <c r="D572" s="162" t="n">
        <f aca="false">SUM(D563:D571)</f>
        <v>92.702</v>
      </c>
      <c r="E572" s="162" t="n">
        <f aca="false">SUM(E563:E571)</f>
        <v>-991.561</v>
      </c>
      <c r="F572" s="162" t="n">
        <f aca="false">SUM(F563:F571)</f>
        <v>-545.583</v>
      </c>
      <c r="G572" s="162" t="n">
        <f aca="false">SUM(G563:G571)</f>
        <v>-113.111</v>
      </c>
      <c r="H572" s="163" t="n">
        <f aca="false">SUM(H563:H571)</f>
        <v>-140.6</v>
      </c>
      <c r="I572" s="163" t="n">
        <f aca="false">SUM(I563:I571)</f>
        <v>-413.9</v>
      </c>
      <c r="J572" s="163" t="n">
        <f aca="false">SUM(J563:J571)</f>
        <v>-160.8</v>
      </c>
      <c r="K572" s="163" t="n">
        <f aca="false">SUM(K563:K571)</f>
        <v>-213.139</v>
      </c>
      <c r="L572" s="162" t="n">
        <f aca="false">SUM(L563:L571)</f>
        <v>-928.439</v>
      </c>
      <c r="M572" s="163" t="n">
        <f aca="false">SUM(M563:M571)</f>
        <v>-111.7</v>
      </c>
      <c r="N572" s="163" t="n">
        <f aca="false">SUM(N563:N571)</f>
        <v>-457.9</v>
      </c>
      <c r="O572" s="163" t="n">
        <f aca="false">SUM(O563:O571)</f>
        <v>-133</v>
      </c>
      <c r="P572" s="163" t="n">
        <f aca="false">SUM(P563:P571)</f>
        <v>-131.346</v>
      </c>
      <c r="Q572" s="162" t="n">
        <f aca="false">SUM(Q563:Q571)</f>
        <v>-833.946</v>
      </c>
      <c r="R572" s="163" t="n">
        <f aca="false">SUM(R563:R571)</f>
        <v>-204.1</v>
      </c>
      <c r="S572" s="163" t="n">
        <f aca="false">SUM(S563:S571)</f>
        <v>-606.8</v>
      </c>
      <c r="T572" s="163" t="n">
        <f aca="false">SUM(T563:T571)</f>
        <v>1481.2</v>
      </c>
      <c r="U572" s="163" t="n">
        <f aca="false">SUM(U563:U571)</f>
        <v>1293.3</v>
      </c>
      <c r="V572" s="162" t="n">
        <f aca="false">SUM(V563:V571)</f>
        <v>1963.6</v>
      </c>
      <c r="W572" s="163" t="n">
        <f aca="false">SUM(W563:W571)</f>
        <v>11.8</v>
      </c>
      <c r="X572" s="163" t="n">
        <f aca="false">SUM(X563:X571)</f>
        <v>-744.3</v>
      </c>
      <c r="Y572" s="163" t="n">
        <f aca="false">SUM(Y563:Y571)</f>
        <v>-154</v>
      </c>
      <c r="Z572" s="163" t="n">
        <f aca="false">SUM(Z563:Z571)</f>
        <v>-322.6</v>
      </c>
      <c r="AA572" s="162" t="n">
        <f aca="false">SUM(AA563:AA571)</f>
        <v>-1209.1</v>
      </c>
      <c r="AB572" s="163" t="n">
        <f aca="false">SUM(AB563:AB571)</f>
        <v>-160.2</v>
      </c>
      <c r="AC572" s="163" t="n">
        <f aca="false">SUM(AC563:AC571)</f>
        <v>-845.2</v>
      </c>
      <c r="AD572" s="163" t="n">
        <f aca="false">SUM(AD563:AD571)</f>
        <v>-365.9</v>
      </c>
      <c r="AE572" s="163" t="n">
        <f aca="false">SUM(AE563:AE571)</f>
        <v>-353</v>
      </c>
      <c r="AF572" s="162" t="n">
        <f aca="false">SUM(AF563:AF571)</f>
        <v>-1724.3</v>
      </c>
      <c r="AG572" s="163" t="n">
        <f aca="false">SUM(AG563:AG571)</f>
        <v>-48.1</v>
      </c>
      <c r="AH572" s="163" t="n">
        <f aca="false">SUM(AH563:AH571)</f>
        <v>-895.6</v>
      </c>
      <c r="AI572" s="163" t="n">
        <f aca="false">SUM(AI563:AI571)</f>
        <v>-142</v>
      </c>
      <c r="AJ572" s="163" t="n">
        <f aca="false">SUM(AJ563:AJ571)</f>
        <v>-626.6</v>
      </c>
      <c r="AK572" s="162" t="n">
        <f aca="false">SUM(AK563:AK571)</f>
        <v>-1712.3</v>
      </c>
      <c r="AL572" s="163" t="n">
        <f aca="false">SUM(AL563:AL571)</f>
        <v>240</v>
      </c>
      <c r="AM572" s="163" t="n">
        <f aca="false">SUM(AM563:AM571)</f>
        <v>191.9</v>
      </c>
      <c r="AN572" s="163" t="n">
        <f aca="false">SUM(AN563:AN571)</f>
        <v>9.5</v>
      </c>
      <c r="AO572" s="163" t="n">
        <f aca="false">SUM(AO563:AO571)</f>
        <v>-1194.4</v>
      </c>
      <c r="AP572" s="162" t="n">
        <f aca="false">SUM(AP563:AP571)</f>
        <v>-753</v>
      </c>
      <c r="AQ572" s="163" t="n">
        <f aca="false">SUM(AQ563:AQ571)</f>
        <v>-1560.2</v>
      </c>
      <c r="AR572" s="163" t="n">
        <f aca="false">SUM(AR563:AR571)</f>
        <v>-2612.6</v>
      </c>
      <c r="AS572" s="163" t="n">
        <f aca="false">SUM(AS563:AS571)</f>
        <v>-2391.9</v>
      </c>
      <c r="AT572" s="163" t="n">
        <f aca="false">SUM(AT563:AT571)</f>
        <v>-3327</v>
      </c>
      <c r="AU572" s="162" t="n">
        <f aca="false">SUM(AU563:AU571)</f>
        <v>-9891.7</v>
      </c>
      <c r="AV572" s="163" t="n">
        <f aca="false">SUM(AV563:AV571)</f>
        <v>-2030.2</v>
      </c>
      <c r="AW572" s="163" t="n">
        <f aca="false">SUM(AW563:AW571)</f>
        <v>-2637.4</v>
      </c>
      <c r="AX572" s="163" t="n">
        <f aca="false">SUM(AX563:AX571)</f>
        <v>-1612.7</v>
      </c>
      <c r="AY572" s="163" t="n">
        <f aca="false">SUM(AY563:AY571)</f>
        <v>-858</v>
      </c>
      <c r="AZ572" s="162" t="n">
        <f aca="false">SUM(AZ563:AZ571)</f>
        <v>-7138.3</v>
      </c>
      <c r="BA572" s="163" t="n">
        <f aca="false">SUM(BA563:BA571)</f>
        <v>-916.1</v>
      </c>
      <c r="BB572" s="163" t="n">
        <f aca="false">SUM(BB563:BB571)</f>
        <v>-136.5</v>
      </c>
      <c r="BC572" s="163" t="n">
        <f aca="false">SUM(BC563:BC571)</f>
        <v>-1406.2</v>
      </c>
      <c r="BD572" s="163" t="n">
        <f aca="false">SUM(BD563:BD571)</f>
        <v>-545.1</v>
      </c>
      <c r="BE572" s="162" t="n">
        <f aca="false">SUM(BE563:BE571)</f>
        <v>-3003.9</v>
      </c>
      <c r="BF572" s="163" t="n">
        <f aca="false">SUM(BF563:BF571)</f>
        <v>-927.4</v>
      </c>
      <c r="BG572" s="163" t="n">
        <f aca="false">SUM(BG563:BG571)</f>
        <v>-772.3</v>
      </c>
      <c r="BH572" s="163" t="n">
        <f aca="false">SUM(BH563:BH571)</f>
        <v>-565</v>
      </c>
      <c r="BI572" s="163" t="n">
        <f aca="false">SUM(BI563:BI571)</f>
        <v>-567.4</v>
      </c>
      <c r="BJ572" s="162" t="n">
        <f aca="false">SUM(BJ563:BJ571)</f>
        <v>-2832.1</v>
      </c>
      <c r="BK572" s="163" t="n">
        <f aca="false">SUM(BK563:BK571)</f>
        <v>-3151.4</v>
      </c>
      <c r="BL572" s="163" t="n">
        <f aca="false">SUM(BL563:BL571)</f>
        <v>-2163.8</v>
      </c>
      <c r="BM572" s="163" t="n">
        <f aca="false">SUM(BM563:BM571)</f>
        <v>-742</v>
      </c>
      <c r="BN572" s="163" t="n">
        <f aca="false">SUM(BN563:BN571)</f>
        <v>-2613.3</v>
      </c>
      <c r="BO572" s="164" t="n">
        <f aca="false">SUM(BO563:BO571)</f>
        <v>-8670.5</v>
      </c>
      <c r="BP572" s="163" t="n">
        <f aca="false">SUM(BP563:BP571)</f>
        <v>-621.63108</v>
      </c>
      <c r="BQ572" s="163" t="n">
        <f aca="false">SUM(BQ563:BQ571)</f>
        <v>-714.9472295742</v>
      </c>
      <c r="BR572" s="163" t="n">
        <f aca="false">SUM(BR563:BR571)</f>
        <v>-621.755412432311</v>
      </c>
      <c r="BS572" s="163" t="n">
        <f aca="false">SUM(BS563:BS571)</f>
        <v>-621.817587973554</v>
      </c>
      <c r="BT572" s="162" t="n">
        <f aca="false">SUM(BT563:BT571)</f>
        <v>-2580.15130998007</v>
      </c>
      <c r="BU572" s="163" t="n">
        <f aca="false">SUM(BU563:BU571)</f>
        <v>-621.879769732351</v>
      </c>
      <c r="BV572" s="163" t="n">
        <f aca="false">SUM(BV563:BV571)</f>
        <v>-715.233251365723</v>
      </c>
      <c r="BW572" s="163" t="n">
        <f aca="false">SUM(BW563:BW571)</f>
        <v>-622.004151905096</v>
      </c>
      <c r="BX572" s="163" t="n">
        <f aca="false">SUM(BX563:BX571)</f>
        <v>-622.066352320286</v>
      </c>
      <c r="BY572" s="162" t="n">
        <f aca="false">SUM(BY563:BY571)</f>
        <v>-2581.18352532346</v>
      </c>
      <c r="BZ572" s="162" t="n">
        <f aca="false">SUM(BZ563:BZ571)</f>
        <v>-2582.22077533057</v>
      </c>
      <c r="CA572" s="162" t="n">
        <f aca="false">SUM(CA563:CA571)</f>
        <v>-2583.2536636407</v>
      </c>
      <c r="CB572" s="162" t="n">
        <f aca="false">SUM(CB563:CB571)</f>
        <v>-2584.28696510615</v>
      </c>
      <c r="CC572" s="156"/>
    </row>
    <row r="573" s="157" customFormat="true" ht="15" hidden="false" customHeight="true" outlineLevel="0" collapsed="false">
      <c r="A573" s="252"/>
      <c r="B573" s="266"/>
      <c r="C573" s="267"/>
      <c r="D573" s="267"/>
      <c r="E573" s="267"/>
      <c r="F573" s="267"/>
      <c r="G573" s="267"/>
      <c r="H573" s="268"/>
      <c r="I573" s="268"/>
      <c r="J573" s="268"/>
      <c r="K573" s="268"/>
      <c r="L573" s="267"/>
      <c r="M573" s="268"/>
      <c r="N573" s="268"/>
      <c r="O573" s="268"/>
      <c r="P573" s="268"/>
      <c r="Q573" s="267"/>
      <c r="R573" s="268"/>
      <c r="S573" s="268"/>
      <c r="T573" s="268"/>
      <c r="U573" s="268"/>
      <c r="V573" s="267"/>
      <c r="W573" s="268"/>
      <c r="X573" s="268"/>
      <c r="Y573" s="268"/>
      <c r="Z573" s="268"/>
      <c r="AA573" s="267"/>
      <c r="AB573" s="268"/>
      <c r="AC573" s="268"/>
      <c r="AD573" s="268"/>
      <c r="AE573" s="268"/>
      <c r="AF573" s="267"/>
      <c r="AG573" s="268"/>
      <c r="AH573" s="268"/>
      <c r="AI573" s="268"/>
      <c r="AJ573" s="268"/>
      <c r="AK573" s="267"/>
      <c r="AL573" s="268"/>
      <c r="AM573" s="268"/>
      <c r="AN573" s="268"/>
      <c r="AO573" s="268"/>
      <c r="AP573" s="267"/>
      <c r="AQ573" s="268"/>
      <c r="AR573" s="268"/>
      <c r="AS573" s="268"/>
      <c r="AT573" s="268"/>
      <c r="AU573" s="267"/>
      <c r="AV573" s="268"/>
      <c r="AW573" s="268"/>
      <c r="AX573" s="268"/>
      <c r="AY573" s="268"/>
      <c r="AZ573" s="267"/>
      <c r="BA573" s="268"/>
      <c r="BB573" s="268"/>
      <c r="BC573" s="268"/>
      <c r="BD573" s="268"/>
      <c r="BE573" s="267"/>
      <c r="BF573" s="268"/>
      <c r="BG573" s="268"/>
      <c r="BH573" s="268"/>
      <c r="BI573" s="268"/>
      <c r="BJ573" s="267"/>
      <c r="BK573" s="268"/>
      <c r="BL573" s="268"/>
      <c r="BM573" s="268"/>
      <c r="BN573" s="268"/>
      <c r="BO573" s="269"/>
      <c r="BP573" s="268"/>
      <c r="BQ573" s="268"/>
      <c r="BR573" s="268"/>
      <c r="BS573" s="268"/>
      <c r="BT573" s="267"/>
      <c r="BU573" s="268"/>
      <c r="BV573" s="268"/>
      <c r="BW573" s="268"/>
      <c r="BX573" s="268"/>
      <c r="BY573" s="267"/>
      <c r="BZ573" s="267"/>
      <c r="CA573" s="267"/>
      <c r="CB573" s="267"/>
      <c r="CC573" s="156"/>
    </row>
    <row r="574" s="51" customFormat="true" ht="15" hidden="false" customHeight="true" outlineLevel="0" collapsed="false">
      <c r="A574" s="209" t="str">
        <f aca="false">A518</f>
        <v>FX</v>
      </c>
      <c r="B574" s="254"/>
      <c r="C574" s="159" t="n">
        <f aca="false">C518</f>
        <v>1.652</v>
      </c>
      <c r="D574" s="159" t="n">
        <f aca="false">D518</f>
        <v>4.913</v>
      </c>
      <c r="E574" s="159" t="n">
        <f aca="false">E518</f>
        <v>3.967</v>
      </c>
      <c r="F574" s="159" t="n">
        <f aca="false">F518</f>
        <v>-2.248</v>
      </c>
      <c r="G574" s="159" t="n">
        <f aca="false">G518</f>
        <v>-9.623</v>
      </c>
      <c r="H574" s="48" t="n">
        <f aca="false">H518</f>
        <v>-0.1</v>
      </c>
      <c r="I574" s="48" t="n">
        <f aca="false">I518-H518</f>
        <v>2</v>
      </c>
      <c r="J574" s="48" t="n">
        <f aca="false">J518-I518</f>
        <v>4.7</v>
      </c>
      <c r="K574" s="48" t="n">
        <f aca="false">K518-J518</f>
        <v>1.638</v>
      </c>
      <c r="L574" s="159" t="n">
        <f aca="false">L518</f>
        <v>8.238</v>
      </c>
      <c r="M574" s="48" t="n">
        <f aca="false">M518</f>
        <v>9.3</v>
      </c>
      <c r="N574" s="48" t="n">
        <f aca="false">N518-M518</f>
        <v>-2.2</v>
      </c>
      <c r="O574" s="48" t="n">
        <f aca="false">O518-N518</f>
        <v>-1.6</v>
      </c>
      <c r="P574" s="48" t="n">
        <f aca="false">P518-O518</f>
        <v>2.009</v>
      </c>
      <c r="Q574" s="159" t="n">
        <f aca="false">Q518</f>
        <v>7.509</v>
      </c>
      <c r="R574" s="48" t="n">
        <f aca="false">R518</f>
        <v>-2.7</v>
      </c>
      <c r="S574" s="48" t="n">
        <f aca="false">S518-R518</f>
        <v>11.9</v>
      </c>
      <c r="T574" s="48" t="n">
        <f aca="false">T518-S518</f>
        <v>-7.1</v>
      </c>
      <c r="U574" s="48" t="n">
        <f aca="false">U518-T518</f>
        <v>5</v>
      </c>
      <c r="V574" s="159" t="n">
        <f aca="false">V518</f>
        <v>7.1</v>
      </c>
      <c r="W574" s="48" t="n">
        <f aca="false">W518</f>
        <v>9.8</v>
      </c>
      <c r="X574" s="48" t="n">
        <f aca="false">X518-W518</f>
        <v>-27.5</v>
      </c>
      <c r="Y574" s="48" t="n">
        <f aca="false">Y518-X518</f>
        <v>-11</v>
      </c>
      <c r="Z574" s="48" t="n">
        <f aca="false">Z518-Y518</f>
        <v>0.599999999999998</v>
      </c>
      <c r="AA574" s="159" t="n">
        <f aca="false">AA518</f>
        <v>-28.1</v>
      </c>
      <c r="AB574" s="48" t="n">
        <f aca="false">AB518</f>
        <v>-7.2</v>
      </c>
      <c r="AC574" s="48" t="n">
        <f aca="false">AC518-AB518</f>
        <v>8.9</v>
      </c>
      <c r="AD574" s="48" t="n">
        <f aca="false">AD518-AC518</f>
        <v>-4</v>
      </c>
      <c r="AE574" s="48" t="n">
        <f aca="false">AE518-AD518</f>
        <v>7.5</v>
      </c>
      <c r="AF574" s="159" t="n">
        <f aca="false">AF518</f>
        <v>5.2</v>
      </c>
      <c r="AG574" s="48" t="n">
        <f aca="false">AG518</f>
        <v>3.2</v>
      </c>
      <c r="AH574" s="48" t="n">
        <f aca="false">AH518-AG518</f>
        <v>-4.4</v>
      </c>
      <c r="AI574" s="48" t="n">
        <f aca="false">AI518-AH518</f>
        <v>4.9</v>
      </c>
      <c r="AJ574" s="48" t="n">
        <f aca="false">AJ518-AI518</f>
        <v>0.9</v>
      </c>
      <c r="AK574" s="159" t="n">
        <f aca="false">AK518</f>
        <v>4.6</v>
      </c>
      <c r="AL574" s="48" t="n">
        <f aca="false">AL518</f>
        <v>1.5</v>
      </c>
      <c r="AM574" s="48" t="n">
        <f aca="false">AM518-AL518</f>
        <v>-3.2</v>
      </c>
      <c r="AN574" s="48" t="n">
        <f aca="false">AN518-AM518</f>
        <v>-1.6</v>
      </c>
      <c r="AO574" s="48" t="n">
        <f aca="false">AO518-AN518</f>
        <v>-2</v>
      </c>
      <c r="AP574" s="159" t="n">
        <f aca="false">AP518</f>
        <v>-5.3</v>
      </c>
      <c r="AQ574" s="48" t="n">
        <f aca="false">AQ518</f>
        <v>3</v>
      </c>
      <c r="AR574" s="48" t="n">
        <f aca="false">AR518-AQ518</f>
        <v>-3.9</v>
      </c>
      <c r="AS574" s="48" t="n">
        <f aca="false">AS518-AR518</f>
        <v>2</v>
      </c>
      <c r="AT574" s="48" t="n">
        <f aca="false">AT518-AS518</f>
        <v>19.2</v>
      </c>
      <c r="AU574" s="159" t="n">
        <f aca="false">AU518</f>
        <v>20.3</v>
      </c>
      <c r="AV574" s="48" t="n">
        <f aca="false">AV518</f>
        <v>0.3</v>
      </c>
      <c r="AW574" s="48" t="n">
        <f aca="false">AW518-AV518</f>
        <v>1.2</v>
      </c>
      <c r="AX574" s="48" t="n">
        <f aca="false">AX518-AW518</f>
        <v>8.4</v>
      </c>
      <c r="AY574" s="48" t="n">
        <f aca="false">AY518-AX518</f>
        <v>-13</v>
      </c>
      <c r="AZ574" s="159" t="n">
        <f aca="false">AZ518</f>
        <v>-3.1</v>
      </c>
      <c r="BA574" s="48" t="n">
        <f aca="false">BA518</f>
        <v>-1.6</v>
      </c>
      <c r="BB574" s="48" t="n">
        <f aca="false">BB518-BA518</f>
        <v>-9.7</v>
      </c>
      <c r="BC574" s="48" t="n">
        <f aca="false">BC518-BB518</f>
        <v>3.3</v>
      </c>
      <c r="BD574" s="48" t="n">
        <f aca="false">BD518-BC518</f>
        <v>-5.8</v>
      </c>
      <c r="BE574" s="159" t="n">
        <f aca="false">BE518</f>
        <v>-13.8</v>
      </c>
      <c r="BF574" s="48" t="n">
        <f aca="false">BF518</f>
        <v>-1</v>
      </c>
      <c r="BG574" s="48" t="n">
        <f aca="false">BG518-BF518</f>
        <v>-0.5</v>
      </c>
      <c r="BH574" s="48" t="n">
        <f aca="false">BH518-BG518</f>
        <v>-4.2</v>
      </c>
      <c r="BI574" s="48" t="n">
        <f aca="false">BI518-BH518</f>
        <v>12.1</v>
      </c>
      <c r="BJ574" s="159" t="n">
        <f aca="false">BJ518</f>
        <v>6.4</v>
      </c>
      <c r="BK574" s="48" t="n">
        <f aca="false">BK518</f>
        <v>-11.8</v>
      </c>
      <c r="BL574" s="48" t="n">
        <f aca="false">BL518-BK518</f>
        <v>-10.8</v>
      </c>
      <c r="BM574" s="48" t="n">
        <f aca="false">BM518-BL518</f>
        <v>-6.3</v>
      </c>
      <c r="BN574" s="48" t="n">
        <f aca="false">BN518-BM518</f>
        <v>-1.2</v>
      </c>
      <c r="BO574" s="160" t="n">
        <f aca="false">BO518</f>
        <v>-30.1</v>
      </c>
      <c r="BP574" s="48"/>
      <c r="BQ574" s="48"/>
      <c r="BR574" s="48"/>
      <c r="BS574" s="48"/>
      <c r="BT574" s="159" t="n">
        <f aca="false">SUM(BP574,BQ574,BR574,BS574)</f>
        <v>0</v>
      </c>
      <c r="BU574" s="48"/>
      <c r="BV574" s="48"/>
      <c r="BW574" s="48"/>
      <c r="BX574" s="48"/>
      <c r="BY574" s="159" t="n">
        <f aca="false">SUM(BU574,BV574,BW574,BX574)</f>
        <v>0</v>
      </c>
      <c r="BZ574" s="159"/>
      <c r="CA574" s="159"/>
      <c r="CB574" s="159"/>
      <c r="CC574" s="50"/>
    </row>
    <row r="575" s="157" customFormat="true" ht="15" hidden="false" customHeight="true" outlineLevel="0" collapsed="false">
      <c r="A575" s="221" t="str">
        <f aca="false">A519</f>
        <v>Net Change in Cash Balance</v>
      </c>
      <c r="B575" s="266"/>
      <c r="C575" s="399" t="n">
        <f aca="false">C572+C560+C546+C574</f>
        <v>-72.1100000000001</v>
      </c>
      <c r="D575" s="399" t="n">
        <f aca="false">D572+D560+D546+D574</f>
        <v>912.76</v>
      </c>
      <c r="E575" s="399" t="n">
        <f aca="false">E572+E560+E546+E574</f>
        <v>781.948</v>
      </c>
      <c r="F575" s="399" t="n">
        <f aca="false">F572+F560+F546+F574</f>
        <v>-964.186</v>
      </c>
      <c r="G575" s="399" t="n">
        <f aca="false">G572+G560+G546+G574</f>
        <v>563.098</v>
      </c>
      <c r="H575" s="156" t="n">
        <f aca="false">H572+H560+H546+H574</f>
        <v>67.4</v>
      </c>
      <c r="I575" s="156" t="n">
        <f aca="false">I572+I560+I546+I574</f>
        <v>-287.1</v>
      </c>
      <c r="J575" s="156" t="n">
        <f aca="false">J572+J560+J546+J574</f>
        <v>33.7999999999999</v>
      </c>
      <c r="K575" s="156" t="n">
        <f aca="false">K572+K560+K546+K574</f>
        <v>274.693</v>
      </c>
      <c r="L575" s="399" t="n">
        <f aca="false">L572+L560+L546+L574</f>
        <v>88.7930000000002</v>
      </c>
      <c r="M575" s="156" t="n">
        <f aca="false">M572+M560+M546+M574</f>
        <v>359</v>
      </c>
      <c r="N575" s="156" t="n">
        <f aca="false">N572+N560+N546+N574</f>
        <v>-283.5</v>
      </c>
      <c r="O575" s="156" t="n">
        <f aca="false">O572+O560+O546+O574</f>
        <v>185.9</v>
      </c>
      <c r="P575" s="156" t="n">
        <f aca="false">P572+P560+P546+P574</f>
        <v>-222.17</v>
      </c>
      <c r="Q575" s="399" t="n">
        <f aca="false">Q572+Q560+Q546+Q574</f>
        <v>39.2300000000002</v>
      </c>
      <c r="R575" s="156" t="n">
        <f aca="false">R572+R560+R546+R574</f>
        <v>-395.3</v>
      </c>
      <c r="S575" s="156" t="n">
        <f aca="false">S572+S560+S546+S574</f>
        <v>-137.3</v>
      </c>
      <c r="T575" s="156" t="n">
        <f aca="false">T572+T560+T546+T574</f>
        <v>986.9</v>
      </c>
      <c r="U575" s="156" t="n">
        <f aca="false">U572+U560+U546+U574</f>
        <v>-6.10000000000014</v>
      </c>
      <c r="V575" s="399" t="n">
        <f aca="false">V572+V560+V546+V574</f>
        <v>448.2</v>
      </c>
      <c r="W575" s="156" t="n">
        <f aca="false">W572+W560+W546+W574</f>
        <v>3.70000000000004</v>
      </c>
      <c r="X575" s="156" t="n">
        <f aca="false">X572+X560+X546+X574</f>
        <v>-996.4</v>
      </c>
      <c r="Y575" s="156" t="n">
        <f aca="false">Y572+Y560+Y546+Y574</f>
        <v>163.4</v>
      </c>
      <c r="Z575" s="156" t="n">
        <f aca="false">Z572+Z560+Z546+Z574</f>
        <v>181.4</v>
      </c>
      <c r="AA575" s="399" t="n">
        <f aca="false">AA572+AA560+AA546+AA574</f>
        <v>-647.9</v>
      </c>
      <c r="AB575" s="156" t="n">
        <f aca="false">AB572+AB560+AB546+AB574</f>
        <v>205.8</v>
      </c>
      <c r="AC575" s="156" t="n">
        <f aca="false">AC572+AC560+AC546+AC574</f>
        <v>-139.1</v>
      </c>
      <c r="AD575" s="156" t="n">
        <f aca="false">AD572+AD560+AD546+AD574</f>
        <v>-122.5</v>
      </c>
      <c r="AE575" s="156" t="n">
        <f aca="false">AE572+AE560+AE546+AE574</f>
        <v>917.9</v>
      </c>
      <c r="AF575" s="399" t="n">
        <f aca="false">AF572+AF560+AF546+AF574</f>
        <v>862.1</v>
      </c>
      <c r="AG575" s="156" t="n">
        <f aca="false">AG572+AG560+AG546+AG574</f>
        <v>-868.1</v>
      </c>
      <c r="AH575" s="156" t="n">
        <f aca="false">AH572+AH560+AH546+AH574</f>
        <v>-591.9</v>
      </c>
      <c r="AI575" s="156" t="n">
        <f aca="false">AI572+AI560+AI546+AI574</f>
        <v>-75</v>
      </c>
      <c r="AJ575" s="156" t="n">
        <f aca="false">AJ572+AJ560+AJ546+AJ574</f>
        <v>1946.2</v>
      </c>
      <c r="AK575" s="399" t="n">
        <f aca="false">AK572+AK560+AK546+AK574</f>
        <v>411.2</v>
      </c>
      <c r="AL575" s="156" t="n">
        <f aca="false">AL572+AL560+AL546+AL574</f>
        <v>-808.6</v>
      </c>
      <c r="AM575" s="156" t="n">
        <f aca="false">AM572+AM560+AM546+AM574</f>
        <v>775.4</v>
      </c>
      <c r="AN575" s="156" t="n">
        <f aca="false">AN572+AN560+AN546+AN574</f>
        <v>32.4</v>
      </c>
      <c r="AO575" s="156" t="n">
        <f aca="false">AO572+AO560+AO546+AO574</f>
        <v>2517.9</v>
      </c>
      <c r="AP575" s="399" t="n">
        <f aca="false">AP572+AP560+AP546+AP574</f>
        <v>2517.1</v>
      </c>
      <c r="AQ575" s="156" t="n">
        <f aca="false">AQ572+AQ560+AQ546+AQ574</f>
        <v>-2805.6</v>
      </c>
      <c r="AR575" s="156" t="n">
        <f aca="false">AR572+AR560+AR546+AR574</f>
        <v>1942.8</v>
      </c>
      <c r="AS575" s="156" t="n">
        <f aca="false">AS572+AS560+AS546+AS574</f>
        <v>-867.9</v>
      </c>
      <c r="AT575" s="156" t="n">
        <f aca="false">AT572+AT560+AT546+AT574</f>
        <v>2633.1</v>
      </c>
      <c r="AU575" s="399" t="n">
        <f aca="false">AU572+AU560+AU546+AU574</f>
        <v>902.4</v>
      </c>
      <c r="AV575" s="156" t="n">
        <f aca="false">AV572+AV560+AV546+AV574</f>
        <v>-2627.7</v>
      </c>
      <c r="AW575" s="156" t="n">
        <f aca="false">AW572+AW560+AW546+AW574</f>
        <v>-227.6</v>
      </c>
      <c r="AX575" s="156" t="n">
        <f aca="false">AX572+AX560+AX546+AX574</f>
        <v>-943.7</v>
      </c>
      <c r="AY575" s="156" t="n">
        <f aca="false">AY572+AY560+AY546+AY574</f>
        <v>4115.5</v>
      </c>
      <c r="AZ575" s="399" t="n">
        <f aca="false">AZ572+AZ560+AZ546+AZ574</f>
        <v>316.499999999999</v>
      </c>
      <c r="BA575" s="156" t="n">
        <f aca="false">BA572+BA560+BA546+BA574</f>
        <v>-620.6</v>
      </c>
      <c r="BB575" s="156" t="n">
        <f aca="false">BB572+BB560+BB546+BB574</f>
        <v>-306.4</v>
      </c>
      <c r="BC575" s="156" t="n">
        <f aca="false">BC572+BC560+BC546+BC574</f>
        <v>-1365.8</v>
      </c>
      <c r="BD575" s="156" t="n">
        <f aca="false">BD572+BD560+BD546+BD574</f>
        <v>2029.2</v>
      </c>
      <c r="BE575" s="399" t="n">
        <f aca="false">BE572+BE560+BE546+BE574</f>
        <v>-263.6</v>
      </c>
      <c r="BF575" s="156" t="n">
        <f aca="false">BF572+BF560+BF546+BF574</f>
        <v>-1903.9</v>
      </c>
      <c r="BG575" s="156" t="n">
        <f aca="false">BG572+BG560+BG546+BG574</f>
        <v>-287.2</v>
      </c>
      <c r="BH575" s="156" t="n">
        <f aca="false">BH572+BH560+BH546+BH574</f>
        <v>165.7</v>
      </c>
      <c r="BI575" s="156" t="n">
        <f aca="false">BI572+BI560+BI546+BI574</f>
        <v>7756.6</v>
      </c>
      <c r="BJ575" s="399" t="n">
        <f aca="false">BJ572+BJ560+BJ546+BJ574</f>
        <v>5731.2</v>
      </c>
      <c r="BK575" s="156" t="n">
        <f aca="false">BK572+BK560+BK546+BK574</f>
        <v>-3637.5</v>
      </c>
      <c r="BL575" s="156" t="n">
        <f aca="false">BL572+BL560+BL546+BL574</f>
        <v>-1854.9</v>
      </c>
      <c r="BM575" s="156" t="n">
        <f aca="false">BM572+BM560+BM546+BM574</f>
        <v>-2117</v>
      </c>
      <c r="BN575" s="156" t="n">
        <f aca="false">BN572+BN560+BN546+BN574</f>
        <v>7789.5</v>
      </c>
      <c r="BO575" s="400" t="n">
        <f aca="false">BO572+BO560+BO546+BO574</f>
        <v>180.100000000001</v>
      </c>
      <c r="BP575" s="268" t="n">
        <f aca="false">BP572+BP560+BP546+BP574</f>
        <v>3979.95223082869</v>
      </c>
      <c r="BQ575" s="268" t="n">
        <f aca="false">BQ572+BQ560+BQ546+BQ574</f>
        <v>2089.36430946175</v>
      </c>
      <c r="BR575" s="268" t="n">
        <f aca="false">BR572+BR560+BR546+BR574</f>
        <v>2264.65846930902</v>
      </c>
      <c r="BS575" s="268" t="n">
        <f aca="false">BS572+BS560+BS546+BS574</f>
        <v>1127.5840204508</v>
      </c>
      <c r="BT575" s="267" t="n">
        <f aca="false">BT572+BT560+BT546+BT574</f>
        <v>9461.55903005026</v>
      </c>
      <c r="BU575" s="268" t="n">
        <f aca="false">BU572+BU560+BU546+BU574</f>
        <v>4201.9345854211</v>
      </c>
      <c r="BV575" s="268" t="n">
        <f aca="false">BV572+BV560+BV546+BV574</f>
        <v>2365.01513844464</v>
      </c>
      <c r="BW575" s="268" t="n">
        <f aca="false">BW572+BW560+BW546+BW574</f>
        <v>2443.59874412183</v>
      </c>
      <c r="BX575" s="268" t="n">
        <f aca="false">BX572+BX560+BX546+BX574</f>
        <v>1454.22082911941</v>
      </c>
      <c r="BY575" s="267" t="n">
        <f aca="false">BY572+BY560+BY546+BY574</f>
        <v>10464.769297107</v>
      </c>
      <c r="BZ575" s="267" t="n">
        <f aca="false">BZ572+BZ560+BZ546+BZ574</f>
        <v>13938.0416786463</v>
      </c>
      <c r="CA575" s="267" t="n">
        <f aca="false">CA572+CA560+CA546+CA574</f>
        <v>13883.3247338119</v>
      </c>
      <c r="CB575" s="267" t="n">
        <f aca="false">CB572+CB560+CB546+CB574</f>
        <v>14907.129086966</v>
      </c>
      <c r="CC575" s="156"/>
    </row>
    <row r="576" s="157" customFormat="true" ht="15" hidden="false" customHeight="true" outlineLevel="0" collapsed="false">
      <c r="A576" s="252"/>
      <c r="B576" s="266"/>
      <c r="C576" s="267"/>
      <c r="D576" s="267"/>
      <c r="E576" s="267"/>
      <c r="F576" s="267"/>
      <c r="G576" s="267"/>
      <c r="H576" s="268"/>
      <c r="I576" s="268"/>
      <c r="J576" s="268"/>
      <c r="K576" s="268"/>
      <c r="L576" s="267"/>
      <c r="M576" s="268"/>
      <c r="N576" s="268"/>
      <c r="O576" s="268"/>
      <c r="P576" s="268"/>
      <c r="Q576" s="267"/>
      <c r="R576" s="268"/>
      <c r="S576" s="268"/>
      <c r="T576" s="268"/>
      <c r="U576" s="268"/>
      <c r="V576" s="267"/>
      <c r="W576" s="268"/>
      <c r="X576" s="268"/>
      <c r="Y576" s="268"/>
      <c r="Z576" s="268"/>
      <c r="AA576" s="267"/>
      <c r="AB576" s="268"/>
      <c r="AC576" s="268"/>
      <c r="AD576" s="268"/>
      <c r="AE576" s="268"/>
      <c r="AF576" s="267"/>
      <c r="AG576" s="268"/>
      <c r="AH576" s="268"/>
      <c r="AI576" s="268"/>
      <c r="AJ576" s="268"/>
      <c r="AK576" s="267"/>
      <c r="AL576" s="268"/>
      <c r="AM576" s="268"/>
      <c r="AN576" s="268"/>
      <c r="AO576" s="268"/>
      <c r="AP576" s="267"/>
      <c r="AQ576" s="268"/>
      <c r="AR576" s="268"/>
      <c r="AS576" s="268"/>
      <c r="AT576" s="268"/>
      <c r="AU576" s="267"/>
      <c r="AV576" s="268"/>
      <c r="AW576" s="268"/>
      <c r="AX576" s="268"/>
      <c r="AY576" s="268"/>
      <c r="AZ576" s="267"/>
      <c r="BA576" s="268"/>
      <c r="BB576" s="268"/>
      <c r="BC576" s="268"/>
      <c r="BD576" s="268"/>
      <c r="BE576" s="267"/>
      <c r="BF576" s="268"/>
      <c r="BG576" s="268"/>
      <c r="BH576" s="268"/>
      <c r="BI576" s="268"/>
      <c r="BJ576" s="267"/>
      <c r="BK576" s="268"/>
      <c r="BL576" s="268"/>
      <c r="BM576" s="268"/>
      <c r="BN576" s="268"/>
      <c r="BO576" s="269"/>
      <c r="BP576" s="268"/>
      <c r="BQ576" s="268"/>
      <c r="BR576" s="268"/>
      <c r="BS576" s="268"/>
      <c r="BT576" s="267"/>
      <c r="BU576" s="268"/>
      <c r="BV576" s="268"/>
      <c r="BW576" s="268"/>
      <c r="BX576" s="268"/>
      <c r="BY576" s="267"/>
      <c r="BZ576" s="267"/>
      <c r="CA576" s="267"/>
      <c r="CB576" s="267"/>
      <c r="CC576" s="156"/>
    </row>
    <row r="577" s="157" customFormat="true" ht="15" hidden="false" customHeight="true" outlineLevel="0" collapsed="false">
      <c r="A577" s="221" t="str">
        <f aca="false">A521</f>
        <v>Beginning Cash Balance</v>
      </c>
      <c r="B577" s="266"/>
      <c r="C577" s="399" t="n">
        <f aca="false">C521</f>
        <v>1109.184</v>
      </c>
      <c r="D577" s="399" t="n">
        <f aca="false">C578</f>
        <v>1037.074</v>
      </c>
      <c r="E577" s="399" t="n">
        <f aca="false">D578</f>
        <v>1949.834</v>
      </c>
      <c r="F577" s="399" t="n">
        <f aca="false">E578</f>
        <v>2731.782</v>
      </c>
      <c r="G577" s="399" t="n">
        <f aca="false">F578</f>
        <v>1767.596</v>
      </c>
      <c r="H577" s="156" t="n">
        <f aca="false">G578+H521-G522</f>
        <v>2330.7</v>
      </c>
      <c r="I577" s="156" t="n">
        <f aca="false">H578</f>
        <v>2398.1</v>
      </c>
      <c r="J577" s="156" t="n">
        <f aca="false">I578</f>
        <v>2111</v>
      </c>
      <c r="K577" s="156" t="n">
        <f aca="false">J578+K521-J521</f>
        <v>2144.794</v>
      </c>
      <c r="L577" s="399" t="n">
        <f aca="false">G578</f>
        <v>2330.694</v>
      </c>
      <c r="M577" s="156" t="n">
        <f aca="false">L578+M521-L522</f>
        <v>2419.5</v>
      </c>
      <c r="N577" s="156" t="n">
        <f aca="false">M578</f>
        <v>2778.5</v>
      </c>
      <c r="O577" s="156" t="n">
        <f aca="false">N578</f>
        <v>2495</v>
      </c>
      <c r="P577" s="156" t="n">
        <f aca="false">O578+P521-O521</f>
        <v>2680.887</v>
      </c>
      <c r="Q577" s="399" t="n">
        <f aca="false">L578</f>
        <v>2419.487</v>
      </c>
      <c r="R577" s="156" t="n">
        <f aca="false">Q578+R521-Q522</f>
        <v>2458.7</v>
      </c>
      <c r="S577" s="156" t="n">
        <f aca="false">R578</f>
        <v>2063.4</v>
      </c>
      <c r="T577" s="156" t="n">
        <f aca="false">S578</f>
        <v>1926.1</v>
      </c>
      <c r="U577" s="156" t="n">
        <f aca="false">T578</f>
        <v>2913</v>
      </c>
      <c r="V577" s="399" t="n">
        <f aca="false">Q578+V521-Q522</f>
        <v>2458.7</v>
      </c>
      <c r="W577" s="156" t="n">
        <f aca="false">V578</f>
        <v>2906.9</v>
      </c>
      <c r="X577" s="156" t="n">
        <f aca="false">W578</f>
        <v>2910.6</v>
      </c>
      <c r="Y577" s="156" t="n">
        <f aca="false">X578</f>
        <v>1914.2</v>
      </c>
      <c r="Z577" s="156" t="n">
        <f aca="false">Y578</f>
        <v>2077.6</v>
      </c>
      <c r="AA577" s="399" t="n">
        <f aca="false">V578</f>
        <v>2906.9</v>
      </c>
      <c r="AB577" s="156" t="n">
        <f aca="false">AA578</f>
        <v>2259</v>
      </c>
      <c r="AC577" s="156" t="n">
        <f aca="false">AB578</f>
        <v>2464.8</v>
      </c>
      <c r="AD577" s="156" t="n">
        <f aca="false">AC578</f>
        <v>2325.7</v>
      </c>
      <c r="AE577" s="156" t="n">
        <f aca="false">AD578</f>
        <v>2203.2</v>
      </c>
      <c r="AF577" s="399" t="n">
        <f aca="false">AA578</f>
        <v>2259</v>
      </c>
      <c r="AG577" s="156" t="n">
        <f aca="false">AF578</f>
        <v>3121.1</v>
      </c>
      <c r="AH577" s="156" t="n">
        <f aca="false">AG578</f>
        <v>2253</v>
      </c>
      <c r="AI577" s="156" t="n">
        <f aca="false">AH578</f>
        <v>1661.1</v>
      </c>
      <c r="AJ577" s="156" t="n">
        <f aca="false">AI578</f>
        <v>1586.1</v>
      </c>
      <c r="AK577" s="399" t="n">
        <f aca="false">AF578</f>
        <v>3121.1</v>
      </c>
      <c r="AL577" s="156" t="n">
        <f aca="false">AK578</f>
        <v>3532.3</v>
      </c>
      <c r="AM577" s="156" t="n">
        <f aca="false">AL578</f>
        <v>2723.7</v>
      </c>
      <c r="AN577" s="156" t="n">
        <f aca="false">AM578</f>
        <v>3499.1</v>
      </c>
      <c r="AO577" s="156" t="n">
        <f aca="false">AN578</f>
        <v>3531.5</v>
      </c>
      <c r="AP577" s="399" t="n">
        <f aca="false">AK578</f>
        <v>3532.3</v>
      </c>
      <c r="AQ577" s="156" t="n">
        <f aca="false">AP578</f>
        <v>6049.4</v>
      </c>
      <c r="AR577" s="156" t="n">
        <f aca="false">AQ578</f>
        <v>3243.8</v>
      </c>
      <c r="AS577" s="156" t="n">
        <f aca="false">AR578</f>
        <v>5186.6</v>
      </c>
      <c r="AT577" s="156" t="n">
        <f aca="false">AS578</f>
        <v>4318.7</v>
      </c>
      <c r="AU577" s="399" t="n">
        <f aca="false">AP578</f>
        <v>6049.4</v>
      </c>
      <c r="AV577" s="156" t="n">
        <f aca="false">AU578</f>
        <v>6951.8</v>
      </c>
      <c r="AW577" s="156" t="n">
        <f aca="false">AV578</f>
        <v>4324.1</v>
      </c>
      <c r="AX577" s="156" t="n">
        <f aca="false">AW578</f>
        <v>4096.5</v>
      </c>
      <c r="AY577" s="156" t="n">
        <f aca="false">AX578</f>
        <v>3152.8</v>
      </c>
      <c r="AZ577" s="399" t="n">
        <f aca="false">AU578</f>
        <v>6951.8</v>
      </c>
      <c r="BA577" s="156" t="n">
        <f aca="false">AZ578</f>
        <v>7268.3</v>
      </c>
      <c r="BB577" s="156" t="n">
        <f aca="false">BA578</f>
        <v>6647.7</v>
      </c>
      <c r="BC577" s="156" t="n">
        <f aca="false">BB578</f>
        <v>6341.3</v>
      </c>
      <c r="BD577" s="156" t="n">
        <f aca="false">BC578</f>
        <v>4975.5</v>
      </c>
      <c r="BE577" s="399" t="n">
        <f aca="false">AZ578</f>
        <v>7268.3</v>
      </c>
      <c r="BF577" s="156" t="n">
        <f aca="false">BE578</f>
        <v>7004.7</v>
      </c>
      <c r="BG577" s="156" t="n">
        <f aca="false">BF578</f>
        <v>5100.8</v>
      </c>
      <c r="BH577" s="156" t="n">
        <f aca="false">BG578</f>
        <v>4813.6</v>
      </c>
      <c r="BI577" s="156" t="n">
        <f aca="false">BH578</f>
        <v>4979.3</v>
      </c>
      <c r="BJ577" s="399" t="n">
        <f aca="false">BE578</f>
        <v>7004.7</v>
      </c>
      <c r="BK577" s="156" t="n">
        <f aca="false">BJ578</f>
        <v>12735.9</v>
      </c>
      <c r="BL577" s="156" t="n">
        <f aca="false">BK578</f>
        <v>9098.4</v>
      </c>
      <c r="BM577" s="156" t="n">
        <f aca="false">BL578</f>
        <v>7243.5</v>
      </c>
      <c r="BN577" s="156" t="n">
        <f aca="false">BM578</f>
        <v>5126.5</v>
      </c>
      <c r="BO577" s="400" t="n">
        <f aca="false">BJ578</f>
        <v>12735.9</v>
      </c>
      <c r="BP577" s="268" t="n">
        <f aca="false">BO578</f>
        <v>12916</v>
      </c>
      <c r="BQ577" s="268" t="n">
        <f aca="false">BP578</f>
        <v>16895.9522308287</v>
      </c>
      <c r="BR577" s="268" t="n">
        <f aca="false">BQ578</f>
        <v>18985.3165402904</v>
      </c>
      <c r="BS577" s="268" t="n">
        <f aca="false">BR578</f>
        <v>21249.9750095995</v>
      </c>
      <c r="BT577" s="267" t="n">
        <f aca="false">BO578</f>
        <v>12916</v>
      </c>
      <c r="BU577" s="268" t="n">
        <f aca="false">BT578</f>
        <v>22377.5590300503</v>
      </c>
      <c r="BV577" s="268" t="n">
        <f aca="false">BU578</f>
        <v>26579.4936154714</v>
      </c>
      <c r="BW577" s="268" t="n">
        <f aca="false">BV578</f>
        <v>28944.508753916</v>
      </c>
      <c r="BX577" s="268" t="n">
        <f aca="false">BW578</f>
        <v>31388.1074980378</v>
      </c>
      <c r="BY577" s="267" t="n">
        <f aca="false">BT578</f>
        <v>22377.5590300503</v>
      </c>
      <c r="BZ577" s="267" t="n">
        <f aca="false">BY578</f>
        <v>32842.3283271572</v>
      </c>
      <c r="CA577" s="267" t="n">
        <f aca="false">BZ578</f>
        <v>46780.3700058035</v>
      </c>
      <c r="CB577" s="267" t="n">
        <f aca="false">CA578</f>
        <v>60663.6947396154</v>
      </c>
      <c r="CC577" s="156"/>
    </row>
    <row r="578" s="157" customFormat="true" ht="15" hidden="false" customHeight="true" outlineLevel="0" collapsed="false">
      <c r="A578" s="221" t="str">
        <f aca="false">A522</f>
        <v>Ending Cash Balance</v>
      </c>
      <c r="B578" s="266"/>
      <c r="C578" s="399" t="n">
        <f aca="false">C577+C575</f>
        <v>1037.074</v>
      </c>
      <c r="D578" s="399" t="n">
        <f aca="false">D577+D575</f>
        <v>1949.834</v>
      </c>
      <c r="E578" s="399" t="n">
        <f aca="false">E577+E575</f>
        <v>2731.782</v>
      </c>
      <c r="F578" s="399" t="n">
        <f aca="false">F577+F575</f>
        <v>1767.596</v>
      </c>
      <c r="G578" s="399" t="n">
        <f aca="false">G577+G575</f>
        <v>2330.694</v>
      </c>
      <c r="H578" s="156" t="n">
        <f aca="false">H577+H575</f>
        <v>2398.1</v>
      </c>
      <c r="I578" s="156" t="n">
        <f aca="false">I577+I575</f>
        <v>2111</v>
      </c>
      <c r="J578" s="156" t="n">
        <f aca="false">J577+J575</f>
        <v>2144.8</v>
      </c>
      <c r="K578" s="156" t="n">
        <f aca="false">K577+K575</f>
        <v>2419.487</v>
      </c>
      <c r="L578" s="399" t="n">
        <f aca="false">L577+L575</f>
        <v>2419.487</v>
      </c>
      <c r="M578" s="156" t="n">
        <f aca="false">M577+M575</f>
        <v>2778.5</v>
      </c>
      <c r="N578" s="156" t="n">
        <f aca="false">N577+N575</f>
        <v>2495</v>
      </c>
      <c r="O578" s="156" t="n">
        <f aca="false">O577+O575</f>
        <v>2680.9</v>
      </c>
      <c r="P578" s="156" t="n">
        <f aca="false">P577+P575</f>
        <v>2458.717</v>
      </c>
      <c r="Q578" s="399" t="n">
        <f aca="false">Q577+Q575</f>
        <v>2458.717</v>
      </c>
      <c r="R578" s="156" t="n">
        <f aca="false">R577+R575</f>
        <v>2063.4</v>
      </c>
      <c r="S578" s="156" t="n">
        <f aca="false">S577+S575</f>
        <v>1926.1</v>
      </c>
      <c r="T578" s="156" t="n">
        <f aca="false">T577+T575</f>
        <v>2913</v>
      </c>
      <c r="U578" s="156" t="n">
        <f aca="false">U577+U575</f>
        <v>2906.9</v>
      </c>
      <c r="V578" s="399" t="n">
        <f aca="false">V577+V575</f>
        <v>2906.9</v>
      </c>
      <c r="W578" s="156" t="n">
        <f aca="false">W577+W575</f>
        <v>2910.6</v>
      </c>
      <c r="X578" s="156" t="n">
        <f aca="false">X577+X575</f>
        <v>1914.2</v>
      </c>
      <c r="Y578" s="156" t="n">
        <f aca="false">Y577+Y575</f>
        <v>2077.6</v>
      </c>
      <c r="Z578" s="156" t="n">
        <f aca="false">Z577+Z575</f>
        <v>2259</v>
      </c>
      <c r="AA578" s="399" t="n">
        <f aca="false">AA577+AA575</f>
        <v>2259</v>
      </c>
      <c r="AB578" s="156" t="n">
        <f aca="false">AB577+AB575</f>
        <v>2464.8</v>
      </c>
      <c r="AC578" s="156" t="n">
        <f aca="false">AC577+AC575</f>
        <v>2325.7</v>
      </c>
      <c r="AD578" s="156" t="n">
        <f aca="false">AD577+AD575</f>
        <v>2203.2</v>
      </c>
      <c r="AE578" s="156" t="n">
        <f aca="false">AE577+AE575</f>
        <v>3121.1</v>
      </c>
      <c r="AF578" s="399" t="n">
        <f aca="false">AF577+AF575</f>
        <v>3121.1</v>
      </c>
      <c r="AG578" s="156" t="n">
        <f aca="false">AG577+AG575</f>
        <v>2253</v>
      </c>
      <c r="AH578" s="156" t="n">
        <f aca="false">AH577+AH575</f>
        <v>1661.1</v>
      </c>
      <c r="AI578" s="156" t="n">
        <f aca="false">AI577+AI575</f>
        <v>1586.1</v>
      </c>
      <c r="AJ578" s="156" t="n">
        <f aca="false">AJ577+AJ575</f>
        <v>3532.3</v>
      </c>
      <c r="AK578" s="399" t="n">
        <f aca="false">AK577+AK575</f>
        <v>3532.3</v>
      </c>
      <c r="AL578" s="156" t="n">
        <f aca="false">AL577+AL575</f>
        <v>2723.7</v>
      </c>
      <c r="AM578" s="156" t="n">
        <f aca="false">AM577+AM575</f>
        <v>3499.1</v>
      </c>
      <c r="AN578" s="156" t="n">
        <f aca="false">AN577+AN575</f>
        <v>3531.5</v>
      </c>
      <c r="AO578" s="156" t="n">
        <f aca="false">AO577+AO575</f>
        <v>6049.4</v>
      </c>
      <c r="AP578" s="399" t="n">
        <f aca="false">AP577+AP575</f>
        <v>6049.4</v>
      </c>
      <c r="AQ578" s="156" t="n">
        <f aca="false">AQ577+AQ575</f>
        <v>3243.8</v>
      </c>
      <c r="AR578" s="156" t="n">
        <f aca="false">AR577+AR575</f>
        <v>5186.6</v>
      </c>
      <c r="AS578" s="156" t="n">
        <f aca="false">AS577+AS575</f>
        <v>4318.7</v>
      </c>
      <c r="AT578" s="156" t="n">
        <f aca="false">AT577+AT575</f>
        <v>6951.8</v>
      </c>
      <c r="AU578" s="399" t="n">
        <f aca="false">AU577+AU575</f>
        <v>6951.8</v>
      </c>
      <c r="AV578" s="156" t="n">
        <f aca="false">AV577+AV575</f>
        <v>4324.1</v>
      </c>
      <c r="AW578" s="156" t="n">
        <f aca="false">AW577+AW575</f>
        <v>4096.5</v>
      </c>
      <c r="AX578" s="156" t="n">
        <f aca="false">AX577+AX575</f>
        <v>3152.8</v>
      </c>
      <c r="AY578" s="156" t="n">
        <f aca="false">AY577+AY575</f>
        <v>7268.3</v>
      </c>
      <c r="AZ578" s="399" t="n">
        <f aca="false">AZ577+AZ575</f>
        <v>7268.3</v>
      </c>
      <c r="BA578" s="156" t="n">
        <f aca="false">BA577+BA575</f>
        <v>6647.7</v>
      </c>
      <c r="BB578" s="156" t="n">
        <f aca="false">BB577+BB575</f>
        <v>6341.3</v>
      </c>
      <c r="BC578" s="156" t="n">
        <f aca="false">BC577+BC575</f>
        <v>4975.5</v>
      </c>
      <c r="BD578" s="156" t="n">
        <f aca="false">BD577+BD575</f>
        <v>7004.7</v>
      </c>
      <c r="BE578" s="399" t="n">
        <f aca="false">BE577+BE575</f>
        <v>7004.7</v>
      </c>
      <c r="BF578" s="156" t="n">
        <f aca="false">BF577+BF575</f>
        <v>5100.8</v>
      </c>
      <c r="BG578" s="156" t="n">
        <f aca="false">BG577+BG575</f>
        <v>4813.6</v>
      </c>
      <c r="BH578" s="156" t="n">
        <f aca="false">BH577+BH575</f>
        <v>4979.3</v>
      </c>
      <c r="BI578" s="156" t="n">
        <f aca="false">BI577+BI575</f>
        <v>12735.9</v>
      </c>
      <c r="BJ578" s="399" t="n">
        <f aca="false">BJ577+BJ575</f>
        <v>12735.9</v>
      </c>
      <c r="BK578" s="156" t="n">
        <f aca="false">BK577+BK575</f>
        <v>9098.4</v>
      </c>
      <c r="BL578" s="156" t="n">
        <f aca="false">BL577+BL575</f>
        <v>7243.5</v>
      </c>
      <c r="BM578" s="156" t="n">
        <f aca="false">BM577+BM575</f>
        <v>5126.5</v>
      </c>
      <c r="BN578" s="156" t="n">
        <f aca="false">BN577+BN575</f>
        <v>12916</v>
      </c>
      <c r="BO578" s="400" t="n">
        <f aca="false">BO577+BO575</f>
        <v>12916</v>
      </c>
      <c r="BP578" s="268" t="n">
        <f aca="false">BP577+BP575</f>
        <v>16895.9522308287</v>
      </c>
      <c r="BQ578" s="268" t="n">
        <f aca="false">BQ577+BQ575</f>
        <v>18985.3165402904</v>
      </c>
      <c r="BR578" s="268" t="n">
        <f aca="false">BR577+BR575</f>
        <v>21249.9750095995</v>
      </c>
      <c r="BS578" s="268" t="n">
        <f aca="false">BS577+BS575</f>
        <v>22377.5590300503</v>
      </c>
      <c r="BT578" s="267" t="n">
        <f aca="false">BT577+BT575</f>
        <v>22377.5590300503</v>
      </c>
      <c r="BU578" s="268" t="n">
        <f aca="false">BU577+BU575</f>
        <v>26579.4936154714</v>
      </c>
      <c r="BV578" s="268" t="n">
        <f aca="false">BV577+BV575</f>
        <v>28944.508753916</v>
      </c>
      <c r="BW578" s="268" t="n">
        <f aca="false">BW577+BW575</f>
        <v>31388.1074980378</v>
      </c>
      <c r="BX578" s="268" t="n">
        <f aca="false">BX577+BX575</f>
        <v>32842.3283271572</v>
      </c>
      <c r="BY578" s="267" t="n">
        <f aca="false">BY577+BY575</f>
        <v>32842.3283271572</v>
      </c>
      <c r="BZ578" s="267" t="n">
        <f aca="false">BZ577+BZ575</f>
        <v>46780.3700058035</v>
      </c>
      <c r="CA578" s="267" t="n">
        <f aca="false">CA577+CA575</f>
        <v>60663.6947396154</v>
      </c>
      <c r="CB578" s="267" t="n">
        <f aca="false">CB577+CB575</f>
        <v>75570.8238265814</v>
      </c>
      <c r="CC578" s="156"/>
    </row>
    <row r="579" s="157" customFormat="true" ht="15" hidden="false" customHeight="true" outlineLevel="0" collapsed="false">
      <c r="A579" s="252"/>
      <c r="B579" s="266"/>
      <c r="C579" s="267"/>
      <c r="D579" s="267"/>
      <c r="E579" s="267"/>
      <c r="F579" s="267"/>
      <c r="G579" s="267"/>
      <c r="H579" s="268"/>
      <c r="I579" s="268"/>
      <c r="J579" s="268"/>
      <c r="K579" s="268"/>
      <c r="L579" s="267"/>
      <c r="M579" s="268"/>
      <c r="N579" s="268"/>
      <c r="O579" s="268"/>
      <c r="P579" s="268"/>
      <c r="Q579" s="267"/>
      <c r="R579" s="268"/>
      <c r="S579" s="268"/>
      <c r="T579" s="268"/>
      <c r="U579" s="268"/>
      <c r="V579" s="267"/>
      <c r="W579" s="268"/>
      <c r="X579" s="268"/>
      <c r="Y579" s="268"/>
      <c r="Z579" s="268"/>
      <c r="AA579" s="267"/>
      <c r="AB579" s="268"/>
      <c r="AC579" s="268"/>
      <c r="AD579" s="268"/>
      <c r="AE579" s="268"/>
      <c r="AF579" s="267"/>
      <c r="AG579" s="268"/>
      <c r="AH579" s="268"/>
      <c r="AI579" s="268"/>
      <c r="AJ579" s="268"/>
      <c r="AK579" s="267"/>
      <c r="AL579" s="268"/>
      <c r="AM579" s="268"/>
      <c r="AN579" s="268"/>
      <c r="AO579" s="268"/>
      <c r="AP579" s="267"/>
      <c r="AQ579" s="268"/>
      <c r="AR579" s="268"/>
      <c r="AS579" s="268"/>
      <c r="AT579" s="268"/>
      <c r="AU579" s="267"/>
      <c r="AV579" s="268"/>
      <c r="AW579" s="268"/>
      <c r="AX579" s="268"/>
      <c r="AY579" s="268"/>
      <c r="AZ579" s="267"/>
      <c r="BA579" s="268"/>
      <c r="BB579" s="268"/>
      <c r="BC579" s="268"/>
      <c r="BD579" s="268"/>
      <c r="BE579" s="267"/>
      <c r="BF579" s="268"/>
      <c r="BG579" s="268"/>
      <c r="BH579" s="268"/>
      <c r="BI579" s="268"/>
      <c r="BJ579" s="267"/>
      <c r="BK579" s="268"/>
      <c r="BL579" s="268"/>
      <c r="BM579" s="268"/>
      <c r="BN579" s="268"/>
      <c r="BO579" s="269"/>
      <c r="BP579" s="268"/>
      <c r="BQ579" s="268"/>
      <c r="BR579" s="268"/>
      <c r="BS579" s="268"/>
      <c r="BT579" s="267"/>
      <c r="BU579" s="268"/>
      <c r="BV579" s="268"/>
      <c r="BW579" s="268"/>
      <c r="BX579" s="268"/>
      <c r="BY579" s="267"/>
      <c r="BZ579" s="267"/>
      <c r="CA579" s="267"/>
      <c r="CB579" s="267"/>
      <c r="CC579" s="156"/>
    </row>
    <row r="580" s="51" customFormat="true" ht="15" hidden="false" customHeight="true" outlineLevel="0" collapsed="false">
      <c r="A580" s="416" t="s">
        <v>552</v>
      </c>
      <c r="B580" s="416"/>
      <c r="C580" s="417" t="n">
        <f aca="false">ROUND(C578-C625,6)</f>
        <v>0</v>
      </c>
      <c r="D580" s="417" t="n">
        <f aca="false">ROUND(D578-D625,6)</f>
        <v>0</v>
      </c>
      <c r="E580" s="417" t="n">
        <f aca="false">ROUND(E578-E625,6)</f>
        <v>0</v>
      </c>
      <c r="F580" s="417" t="n">
        <f aca="false">ROUND(F578-F625,6)</f>
        <v>0</v>
      </c>
      <c r="G580" s="417" t="n">
        <f aca="false">ROUND(G578-G625,6)</f>
        <v>0</v>
      </c>
      <c r="H580" s="417" t="n">
        <f aca="false">ROUND(H578-H625,6)</f>
        <v>0</v>
      </c>
      <c r="I580" s="417" t="n">
        <f aca="false">ROUND(I578-I625,6)</f>
        <v>0</v>
      </c>
      <c r="J580" s="417" t="n">
        <f aca="false">ROUND(J578-J625,6)</f>
        <v>0</v>
      </c>
      <c r="K580" s="417" t="n">
        <f aca="false">ROUND(K578-K625,6)</f>
        <v>0</v>
      </c>
      <c r="L580" s="417" t="n">
        <f aca="false">ROUND(L578-L625,6)</f>
        <v>0</v>
      </c>
      <c r="M580" s="417" t="n">
        <f aca="false">ROUND(M578-M625,6)</f>
        <v>0</v>
      </c>
      <c r="N580" s="417" t="n">
        <f aca="false">ROUND(N578-N625,6)</f>
        <v>0</v>
      </c>
      <c r="O580" s="417" t="n">
        <f aca="false">ROUND(O578-O625,6)</f>
        <v>0</v>
      </c>
      <c r="P580" s="417" t="n">
        <f aca="false">ROUND(P578-P625,6)</f>
        <v>0</v>
      </c>
      <c r="Q580" s="417" t="n">
        <f aca="false">ROUND(Q578-Q625,6)</f>
        <v>0</v>
      </c>
      <c r="R580" s="417" t="n">
        <f aca="false">ROUND(R578-R625,6)</f>
        <v>0</v>
      </c>
      <c r="S580" s="417" t="n">
        <f aca="false">ROUND(S578-S625,6)</f>
        <v>0</v>
      </c>
      <c r="T580" s="417" t="n">
        <f aca="false">ROUND(T578-T625,6)</f>
        <v>0</v>
      </c>
      <c r="U580" s="417" t="n">
        <f aca="false">ROUND(U578-U625,6)</f>
        <v>0</v>
      </c>
      <c r="V580" s="417" t="n">
        <f aca="false">ROUND(V578-V625,6)</f>
        <v>0</v>
      </c>
      <c r="W580" s="417" t="n">
        <f aca="false">ROUND(W578-W625,6)</f>
        <v>0</v>
      </c>
      <c r="X580" s="417" t="n">
        <f aca="false">ROUND(X578-X625,6)</f>
        <v>0</v>
      </c>
      <c r="Y580" s="417" t="n">
        <f aca="false">ROUND(Y578-Y625,6)</f>
        <v>0</v>
      </c>
      <c r="Z580" s="417" t="n">
        <f aca="false">ROUND(Z578-Z625,6)</f>
        <v>0</v>
      </c>
      <c r="AA580" s="417" t="n">
        <f aca="false">ROUND(AA578-AA625,6)</f>
        <v>0</v>
      </c>
      <c r="AB580" s="417" t="n">
        <f aca="false">ROUND(AB578-AB625,6)</f>
        <v>0</v>
      </c>
      <c r="AC580" s="417" t="n">
        <f aca="false">ROUND(AC578-AC625,6)</f>
        <v>0</v>
      </c>
      <c r="AD580" s="417" t="n">
        <f aca="false">ROUND(AD578-AD625,6)</f>
        <v>0</v>
      </c>
      <c r="AE580" s="417" t="n">
        <f aca="false">ROUND(AE578-AE625,6)</f>
        <v>0</v>
      </c>
      <c r="AF580" s="417" t="n">
        <f aca="false">ROUND(AF578-AF625,6)</f>
        <v>0</v>
      </c>
      <c r="AG580" s="417" t="n">
        <f aca="false">ROUND(AG578-AG625,6)</f>
        <v>0</v>
      </c>
      <c r="AH580" s="417" t="n">
        <f aca="false">ROUND(AH578-AH625,6)</f>
        <v>0</v>
      </c>
      <c r="AI580" s="417" t="n">
        <f aca="false">ROUND(AI578-AI625,6)</f>
        <v>0</v>
      </c>
      <c r="AJ580" s="417" t="n">
        <f aca="false">ROUND(AJ578-AJ625,6)</f>
        <v>0</v>
      </c>
      <c r="AK580" s="417" t="n">
        <f aca="false">ROUND(AK578-AK625,6)</f>
        <v>0</v>
      </c>
      <c r="AL580" s="417" t="n">
        <f aca="false">ROUND(AL578-AL625,6)</f>
        <v>0</v>
      </c>
      <c r="AM580" s="417" t="n">
        <f aca="false">ROUND(AM578-AM625,6)</f>
        <v>0</v>
      </c>
      <c r="AN580" s="417" t="n">
        <f aca="false">ROUND(AN578-AN625,6)</f>
        <v>0</v>
      </c>
      <c r="AO580" s="417" t="n">
        <f aca="false">ROUND(AO578-AO625,6)</f>
        <v>0</v>
      </c>
      <c r="AP580" s="417" t="n">
        <f aca="false">ROUND(AP578-AP625,6)</f>
        <v>0</v>
      </c>
      <c r="AQ580" s="417" t="n">
        <f aca="false">ROUND(AQ578-AQ625,6)</f>
        <v>0</v>
      </c>
      <c r="AR580" s="417" t="n">
        <f aca="false">ROUND(AR578-AR625,6)</f>
        <v>0</v>
      </c>
      <c r="AS580" s="417" t="n">
        <f aca="false">ROUND(AS578-AS625,6)</f>
        <v>0</v>
      </c>
      <c r="AT580" s="417" t="n">
        <f aca="false">ROUND(AT578-AT625,6)</f>
        <v>0</v>
      </c>
      <c r="AU580" s="417" t="n">
        <f aca="false">ROUND(AU578-AU625,6)</f>
        <v>0</v>
      </c>
      <c r="AV580" s="417" t="n">
        <f aca="false">ROUND(AV578-AV625,6)</f>
        <v>0</v>
      </c>
      <c r="AW580" s="417" t="n">
        <f aca="false">ROUND(AW578-AW625,6)</f>
        <v>0</v>
      </c>
      <c r="AX580" s="417" t="n">
        <f aca="false">ROUND(AX578-AX625,6)</f>
        <v>0</v>
      </c>
      <c r="AY580" s="417" t="n">
        <f aca="false">ROUND(AY578-AY625,6)</f>
        <v>0</v>
      </c>
      <c r="AZ580" s="417" t="n">
        <f aca="false">ROUND(AZ578-AZ625,6)</f>
        <v>0</v>
      </c>
      <c r="BA580" s="417" t="n">
        <f aca="false">ROUND(BA578-BA625,6)</f>
        <v>0</v>
      </c>
      <c r="BB580" s="417" t="n">
        <f aca="false">ROUND(BB578-BB625,6)</f>
        <v>0</v>
      </c>
      <c r="BC580" s="417" t="n">
        <f aca="false">ROUND(BC578-BC625,6)</f>
        <v>0</v>
      </c>
      <c r="BD580" s="417" t="n">
        <f aca="false">ROUND(BD578-BD625,6)</f>
        <v>0</v>
      </c>
      <c r="BE580" s="417" t="n">
        <f aca="false">ROUND(BE578-BE625,6)</f>
        <v>0</v>
      </c>
      <c r="BF580" s="417" t="n">
        <f aca="false">ROUND(BF578-BF625,6)</f>
        <v>0</v>
      </c>
      <c r="BG580" s="417" t="n">
        <f aca="false">ROUND(BG578-BG625,6)</f>
        <v>0</v>
      </c>
      <c r="BH580" s="417" t="n">
        <f aca="false">ROUND(BH578-BH625,6)</f>
        <v>0</v>
      </c>
      <c r="BI580" s="417" t="n">
        <f aca="false">ROUND(BI578-BI625,6)</f>
        <v>0</v>
      </c>
      <c r="BJ580" s="417" t="n">
        <f aca="false">ROUND(BJ578-BJ625,6)</f>
        <v>0</v>
      </c>
      <c r="BK580" s="417" t="n">
        <f aca="false">ROUND(BK578-BK625,6)</f>
        <v>0</v>
      </c>
      <c r="BL580" s="417" t="n">
        <f aca="false">ROUND(BL578-BL625,6)</f>
        <v>0</v>
      </c>
      <c r="BM580" s="417" t="n">
        <f aca="false">ROUND(BM578-BM625,6)</f>
        <v>0</v>
      </c>
      <c r="BN580" s="417" t="n">
        <f aca="false">ROUND(BN578-BN625,6)</f>
        <v>0</v>
      </c>
      <c r="BO580" s="418" t="n">
        <f aca="false">ROUND(BO578-BO625,6)</f>
        <v>0</v>
      </c>
      <c r="BP580" s="417" t="n">
        <f aca="false">ROUND(BP578-BP625,6)</f>
        <v>0</v>
      </c>
      <c r="BQ580" s="417" t="n">
        <f aca="false">ROUND(BQ578-BQ625,6)</f>
        <v>0</v>
      </c>
      <c r="BR580" s="417" t="n">
        <f aca="false">ROUND(BR578-BR625,6)</f>
        <v>0</v>
      </c>
      <c r="BS580" s="417" t="n">
        <f aca="false">ROUND(BS578-BS625,6)</f>
        <v>0</v>
      </c>
      <c r="BT580" s="417" t="n">
        <f aca="false">ROUND(BT578-BT625,6)</f>
        <v>0</v>
      </c>
      <c r="BU580" s="417" t="n">
        <f aca="false">ROUND(BU578-BU625,6)</f>
        <v>0</v>
      </c>
      <c r="BV580" s="417" t="n">
        <f aca="false">ROUND(BV578-BV625,6)</f>
        <v>0</v>
      </c>
      <c r="BW580" s="417" t="n">
        <f aca="false">ROUND(BW578-BW625,6)</f>
        <v>0</v>
      </c>
      <c r="BX580" s="417" t="n">
        <f aca="false">ROUND(BX578-BX625,6)</f>
        <v>0</v>
      </c>
      <c r="BY580" s="417" t="n">
        <f aca="false">ROUND(BY578-BY625,6)</f>
        <v>0</v>
      </c>
      <c r="BZ580" s="417" t="n">
        <f aca="false">ROUND(BZ578-BZ625,6)</f>
        <v>0</v>
      </c>
      <c r="CA580" s="417" t="n">
        <f aca="false">ROUND(CA578-CA625,6)</f>
        <v>0</v>
      </c>
      <c r="CB580" s="417" t="n">
        <f aca="false">ROUND(CB578-CB625,6)</f>
        <v>0</v>
      </c>
      <c r="CC580" s="50"/>
    </row>
    <row r="581" s="157" customFormat="true" ht="15" hidden="false" customHeight="true" outlineLevel="0" collapsed="false">
      <c r="A581" s="252"/>
      <c r="B581" s="266"/>
      <c r="C581" s="267"/>
      <c r="D581" s="267"/>
      <c r="E581" s="267"/>
      <c r="F581" s="267"/>
      <c r="G581" s="267"/>
      <c r="H581" s="268"/>
      <c r="I581" s="268"/>
      <c r="J581" s="268"/>
      <c r="K581" s="268"/>
      <c r="L581" s="267"/>
      <c r="M581" s="268"/>
      <c r="N581" s="268"/>
      <c r="O581" s="268"/>
      <c r="P581" s="268"/>
      <c r="Q581" s="267"/>
      <c r="R581" s="268"/>
      <c r="S581" s="268"/>
      <c r="T581" s="268"/>
      <c r="U581" s="268"/>
      <c r="V581" s="267"/>
      <c r="W581" s="268"/>
      <c r="X581" s="268"/>
      <c r="Y581" s="268"/>
      <c r="Z581" s="268"/>
      <c r="AA581" s="267"/>
      <c r="AB581" s="268"/>
      <c r="AC581" s="268"/>
      <c r="AD581" s="268"/>
      <c r="AE581" s="268"/>
      <c r="AF581" s="267"/>
      <c r="AG581" s="268"/>
      <c r="AH581" s="268"/>
      <c r="AI581" s="268"/>
      <c r="AJ581" s="268"/>
      <c r="AK581" s="267"/>
      <c r="AL581" s="268"/>
      <c r="AM581" s="268"/>
      <c r="AN581" s="268"/>
      <c r="AO581" s="268"/>
      <c r="AP581" s="267"/>
      <c r="AQ581" s="268"/>
      <c r="AR581" s="268"/>
      <c r="AS581" s="268"/>
      <c r="AT581" s="268"/>
      <c r="AU581" s="267"/>
      <c r="AV581" s="268"/>
      <c r="AW581" s="268"/>
      <c r="AX581" s="268"/>
      <c r="AY581" s="268"/>
      <c r="AZ581" s="267"/>
      <c r="BA581" s="268"/>
      <c r="BB581" s="268"/>
      <c r="BC581" s="268"/>
      <c r="BD581" s="268"/>
      <c r="BE581" s="267"/>
      <c r="BF581" s="268"/>
      <c r="BG581" s="268"/>
      <c r="BH581" s="268"/>
      <c r="BI581" s="268"/>
      <c r="BJ581" s="267"/>
      <c r="BK581" s="268"/>
      <c r="BL581" s="268"/>
      <c r="BM581" s="268"/>
      <c r="BN581" s="268"/>
      <c r="BO581" s="269"/>
      <c r="BP581" s="268"/>
      <c r="BQ581" s="268"/>
      <c r="BR581" s="268"/>
      <c r="BS581" s="268"/>
      <c r="BT581" s="267"/>
      <c r="BU581" s="268"/>
      <c r="BV581" s="268"/>
      <c r="BW581" s="268"/>
      <c r="BX581" s="268"/>
      <c r="BY581" s="267"/>
      <c r="BZ581" s="267"/>
      <c r="CA581" s="267"/>
      <c r="CB581" s="267"/>
      <c r="CC581" s="156"/>
    </row>
    <row r="582" s="157" customFormat="true" ht="15" hidden="false" customHeight="true" outlineLevel="0" collapsed="false">
      <c r="A582" s="562" t="s">
        <v>553</v>
      </c>
      <c r="B582" s="563"/>
      <c r="C582" s="564"/>
      <c r="D582" s="564"/>
      <c r="E582" s="564"/>
      <c r="F582" s="564"/>
      <c r="G582" s="564"/>
      <c r="H582" s="564"/>
      <c r="I582" s="564"/>
      <c r="J582" s="564"/>
      <c r="K582" s="564"/>
      <c r="L582" s="564"/>
      <c r="M582" s="564"/>
      <c r="N582" s="564"/>
      <c r="O582" s="564"/>
      <c r="P582" s="564"/>
      <c r="Q582" s="564"/>
      <c r="R582" s="564"/>
      <c r="S582" s="564"/>
      <c r="T582" s="564"/>
      <c r="U582" s="564"/>
      <c r="V582" s="564"/>
      <c r="W582" s="564"/>
      <c r="X582" s="564"/>
      <c r="Y582" s="564"/>
      <c r="Z582" s="564"/>
      <c r="AA582" s="564"/>
      <c r="AB582" s="564"/>
      <c r="AC582" s="564"/>
      <c r="AD582" s="564"/>
      <c r="AE582" s="564"/>
      <c r="AF582" s="564"/>
      <c r="AG582" s="564"/>
      <c r="AH582" s="564"/>
      <c r="AI582" s="564"/>
      <c r="AJ582" s="564"/>
      <c r="AK582" s="564"/>
      <c r="AL582" s="564"/>
      <c r="AM582" s="564"/>
      <c r="AN582" s="564"/>
      <c r="AO582" s="564"/>
      <c r="AP582" s="564"/>
      <c r="AQ582" s="564"/>
      <c r="AR582" s="564"/>
      <c r="AS582" s="564"/>
      <c r="AT582" s="564"/>
      <c r="AU582" s="564"/>
      <c r="AV582" s="564"/>
      <c r="AW582" s="564"/>
      <c r="AX582" s="564"/>
      <c r="AY582" s="564"/>
      <c r="AZ582" s="564"/>
      <c r="BA582" s="564"/>
      <c r="BB582" s="564"/>
      <c r="BC582" s="564"/>
      <c r="BD582" s="564"/>
      <c r="BE582" s="564"/>
      <c r="BF582" s="564"/>
      <c r="BG582" s="564"/>
      <c r="BH582" s="564"/>
      <c r="BI582" s="564"/>
      <c r="BJ582" s="564"/>
      <c r="BK582" s="564"/>
      <c r="BL582" s="564"/>
      <c r="BM582" s="564"/>
      <c r="BN582" s="564"/>
      <c r="BO582" s="565"/>
      <c r="BP582" s="564"/>
      <c r="BQ582" s="564"/>
      <c r="BR582" s="564"/>
      <c r="BS582" s="564"/>
      <c r="BT582" s="564"/>
      <c r="BU582" s="564"/>
      <c r="BV582" s="564"/>
      <c r="BW582" s="564"/>
      <c r="BX582" s="564"/>
      <c r="BY582" s="564"/>
      <c r="BZ582" s="564"/>
      <c r="CA582" s="564"/>
      <c r="CB582" s="564"/>
      <c r="CC582" s="156"/>
    </row>
    <row r="583" s="157" customFormat="true" ht="15" hidden="false" customHeight="true" outlineLevel="0" collapsed="false">
      <c r="A583" s="252" t="s">
        <v>554</v>
      </c>
      <c r="B583" s="266"/>
      <c r="C583" s="223"/>
      <c r="D583" s="223" t="n">
        <f aca="false">C587</f>
        <v>655.36</v>
      </c>
      <c r="E583" s="223" t="n">
        <f aca="false">D587</f>
        <v>745.331</v>
      </c>
      <c r="F583" s="223" t="n">
        <f aca="false">E587</f>
        <v>1053.61</v>
      </c>
      <c r="G583" s="223" t="n">
        <f aca="false">F587</f>
        <v>1029.923</v>
      </c>
      <c r="H583" s="224" t="n">
        <f aca="false">G587</f>
        <v>1217.84</v>
      </c>
      <c r="I583" s="224" t="n">
        <f aca="false">H587</f>
        <v>1231.2</v>
      </c>
      <c r="J583" s="224" t="n">
        <f aca="false">I587</f>
        <v>1275.1</v>
      </c>
      <c r="K583" s="224" t="n">
        <f aca="false">J587</f>
        <v>1372.4</v>
      </c>
      <c r="L583" s="223" t="n">
        <f aca="false">G587</f>
        <v>1217.84</v>
      </c>
      <c r="M583" s="224" t="n">
        <f aca="false">L587</f>
        <v>1447.523</v>
      </c>
      <c r="N583" s="224" t="n">
        <f aca="false">M587</f>
        <v>1523.4</v>
      </c>
      <c r="O583" s="224" t="n">
        <f aca="false">N587</f>
        <v>1518.9</v>
      </c>
      <c r="P583" s="224" t="n">
        <f aca="false">O587</f>
        <v>1532.6</v>
      </c>
      <c r="Q583" s="223" t="n">
        <f aca="false">L587</f>
        <v>1447.523</v>
      </c>
      <c r="R583" s="224" t="n">
        <f aca="false">Q587</f>
        <v>1620.678</v>
      </c>
      <c r="S583" s="224" t="n">
        <f aca="false">R587</f>
        <v>1580.3</v>
      </c>
      <c r="T583" s="224" t="n">
        <f aca="false">S587</f>
        <v>1608.9</v>
      </c>
      <c r="U583" s="224" t="n">
        <f aca="false">T587</f>
        <v>1587.4</v>
      </c>
      <c r="V583" s="223" t="n">
        <f aca="false">Q587</f>
        <v>1620.678</v>
      </c>
      <c r="W583" s="224" t="n">
        <f aca="false">V587</f>
        <v>1687.2</v>
      </c>
      <c r="X583" s="224" t="n">
        <f aca="false">W587</f>
        <v>1622.4</v>
      </c>
      <c r="Y583" s="224" t="n">
        <f aca="false">X587</f>
        <v>1567.3</v>
      </c>
      <c r="Z583" s="224" t="n">
        <f aca="false">Y587</f>
        <v>1552</v>
      </c>
      <c r="AA583" s="223" t="n">
        <f aca="false">V587</f>
        <v>1687.2</v>
      </c>
      <c r="AB583" s="224" t="n">
        <f aca="false">AA587</f>
        <v>1600.8</v>
      </c>
      <c r="AC583" s="224" t="n">
        <f aca="false">AB587</f>
        <v>1559.5</v>
      </c>
      <c r="AD583" s="224" t="n">
        <f aca="false">AC587</f>
        <v>1584.6</v>
      </c>
      <c r="AE583" s="224" t="n">
        <f aca="false">AD587</f>
        <v>1572.4</v>
      </c>
      <c r="AF583" s="223" t="n">
        <f aca="false">AA587</f>
        <v>1600.8</v>
      </c>
      <c r="AG583" s="224" t="n">
        <f aca="false">AF587</f>
        <v>1589.5</v>
      </c>
      <c r="AH583" s="224" t="n">
        <f aca="false">AG587</f>
        <v>1621.8</v>
      </c>
      <c r="AI583" s="224" t="n">
        <f aca="false">AH587</f>
        <v>1669.8</v>
      </c>
      <c r="AJ583" s="224" t="n">
        <f aca="false">AI587</f>
        <v>1817.9</v>
      </c>
      <c r="AK583" s="223" t="n">
        <f aca="false">AF587</f>
        <v>1589.5</v>
      </c>
      <c r="AL583" s="224" t="n">
        <f aca="false">AK587</f>
        <v>1999.3</v>
      </c>
      <c r="AM583" s="224" t="n">
        <f aca="false">AL587</f>
        <v>2046.9</v>
      </c>
      <c r="AN583" s="224" t="n">
        <f aca="false">AM587</f>
        <v>2109.6</v>
      </c>
      <c r="AO583" s="224" t="n">
        <f aca="false">AN587</f>
        <v>2198.3</v>
      </c>
      <c r="AP583" s="223" t="n">
        <f aca="false">AK587</f>
        <v>1999.3</v>
      </c>
      <c r="AQ583" s="224" t="n">
        <f aca="false">AP587</f>
        <v>2470.3</v>
      </c>
      <c r="AR583" s="224" t="n">
        <f aca="false">AQ587</f>
        <v>2521.6</v>
      </c>
      <c r="AS583" s="224" t="n">
        <f aca="false">AR587</f>
        <v>2609.4</v>
      </c>
      <c r="AT583" s="224" t="n">
        <f aca="false">AS587</f>
        <v>2730.3</v>
      </c>
      <c r="AU583" s="223" t="n">
        <f aca="false">AP587</f>
        <v>2470.3</v>
      </c>
      <c r="AV583" s="224" t="n">
        <f aca="false">AU587</f>
        <v>2982.7</v>
      </c>
      <c r="AW583" s="224" t="n">
        <f aca="false">AV587</f>
        <v>3159.4</v>
      </c>
      <c r="AX583" s="224" t="n">
        <f aca="false">AW587</f>
        <v>3357.7</v>
      </c>
      <c r="AY583" s="224" t="n">
        <f aca="false">AX587</f>
        <v>3561.7</v>
      </c>
      <c r="AZ583" s="223" t="n">
        <f aca="false">AU587</f>
        <v>2982.7</v>
      </c>
      <c r="BA583" s="224" t="n">
        <f aca="false">AZ587</f>
        <v>3944.2</v>
      </c>
      <c r="BB583" s="224" t="n">
        <f aca="false">BA587</f>
        <v>4354.8</v>
      </c>
      <c r="BC583" s="224" t="n">
        <f aca="false">BB587</f>
        <v>4727.9</v>
      </c>
      <c r="BD583" s="224" t="n">
        <f aca="false">BC587</f>
        <v>5093.2</v>
      </c>
      <c r="BE583" s="223" t="n">
        <f aca="false">AZ587</f>
        <v>3944.2</v>
      </c>
      <c r="BF583" s="224" t="n">
        <f aca="false">BE587</f>
        <v>5493.2</v>
      </c>
      <c r="BG583" s="224" t="n">
        <f aca="false">BF587</f>
        <v>5841.4</v>
      </c>
      <c r="BH583" s="224" t="n">
        <f aca="false">BG587</f>
        <v>6084</v>
      </c>
      <c r="BI583" s="224" t="n">
        <f aca="false">BH587</f>
        <v>6211.9</v>
      </c>
      <c r="BJ583" s="223" t="n">
        <f aca="false">BE587</f>
        <v>5493.2</v>
      </c>
      <c r="BK583" s="224" t="n">
        <f aca="false">BJ587</f>
        <v>6846.8</v>
      </c>
      <c r="BL583" s="224" t="n">
        <f aca="false">BK587</f>
        <v>7152.9</v>
      </c>
      <c r="BM583" s="224" t="n">
        <f aca="false">BL587</f>
        <v>7296</v>
      </c>
      <c r="BN583" s="224" t="n">
        <f aca="false">BM587</f>
        <v>7681.2</v>
      </c>
      <c r="BO583" s="225" t="n">
        <f aca="false">BJ587</f>
        <v>6846.8</v>
      </c>
      <c r="BP583" s="224" t="n">
        <f aca="false">BO587</f>
        <v>7893.8</v>
      </c>
      <c r="BQ583" s="224" t="n">
        <f aca="false">BP587</f>
        <v>7747.93669863014</v>
      </c>
      <c r="BR583" s="224" t="n">
        <f aca="false">BQ587</f>
        <v>7604.1368670122</v>
      </c>
      <c r="BS583" s="224" t="n">
        <f aca="false">BR587</f>
        <v>7462.43958523928</v>
      </c>
      <c r="BT583" s="223" t="n">
        <f aca="false">BO587</f>
        <v>7893.8</v>
      </c>
      <c r="BU583" s="224" t="n">
        <f aca="false">BT587</f>
        <v>7325.74247056015</v>
      </c>
      <c r="BV583" s="224" t="n">
        <f aca="false">BU587</f>
        <v>7199.48882637095</v>
      </c>
      <c r="BW583" s="224" t="n">
        <f aca="false">BV587</f>
        <v>7074.83207939022</v>
      </c>
      <c r="BX583" s="224" t="n">
        <f aca="false">BW587</f>
        <v>6951.81273094489</v>
      </c>
      <c r="BY583" s="223" t="n">
        <f aca="false">BT587</f>
        <v>7325.74247056015</v>
      </c>
      <c r="BZ583" s="223" t="n">
        <f aca="false">BY587</f>
        <v>6833.13444882278</v>
      </c>
      <c r="CA583" s="223" t="n">
        <f aca="false">BZ587</f>
        <v>6458.49562598759</v>
      </c>
      <c r="CB583" s="223" t="n">
        <f aca="false">CA587</f>
        <v>6136.30623834933</v>
      </c>
      <c r="CC583" s="156"/>
    </row>
    <row r="584" s="157" customFormat="true" ht="15" hidden="false" customHeight="true" outlineLevel="0" collapsed="false">
      <c r="A584" s="145" t="s">
        <v>555</v>
      </c>
      <c r="B584" s="254"/>
      <c r="C584" s="147"/>
      <c r="D584" s="147" t="n">
        <f aca="false">-D107</f>
        <v>-144.6</v>
      </c>
      <c r="E584" s="147" t="n">
        <f aca="false">-E107</f>
        <v>-158</v>
      </c>
      <c r="F584" s="147" t="n">
        <f aca="false">-F107</f>
        <v>-179.3</v>
      </c>
      <c r="G584" s="147" t="n">
        <f aca="false">-G107</f>
        <v>-197.1</v>
      </c>
      <c r="H584" s="149" t="n">
        <f aca="false">-H107</f>
        <v>-53.414</v>
      </c>
      <c r="I584" s="149" t="n">
        <f aca="false">-I107</f>
        <v>-55.714</v>
      </c>
      <c r="J584" s="149" t="n">
        <f aca="false">-J107</f>
        <v>-49.114</v>
      </c>
      <c r="K584" s="149" t="n">
        <f aca="false">-K107</f>
        <v>-51.258</v>
      </c>
      <c r="L584" s="147" t="n">
        <f aca="false">-L107</f>
        <v>-209.5</v>
      </c>
      <c r="M584" s="149" t="n">
        <f aca="false">-M107</f>
        <v>-52.629</v>
      </c>
      <c r="N584" s="149" t="n">
        <f aca="false">-N107</f>
        <v>-59.329</v>
      </c>
      <c r="O584" s="149" t="n">
        <f aca="false">-O107</f>
        <v>-64.029</v>
      </c>
      <c r="P584" s="149" t="n">
        <f aca="false">-P107</f>
        <v>-67.013</v>
      </c>
      <c r="Q584" s="147" t="n">
        <f aca="false">-Q107</f>
        <v>-243</v>
      </c>
      <c r="R584" s="149" t="n">
        <f aca="false">-R107</f>
        <v>-65.475</v>
      </c>
      <c r="S584" s="149" t="n">
        <f aca="false">-S107</f>
        <v>-67.575</v>
      </c>
      <c r="T584" s="149" t="n">
        <f aca="false">-T107</f>
        <v>-71.175</v>
      </c>
      <c r="U584" s="149" t="n">
        <f aca="false">-U107</f>
        <v>-86.575</v>
      </c>
      <c r="V584" s="147" t="n">
        <f aca="false">-V107</f>
        <v>-290.8</v>
      </c>
      <c r="W584" s="149" t="n">
        <f aca="false">-W107</f>
        <v>-82.775</v>
      </c>
      <c r="X584" s="149" t="n">
        <f aca="false">-X107</f>
        <v>-76.575</v>
      </c>
      <c r="Y584" s="149" t="n">
        <f aca="false">-Y107</f>
        <v>-73.875</v>
      </c>
      <c r="Z584" s="149" t="n">
        <f aca="false">-Z107</f>
        <v>-74.975</v>
      </c>
      <c r="AA584" s="147" t="n">
        <f aca="false">-AA107</f>
        <v>-308.2</v>
      </c>
      <c r="AB584" s="149" t="n">
        <f aca="false">-AB107</f>
        <v>-75.775</v>
      </c>
      <c r="AC584" s="149" t="n">
        <f aca="false">-AC107</f>
        <v>-72.875</v>
      </c>
      <c r="AD584" s="149" t="n">
        <f aca="false">-AD107</f>
        <v>-83.175</v>
      </c>
      <c r="AE584" s="149" t="n">
        <f aca="false">-AE107</f>
        <v>-83.575</v>
      </c>
      <c r="AF584" s="147" t="n">
        <f aca="false">-AF107</f>
        <v>-315.4</v>
      </c>
      <c r="AG584" s="149" t="n">
        <f aca="false">-AG107</f>
        <v>-74</v>
      </c>
      <c r="AH584" s="149" t="n">
        <f aca="false">-AH107</f>
        <v>-77.6</v>
      </c>
      <c r="AI584" s="149" t="n">
        <f aca="false">-AI107</f>
        <v>-81.6000000000001</v>
      </c>
      <c r="AJ584" s="149" t="n">
        <f aca="false">-AJ107</f>
        <v>-92.1</v>
      </c>
      <c r="AK584" s="147" t="n">
        <f aca="false">-AK107</f>
        <v>-325.3</v>
      </c>
      <c r="AL584" s="149" t="n">
        <f aca="false">-AL107</f>
        <v>-83.525</v>
      </c>
      <c r="AM584" s="149" t="n">
        <f aca="false">-AM107</f>
        <v>-90.325</v>
      </c>
      <c r="AN584" s="149" t="n">
        <f aca="false">-AN107</f>
        <v>-87.225</v>
      </c>
      <c r="AO584" s="149" t="n">
        <f aca="false">-AO107</f>
        <v>-90.625</v>
      </c>
      <c r="AP584" s="147" t="n">
        <f aca="false">-AP107</f>
        <v>-351.7</v>
      </c>
      <c r="AQ584" s="149" t="n">
        <f aca="false">-AQ107</f>
        <v>-80.55</v>
      </c>
      <c r="AR584" s="149" t="n">
        <f aca="false">-AR107</f>
        <v>-75.35</v>
      </c>
      <c r="AS584" s="149" t="n">
        <f aca="false">-AS107</f>
        <v>-78.85</v>
      </c>
      <c r="AT584" s="149" t="n">
        <f aca="false">-AT107</f>
        <v>-86.85</v>
      </c>
      <c r="AU584" s="147" t="n">
        <f aca="false">-AU107</f>
        <v>-321.6</v>
      </c>
      <c r="AV584" s="149" t="n">
        <f aca="false">-AV107</f>
        <v>-96.4</v>
      </c>
      <c r="AW584" s="149" t="n">
        <f aca="false">-AW107</f>
        <v>-96.9</v>
      </c>
      <c r="AX584" s="149" t="n">
        <f aca="false">-AX107</f>
        <v>-103.3</v>
      </c>
      <c r="AY584" s="149" t="n">
        <f aca="false">-AY107</f>
        <v>-148.6</v>
      </c>
      <c r="AZ584" s="147" t="n">
        <f aca="false">-AZ107</f>
        <v>-445.2</v>
      </c>
      <c r="BA584" s="149" t="n">
        <f aca="false">-BA107</f>
        <v>-136.75</v>
      </c>
      <c r="BB584" s="149" t="n">
        <f aca="false">-BB107</f>
        <v>-147.65</v>
      </c>
      <c r="BC584" s="149" t="n">
        <f aca="false">-BC107</f>
        <v>-142.65</v>
      </c>
      <c r="BD584" s="149" t="n">
        <f aca="false">-BD107</f>
        <v>-178.55</v>
      </c>
      <c r="BE584" s="147" t="n">
        <f aca="false">-BE107</f>
        <v>-605.6</v>
      </c>
      <c r="BF584" s="149" t="n">
        <f aca="false">-BF107</f>
        <v>-181.575</v>
      </c>
      <c r="BG584" s="149" t="n">
        <f aca="false">-BG107</f>
        <v>-194.675</v>
      </c>
      <c r="BH584" s="149" t="n">
        <f aca="false">-BH107</f>
        <v>-202.875</v>
      </c>
      <c r="BI584" s="149" t="n">
        <f aca="false">-BI107</f>
        <v>-208.175</v>
      </c>
      <c r="BJ584" s="147" t="n">
        <f aca="false">-BJ107</f>
        <v>-787.3</v>
      </c>
      <c r="BK584" s="149" t="n">
        <f aca="false">-BK107</f>
        <v>-209.8</v>
      </c>
      <c r="BL584" s="149" t="n">
        <f aca="false">-BL107</f>
        <v>-223.4</v>
      </c>
      <c r="BM584" s="149" t="n">
        <f aca="false">-BM107</f>
        <v>-243.1</v>
      </c>
      <c r="BN584" s="149" t="n">
        <f aca="false">-BN107</f>
        <v>-223.6</v>
      </c>
      <c r="BO584" s="150" t="n">
        <f aca="false">-BO107</f>
        <v>-899.9</v>
      </c>
      <c r="BP584" s="149" t="n">
        <f aca="false">-BP583*BP595*BP3/BT3</f>
        <v>-272.498301369863</v>
      </c>
      <c r="BQ584" s="149" t="n">
        <f aca="false">-BQ583*BQ595*BQ3/BT3</f>
        <v>-270.43483161794</v>
      </c>
      <c r="BR584" s="149" t="n">
        <f aca="false">-BR583*BR595*BR3/BT3</f>
        <v>-268.332281772924</v>
      </c>
      <c r="BS584" s="149" t="n">
        <f aca="false">-BS583*BS595*BS3/BT3</f>
        <v>-263.332114679128</v>
      </c>
      <c r="BT584" s="147" t="n">
        <f aca="false">IF(OR(ISBLANK(BP584),ISBLANK(BQ584),ISBLANK(BR584),ISBLANK(BS584)),"n/a",SUM(BP584,BQ584,BR584,BS584))</f>
        <v>-1074.59752943985</v>
      </c>
      <c r="BU584" s="149" t="n">
        <f aca="false">-BU583*BU595*BU3/BY3</f>
        <v>-252.8886441892</v>
      </c>
      <c r="BV584" s="149" t="n">
        <f aca="false">-BV583*BV595*BV3/BY3</f>
        <v>-251.291746980728</v>
      </c>
      <c r="BW584" s="149" t="n">
        <f aca="false">-BW583*BW595*BW3/BY3</f>
        <v>-249.654348445332</v>
      </c>
      <c r="BX584" s="149" t="n">
        <f aca="false">-BX583*BX595*BX3/BY3</f>
        <v>-245.31328212211</v>
      </c>
      <c r="BY584" s="147" t="n">
        <f aca="false">IF(OR(ISBLANK(BU584),ISBLANK(BV584),ISBLANK(BW584),ISBLANK(BX584)),"n/a",SUM(BU584,BV584,BW584,BX584))</f>
        <v>-999.14802173737</v>
      </c>
      <c r="BZ584" s="147" t="n">
        <f aca="false">-BZ583*BZ595</f>
        <v>-956.638822835189</v>
      </c>
      <c r="CA584" s="147" t="n">
        <f aca="false">-CA583*CA595</f>
        <v>-904.189387638263</v>
      </c>
      <c r="CB584" s="147" t="n">
        <f aca="false">-CB583*CB595</f>
        <v>-859.082873368906</v>
      </c>
      <c r="CC584" s="156"/>
    </row>
    <row r="585" s="157" customFormat="true" ht="15" hidden="false" customHeight="true" outlineLevel="0" collapsed="false">
      <c r="A585" s="145" t="s">
        <v>556</v>
      </c>
      <c r="B585" s="254"/>
      <c r="C585" s="147"/>
      <c r="D585" s="147" t="n">
        <f aca="false">-D549</f>
        <v>128.728</v>
      </c>
      <c r="E585" s="147" t="n">
        <f aca="false">-E549</f>
        <v>300.898</v>
      </c>
      <c r="F585" s="147" t="n">
        <f aca="false">-F549</f>
        <v>171.878</v>
      </c>
      <c r="G585" s="147" t="n">
        <f aca="false">-G549</f>
        <v>210.804</v>
      </c>
      <c r="H585" s="149" t="n">
        <f aca="false">-H549</f>
        <v>75.5</v>
      </c>
      <c r="I585" s="149" t="n">
        <f aca="false">-I549</f>
        <v>70.7</v>
      </c>
      <c r="J585" s="149" t="n">
        <f aca="false">-J549</f>
        <v>84.2</v>
      </c>
      <c r="K585" s="149" t="n">
        <f aca="false">-K549</f>
        <v>127.88</v>
      </c>
      <c r="L585" s="147" t="n">
        <f aca="false">-L549</f>
        <v>358.28</v>
      </c>
      <c r="M585" s="149" t="n">
        <f aca="false">-M549</f>
        <v>85.6</v>
      </c>
      <c r="N585" s="149" t="n">
        <f aca="false">-N549</f>
        <v>79.2</v>
      </c>
      <c r="O585" s="149" t="n">
        <f aca="false">-O549</f>
        <v>86.5</v>
      </c>
      <c r="P585" s="149" t="n">
        <f aca="false">-P549</f>
        <v>120.47</v>
      </c>
      <c r="Q585" s="147" t="n">
        <f aca="false">-Q549</f>
        <v>371.77</v>
      </c>
      <c r="R585" s="149" t="n">
        <f aca="false">-R549</f>
        <v>55.2</v>
      </c>
      <c r="S585" s="149" t="n">
        <f aca="false">-S549</f>
        <v>98.9</v>
      </c>
      <c r="T585" s="149" t="n">
        <f aca="false">-T549</f>
        <v>66.3</v>
      </c>
      <c r="U585" s="149" t="n">
        <f aca="false">-U549</f>
        <v>95.9</v>
      </c>
      <c r="V585" s="147" t="n">
        <f aca="false">-V549</f>
        <v>316.3</v>
      </c>
      <c r="W585" s="149" t="n">
        <f aca="false">-W549</f>
        <v>38.6</v>
      </c>
      <c r="X585" s="149" t="n">
        <f aca="false">-X549</f>
        <v>56.3</v>
      </c>
      <c r="Y585" s="149" t="n">
        <f aca="false">-Y549</f>
        <v>95.7</v>
      </c>
      <c r="Z585" s="149" t="n">
        <f aca="false">-Z549</f>
        <v>148.3</v>
      </c>
      <c r="AA585" s="147" t="n">
        <f aca="false">-AA549</f>
        <v>338.9</v>
      </c>
      <c r="AB585" s="149" t="n">
        <f aca="false">-AB549</f>
        <v>129.2</v>
      </c>
      <c r="AC585" s="149" t="n">
        <f aca="false">-AC549</f>
        <v>125.6</v>
      </c>
      <c r="AD585" s="149" t="n">
        <f aca="false">-AD549</f>
        <v>129.1</v>
      </c>
      <c r="AE585" s="149" t="n">
        <f aca="false">-AE549</f>
        <v>190.1</v>
      </c>
      <c r="AF585" s="147" t="n">
        <f aca="false">-AF549</f>
        <v>574</v>
      </c>
      <c r="AG585" s="149" t="n">
        <f aca="false">-AG549</f>
        <v>147</v>
      </c>
      <c r="AH585" s="149" t="n">
        <f aca="false">-AH549</f>
        <v>128.3</v>
      </c>
      <c r="AI585" s="149" t="n">
        <f aca="false">-AI549</f>
        <v>185.8</v>
      </c>
      <c r="AJ585" s="149" t="n">
        <f aca="false">-AJ549</f>
        <v>305.5</v>
      </c>
      <c r="AK585" s="147" t="n">
        <f aca="false">-AK549</f>
        <v>766.6</v>
      </c>
      <c r="AL585" s="149" t="n">
        <f aca="false">-AL549</f>
        <v>231.5</v>
      </c>
      <c r="AM585" s="149" t="n">
        <f aca="false">-AM549</f>
        <v>225.1</v>
      </c>
      <c r="AN585" s="149" t="n">
        <f aca="false">-AN549</f>
        <v>212.5</v>
      </c>
      <c r="AO585" s="149" t="n">
        <f aca="false">-AO549</f>
        <v>292.9</v>
      </c>
      <c r="AP585" s="147" t="n">
        <f aca="false">-AP549</f>
        <v>962</v>
      </c>
      <c r="AQ585" s="149" t="n">
        <f aca="false">-AQ549</f>
        <v>189.4</v>
      </c>
      <c r="AR585" s="149" t="n">
        <f aca="false">-AR549</f>
        <v>241.1</v>
      </c>
      <c r="AS585" s="149" t="n">
        <f aca="false">-AS549</f>
        <v>197</v>
      </c>
      <c r="AT585" s="149" t="n">
        <f aca="false">-AT549</f>
        <v>273.2</v>
      </c>
      <c r="AU585" s="147" t="n">
        <f aca="false">-AU549</f>
        <v>900.7</v>
      </c>
      <c r="AV585" s="149" t="n">
        <f aca="false">-AV549</f>
        <v>240.1</v>
      </c>
      <c r="AW585" s="149" t="n">
        <f aca="false">-AW549</f>
        <v>231.5</v>
      </c>
      <c r="AX585" s="149" t="n">
        <f aca="false">-AX549</f>
        <v>356.6</v>
      </c>
      <c r="AY585" s="149" t="n">
        <f aca="false">-AY549</f>
        <v>453.6</v>
      </c>
      <c r="AZ585" s="147" t="n">
        <f aca="false">-AZ549</f>
        <v>1281.8</v>
      </c>
      <c r="BA585" s="149" t="n">
        <f aca="false">-BA549</f>
        <v>532</v>
      </c>
      <c r="BB585" s="149" t="n">
        <f aca="false">-BB549</f>
        <v>537.8</v>
      </c>
      <c r="BC585" s="149" t="n">
        <f aca="false">-BC549</f>
        <v>501.8</v>
      </c>
      <c r="BD585" s="149" t="n">
        <f aca="false">-BD549</f>
        <v>584</v>
      </c>
      <c r="BE585" s="147" t="n">
        <f aca="false">-BE549</f>
        <v>2155.6</v>
      </c>
      <c r="BF585" s="149" t="n">
        <f aca="false">-BF549</f>
        <v>417.3</v>
      </c>
      <c r="BG585" s="149" t="n">
        <f aca="false">-BG549</f>
        <v>531</v>
      </c>
      <c r="BH585" s="149" t="n">
        <f aca="false">-BH549</f>
        <v>414.9</v>
      </c>
      <c r="BI585" s="149" t="n">
        <f aca="false">-BI549</f>
        <v>704</v>
      </c>
      <c r="BJ585" s="147" t="n">
        <f aca="false">-BJ549</f>
        <v>2067.2</v>
      </c>
      <c r="BK585" s="149" t="n">
        <f aca="false">-BK549</f>
        <v>415</v>
      </c>
      <c r="BL585" s="149" t="n">
        <f aca="false">-BL549</f>
        <v>414.8</v>
      </c>
      <c r="BM585" s="149" t="n">
        <f aca="false">-BM549</f>
        <v>295.9</v>
      </c>
      <c r="BN585" s="149" t="n">
        <f aca="false">-BN549</f>
        <v>447.9</v>
      </c>
      <c r="BO585" s="150" t="n">
        <f aca="false">-BO549</f>
        <v>1573.6</v>
      </c>
      <c r="BP585" s="149" t="n">
        <f aca="false">BP601*(1-BP602)</f>
        <v>128.135</v>
      </c>
      <c r="BQ585" s="149" t="n">
        <f aca="false">BQ601*(1-BQ602)</f>
        <v>128.135</v>
      </c>
      <c r="BR585" s="149" t="n">
        <f aca="false">BR601*(1-BR602)</f>
        <v>128.135</v>
      </c>
      <c r="BS585" s="149" t="n">
        <f aca="false">BS601*(1-BS602)</f>
        <v>128.135</v>
      </c>
      <c r="BT585" s="147" t="n">
        <f aca="false">IF(OR(ISBLANK(BP585),ISBLANK(BQ585),ISBLANK(BR585),ISBLANK(BS585)),"n/a",SUM(BP585,BQ585,BR585,BS585))</f>
        <v>512.54</v>
      </c>
      <c r="BU585" s="149" t="n">
        <f aca="false">BU601*(1-BU602)</f>
        <v>128.135</v>
      </c>
      <c r="BV585" s="149" t="n">
        <f aca="false">BV601*(1-BV602)</f>
        <v>128.135</v>
      </c>
      <c r="BW585" s="149" t="n">
        <f aca="false">BW601*(1-BW602)</f>
        <v>128.135</v>
      </c>
      <c r="BX585" s="149" t="n">
        <f aca="false">BX601*(1-BX602)</f>
        <v>128.135</v>
      </c>
      <c r="BY585" s="147" t="n">
        <f aca="false">IF(OR(ISBLANK(BU585),ISBLANK(BV585),ISBLANK(BW585),ISBLANK(BX585)),"n/a",SUM(BU585,BV585,BW585,BX585))</f>
        <v>512.54</v>
      </c>
      <c r="BZ585" s="147" t="n">
        <f aca="false">BZ601*(1-BZ602)</f>
        <v>588</v>
      </c>
      <c r="CA585" s="147" t="n">
        <f aca="false">CA601*(1-CA602)</f>
        <v>588</v>
      </c>
      <c r="CB585" s="147" t="n">
        <f aca="false">CB601*(1-CB602)</f>
        <v>588</v>
      </c>
      <c r="CC585" s="156"/>
    </row>
    <row r="586" s="157" customFormat="true" ht="15" hidden="false" customHeight="true" outlineLevel="0" collapsed="false">
      <c r="A586" s="145" t="s">
        <v>557</v>
      </c>
      <c r="B586" s="254"/>
      <c r="C586" s="147"/>
      <c r="D586" s="147" t="n">
        <f aca="false">ROUND(D587-D583-D584-D585,6)</f>
        <v>105.843</v>
      </c>
      <c r="E586" s="147" t="n">
        <f aca="false">ROUND(E587-E583-E584-E585,6)</f>
        <v>165.381</v>
      </c>
      <c r="F586" s="147" t="n">
        <f aca="false">ROUND(F587-F583-F584-F585,6)</f>
        <v>-16.265</v>
      </c>
      <c r="G586" s="147" t="n">
        <f aca="false">ROUND(G587-G583-G584-G585,6)</f>
        <v>174.213</v>
      </c>
      <c r="H586" s="149" t="n">
        <f aca="false">ROUND(H587-H583-H584-H585,6)</f>
        <v>-8.726</v>
      </c>
      <c r="I586" s="149" t="n">
        <f aca="false">ROUND(I587-I583-I584-I585,6)</f>
        <v>28.914</v>
      </c>
      <c r="J586" s="149" t="n">
        <f aca="false">ROUND(J587-J583-J584-J585,6)</f>
        <v>62.214</v>
      </c>
      <c r="K586" s="149" t="n">
        <f aca="false">ROUND(K587-K583-K584-K585,6)</f>
        <v>-1.499</v>
      </c>
      <c r="L586" s="147" t="n">
        <f aca="false">ROUND(L587-L583-L584-L585,6)</f>
        <v>80.903</v>
      </c>
      <c r="M586" s="149" t="n">
        <f aca="false">ROUND(M587-M583-M584-M585,6)</f>
        <v>42.906</v>
      </c>
      <c r="N586" s="149" t="n">
        <f aca="false">ROUND(N587-N583-N584-N585,6)</f>
        <v>-24.371</v>
      </c>
      <c r="O586" s="149" t="n">
        <f aca="false">ROUND(O587-O583-O584-O585,6)</f>
        <v>-8.771</v>
      </c>
      <c r="P586" s="149" t="n">
        <f aca="false">ROUND(P587-P583-P584-P585,6)</f>
        <v>34.621</v>
      </c>
      <c r="Q586" s="147" t="n">
        <f aca="false">ROUND(Q587-Q583-Q584-Q585,6)</f>
        <v>44.385</v>
      </c>
      <c r="R586" s="149" t="n">
        <f aca="false">ROUND(R587-R583-R584-R585,6)</f>
        <v>-30.103</v>
      </c>
      <c r="S586" s="149" t="n">
        <f aca="false">ROUND(S587-S583-S584-S585,6)</f>
        <v>-2.725</v>
      </c>
      <c r="T586" s="149" t="n">
        <f aca="false">ROUND(T587-T583-T584-T585,6)</f>
        <v>-16.625</v>
      </c>
      <c r="U586" s="149" t="n">
        <f aca="false">ROUND(U587-U583-U584-U585,6)</f>
        <v>90.475</v>
      </c>
      <c r="V586" s="147" t="n">
        <f aca="false">ROUND(V587-V583-V584-V585,6)</f>
        <v>41.022</v>
      </c>
      <c r="W586" s="149" t="n">
        <f aca="false">ROUND(W587-W583-W584-W585,6)</f>
        <v>-20.625</v>
      </c>
      <c r="X586" s="149" t="n">
        <f aca="false">ROUND(X587-X583-X584-X585,6)</f>
        <v>-34.825</v>
      </c>
      <c r="Y586" s="149" t="n">
        <f aca="false">ROUND(Y587-Y583-Y584-Y585,6)</f>
        <v>-37.125</v>
      </c>
      <c r="Z586" s="149" t="n">
        <f aca="false">ROUND(Z587-Z583-Z584-Z585,6)</f>
        <v>-24.525</v>
      </c>
      <c r="AA586" s="147" t="n">
        <f aca="false">ROUND(AA587-AA583-AA584-AA585,6)</f>
        <v>-117.1</v>
      </c>
      <c r="AB586" s="149" t="n">
        <f aca="false">ROUND(AB587-AB583-AB584-AB585,6)</f>
        <v>-94.725</v>
      </c>
      <c r="AC586" s="149" t="n">
        <f aca="false">ROUND(AC587-AC583-AC584-AC585,6)</f>
        <v>-27.625</v>
      </c>
      <c r="AD586" s="149" t="n">
        <f aca="false">ROUND(AD587-AD583-AD584-AD585,6)</f>
        <v>-58.125</v>
      </c>
      <c r="AE586" s="149" t="n">
        <f aca="false">ROUND(AE587-AE583-AE584-AE585,6)</f>
        <v>-89.425</v>
      </c>
      <c r="AF586" s="147" t="n">
        <f aca="false">ROUND(AF587-AF583-AF584-AF585,6)</f>
        <v>-269.9</v>
      </c>
      <c r="AG586" s="149" t="n">
        <f aca="false">ROUND(AG587-AG583-AG584-AG585,6)</f>
        <v>-40.7</v>
      </c>
      <c r="AH586" s="149" t="n">
        <f aca="false">ROUND(AH587-AH583-AH584-AH585,6)</f>
        <v>-2.7</v>
      </c>
      <c r="AI586" s="149" t="n">
        <f aca="false">ROUND(AI587-AI583-AI584-AI585,6)</f>
        <v>43.9</v>
      </c>
      <c r="AJ586" s="149" t="n">
        <f aca="false">ROUND(AJ587-AJ583-AJ584-AJ585,6)</f>
        <v>-32</v>
      </c>
      <c r="AK586" s="147" t="n">
        <f aca="false">ROUND(AK587-AK583-AK584-AK585,6)</f>
        <v>-31.5</v>
      </c>
      <c r="AL586" s="149" t="n">
        <f aca="false">ROUND(AL587-AL583-AL584-AL585,6)</f>
        <v>-100.375</v>
      </c>
      <c r="AM586" s="149" t="n">
        <f aca="false">ROUND(AM587-AM583-AM584-AM585,6)</f>
        <v>-72.075</v>
      </c>
      <c r="AN586" s="149" t="n">
        <f aca="false">ROUND(AN587-AN583-AN584-AN585,6)</f>
        <v>-36.575</v>
      </c>
      <c r="AO586" s="149" t="n">
        <f aca="false">ROUND(AO587-AO583-AO584-AO585,6)</f>
        <v>69.725</v>
      </c>
      <c r="AP586" s="147" t="n">
        <f aca="false">ROUND(AP587-AP583-AP584-AP585,6)</f>
        <v>-139.3</v>
      </c>
      <c r="AQ586" s="149" t="n">
        <f aca="false">ROUND(AQ587-AQ583-AQ584-AQ585,6)</f>
        <v>-57.55</v>
      </c>
      <c r="AR586" s="149" t="n">
        <f aca="false">ROUND(AR587-AR583-AR584-AR585,6)</f>
        <v>-77.95</v>
      </c>
      <c r="AS586" s="149" t="n">
        <f aca="false">ROUND(AS587-AS583-AS584-AS585,6)</f>
        <v>2.75</v>
      </c>
      <c r="AT586" s="149" t="n">
        <f aca="false">ROUND(AT587-AT583-AT584-AT585,6)</f>
        <v>66.05</v>
      </c>
      <c r="AU586" s="147" t="n">
        <f aca="false">ROUND(AU587-AU583-AU584-AU585,6)</f>
        <v>-66.7</v>
      </c>
      <c r="AV586" s="149" t="n">
        <f aca="false">ROUND(AV587-AV583-AV584-AV585,6)</f>
        <v>33</v>
      </c>
      <c r="AW586" s="149" t="n">
        <f aca="false">ROUND(AW587-AW583-AW584-AW585,6)</f>
        <v>63.7</v>
      </c>
      <c r="AX586" s="149" t="n">
        <f aca="false">ROUND(AX587-AX583-AX584-AX585,6)</f>
        <v>-49.3</v>
      </c>
      <c r="AY586" s="149" t="n">
        <f aca="false">ROUND(AY587-AY583-AY584-AY585,6)</f>
        <v>77.5</v>
      </c>
      <c r="AZ586" s="147" t="n">
        <f aca="false">ROUND(AZ587-AZ583-AZ584-AZ585,6)</f>
        <v>124.9</v>
      </c>
      <c r="BA586" s="149" t="n">
        <f aca="false">ROUND(BA587-BA583-BA584-BA585,6)</f>
        <v>15.35</v>
      </c>
      <c r="BB586" s="149" t="n">
        <f aca="false">ROUND(BB587-BB583-BB584-BB585,6)</f>
        <v>-17.05</v>
      </c>
      <c r="BC586" s="149" t="n">
        <f aca="false">ROUND(BC587-BC583-BC584-BC585,6)</f>
        <v>6.15</v>
      </c>
      <c r="BD586" s="149" t="n">
        <f aca="false">ROUND(BD587-BD583-BD584-BD585,6)</f>
        <v>-5.45</v>
      </c>
      <c r="BE586" s="147" t="n">
        <f aca="false">ROUND(BE587-BE583-BE584-BE585,6)</f>
        <v>-1</v>
      </c>
      <c r="BF586" s="149" t="n">
        <f aca="false">ROUND(BF587-BF583-BF584-BF585,6)</f>
        <v>112.475</v>
      </c>
      <c r="BG586" s="149" t="n">
        <f aca="false">ROUND(BG587-BG583-BG584-BG585,6)</f>
        <v>-93.725</v>
      </c>
      <c r="BH586" s="149" t="n">
        <f aca="false">ROUND(BH587-BH583-BH584-BH585,6)</f>
        <v>-84.125</v>
      </c>
      <c r="BI586" s="149" t="n">
        <f aca="false">ROUND(BI587-BI583-BI584-BI585,6)</f>
        <v>139.075</v>
      </c>
      <c r="BJ586" s="147" t="n">
        <f aca="false">ROUND(BJ587-BJ583-BJ584-BJ585,6)</f>
        <v>73.7</v>
      </c>
      <c r="BK586" s="149" t="n">
        <f aca="false">ROUND(BK587-BK583-BK584-BK585,6)</f>
        <v>100.9</v>
      </c>
      <c r="BL586" s="149" t="n">
        <f aca="false">ROUND(BL587-BL583-BL584-BL585,6)</f>
        <v>-48.3</v>
      </c>
      <c r="BM586" s="149" t="n">
        <f aca="false">ROUND(BM587-BM583-BM584-BM585,6)</f>
        <v>332.4</v>
      </c>
      <c r="BN586" s="149" t="n">
        <f aca="false">ROUND(BN587-BN583-BN584-BN585,6)</f>
        <v>-11.7</v>
      </c>
      <c r="BO586" s="150" t="n">
        <f aca="false">ROUND(BO587-BO583-BO584-BO585,6)</f>
        <v>373.3</v>
      </c>
      <c r="BP586" s="149" t="n">
        <f aca="false">ROUND(BP587-BP583-BP584-BP585,6)</f>
        <v>-1.5</v>
      </c>
      <c r="BQ586" s="149" t="n">
        <f aca="false">ROUND(BQ587-BQ583-BQ584-BQ585,6)</f>
        <v>-1.5</v>
      </c>
      <c r="BR586" s="149" t="n">
        <f aca="false">ROUND(BR587-BR583-BR584-BR585,6)</f>
        <v>-1.5</v>
      </c>
      <c r="BS586" s="149" t="n">
        <f aca="false">ROUND(BS587-BS583-BS584-BS585,6)</f>
        <v>-1.5</v>
      </c>
      <c r="BT586" s="147" t="n">
        <f aca="false">ROUND(BT587-BT583-IF(ISNUMBER(BT584),BT584,0)-IF(ISNUMBER(BT585),BT585,0),6)</f>
        <v>-6</v>
      </c>
      <c r="BU586" s="149" t="n">
        <f aca="false">ROUND(BU587-BU583-BU584-BU585,6)</f>
        <v>-1.5</v>
      </c>
      <c r="BV586" s="149" t="n">
        <f aca="false">ROUND(BV587-BV583-BV584-BV585,6)</f>
        <v>-1.5</v>
      </c>
      <c r="BW586" s="149" t="n">
        <f aca="false">ROUND(BW587-BW583-BW584-BW585,6)</f>
        <v>-1.5</v>
      </c>
      <c r="BX586" s="149" t="n">
        <f aca="false">ROUND(BX587-BX583-BX584-BX585,6)</f>
        <v>-1.5</v>
      </c>
      <c r="BY586" s="147" t="n">
        <f aca="false">ROUND(BY587-BY583-IF(ISNUMBER(BY584),BY584,0)-IF(ISNUMBER(BY585),BY585,0),6)</f>
        <v>-6</v>
      </c>
      <c r="BZ586" s="147" t="n">
        <f aca="false">ROUND(BZ587-BZ583-BZ584-BZ585,6)</f>
        <v>-6</v>
      </c>
      <c r="CA586" s="147" t="n">
        <f aca="false">ROUND(CA587-CA583-CA584-CA585,6)</f>
        <v>-6</v>
      </c>
      <c r="CB586" s="147" t="n">
        <f aca="false">ROUND(CB587-CB583-CB584-CB585,6)</f>
        <v>-6</v>
      </c>
      <c r="CC586" s="156"/>
    </row>
    <row r="587" s="157" customFormat="true" ht="15" hidden="false" customHeight="true" outlineLevel="0" collapsed="false">
      <c r="A587" s="151" t="s">
        <v>558</v>
      </c>
      <c r="B587" s="393"/>
      <c r="C587" s="153" t="n">
        <f aca="false">C648</f>
        <v>655.36</v>
      </c>
      <c r="D587" s="153" t="n">
        <f aca="false">D648</f>
        <v>745.331</v>
      </c>
      <c r="E587" s="153" t="n">
        <f aca="false">E648</f>
        <v>1053.61</v>
      </c>
      <c r="F587" s="153" t="n">
        <f aca="false">F648</f>
        <v>1029.923</v>
      </c>
      <c r="G587" s="153" t="n">
        <f aca="false">G648</f>
        <v>1217.84</v>
      </c>
      <c r="H587" s="154" t="n">
        <f aca="false">H648</f>
        <v>1231.2</v>
      </c>
      <c r="I587" s="154" t="n">
        <f aca="false">I648</f>
        <v>1275.1</v>
      </c>
      <c r="J587" s="154" t="n">
        <f aca="false">J648</f>
        <v>1372.4</v>
      </c>
      <c r="K587" s="154" t="n">
        <f aca="false">K648</f>
        <v>1447.523</v>
      </c>
      <c r="L587" s="153" t="n">
        <f aca="false">L648</f>
        <v>1447.523</v>
      </c>
      <c r="M587" s="154" t="n">
        <f aca="false">M648</f>
        <v>1523.4</v>
      </c>
      <c r="N587" s="154" t="n">
        <f aca="false">N648</f>
        <v>1518.9</v>
      </c>
      <c r="O587" s="154" t="n">
        <f aca="false">O648</f>
        <v>1532.6</v>
      </c>
      <c r="P587" s="154" t="n">
        <f aca="false">P648</f>
        <v>1620.678</v>
      </c>
      <c r="Q587" s="153" t="n">
        <f aca="false">Q648</f>
        <v>1620.678</v>
      </c>
      <c r="R587" s="154" t="n">
        <f aca="false">R648</f>
        <v>1580.3</v>
      </c>
      <c r="S587" s="154" t="n">
        <f aca="false">S648</f>
        <v>1608.9</v>
      </c>
      <c r="T587" s="154" t="n">
        <f aca="false">T648</f>
        <v>1587.4</v>
      </c>
      <c r="U587" s="154" t="n">
        <f aca="false">U648</f>
        <v>1687.2</v>
      </c>
      <c r="V587" s="153" t="n">
        <f aca="false">V648</f>
        <v>1687.2</v>
      </c>
      <c r="W587" s="154" t="n">
        <f aca="false">W648</f>
        <v>1622.4</v>
      </c>
      <c r="X587" s="154" t="n">
        <f aca="false">X648</f>
        <v>1567.3</v>
      </c>
      <c r="Y587" s="154" t="n">
        <f aca="false">Y648</f>
        <v>1552</v>
      </c>
      <c r="Z587" s="154" t="n">
        <f aca="false">Z648</f>
        <v>1600.8</v>
      </c>
      <c r="AA587" s="153" t="n">
        <f aca="false">AA648</f>
        <v>1600.8</v>
      </c>
      <c r="AB587" s="154" t="n">
        <f aca="false">AB648</f>
        <v>1559.5</v>
      </c>
      <c r="AC587" s="154" t="n">
        <f aca="false">AC648</f>
        <v>1584.6</v>
      </c>
      <c r="AD587" s="154" t="n">
        <f aca="false">AD648</f>
        <v>1572.4</v>
      </c>
      <c r="AE587" s="154" t="n">
        <f aca="false">AE648</f>
        <v>1589.5</v>
      </c>
      <c r="AF587" s="153" t="n">
        <f aca="false">AF648</f>
        <v>1589.5</v>
      </c>
      <c r="AG587" s="154" t="n">
        <f aca="false">AG648</f>
        <v>1621.8</v>
      </c>
      <c r="AH587" s="154" t="n">
        <f aca="false">AH648</f>
        <v>1669.8</v>
      </c>
      <c r="AI587" s="154" t="n">
        <f aca="false">AI648</f>
        <v>1817.9</v>
      </c>
      <c r="AJ587" s="154" t="n">
        <f aca="false">AJ648</f>
        <v>1999.3</v>
      </c>
      <c r="AK587" s="153" t="n">
        <f aca="false">AK648</f>
        <v>1999.3</v>
      </c>
      <c r="AL587" s="154" t="n">
        <f aca="false">AL648</f>
        <v>2046.9</v>
      </c>
      <c r="AM587" s="154" t="n">
        <f aca="false">AM648</f>
        <v>2109.6</v>
      </c>
      <c r="AN587" s="154" t="n">
        <f aca="false">AN648</f>
        <v>2198.3</v>
      </c>
      <c r="AO587" s="154" t="n">
        <f aca="false">AO648</f>
        <v>2470.3</v>
      </c>
      <c r="AP587" s="153" t="n">
        <f aca="false">AP648</f>
        <v>2470.3</v>
      </c>
      <c r="AQ587" s="154" t="n">
        <f aca="false">AQ648</f>
        <v>2521.6</v>
      </c>
      <c r="AR587" s="154" t="n">
        <f aca="false">AR648</f>
        <v>2609.4</v>
      </c>
      <c r="AS587" s="154" t="n">
        <f aca="false">AS648</f>
        <v>2730.3</v>
      </c>
      <c r="AT587" s="154" t="n">
        <f aca="false">AT648</f>
        <v>2982.7</v>
      </c>
      <c r="AU587" s="153" t="n">
        <f aca="false">AU648</f>
        <v>2982.7</v>
      </c>
      <c r="AV587" s="154" t="n">
        <f aca="false">AV648</f>
        <v>3159.4</v>
      </c>
      <c r="AW587" s="154" t="n">
        <f aca="false">AW648</f>
        <v>3357.7</v>
      </c>
      <c r="AX587" s="154" t="n">
        <f aca="false">AX648</f>
        <v>3561.7</v>
      </c>
      <c r="AY587" s="154" t="n">
        <f aca="false">AY648</f>
        <v>3944.2</v>
      </c>
      <c r="AZ587" s="153" t="n">
        <f aca="false">AZ648</f>
        <v>3944.2</v>
      </c>
      <c r="BA587" s="154" t="n">
        <f aca="false">BA648</f>
        <v>4354.8</v>
      </c>
      <c r="BB587" s="154" t="n">
        <f aca="false">BB648</f>
        <v>4727.9</v>
      </c>
      <c r="BC587" s="154" t="n">
        <f aca="false">BC648</f>
        <v>5093.2</v>
      </c>
      <c r="BD587" s="154" t="n">
        <f aca="false">BD648</f>
        <v>5493.2</v>
      </c>
      <c r="BE587" s="153" t="n">
        <f aca="false">BE648</f>
        <v>5493.2</v>
      </c>
      <c r="BF587" s="154" t="n">
        <f aca="false">BF648</f>
        <v>5841.4</v>
      </c>
      <c r="BG587" s="154" t="n">
        <f aca="false">BG648</f>
        <v>6084</v>
      </c>
      <c r="BH587" s="154" t="n">
        <f aca="false">BH648</f>
        <v>6211.9</v>
      </c>
      <c r="BI587" s="154" t="n">
        <f aca="false">BI648</f>
        <v>6846.8</v>
      </c>
      <c r="BJ587" s="153" t="n">
        <f aca="false">BJ648</f>
        <v>6846.8</v>
      </c>
      <c r="BK587" s="154" t="n">
        <f aca="false">BK648</f>
        <v>7152.9</v>
      </c>
      <c r="BL587" s="154" t="n">
        <f aca="false">BL648</f>
        <v>7296</v>
      </c>
      <c r="BM587" s="154" t="n">
        <f aca="false">BM648</f>
        <v>7681.2</v>
      </c>
      <c r="BN587" s="154" t="n">
        <f aca="false">BN648</f>
        <v>7893.8</v>
      </c>
      <c r="BO587" s="155" t="n">
        <f aca="false">BO648</f>
        <v>7893.8</v>
      </c>
      <c r="BP587" s="154" t="n">
        <f aca="false">BP648</f>
        <v>7747.93669863014</v>
      </c>
      <c r="BQ587" s="154" t="n">
        <f aca="false">BQ648</f>
        <v>7604.1368670122</v>
      </c>
      <c r="BR587" s="154" t="n">
        <f aca="false">BR648</f>
        <v>7462.43958523928</v>
      </c>
      <c r="BS587" s="154" t="n">
        <f aca="false">BS648</f>
        <v>7325.74247056015</v>
      </c>
      <c r="BT587" s="153" t="n">
        <f aca="false">BT648</f>
        <v>7325.74247056015</v>
      </c>
      <c r="BU587" s="154" t="n">
        <f aca="false">BU648</f>
        <v>7199.48882637095</v>
      </c>
      <c r="BV587" s="154" t="n">
        <f aca="false">BV648</f>
        <v>7074.83207939022</v>
      </c>
      <c r="BW587" s="154" t="n">
        <f aca="false">BW648</f>
        <v>6951.81273094489</v>
      </c>
      <c r="BX587" s="154" t="n">
        <f aca="false">BX648</f>
        <v>6833.13444882278</v>
      </c>
      <c r="BY587" s="153" t="n">
        <f aca="false">BY648</f>
        <v>6833.13444882278</v>
      </c>
      <c r="BZ587" s="153" t="n">
        <f aca="false">BZ648</f>
        <v>6458.49562598759</v>
      </c>
      <c r="CA587" s="153" t="n">
        <f aca="false">CA648</f>
        <v>6136.30623834933</v>
      </c>
      <c r="CB587" s="153" t="n">
        <f aca="false">CB648</f>
        <v>5859.22336498042</v>
      </c>
      <c r="CC587" s="156"/>
    </row>
    <row r="588" s="157" customFormat="true" ht="15" hidden="false" customHeight="true" outlineLevel="0" collapsed="false">
      <c r="A588" s="145"/>
      <c r="B588" s="254"/>
      <c r="C588" s="147"/>
      <c r="D588" s="147"/>
      <c r="E588" s="147"/>
      <c r="F588" s="147"/>
      <c r="G588" s="147"/>
      <c r="H588" s="149"/>
      <c r="I588" s="149"/>
      <c r="J588" s="149"/>
      <c r="K588" s="149"/>
      <c r="L588" s="147"/>
      <c r="M588" s="149"/>
      <c r="N588" s="149"/>
      <c r="O588" s="149"/>
      <c r="P588" s="149"/>
      <c r="Q588" s="147"/>
      <c r="R588" s="149"/>
      <c r="S588" s="149"/>
      <c r="T588" s="149"/>
      <c r="U588" s="149"/>
      <c r="V588" s="147"/>
      <c r="W588" s="149"/>
      <c r="X588" s="149"/>
      <c r="Y588" s="149"/>
      <c r="Z588" s="149"/>
      <c r="AA588" s="147"/>
      <c r="AB588" s="149"/>
      <c r="AC588" s="149"/>
      <c r="AD588" s="149"/>
      <c r="AE588" s="149"/>
      <c r="AF588" s="147"/>
      <c r="AG588" s="149"/>
      <c r="AH588" s="149"/>
      <c r="AI588" s="149"/>
      <c r="AJ588" s="149"/>
      <c r="AK588" s="147"/>
      <c r="AL588" s="149"/>
      <c r="AM588" s="149"/>
      <c r="AN588" s="149"/>
      <c r="AO588" s="149"/>
      <c r="AP588" s="147"/>
      <c r="AQ588" s="149"/>
      <c r="AR588" s="149"/>
      <c r="AS588" s="149"/>
      <c r="AT588" s="149"/>
      <c r="AU588" s="147"/>
      <c r="AV588" s="149"/>
      <c r="AW588" s="149"/>
      <c r="AX588" s="149"/>
      <c r="AY588" s="149"/>
      <c r="AZ588" s="147"/>
      <c r="BA588" s="149"/>
      <c r="BB588" s="149"/>
      <c r="BC588" s="149"/>
      <c r="BD588" s="149"/>
      <c r="BE588" s="147"/>
      <c r="BF588" s="149"/>
      <c r="BG588" s="149"/>
      <c r="BH588" s="149"/>
      <c r="BI588" s="149"/>
      <c r="BJ588" s="147"/>
      <c r="BK588" s="149"/>
      <c r="BL588" s="149"/>
      <c r="BM588" s="149"/>
      <c r="BN588" s="149"/>
      <c r="BO588" s="150"/>
      <c r="BP588" s="149"/>
      <c r="BQ588" s="149"/>
      <c r="BR588" s="149"/>
      <c r="BS588" s="149"/>
      <c r="BT588" s="147"/>
      <c r="BU588" s="149"/>
      <c r="BV588" s="149"/>
      <c r="BW588" s="149"/>
      <c r="BX588" s="149"/>
      <c r="BY588" s="147"/>
      <c r="BZ588" s="147"/>
      <c r="CA588" s="147"/>
      <c r="CB588" s="147"/>
      <c r="CC588" s="156"/>
    </row>
    <row r="589" s="157" customFormat="true" ht="15" hidden="false" customHeight="true" outlineLevel="0" collapsed="false">
      <c r="A589" s="252" t="s">
        <v>559</v>
      </c>
      <c r="B589" s="266"/>
      <c r="C589" s="223"/>
      <c r="D589" s="223" t="n">
        <f aca="false">C593</f>
        <v>18.128</v>
      </c>
      <c r="E589" s="223" t="n">
        <f aca="false">D593</f>
        <v>13.651</v>
      </c>
      <c r="F589" s="223" t="n">
        <f aca="false">E593</f>
        <v>8.366</v>
      </c>
      <c r="G589" s="223" t="n">
        <f aca="false">F593</f>
        <v>9.943</v>
      </c>
      <c r="H589" s="224" t="n">
        <f aca="false">G593</f>
        <v>697.634</v>
      </c>
      <c r="I589" s="224" t="n">
        <f aca="false">H593</f>
        <v>688.1</v>
      </c>
      <c r="J589" s="224" t="n">
        <f aca="false">I593</f>
        <v>686.5</v>
      </c>
      <c r="K589" s="224" t="n">
        <f aca="false">J593</f>
        <v>712.7</v>
      </c>
      <c r="L589" s="223" t="n">
        <f aca="false">G593</f>
        <v>697.634</v>
      </c>
      <c r="M589" s="224" t="n">
        <f aca="false">L593</f>
        <v>723.839</v>
      </c>
      <c r="N589" s="224" t="n">
        <f aca="false">M593</f>
        <v>773.8</v>
      </c>
      <c r="O589" s="224" t="n">
        <f aca="false">N593</f>
        <v>751.2</v>
      </c>
      <c r="P589" s="224" t="n">
        <f aca="false">O593</f>
        <v>739.5</v>
      </c>
      <c r="Q589" s="223" t="n">
        <f aca="false">L593</f>
        <v>723.839</v>
      </c>
      <c r="R589" s="224" t="n">
        <f aca="false">Q593</f>
        <v>738.17</v>
      </c>
      <c r="S589" s="224" t="n">
        <f aca="false">R593</f>
        <v>706</v>
      </c>
      <c r="T589" s="224" t="n">
        <f aca="false">S593</f>
        <v>713.5</v>
      </c>
      <c r="U589" s="224" t="n">
        <f aca="false">T593</f>
        <v>694</v>
      </c>
      <c r="V589" s="223" t="n">
        <f aca="false">Q593</f>
        <v>738.17</v>
      </c>
      <c r="W589" s="224" t="n">
        <f aca="false">V593</f>
        <v>1323</v>
      </c>
      <c r="X589" s="224" t="n">
        <f aca="false">W593</f>
        <v>1279.5</v>
      </c>
      <c r="Y589" s="224" t="n">
        <f aca="false">X593</f>
        <v>1230.4</v>
      </c>
      <c r="Z589" s="224" t="n">
        <f aca="false">Y593</f>
        <v>1191.1</v>
      </c>
      <c r="AA589" s="223" t="n">
        <f aca="false">V593</f>
        <v>1323</v>
      </c>
      <c r="AB589" s="224" t="n">
        <f aca="false">AA593</f>
        <v>1166</v>
      </c>
      <c r="AC589" s="224" t="n">
        <f aca="false">AB593</f>
        <v>1146.5</v>
      </c>
      <c r="AD589" s="224" t="n">
        <f aca="false">AC593</f>
        <v>1130.2</v>
      </c>
      <c r="AE589" s="224" t="n">
        <f aca="false">AD593</f>
        <v>1108.7</v>
      </c>
      <c r="AF589" s="223" t="n">
        <f aca="false">AA593</f>
        <v>1166</v>
      </c>
      <c r="AG589" s="224" t="n">
        <f aca="false">AF593</f>
        <v>1104</v>
      </c>
      <c r="AH589" s="224" t="n">
        <f aca="false">AG593</f>
        <v>1158.5</v>
      </c>
      <c r="AI589" s="224" t="n">
        <f aca="false">AH593</f>
        <v>1140.8</v>
      </c>
      <c r="AJ589" s="224" t="n">
        <f aca="false">AI593</f>
        <v>1122.8</v>
      </c>
      <c r="AK589" s="223" t="n">
        <f aca="false">AF593</f>
        <v>1104</v>
      </c>
      <c r="AL589" s="224" t="n">
        <f aca="false">AK593</f>
        <v>1104.4</v>
      </c>
      <c r="AM589" s="224" t="n">
        <f aca="false">AL593</f>
        <v>1082.5</v>
      </c>
      <c r="AN589" s="224" t="n">
        <f aca="false">AM593</f>
        <v>1058.3</v>
      </c>
      <c r="AO589" s="224" t="n">
        <f aca="false">AN593</f>
        <v>1035.4</v>
      </c>
      <c r="AP589" s="223" t="n">
        <f aca="false">AK593</f>
        <v>1104.4</v>
      </c>
      <c r="AQ589" s="224" t="n">
        <f aca="false">AP593</f>
        <v>1049</v>
      </c>
      <c r="AR589" s="224" t="n">
        <f aca="false">AQ593</f>
        <v>1014.2</v>
      </c>
      <c r="AS589" s="224" t="n">
        <f aca="false">AR593</f>
        <v>987.7</v>
      </c>
      <c r="AT589" s="224" t="n">
        <f aca="false">AS593</f>
        <v>963.8</v>
      </c>
      <c r="AU589" s="223" t="n">
        <f aca="false">AP593</f>
        <v>1049</v>
      </c>
      <c r="AV589" s="224" t="n">
        <f aca="false">AU593</f>
        <v>952.1</v>
      </c>
      <c r="AW589" s="224" t="n">
        <f aca="false">AV593</f>
        <v>923.4</v>
      </c>
      <c r="AX589" s="224" t="n">
        <f aca="false">AW593</f>
        <v>896.1</v>
      </c>
      <c r="AY589" s="224" t="n">
        <f aca="false">AX593</f>
        <v>870.1</v>
      </c>
      <c r="AZ589" s="223" t="n">
        <f aca="false">AU593</f>
        <v>952.1</v>
      </c>
      <c r="BA589" s="224" t="n">
        <f aca="false">AZ593</f>
        <v>842.4</v>
      </c>
      <c r="BB589" s="224" t="n">
        <f aca="false">BA593</f>
        <v>813.7</v>
      </c>
      <c r="BC589" s="224" t="n">
        <f aca="false">BB593</f>
        <v>789.2</v>
      </c>
      <c r="BD589" s="224" t="n">
        <f aca="false">BC593</f>
        <v>756.6</v>
      </c>
      <c r="BE589" s="223" t="n">
        <f aca="false">AZ593</f>
        <v>842.4</v>
      </c>
      <c r="BF589" s="224" t="n">
        <f aca="false">BE593</f>
        <v>741.7</v>
      </c>
      <c r="BG589" s="224" t="n">
        <f aca="false">BF593</f>
        <v>711.1</v>
      </c>
      <c r="BH589" s="224" t="n">
        <f aca="false">BG593</f>
        <v>686.4</v>
      </c>
      <c r="BI589" s="224" t="n">
        <f aca="false">BH593</f>
        <v>652.9</v>
      </c>
      <c r="BJ589" s="223" t="n">
        <f aca="false">BE593</f>
        <v>741.7</v>
      </c>
      <c r="BK589" s="224" t="n">
        <f aca="false">BJ593</f>
        <v>621.3</v>
      </c>
      <c r="BL589" s="224" t="n">
        <f aca="false">BK593</f>
        <v>591.6</v>
      </c>
      <c r="BM589" s="224" t="n">
        <f aca="false">BL593</f>
        <v>565.7</v>
      </c>
      <c r="BN589" s="224" t="n">
        <f aca="false">BM593</f>
        <v>555.7</v>
      </c>
      <c r="BO589" s="225" t="n">
        <f aca="false">BJ593</f>
        <v>621.3</v>
      </c>
      <c r="BP589" s="224" t="n">
        <f aca="false">BO593</f>
        <v>540.1</v>
      </c>
      <c r="BQ589" s="224" t="n">
        <f aca="false">BP593</f>
        <v>522.738698630137</v>
      </c>
      <c r="BR589" s="224" t="n">
        <f aca="false">BQ593</f>
        <v>505.804703462188</v>
      </c>
      <c r="BS589" s="224" t="n">
        <f aca="false">BR593</f>
        <v>489.296128372385</v>
      </c>
      <c r="BT589" s="223" t="n">
        <f aca="false">BO593</f>
        <v>540.1</v>
      </c>
      <c r="BU589" s="224" t="n">
        <f aca="false">BT593</f>
        <v>473.411713107895</v>
      </c>
      <c r="BV589" s="224" t="n">
        <f aca="false">BU593</f>
        <v>458.516964814863</v>
      </c>
      <c r="BW589" s="224" t="n">
        <f aca="false">BV593</f>
        <v>443.98468654165</v>
      </c>
      <c r="BX589" s="224" t="n">
        <f aca="false">BW593</f>
        <v>429.813416201171</v>
      </c>
      <c r="BY589" s="223" t="n">
        <f aca="false">BT593</f>
        <v>473.411713107895</v>
      </c>
      <c r="BZ589" s="223" t="n">
        <f aca="false">BY593</f>
        <v>416.177936355757</v>
      </c>
      <c r="CA589" s="223" t="n">
        <f aca="false">BZ593</f>
        <v>365.751245902393</v>
      </c>
      <c r="CB589" s="223" t="n">
        <f aca="false">CA593</f>
        <v>322.888559017034</v>
      </c>
      <c r="CC589" s="156"/>
    </row>
    <row r="590" s="157" customFormat="true" ht="15" hidden="false" customHeight="true" outlineLevel="0" collapsed="false">
      <c r="A590" s="145" t="s">
        <v>228</v>
      </c>
      <c r="B590" s="254"/>
      <c r="C590" s="147"/>
      <c r="D590" s="147" t="n">
        <f aca="false">-D111</f>
        <v>-5.5</v>
      </c>
      <c r="E590" s="147" t="n">
        <f aca="false">-E111</f>
        <v>-5.3</v>
      </c>
      <c r="F590" s="147" t="n">
        <f aca="false">-F111</f>
        <v>-6.1</v>
      </c>
      <c r="G590" s="147" t="n">
        <f aca="false">-G111</f>
        <v>-27.6</v>
      </c>
      <c r="H590" s="149" t="n">
        <f aca="false">-H111</f>
        <v>-10.975</v>
      </c>
      <c r="I590" s="149" t="n">
        <f aca="false">-I111</f>
        <v>-10.975</v>
      </c>
      <c r="J590" s="149" t="n">
        <f aca="false">-J111</f>
        <v>-10.975</v>
      </c>
      <c r="K590" s="149" t="n">
        <f aca="false">-K111</f>
        <v>-10.975</v>
      </c>
      <c r="L590" s="147" t="n">
        <f aca="false">-L111</f>
        <v>-43.9</v>
      </c>
      <c r="M590" s="149" t="n">
        <f aca="false">-M111</f>
        <v>-12.8</v>
      </c>
      <c r="N590" s="149" t="n">
        <f aca="false">-N111</f>
        <v>-12.8</v>
      </c>
      <c r="O590" s="149" t="n">
        <f aca="false">-O111</f>
        <v>-12.8</v>
      </c>
      <c r="P590" s="149" t="n">
        <f aca="false">-P111</f>
        <v>-12.8</v>
      </c>
      <c r="Q590" s="147" t="n">
        <f aca="false">-Q111</f>
        <v>-51.2</v>
      </c>
      <c r="R590" s="149" t="n">
        <f aca="false">-R111</f>
        <v>-15.875</v>
      </c>
      <c r="S590" s="149" t="n">
        <f aca="false">-S111</f>
        <v>-15.875</v>
      </c>
      <c r="T590" s="149" t="n">
        <f aca="false">-T111</f>
        <v>-15.875</v>
      </c>
      <c r="U590" s="149" t="n">
        <f aca="false">-U111</f>
        <v>-15.875</v>
      </c>
      <c r="V590" s="147" t="n">
        <f aca="false">-V111</f>
        <v>-63.5</v>
      </c>
      <c r="W590" s="149" t="n">
        <f aca="false">-W111</f>
        <v>-26.375</v>
      </c>
      <c r="X590" s="149" t="n">
        <f aca="false">-X111</f>
        <v>-26.375</v>
      </c>
      <c r="Y590" s="149" t="n">
        <f aca="false">-Y111</f>
        <v>-26.375</v>
      </c>
      <c r="Z590" s="149" t="n">
        <f aca="false">-Z111</f>
        <v>-26.375</v>
      </c>
      <c r="AA590" s="147" t="n">
        <f aca="false">-AA111</f>
        <v>-105.5</v>
      </c>
      <c r="AB590" s="149" t="n">
        <f aca="false">-AB111</f>
        <v>-25.925</v>
      </c>
      <c r="AC590" s="149" t="n">
        <f aca="false">-AC111</f>
        <v>-25.925</v>
      </c>
      <c r="AD590" s="149" t="n">
        <f aca="false">-AD111</f>
        <v>-25.925</v>
      </c>
      <c r="AE590" s="149" t="n">
        <f aca="false">-AE111</f>
        <v>-25.925</v>
      </c>
      <c r="AF590" s="147" t="n">
        <f aca="false">-AF111</f>
        <v>-103.7</v>
      </c>
      <c r="AG590" s="149" t="n">
        <f aca="false">-AG111</f>
        <v>-28.85</v>
      </c>
      <c r="AH590" s="149" t="n">
        <f aca="false">-AH111</f>
        <v>-28.85</v>
      </c>
      <c r="AI590" s="149" t="n">
        <f aca="false">-AI111</f>
        <v>-28.85</v>
      </c>
      <c r="AJ590" s="149" t="n">
        <f aca="false">-AJ111</f>
        <v>-28.85</v>
      </c>
      <c r="AK590" s="147" t="n">
        <f aca="false">-AK111</f>
        <v>-115.4</v>
      </c>
      <c r="AL590" s="149" t="n">
        <f aca="false">-AL111</f>
        <v>-30.875</v>
      </c>
      <c r="AM590" s="149" t="n">
        <f aca="false">-AM111</f>
        <v>-30.875</v>
      </c>
      <c r="AN590" s="149" t="n">
        <f aca="false">-AN111</f>
        <v>-30.875</v>
      </c>
      <c r="AO590" s="149" t="n">
        <f aca="false">-AO111</f>
        <v>-30.875</v>
      </c>
      <c r="AP590" s="147" t="n">
        <f aca="false">-AP111</f>
        <v>-123.5</v>
      </c>
      <c r="AQ590" s="149" t="n">
        <f aca="false">-AQ111</f>
        <v>-33.25</v>
      </c>
      <c r="AR590" s="149" t="n">
        <f aca="false">-AR111</f>
        <v>-33.25</v>
      </c>
      <c r="AS590" s="149" t="n">
        <f aca="false">-AS111</f>
        <v>-33.25</v>
      </c>
      <c r="AT590" s="149" t="n">
        <f aca="false">-AT111</f>
        <v>-33.25</v>
      </c>
      <c r="AU590" s="147" t="n">
        <f aca="false">-AU111</f>
        <v>-133</v>
      </c>
      <c r="AV590" s="149" t="n">
        <f aca="false">-AV111</f>
        <v>-33.775</v>
      </c>
      <c r="AW590" s="149" t="n">
        <f aca="false">-AW111</f>
        <v>-33.775</v>
      </c>
      <c r="AX590" s="149" t="n">
        <f aca="false">-AX111</f>
        <v>-33.775</v>
      </c>
      <c r="AY590" s="149" t="n">
        <f aca="false">-AY111</f>
        <v>-33.775</v>
      </c>
      <c r="AZ590" s="147" t="n">
        <f aca="false">-AZ111</f>
        <v>-135.1</v>
      </c>
      <c r="BA590" s="149" t="n">
        <f aca="false">-BA111</f>
        <v>-31.9</v>
      </c>
      <c r="BB590" s="149" t="n">
        <f aca="false">-BB111</f>
        <v>-31.9</v>
      </c>
      <c r="BC590" s="149" t="n">
        <f aca="false">-BC111</f>
        <v>-31.9</v>
      </c>
      <c r="BD590" s="149" t="n">
        <f aca="false">-BD111</f>
        <v>-31.9</v>
      </c>
      <c r="BE590" s="147" t="n">
        <f aca="false">-BE111</f>
        <v>-127.6</v>
      </c>
      <c r="BF590" s="149" t="n">
        <f aca="false">-BF111</f>
        <v>-31.5</v>
      </c>
      <c r="BG590" s="149" t="n">
        <f aca="false">-BG111</f>
        <v>-31.5</v>
      </c>
      <c r="BH590" s="149" t="n">
        <f aca="false">-BH111</f>
        <v>-31.5</v>
      </c>
      <c r="BI590" s="149" t="n">
        <f aca="false">-BI111</f>
        <v>-31.5</v>
      </c>
      <c r="BJ590" s="147" t="n">
        <f aca="false">-BJ111</f>
        <v>-126</v>
      </c>
      <c r="BK590" s="149" t="n">
        <f aca="false">-BK111</f>
        <v>-30</v>
      </c>
      <c r="BL590" s="149" t="n">
        <f aca="false">-BL111</f>
        <v>-30</v>
      </c>
      <c r="BM590" s="149" t="n">
        <f aca="false">-BM111</f>
        <v>-30</v>
      </c>
      <c r="BN590" s="149" t="n">
        <f aca="false">-BN111</f>
        <v>-30</v>
      </c>
      <c r="BO590" s="150" t="n">
        <f aca="false">-BO111</f>
        <v>-120</v>
      </c>
      <c r="BP590" s="149" t="n">
        <f aca="false">-BP589*BP596*BP3/BT3</f>
        <v>-19.976301369863</v>
      </c>
      <c r="BQ590" s="149" t="n">
        <f aca="false">-BQ589*BQ596*BQ3/BT3</f>
        <v>-19.548995167949</v>
      </c>
      <c r="BR590" s="149" t="n">
        <f aca="false">-BR589*BR596*BR3/BT3</f>
        <v>-19.1235750898033</v>
      </c>
      <c r="BS590" s="149" t="n">
        <f aca="false">-BS589*BS596*BS3/BT3</f>
        <v>-18.4994152644902</v>
      </c>
      <c r="BT590" s="147" t="n">
        <f aca="false">IF(OR(ISBLANK(BP590),ISBLANK(BQ590),ISBLANK(BR590),ISBLANK(BS590)),"n/a",SUM(BP590,BQ590,BR590,BS590))</f>
        <v>-77.1482868921054</v>
      </c>
      <c r="BU590" s="149" t="n">
        <f aca="false">-BU589*BU596*BU3/BY3</f>
        <v>-17.5097482930317</v>
      </c>
      <c r="BV590" s="149" t="n">
        <f aca="false">-BV589*BV596*BV3/BY3</f>
        <v>-17.1472782732134</v>
      </c>
      <c r="BW590" s="149" t="n">
        <f aca="false">-BW589*BW596*BW3/BY3</f>
        <v>-16.7862703404788</v>
      </c>
      <c r="BX590" s="149" t="n">
        <f aca="false">-BX589*BX596*BX3/BY3</f>
        <v>-16.2504798454141</v>
      </c>
      <c r="BY590" s="147" t="n">
        <f aca="false">IF(OR(ISBLANK(BU590),ISBLANK(BV590),ISBLANK(BW590),ISBLANK(BX590)),"n/a",SUM(BU590,BV590,BW590,BX590))</f>
        <v>-67.693776752138</v>
      </c>
      <c r="BZ590" s="147" t="n">
        <f aca="false">-BZ589*BZ596</f>
        <v>-62.4266904533635</v>
      </c>
      <c r="CA590" s="147" t="n">
        <f aca="false">-CA589*CA596</f>
        <v>-54.862686885359</v>
      </c>
      <c r="CB590" s="147" t="n">
        <f aca="false">-CB589*CB596</f>
        <v>-48.4332838525551</v>
      </c>
      <c r="CC590" s="156"/>
    </row>
    <row r="591" s="157" customFormat="true" ht="15" hidden="false" customHeight="true" outlineLevel="0" collapsed="false">
      <c r="A591" s="145" t="s">
        <v>560</v>
      </c>
      <c r="B591" s="254"/>
      <c r="C591" s="147"/>
      <c r="D591" s="147" t="n">
        <f aca="false">-D550</f>
        <v>-0</v>
      </c>
      <c r="E591" s="147" t="n">
        <f aca="false">-E550</f>
        <v>-0</v>
      </c>
      <c r="F591" s="147" t="n">
        <f aca="false">-F550</f>
        <v>7.658</v>
      </c>
      <c r="G591" s="147" t="n">
        <f aca="false">-G550</f>
        <v>4</v>
      </c>
      <c r="H591" s="149" t="n">
        <f aca="false">-H550</f>
        <v>-0</v>
      </c>
      <c r="I591" s="149" t="n">
        <f aca="false">-I550</f>
        <v>3</v>
      </c>
      <c r="J591" s="149" t="n">
        <f aca="false">-J550</f>
        <v>-0</v>
      </c>
      <c r="K591" s="149" t="n">
        <f aca="false">-K550</f>
        <v>-0.048</v>
      </c>
      <c r="L591" s="147" t="n">
        <f aca="false">-L550</f>
        <v>2.952</v>
      </c>
      <c r="M591" s="149" t="n">
        <f aca="false">-M550</f>
        <v>1.1</v>
      </c>
      <c r="N591" s="149" t="n">
        <f aca="false">-N550</f>
        <v>-0</v>
      </c>
      <c r="O591" s="149" t="n">
        <f aca="false">-O550</f>
        <v>-0</v>
      </c>
      <c r="P591" s="149" t="n">
        <f aca="false">-P550</f>
        <v>0.00800000000000001</v>
      </c>
      <c r="Q591" s="147" t="n">
        <f aca="false">-Q550</f>
        <v>1.108</v>
      </c>
      <c r="R591" s="149" t="n">
        <f aca="false">-R550</f>
        <v>3.6</v>
      </c>
      <c r="S591" s="149" t="n">
        <f aca="false">-S550</f>
        <v>1.3</v>
      </c>
      <c r="T591" s="149" t="n">
        <f aca="false">-T550</f>
        <v>2.6</v>
      </c>
      <c r="U591" s="149" t="n">
        <f aca="false">-U550</f>
        <v>0.9</v>
      </c>
      <c r="V591" s="147" t="n">
        <f aca="false">-V550</f>
        <v>8.4</v>
      </c>
      <c r="W591" s="149" t="n">
        <f aca="false">-W550</f>
        <v>5.2</v>
      </c>
      <c r="X591" s="149" t="n">
        <f aca="false">-X550</f>
        <v>5</v>
      </c>
      <c r="Y591" s="149" t="n">
        <f aca="false">-Y550</f>
        <v>2.1</v>
      </c>
      <c r="Z591" s="149" t="n">
        <f aca="false">-Z550</f>
        <v>6.8</v>
      </c>
      <c r="AA591" s="147" t="n">
        <f aca="false">-AA550</f>
        <v>19.1</v>
      </c>
      <c r="AB591" s="149" t="n">
        <f aca="false">-AB550</f>
        <v>6.1</v>
      </c>
      <c r="AC591" s="149" t="n">
        <f aca="false">-AC550</f>
        <v>9.8</v>
      </c>
      <c r="AD591" s="149" t="n">
        <f aca="false">-AD550</f>
        <v>5.2</v>
      </c>
      <c r="AE591" s="149" t="n">
        <f aca="false">-AE550</f>
        <v>14.4</v>
      </c>
      <c r="AF591" s="147" t="n">
        <f aca="false">-AF550</f>
        <v>35.5</v>
      </c>
      <c r="AG591" s="149" t="n">
        <f aca="false">-AG550</f>
        <v>86.7</v>
      </c>
      <c r="AH591" s="149" t="n">
        <f aca="false">-AH550</f>
        <v>11.7</v>
      </c>
      <c r="AI591" s="149" t="n">
        <f aca="false">-AI550</f>
        <v>11.2</v>
      </c>
      <c r="AJ591" s="149" t="n">
        <f aca="false">-AJ550</f>
        <v>9.7</v>
      </c>
      <c r="AK591" s="147" t="n">
        <f aca="false">-AK550</f>
        <v>119.3</v>
      </c>
      <c r="AL591" s="149" t="n">
        <f aca="false">-AL550</f>
        <v>10.8</v>
      </c>
      <c r="AM591" s="149" t="n">
        <f aca="false">-AM550</f>
        <v>6.7</v>
      </c>
      <c r="AN591" s="149" t="n">
        <f aca="false">-AN550</f>
        <v>9.1</v>
      </c>
      <c r="AO591" s="149" t="n">
        <f aca="false">-AO550</f>
        <v>12.2</v>
      </c>
      <c r="AP591" s="147" t="n">
        <f aca="false">-AP550</f>
        <v>38.8</v>
      </c>
      <c r="AQ591" s="149" t="n">
        <f aca="false">-AQ550</f>
        <v>7.9</v>
      </c>
      <c r="AR591" s="149" t="n">
        <f aca="false">-AR550</f>
        <v>6.3</v>
      </c>
      <c r="AS591" s="149" t="n">
        <f aca="false">-AS550</f>
        <v>8</v>
      </c>
      <c r="AT591" s="149" t="n">
        <f aca="false">-AT550</f>
        <v>17.4</v>
      </c>
      <c r="AU591" s="147" t="n">
        <f aca="false">-AU550</f>
        <v>39.6</v>
      </c>
      <c r="AV591" s="149" t="n">
        <f aca="false">-AV550</f>
        <v>11.5</v>
      </c>
      <c r="AW591" s="149" t="n">
        <f aca="false">-AW550</f>
        <v>6</v>
      </c>
      <c r="AX591" s="149" t="n">
        <f aca="false">-AX550</f>
        <v>7.7</v>
      </c>
      <c r="AY591" s="149" t="n">
        <f aca="false">-AY550</f>
        <v>12.3</v>
      </c>
      <c r="AZ591" s="147" t="n">
        <f aca="false">-AZ550</f>
        <v>37.5</v>
      </c>
      <c r="BA591" s="149" t="n">
        <f aca="false">-BA550</f>
        <v>7.4</v>
      </c>
      <c r="BB591" s="149" t="n">
        <f aca="false">-BB550</f>
        <v>6.6</v>
      </c>
      <c r="BC591" s="149" t="n">
        <f aca="false">-BC550</f>
        <v>8.3</v>
      </c>
      <c r="BD591" s="149" t="n">
        <f aca="false">-BD550</f>
        <v>18.3</v>
      </c>
      <c r="BE591" s="147" t="n">
        <f aca="false">-BE550</f>
        <v>40.6</v>
      </c>
      <c r="BF591" s="149" t="n">
        <f aca="false">-BF550</f>
        <v>6.5</v>
      </c>
      <c r="BG591" s="149" t="n">
        <f aca="false">-BG550</f>
        <v>7</v>
      </c>
      <c r="BH591" s="149" t="n">
        <f aca="false">-BH550</f>
        <v>0.9</v>
      </c>
      <c r="BI591" s="149" t="n">
        <f aca="false">-BI550</f>
        <v>1.5</v>
      </c>
      <c r="BJ591" s="147" t="n">
        <f aca="false">-BJ550</f>
        <v>15.9</v>
      </c>
      <c r="BK591" s="149" t="n">
        <f aca="false">-BK550</f>
        <v>1.5</v>
      </c>
      <c r="BL591" s="149" t="n">
        <f aca="false">-BL550</f>
        <v>14.1</v>
      </c>
      <c r="BM591" s="149" t="n">
        <f aca="false">-BM550</f>
        <v>19.5</v>
      </c>
      <c r="BN591" s="149" t="n">
        <f aca="false">-BN550</f>
        <v>22.5</v>
      </c>
      <c r="BO591" s="150" t="n">
        <f aca="false">-BO550</f>
        <v>57.6</v>
      </c>
      <c r="BP591" s="149" t="n">
        <f aca="false">BP601*BP602</f>
        <v>2.615</v>
      </c>
      <c r="BQ591" s="149" t="n">
        <f aca="false">BQ601*BQ602</f>
        <v>2.615</v>
      </c>
      <c r="BR591" s="149" t="n">
        <f aca="false">BR601*BR602</f>
        <v>2.615</v>
      </c>
      <c r="BS591" s="149" t="n">
        <f aca="false">BS601*BS602</f>
        <v>2.615</v>
      </c>
      <c r="BT591" s="147" t="n">
        <f aca="false">IF(OR(ISBLANK(BP591),ISBLANK(BQ591),ISBLANK(BR591),ISBLANK(BS591)),"n/a",SUM(BP591,BQ591,BR591,BS591))</f>
        <v>10.46</v>
      </c>
      <c r="BU591" s="149" t="n">
        <f aca="false">BU601*BU602</f>
        <v>2.615</v>
      </c>
      <c r="BV591" s="149" t="n">
        <f aca="false">BV601*BV602</f>
        <v>2.615</v>
      </c>
      <c r="BW591" s="149" t="n">
        <f aca="false">BW601*BW602</f>
        <v>2.615</v>
      </c>
      <c r="BX591" s="149" t="n">
        <f aca="false">BX601*BX602</f>
        <v>2.615</v>
      </c>
      <c r="BY591" s="147" t="n">
        <f aca="false">IF(OR(ISBLANK(BU591),ISBLANK(BV591),ISBLANK(BW591),ISBLANK(BX591)),"n/a",SUM(BU591,BV591,BW591,BX591))</f>
        <v>10.46</v>
      </c>
      <c r="BZ591" s="147" t="n">
        <f aca="false">BZ601*BZ602</f>
        <v>12</v>
      </c>
      <c r="CA591" s="147" t="n">
        <f aca="false">CA601*CA602</f>
        <v>12</v>
      </c>
      <c r="CB591" s="147" t="n">
        <f aca="false">CB601*CB602</f>
        <v>12</v>
      </c>
      <c r="CC591" s="156"/>
    </row>
    <row r="592" s="157" customFormat="true" ht="15" hidden="false" customHeight="true" outlineLevel="0" collapsed="false">
      <c r="A592" s="145" t="s">
        <v>561</v>
      </c>
      <c r="B592" s="254"/>
      <c r="C592" s="147"/>
      <c r="D592" s="147" t="n">
        <f aca="false">ROUND(D593-D589-D590-D591,6)</f>
        <v>1.023</v>
      </c>
      <c r="E592" s="147" t="n">
        <f aca="false">ROUND(E593-E589-E590-E591,6)</f>
        <v>0.015</v>
      </c>
      <c r="F592" s="147" t="n">
        <f aca="false">ROUND(F593-F589-F590-F591,6)</f>
        <v>0.019</v>
      </c>
      <c r="G592" s="147" t="n">
        <f aca="false">ROUND(G593-G589-G590-G591,6)</f>
        <v>711.291</v>
      </c>
      <c r="H592" s="149" t="n">
        <f aca="false">ROUND(H593-H589-H590-H591,6)</f>
        <v>1.441</v>
      </c>
      <c r="I592" s="149" t="n">
        <f aca="false">ROUND(I593-I589-I590-I591,6)</f>
        <v>6.375</v>
      </c>
      <c r="J592" s="149" t="n">
        <f aca="false">ROUND(J593-J589-J590-J591,6)</f>
        <v>37.175</v>
      </c>
      <c r="K592" s="149" t="n">
        <f aca="false">ROUND(K593-K589-K590-K591,6)</f>
        <v>22.162</v>
      </c>
      <c r="L592" s="147" t="n">
        <f aca="false">ROUND(L593-L589-L590-L591,6)</f>
        <v>67.153</v>
      </c>
      <c r="M592" s="149" t="n">
        <f aca="false">ROUND(M593-M589-M590-M591,6)</f>
        <v>61.661</v>
      </c>
      <c r="N592" s="149" t="n">
        <f aca="false">ROUND(N593-N589-N590-N591,6)</f>
        <v>-9.8</v>
      </c>
      <c r="O592" s="149" t="n">
        <f aca="false">ROUND(O593-O589-O590-O591,6)</f>
        <v>1.1</v>
      </c>
      <c r="P592" s="149" t="n">
        <f aca="false">ROUND(P593-P589-P590-P591,6)</f>
        <v>11.462</v>
      </c>
      <c r="Q592" s="147" t="n">
        <f aca="false">ROUND(Q593-Q589-Q590-Q591,6)</f>
        <v>64.423</v>
      </c>
      <c r="R592" s="149" t="n">
        <f aca="false">ROUND(R593-R589-R590-R591,6)</f>
        <v>-19.895</v>
      </c>
      <c r="S592" s="149" t="n">
        <f aca="false">ROUND(S593-S589-S590-S591,6)</f>
        <v>22.075</v>
      </c>
      <c r="T592" s="149" t="n">
        <f aca="false">ROUND(T593-T589-T590-T591,6)</f>
        <v>-6.225</v>
      </c>
      <c r="U592" s="149" t="n">
        <f aca="false">ROUND(U593-U589-U590-U591,6)</f>
        <v>643.975</v>
      </c>
      <c r="V592" s="147" t="n">
        <f aca="false">ROUND(V593-V589-V590-V591,6)</f>
        <v>639.93</v>
      </c>
      <c r="W592" s="149" t="n">
        <f aca="false">ROUND(W593-W589-W590-W591,6)</f>
        <v>-22.325</v>
      </c>
      <c r="X592" s="149" t="n">
        <f aca="false">ROUND(X593-X589-X590-X591,6)</f>
        <v>-27.725</v>
      </c>
      <c r="Y592" s="149" t="n">
        <f aca="false">ROUND(Y593-Y589-Y590-Y591,6)</f>
        <v>-15.025</v>
      </c>
      <c r="Z592" s="149" t="n">
        <f aca="false">ROUND(Z593-Z589-Z590-Z591,6)</f>
        <v>-5.525</v>
      </c>
      <c r="AA592" s="147" t="n">
        <f aca="false">ROUND(AA593-AA589-AA590-AA591,6)</f>
        <v>-70.6</v>
      </c>
      <c r="AB592" s="149" t="n">
        <f aca="false">ROUND(AB593-AB589-AB590-AB591,6)</f>
        <v>0.325</v>
      </c>
      <c r="AC592" s="149" t="n">
        <f aca="false">ROUND(AC593-AC589-AC590-AC591,6)</f>
        <v>-0.175</v>
      </c>
      <c r="AD592" s="149" t="n">
        <f aca="false">ROUND(AD593-AD589-AD590-AD591,6)</f>
        <v>-0.775</v>
      </c>
      <c r="AE592" s="149" t="n">
        <f aca="false">ROUND(AE593-AE589-AE590-AE591,6)</f>
        <v>6.825</v>
      </c>
      <c r="AF592" s="147" t="n">
        <f aca="false">ROUND(AF593-AF589-AF590-AF591,6)</f>
        <v>6.2</v>
      </c>
      <c r="AG592" s="149" t="n">
        <f aca="false">ROUND(AG593-AG589-AG590-AG591,6)</f>
        <v>-3.35</v>
      </c>
      <c r="AH592" s="149" t="n">
        <f aca="false">ROUND(AH593-AH589-AH590-AH591,6)</f>
        <v>-0.55</v>
      </c>
      <c r="AI592" s="149" t="n">
        <f aca="false">ROUND(AI593-AI589-AI590-AI591,6)</f>
        <v>-0.35</v>
      </c>
      <c r="AJ592" s="149" t="n">
        <f aca="false">ROUND(AJ593-AJ589-AJ590-AJ591,6)</f>
        <v>0.75</v>
      </c>
      <c r="AK592" s="147" t="n">
        <f aca="false">ROUND(AK593-AK589-AK590-AK591,6)</f>
        <v>-3.5</v>
      </c>
      <c r="AL592" s="149" t="n">
        <f aca="false">ROUND(AL593-AL589-AL590-AL591,6)</f>
        <v>-1.825</v>
      </c>
      <c r="AM592" s="149" t="n">
        <f aca="false">ROUND(AM593-AM589-AM590-AM591,6)</f>
        <v>-0.025</v>
      </c>
      <c r="AN592" s="149" t="n">
        <f aca="false">ROUND(AN593-AN589-AN590-AN591,6)</f>
        <v>-1.125</v>
      </c>
      <c r="AO592" s="149" t="n">
        <f aca="false">ROUND(AO593-AO589-AO590-AO591,6)</f>
        <v>32.275</v>
      </c>
      <c r="AP592" s="147" t="n">
        <f aca="false">ROUND(AP593-AP589-AP590-AP591,6)</f>
        <v>29.3</v>
      </c>
      <c r="AQ592" s="149" t="n">
        <f aca="false">ROUND(AQ593-AQ589-AQ590-AQ591,6)</f>
        <v>-9.45</v>
      </c>
      <c r="AR592" s="149" t="n">
        <f aca="false">ROUND(AR593-AR589-AR590-AR591,6)</f>
        <v>0.45</v>
      </c>
      <c r="AS592" s="149" t="n">
        <f aca="false">ROUND(AS593-AS589-AS590-AS591,6)</f>
        <v>1.35</v>
      </c>
      <c r="AT592" s="149" t="n">
        <f aca="false">ROUND(AT593-AT589-AT590-AT591,6)</f>
        <v>4.15</v>
      </c>
      <c r="AU592" s="147" t="n">
        <f aca="false">ROUND(AU593-AU589-AU590-AU591,6)</f>
        <v>-3.5</v>
      </c>
      <c r="AV592" s="149" t="n">
        <f aca="false">ROUND(AV593-AV589-AV590-AV591,6)</f>
        <v>-6.425</v>
      </c>
      <c r="AW592" s="149" t="n">
        <f aca="false">ROUND(AW593-AW589-AW590-AW591,6)</f>
        <v>0.475</v>
      </c>
      <c r="AX592" s="149" t="n">
        <f aca="false">ROUND(AX593-AX589-AX590-AX591,6)</f>
        <v>0.075</v>
      </c>
      <c r="AY592" s="149" t="n">
        <f aca="false">ROUND(AY593-AY589-AY590-AY591,6)</f>
        <v>-6.225</v>
      </c>
      <c r="AZ592" s="147" t="n">
        <f aca="false">ROUND(AZ593-AZ589-AZ590-AZ591,6)</f>
        <v>-12.1</v>
      </c>
      <c r="BA592" s="149" t="n">
        <f aca="false">ROUND(BA593-BA589-BA590-BA591,6)</f>
        <v>-4.2</v>
      </c>
      <c r="BB592" s="149" t="n">
        <f aca="false">ROUND(BB593-BB589-BB590-BB591,6)</f>
        <v>0.8</v>
      </c>
      <c r="BC592" s="149" t="n">
        <f aca="false">ROUND(BC593-BC589-BC590-BC591,6)</f>
        <v>-9</v>
      </c>
      <c r="BD592" s="149" t="n">
        <f aca="false">ROUND(BD593-BD589-BD590-BD591,6)</f>
        <v>-1.3</v>
      </c>
      <c r="BE592" s="147" t="n">
        <f aca="false">ROUND(BE593-BE589-BE590-BE591,6)</f>
        <v>-13.7</v>
      </c>
      <c r="BF592" s="149" t="n">
        <f aca="false">ROUND(BF593-BF589-BF590-BF591,6)</f>
        <v>-5.6</v>
      </c>
      <c r="BG592" s="149" t="n">
        <f aca="false">ROUND(BG593-BG589-BG590-BG591,6)</f>
        <v>-0.2</v>
      </c>
      <c r="BH592" s="149" t="n">
        <f aca="false">ROUND(BH593-BH589-BH590-BH591,6)</f>
        <v>-2.9</v>
      </c>
      <c r="BI592" s="149" t="n">
        <f aca="false">ROUND(BI593-BI589-BI590-BI591,6)</f>
        <v>-1.6</v>
      </c>
      <c r="BJ592" s="147" t="n">
        <f aca="false">ROUND(BJ593-BJ589-BJ590-BJ591,6)</f>
        <v>-10.3</v>
      </c>
      <c r="BK592" s="149" t="n">
        <f aca="false">ROUND(BK593-BK589-BK590-BK591,6)</f>
        <v>-1.2</v>
      </c>
      <c r="BL592" s="149" t="n">
        <f aca="false">ROUND(BL593-BL589-BL590-BL591,6)</f>
        <v>-10</v>
      </c>
      <c r="BM592" s="149" t="n">
        <f aca="false">ROUND(BM593-BM589-BM590-BM591,6)</f>
        <v>0.5</v>
      </c>
      <c r="BN592" s="149" t="n">
        <f aca="false">ROUND(BN593-BN589-BN590-BN591,6)</f>
        <v>-8.1</v>
      </c>
      <c r="BO592" s="150" t="n">
        <f aca="false">ROUND(BO593-BO589-BO590-BO591,6)</f>
        <v>-18.8</v>
      </c>
      <c r="BP592" s="149" t="n">
        <f aca="false">ROUND(BP593-BP589-BP590-BP591,6)</f>
        <v>0</v>
      </c>
      <c r="BQ592" s="149" t="n">
        <f aca="false">ROUND(BQ593-BQ589-BQ590-BQ591,6)</f>
        <v>-0</v>
      </c>
      <c r="BR592" s="149" t="n">
        <f aca="false">ROUND(BR593-BR589-BR590-BR591,6)</f>
        <v>-0</v>
      </c>
      <c r="BS592" s="149" t="n">
        <f aca="false">ROUND(BS593-BS589-BS590-BS591,6)</f>
        <v>0</v>
      </c>
      <c r="BT592" s="147" t="n">
        <f aca="false">ROUND(BT593-BT589-IF(ISNUMBER(BT590),BT590,0)-IF(ISNUMBER(BT591),BT591,0),6)</f>
        <v>0</v>
      </c>
      <c r="BU592" s="149" t="n">
        <f aca="false">ROUND(BU593-BU589-BU590-BU591,6)</f>
        <v>0</v>
      </c>
      <c r="BV592" s="149" t="n">
        <f aca="false">ROUND(BV593-BV589-BV590-BV591,6)</f>
        <v>0</v>
      </c>
      <c r="BW592" s="149" t="n">
        <f aca="false">ROUND(BW593-BW589-BW590-BW591,6)</f>
        <v>0</v>
      </c>
      <c r="BX592" s="149" t="n">
        <f aca="false">ROUND(BX593-BX589-BX590-BX591,6)</f>
        <v>0</v>
      </c>
      <c r="BY592" s="147" t="n">
        <f aca="false">ROUND(BY593-BY589-IF(ISNUMBER(BY590),BY590,0)-IF(ISNUMBER(BY591),BY591,0),6)</f>
        <v>0</v>
      </c>
      <c r="BZ592" s="147" t="n">
        <f aca="false">ROUND(BZ593-BZ589-BZ590-BZ591,6)</f>
        <v>0</v>
      </c>
      <c r="CA592" s="147" t="n">
        <f aca="false">ROUND(CA593-CA589-CA590-CA591,6)</f>
        <v>0</v>
      </c>
      <c r="CB592" s="147" t="n">
        <f aca="false">ROUND(CB593-CB589-CB590-CB591,6)</f>
        <v>0</v>
      </c>
      <c r="CC592" s="156"/>
    </row>
    <row r="593" s="157" customFormat="true" ht="15" hidden="false" customHeight="true" outlineLevel="0" collapsed="false">
      <c r="A593" s="151" t="s">
        <v>562</v>
      </c>
      <c r="B593" s="393"/>
      <c r="C593" s="153" t="n">
        <f aca="false">C647</f>
        <v>18.128</v>
      </c>
      <c r="D593" s="153" t="n">
        <f aca="false">D647</f>
        <v>13.651</v>
      </c>
      <c r="E593" s="153" t="n">
        <f aca="false">E647</f>
        <v>8.366</v>
      </c>
      <c r="F593" s="153" t="n">
        <f aca="false">F647</f>
        <v>9.943</v>
      </c>
      <c r="G593" s="153" t="n">
        <f aca="false">G647</f>
        <v>697.634</v>
      </c>
      <c r="H593" s="154" t="n">
        <f aca="false">H647</f>
        <v>688.1</v>
      </c>
      <c r="I593" s="154" t="n">
        <f aca="false">I647</f>
        <v>686.5</v>
      </c>
      <c r="J593" s="154" t="n">
        <f aca="false">J647</f>
        <v>712.7</v>
      </c>
      <c r="K593" s="154" t="n">
        <f aca="false">K647</f>
        <v>723.839</v>
      </c>
      <c r="L593" s="153" t="n">
        <f aca="false">L647</f>
        <v>723.839</v>
      </c>
      <c r="M593" s="154" t="n">
        <f aca="false">M647</f>
        <v>773.8</v>
      </c>
      <c r="N593" s="154" t="n">
        <f aca="false">N647</f>
        <v>751.2</v>
      </c>
      <c r="O593" s="154" t="n">
        <f aca="false">O647</f>
        <v>739.5</v>
      </c>
      <c r="P593" s="154" t="n">
        <f aca="false">P647</f>
        <v>738.17</v>
      </c>
      <c r="Q593" s="153" t="n">
        <f aca="false">Q647</f>
        <v>738.17</v>
      </c>
      <c r="R593" s="154" t="n">
        <f aca="false">R647</f>
        <v>706</v>
      </c>
      <c r="S593" s="154" t="n">
        <f aca="false">S647</f>
        <v>713.5</v>
      </c>
      <c r="T593" s="154" t="n">
        <f aca="false">T647</f>
        <v>694</v>
      </c>
      <c r="U593" s="154" t="n">
        <f aca="false">U647</f>
        <v>1323</v>
      </c>
      <c r="V593" s="153" t="n">
        <f aca="false">V647</f>
        <v>1323</v>
      </c>
      <c r="W593" s="154" t="n">
        <f aca="false">W647</f>
        <v>1279.5</v>
      </c>
      <c r="X593" s="154" t="n">
        <f aca="false">X647</f>
        <v>1230.4</v>
      </c>
      <c r="Y593" s="154" t="n">
        <f aca="false">Y647</f>
        <v>1191.1</v>
      </c>
      <c r="Z593" s="154" t="n">
        <f aca="false">Z647</f>
        <v>1166</v>
      </c>
      <c r="AA593" s="153" t="n">
        <f aca="false">AA647</f>
        <v>1166</v>
      </c>
      <c r="AB593" s="154" t="n">
        <f aca="false">AB647</f>
        <v>1146.5</v>
      </c>
      <c r="AC593" s="154" t="n">
        <f aca="false">AC647</f>
        <v>1130.2</v>
      </c>
      <c r="AD593" s="154" t="n">
        <f aca="false">AD647</f>
        <v>1108.7</v>
      </c>
      <c r="AE593" s="154" t="n">
        <f aca="false">AE647</f>
        <v>1104</v>
      </c>
      <c r="AF593" s="153" t="n">
        <f aca="false">AF647</f>
        <v>1104</v>
      </c>
      <c r="AG593" s="154" t="n">
        <f aca="false">AG647</f>
        <v>1158.5</v>
      </c>
      <c r="AH593" s="154" t="n">
        <f aca="false">AH647</f>
        <v>1140.8</v>
      </c>
      <c r="AI593" s="154" t="n">
        <f aca="false">AI647</f>
        <v>1122.8</v>
      </c>
      <c r="AJ593" s="154" t="n">
        <f aca="false">AJ647</f>
        <v>1104.4</v>
      </c>
      <c r="AK593" s="153" t="n">
        <f aca="false">AK647</f>
        <v>1104.4</v>
      </c>
      <c r="AL593" s="154" t="n">
        <f aca="false">AL647</f>
        <v>1082.5</v>
      </c>
      <c r="AM593" s="154" t="n">
        <f aca="false">AM647</f>
        <v>1058.3</v>
      </c>
      <c r="AN593" s="154" t="n">
        <f aca="false">AN647</f>
        <v>1035.4</v>
      </c>
      <c r="AO593" s="154" t="n">
        <f aca="false">AO647</f>
        <v>1049</v>
      </c>
      <c r="AP593" s="153" t="n">
        <f aca="false">AP647</f>
        <v>1049</v>
      </c>
      <c r="AQ593" s="154" t="n">
        <f aca="false">AQ647</f>
        <v>1014.2</v>
      </c>
      <c r="AR593" s="154" t="n">
        <f aca="false">AR647</f>
        <v>987.7</v>
      </c>
      <c r="AS593" s="154" t="n">
        <f aca="false">AS647</f>
        <v>963.8</v>
      </c>
      <c r="AT593" s="154" t="n">
        <f aca="false">AT647</f>
        <v>952.1</v>
      </c>
      <c r="AU593" s="153" t="n">
        <f aca="false">AU647</f>
        <v>952.1</v>
      </c>
      <c r="AV593" s="154" t="n">
        <f aca="false">AV647</f>
        <v>923.4</v>
      </c>
      <c r="AW593" s="154" t="n">
        <f aca="false">AW647</f>
        <v>896.1</v>
      </c>
      <c r="AX593" s="154" t="n">
        <f aca="false">AX647</f>
        <v>870.1</v>
      </c>
      <c r="AY593" s="154" t="n">
        <f aca="false">AY647</f>
        <v>842.4</v>
      </c>
      <c r="AZ593" s="153" t="n">
        <f aca="false">AZ647</f>
        <v>842.4</v>
      </c>
      <c r="BA593" s="154" t="n">
        <f aca="false">BA647</f>
        <v>813.7</v>
      </c>
      <c r="BB593" s="154" t="n">
        <f aca="false">BB647</f>
        <v>789.2</v>
      </c>
      <c r="BC593" s="154" t="n">
        <f aca="false">BC647</f>
        <v>756.6</v>
      </c>
      <c r="BD593" s="154" t="n">
        <f aca="false">BD647</f>
        <v>741.7</v>
      </c>
      <c r="BE593" s="153" t="n">
        <f aca="false">BE647</f>
        <v>741.7</v>
      </c>
      <c r="BF593" s="154" t="n">
        <f aca="false">BF647</f>
        <v>711.1</v>
      </c>
      <c r="BG593" s="154" t="n">
        <f aca="false">BG647</f>
        <v>686.4</v>
      </c>
      <c r="BH593" s="154" t="n">
        <f aca="false">BH647</f>
        <v>652.9</v>
      </c>
      <c r="BI593" s="154" t="n">
        <f aca="false">BI647</f>
        <v>621.3</v>
      </c>
      <c r="BJ593" s="153" t="n">
        <f aca="false">BJ647</f>
        <v>621.3</v>
      </c>
      <c r="BK593" s="154" t="n">
        <f aca="false">BK647</f>
        <v>591.6</v>
      </c>
      <c r="BL593" s="154" t="n">
        <f aca="false">BL647</f>
        <v>565.7</v>
      </c>
      <c r="BM593" s="154" t="n">
        <f aca="false">BM647</f>
        <v>555.7</v>
      </c>
      <c r="BN593" s="154" t="n">
        <f aca="false">BN647</f>
        <v>540.1</v>
      </c>
      <c r="BO593" s="155" t="n">
        <f aca="false">BO647</f>
        <v>540.1</v>
      </c>
      <c r="BP593" s="154" t="n">
        <f aca="false">BP647</f>
        <v>522.738698630137</v>
      </c>
      <c r="BQ593" s="154" t="n">
        <f aca="false">BQ647</f>
        <v>505.804703462188</v>
      </c>
      <c r="BR593" s="154" t="n">
        <f aca="false">BR647</f>
        <v>489.296128372385</v>
      </c>
      <c r="BS593" s="154" t="n">
        <f aca="false">BS647</f>
        <v>473.411713107895</v>
      </c>
      <c r="BT593" s="153" t="n">
        <f aca="false">BT647</f>
        <v>473.411713107895</v>
      </c>
      <c r="BU593" s="154" t="n">
        <f aca="false">BU647</f>
        <v>458.516964814863</v>
      </c>
      <c r="BV593" s="154" t="n">
        <f aca="false">BV647</f>
        <v>443.98468654165</v>
      </c>
      <c r="BW593" s="154" t="n">
        <f aca="false">BW647</f>
        <v>429.813416201171</v>
      </c>
      <c r="BX593" s="154" t="n">
        <f aca="false">BX647</f>
        <v>416.177936355757</v>
      </c>
      <c r="BY593" s="153" t="n">
        <f aca="false">BY647</f>
        <v>416.177936355757</v>
      </c>
      <c r="BZ593" s="153" t="n">
        <f aca="false">BZ647</f>
        <v>365.751245902393</v>
      </c>
      <c r="CA593" s="153" t="n">
        <f aca="false">CA647</f>
        <v>322.888559017034</v>
      </c>
      <c r="CB593" s="153" t="n">
        <f aca="false">CB647</f>
        <v>286.455275164479</v>
      </c>
      <c r="CC593" s="156"/>
    </row>
    <row r="594" s="157" customFormat="true" ht="15" hidden="false" customHeight="true" outlineLevel="0" collapsed="false">
      <c r="A594" s="145"/>
      <c r="B594" s="254"/>
      <c r="C594" s="147"/>
      <c r="D594" s="147"/>
      <c r="E594" s="147"/>
      <c r="F594" s="147"/>
      <c r="G594" s="147"/>
      <c r="H594" s="149"/>
      <c r="I594" s="149"/>
      <c r="J594" s="149"/>
      <c r="K594" s="149"/>
      <c r="L594" s="147"/>
      <c r="M594" s="149"/>
      <c r="N594" s="149"/>
      <c r="O594" s="149"/>
      <c r="P594" s="149"/>
      <c r="Q594" s="147"/>
      <c r="R594" s="149"/>
      <c r="S594" s="149"/>
      <c r="T594" s="149"/>
      <c r="U594" s="149"/>
      <c r="V594" s="147"/>
      <c r="W594" s="149"/>
      <c r="X594" s="149"/>
      <c r="Y594" s="149"/>
      <c r="Z594" s="149"/>
      <c r="AA594" s="147"/>
      <c r="AB594" s="149"/>
      <c r="AC594" s="149"/>
      <c r="AD594" s="149"/>
      <c r="AE594" s="149"/>
      <c r="AF594" s="147"/>
      <c r="AG594" s="149"/>
      <c r="AH594" s="149"/>
      <c r="AI594" s="149"/>
      <c r="AJ594" s="149"/>
      <c r="AK594" s="147"/>
      <c r="AL594" s="149"/>
      <c r="AM594" s="149"/>
      <c r="AN594" s="149"/>
      <c r="AO594" s="149"/>
      <c r="AP594" s="147"/>
      <c r="AQ594" s="149"/>
      <c r="AR594" s="149"/>
      <c r="AS594" s="149"/>
      <c r="AT594" s="149"/>
      <c r="AU594" s="147"/>
      <c r="AV594" s="149"/>
      <c r="AW594" s="149"/>
      <c r="AX594" s="149"/>
      <c r="AY594" s="149"/>
      <c r="AZ594" s="147"/>
      <c r="BA594" s="149"/>
      <c r="BB594" s="149"/>
      <c r="BC594" s="149"/>
      <c r="BD594" s="149"/>
      <c r="BE594" s="147"/>
      <c r="BF594" s="149"/>
      <c r="BG594" s="149"/>
      <c r="BH594" s="149"/>
      <c r="BI594" s="149"/>
      <c r="BJ594" s="147"/>
      <c r="BK594" s="149"/>
      <c r="BL594" s="149"/>
      <c r="BM594" s="149"/>
      <c r="BN594" s="149"/>
      <c r="BO594" s="150"/>
      <c r="BP594" s="149"/>
      <c r="BQ594" s="149"/>
      <c r="BR594" s="149"/>
      <c r="BS594" s="149"/>
      <c r="BT594" s="147"/>
      <c r="BU594" s="149"/>
      <c r="BV594" s="149"/>
      <c r="BW594" s="149"/>
      <c r="BX594" s="149"/>
      <c r="BY594" s="147"/>
      <c r="BZ594" s="147"/>
      <c r="CA594" s="147"/>
      <c r="CB594" s="147"/>
      <c r="CC594" s="156"/>
    </row>
    <row r="595" s="157" customFormat="true" ht="15" hidden="false" customHeight="true" outlineLevel="0" collapsed="false">
      <c r="A595" s="566" t="s">
        <v>563</v>
      </c>
      <c r="B595" s="419"/>
      <c r="C595" s="133"/>
      <c r="D595" s="133" t="n">
        <f aca="false">IFERROR(-D584/D583,"n/a")</f>
        <v>0.22064208984375</v>
      </c>
      <c r="E595" s="133" t="n">
        <f aca="false">IFERROR(-E584/E583,"n/a")</f>
        <v>0.211986352372302</v>
      </c>
      <c r="F595" s="133" t="n">
        <f aca="false">IFERROR(-F584/F583,"n/a")</f>
        <v>0.17017682064521</v>
      </c>
      <c r="G595" s="133" t="n">
        <f aca="false">IFERROR(-G584/G583,"n/a")</f>
        <v>0.191373529865825</v>
      </c>
      <c r="H595" s="134" t="n">
        <f aca="false">IFERROR(-H584/H583*L3/H3,"n/a")</f>
        <v>0.179873723748881</v>
      </c>
      <c r="I595" s="134" t="n">
        <f aca="false">IFERROR(-I584/I583*L3/I3,"n/a")</f>
        <v>0.181504419881613</v>
      </c>
      <c r="J595" s="134" t="n">
        <f aca="false">IFERROR(-J584/J583*L3/J3,"n/a")</f>
        <v>0.154494325375041</v>
      </c>
      <c r="K595" s="134" t="n">
        <f aca="false">IFERROR(-K584/K583*L3/K3,"n/a")</f>
        <v>0.145026029877773</v>
      </c>
      <c r="L595" s="133" t="n">
        <f aca="false">IFERROR(-L584/L583,"n/a")</f>
        <v>0.172025881889247</v>
      </c>
      <c r="M595" s="134" t="n">
        <f aca="false">IFERROR(-M584/M583*Q3/M3,"n/a")</f>
        <v>0.150802950030061</v>
      </c>
      <c r="N595" s="134" t="n">
        <f aca="false">IFERROR(-N584/N583*Q3/N3,"n/a")</f>
        <v>0.156208459388845</v>
      </c>
      <c r="O595" s="134" t="n">
        <f aca="false">IFERROR(-O584/O583*Q3/O3,"n/a")</f>
        <v>0.169082635713092</v>
      </c>
      <c r="P595" s="134" t="n">
        <f aca="false">IFERROR(-P584/P583*Q3/P3,"n/a")</f>
        <v>0.167996215581365</v>
      </c>
      <c r="Q595" s="133" t="n">
        <f aca="false">IFERROR(-Q584/Q583,"n/a")</f>
        <v>0.167872980256618</v>
      </c>
      <c r="R595" s="134" t="n">
        <f aca="false">IFERROR(-R584/R583*V3/R3,"n/a")</f>
        <v>0.15730118781651</v>
      </c>
      <c r="S595" s="134" t="n">
        <f aca="false">IFERROR(-S584/S583*V3/S3,"n/a")</f>
        <v>0.171983272059207</v>
      </c>
      <c r="T595" s="134" t="n">
        <f aca="false">IFERROR(-T584/T583*V3/T3,"n/a")</f>
        <v>0.177925468154817</v>
      </c>
      <c r="U595" s="134" t="n">
        <f aca="false">IFERROR(-U584/U583*V3/U3,"n/a")</f>
        <v>0.221791398933266</v>
      </c>
      <c r="V595" s="133" t="n">
        <f aca="false">IFERROR(-V584/V583,"n/a")</f>
        <v>0.179431077610728</v>
      </c>
      <c r="W595" s="134" t="n">
        <f aca="false">IFERROR(-W584/W583*AA3/W3,"n/a")</f>
        <v>0.19464249360917</v>
      </c>
      <c r="X595" s="134" t="n">
        <f aca="false">IFERROR(-X584/X583*AA3/X3,"n/a")</f>
        <v>0.189313044573769</v>
      </c>
      <c r="Y595" s="134" t="n">
        <f aca="false">IFERROR(-Y584/Y583*AA3/Y3,"n/a")</f>
        <v>0.189058771892307</v>
      </c>
      <c r="Z595" s="134" t="n">
        <f aca="false">IFERROR(-Z584/Z583*AA3/Z3,"n/a")</f>
        <v>0.193765400192591</v>
      </c>
      <c r="AA595" s="133" t="n">
        <f aca="false">IFERROR(-AA584/AA583,"n/a")</f>
        <v>0.18266951161688</v>
      </c>
      <c r="AB595" s="134" t="n">
        <f aca="false">IFERROR(-AB584/AB583*AF3/AB3,"n/a")</f>
        <v>0.189863001191712</v>
      </c>
      <c r="AC595" s="134" t="n">
        <f aca="false">IFERROR(-AC584/AC583*AF3/AC3,"n/a")</f>
        <v>0.187432397676066</v>
      </c>
      <c r="AD595" s="134" t="n">
        <f aca="false">IFERROR(-AD584/AD583*AF3/AD3,"n/a")</f>
        <v>0.210535157761587</v>
      </c>
      <c r="AE595" s="134" t="n">
        <f aca="false">IFERROR(-AE584/AE583*AF3/AE3,"n/a")</f>
        <v>0.210871742725051</v>
      </c>
      <c r="AF595" s="133" t="n">
        <f aca="false">IFERROR(-AF584/AF583,"n/a")</f>
        <v>0.197026486756622</v>
      </c>
      <c r="AG595" s="134" t="n">
        <f aca="false">IFERROR(-AG584/AG583*AK3/AG3,"n/a")</f>
        <v>0.188808500227185</v>
      </c>
      <c r="AH595" s="134" t="n">
        <f aca="false">IFERROR(-AH584/AH583*AK3/AH3,"n/a")</f>
        <v>0.191918083150048</v>
      </c>
      <c r="AI595" s="134" t="n">
        <f aca="false">IFERROR(-AI584/AI583*AK3/AI3,"n/a")</f>
        <v>0.196009524072765</v>
      </c>
      <c r="AJ595" s="134" t="n">
        <f aca="false">IFERROR(-AJ584/AJ583*AK3/AJ3,"n/a")</f>
        <v>0.198838077966601</v>
      </c>
      <c r="AK595" s="133" t="n">
        <f aca="false">IFERROR(-AK584/AK583,"n/a")</f>
        <v>0.204655552060396</v>
      </c>
      <c r="AL595" s="134" t="n">
        <f aca="false">IFERROR(-AL584/AL583*AP3/AL3,"n/a")</f>
        <v>0.171802546621655</v>
      </c>
      <c r="AM595" s="134" t="n">
        <f aca="false">IFERROR(-AM584/AM583*AP3/AM3,"n/a")</f>
        <v>0.177480660919031</v>
      </c>
      <c r="AN595" s="134" t="n">
        <f aca="false">IFERROR(-AN584/AN583*AP3/AN3,"n/a")</f>
        <v>0.166295521884259</v>
      </c>
      <c r="AO595" s="134" t="n">
        <f aca="false">IFERROR(-AO584/AO583*AP3/AO3,"n/a")</f>
        <v>0.158824881427515</v>
      </c>
      <c r="AP595" s="133" t="n">
        <f aca="false">IFERROR(-AP584/AP583,"n/a")</f>
        <v>0.175911569049167</v>
      </c>
      <c r="AQ595" s="134" t="n">
        <f aca="false">IFERROR(-AQ584/AQ583*AU3/AQ3,"n/a")</f>
        <v>0.126613745767807</v>
      </c>
      <c r="AR595" s="134" t="n">
        <f aca="false">IFERROR(-AR584/AR583*AU3/AR3,"n/a")</f>
        <v>0.119855655924025</v>
      </c>
      <c r="AS595" s="134" t="n">
        <f aca="false">IFERROR(-AS584/AS583*AU3/AS3,"n/a")</f>
        <v>0.121202760602623</v>
      </c>
      <c r="AT595" s="134" t="n">
        <f aca="false">IFERROR(-AT584/AT583*AU3/AT3,"n/a")</f>
        <v>0.13045547532127</v>
      </c>
      <c r="AU595" s="133" t="n">
        <f aca="false">IFERROR(-AU584/AU583,"n/a")</f>
        <v>0.13018661701008</v>
      </c>
      <c r="AV595" s="134" t="n">
        <f aca="false">IFERROR(-AV584/AV583*AZ3/AV3,"n/a")</f>
        <v>0.126846174949377</v>
      </c>
      <c r="AW595" s="134" t="n">
        <f aca="false">IFERROR(-AW584/AW583*AZ3/AW3,"n/a")</f>
        <v>0.123018558955762</v>
      </c>
      <c r="AX595" s="134" t="n">
        <f aca="false">IFERROR(-AX584/AX583*AZ3/AX3,"n/a")</f>
        <v>0.123398506368992</v>
      </c>
      <c r="AY595" s="134" t="n">
        <f aca="false">IFERROR(-AY584/AY583*AZ3/AY3,"n/a")</f>
        <v>0.169204468527825</v>
      </c>
      <c r="AZ595" s="133" t="n">
        <f aca="false">IFERROR(-AZ584/AZ583,"n/a")</f>
        <v>0.149260736916217</v>
      </c>
      <c r="BA595" s="134" t="n">
        <f aca="false">IFERROR(-BA584/BA583*BE3/BA3,"n/a")</f>
        <v>0.137554069486731</v>
      </c>
      <c r="BB595" s="134" t="n">
        <f aca="false">IFERROR(-BB584/BB583*BE3/BB3,"n/a")</f>
        <v>0.135993048468937</v>
      </c>
      <c r="BC595" s="134" t="n">
        <f aca="false">IFERROR(-BC584/BC583*BE3/BC3,"n/a")</f>
        <v>0.121019391784425</v>
      </c>
      <c r="BD595" s="134" t="n">
        <f aca="false">IFERROR(-BD584/BD583*BE3/BD3,"n/a")</f>
        <v>0.140611420700559</v>
      </c>
      <c r="BE595" s="133" t="n">
        <f aca="false">IFERROR(-BE584/BE583,"n/a")</f>
        <v>0.153541909639471</v>
      </c>
      <c r="BF595" s="134" t="n">
        <f aca="false">IFERROR(-BF584/BF583*BJ3/BF3,"n/a")</f>
        <v>0.132944487610256</v>
      </c>
      <c r="BG595" s="134" t="n">
        <f aca="false">IFERROR(-BG584/BG583*BJ3/BG3,"n/a")</f>
        <v>0.134039540423284</v>
      </c>
      <c r="BH595" s="134" t="n">
        <f aca="false">IFERROR(-BH584/BH583*BJ3/BH3,"n/a")</f>
        <v>0.134115514662852</v>
      </c>
      <c r="BI595" s="134" t="n">
        <f aca="false">IFERROR(-BI584/BI583*BJ3/BI3,"n/a")</f>
        <v>0.131887080416412</v>
      </c>
      <c r="BJ595" s="133" t="n">
        <f aca="false">IFERROR(-BJ584/BJ583,"n/a")</f>
        <v>0.143322653462463</v>
      </c>
      <c r="BK595" s="134" t="n">
        <f aca="false">IFERROR(-BK584/BK583*BO3/BK3,"n/a")</f>
        <v>0.12566684149341</v>
      </c>
      <c r="BL595" s="134" t="n">
        <f aca="false">IFERROR(-BL584/BL583*BO3/BL3,"n/a")</f>
        <v>0.125271560493638</v>
      </c>
      <c r="BM595" s="134" t="n">
        <f aca="false">IFERROR(-BM584/BM583*BO3/BM3,"n/a")</f>
        <v>0.133644658521303</v>
      </c>
      <c r="BN595" s="134" t="n">
        <f aca="false">IFERROR(-BN584/BN583*BO3/BN3,"n/a")</f>
        <v>0.113033646116908</v>
      </c>
      <c r="BO595" s="135" t="n">
        <f aca="false">IFERROR(-BO584/BO583,"n/a")</f>
        <v>0.131433662440848</v>
      </c>
      <c r="BP595" s="136" t="n">
        <v>0.14</v>
      </c>
      <c r="BQ595" s="136" t="n">
        <v>0.14</v>
      </c>
      <c r="BR595" s="136" t="n">
        <v>0.14</v>
      </c>
      <c r="BS595" s="136" t="n">
        <v>0.14</v>
      </c>
      <c r="BT595" s="133" t="n">
        <f aca="false">AVERAGE(BP595,BQ595,BR595,BS595)</f>
        <v>0.14</v>
      </c>
      <c r="BU595" s="136" t="n">
        <v>0.14</v>
      </c>
      <c r="BV595" s="136" t="n">
        <v>0.14</v>
      </c>
      <c r="BW595" s="136" t="n">
        <v>0.14</v>
      </c>
      <c r="BX595" s="136" t="n">
        <v>0.14</v>
      </c>
      <c r="BY595" s="133" t="n">
        <f aca="false">AVERAGE(BU595,BV595,BW595,BX595)</f>
        <v>0.14</v>
      </c>
      <c r="BZ595" s="137" t="n">
        <v>0.14</v>
      </c>
      <c r="CA595" s="137" t="n">
        <v>0.14</v>
      </c>
      <c r="CB595" s="137" t="n">
        <v>0.14</v>
      </c>
      <c r="CC595" s="156"/>
    </row>
    <row r="596" s="157" customFormat="true" ht="15" hidden="false" customHeight="true" outlineLevel="0" collapsed="false">
      <c r="A596" s="566" t="s">
        <v>564</v>
      </c>
      <c r="B596" s="419"/>
      <c r="C596" s="133"/>
      <c r="D596" s="133" t="n">
        <f aca="false">IFERROR(-D590/D589,"n/a")</f>
        <v>0.303398058252427</v>
      </c>
      <c r="E596" s="133" t="n">
        <f aca="false">IFERROR(-E590/E589,"n/a")</f>
        <v>0.38824994505897</v>
      </c>
      <c r="F596" s="133" t="n">
        <f aca="false">IFERROR(-F590/F589,"n/a")</f>
        <v>0.729141764284007</v>
      </c>
      <c r="G596" s="133" t="n">
        <f aca="false">IFERROR(-G590/G589,"n/a")</f>
        <v>2.77582218646284</v>
      </c>
      <c r="H596" s="134" t="n">
        <f aca="false">IFERROR(-H590/H589*L3/H3,"n/a")</f>
        <v>0.0645178294932216</v>
      </c>
      <c r="I596" s="134" t="n">
        <f aca="false">IFERROR(-I590/I589*L3/I3,"n/a")</f>
        <v>0.0639741380549403</v>
      </c>
      <c r="J596" s="134" t="n">
        <f aca="false">IFERROR(-J590/J589*L3/J3,"n/a")</f>
        <v>0.0641232401975301</v>
      </c>
      <c r="K596" s="134" t="n">
        <f aca="false">IFERROR(-K590/K589*L3/K3,"n/a")</f>
        <v>0.0597947123465157</v>
      </c>
      <c r="L596" s="133" t="n">
        <f aca="false">IFERROR(-L590/L589,"n/a")</f>
        <v>0.0629269789029778</v>
      </c>
      <c r="M596" s="134" t="n">
        <f aca="false">IFERROR(-M590/M589*Q3/M3,"n/a")</f>
        <v>0.0733462953652802</v>
      </c>
      <c r="N596" s="134" t="n">
        <f aca="false">IFERROR(-N590/N589*Q3/N3,"n/a")</f>
        <v>0.0663487455940286</v>
      </c>
      <c r="O596" s="134" t="n">
        <f aca="false">IFERROR(-O590/O589*Q3/O3,"n/a")</f>
        <v>0.0683448606771291</v>
      </c>
      <c r="P596" s="134" t="n">
        <f aca="false">IFERROR(-P590/P589*Q3/P3,"n/a")</f>
        <v>0.0665029714245045</v>
      </c>
      <c r="Q596" s="133" t="n">
        <f aca="false">IFERROR(-Q590/Q589,"n/a")</f>
        <v>0.0707339615577497</v>
      </c>
      <c r="R596" s="134" t="n">
        <f aca="false">IFERROR(-R590/R589*V3/R3,"n/a")</f>
        <v>0.0837356844802227</v>
      </c>
      <c r="S596" s="134" t="n">
        <f aca="false">IFERROR(-S590/S589*V3/S3,"n/a")</f>
        <v>0.090437536967282</v>
      </c>
      <c r="T596" s="134" t="n">
        <f aca="false">IFERROR(-T590/T589*V3/T3,"n/a")</f>
        <v>0.0894868971252994</v>
      </c>
      <c r="U596" s="134" t="n">
        <f aca="false">IFERROR(-U590/U589*V3/U3,"n/a")</f>
        <v>0.09302353506244</v>
      </c>
      <c r="V596" s="133" t="n">
        <f aca="false">IFERROR(-V590/V589,"n/a")</f>
        <v>0.0860235447119227</v>
      </c>
      <c r="W596" s="134" t="n">
        <f aca="false">IFERROR(-W590/W589*AA3/W3,"n/a")</f>
        <v>0.0790929294423083</v>
      </c>
      <c r="X596" s="134" t="n">
        <f aca="false">IFERROR(-X590/X589*AA3/X3,"n/a")</f>
        <v>0.0826806058341815</v>
      </c>
      <c r="Y596" s="134" t="n">
        <f aca="false">IFERROR(-Y590/Y589*AA3/Y3,"n/a")</f>
        <v>0.0859800350819532</v>
      </c>
      <c r="Z596" s="134" t="n">
        <f aca="false">IFERROR(-Z590/Z589*AA3/Z3,"n/a")</f>
        <v>0.0888169214716104</v>
      </c>
      <c r="AA596" s="133" t="n">
        <f aca="false">IFERROR(-AA590/AA589,"n/a")</f>
        <v>0.0797430083144369</v>
      </c>
      <c r="AB596" s="134" t="n">
        <f aca="false">IFERROR(-AB590/AB589*AF3/AB3,"n/a")</f>
        <v>0.0891808663035078</v>
      </c>
      <c r="AC596" s="134" t="n">
        <f aca="false">IFERROR(-AC590/AC589*AF3/AC3,"n/a")</f>
        <v>0.090697679991182</v>
      </c>
      <c r="AD596" s="134" t="n">
        <f aca="false">IFERROR(-AD590/AD589*AF3/AD3,"n/a")</f>
        <v>0.092005742443718</v>
      </c>
      <c r="AE596" s="134" t="n">
        <f aca="false">IFERROR(-AE590/AE589*AF3/AE3,"n/a")</f>
        <v>0.0927704695275705</v>
      </c>
      <c r="AF596" s="133" t="n">
        <f aca="false">IFERROR(-AF590/AF589,"n/a")</f>
        <v>0.0889365351629503</v>
      </c>
      <c r="AG596" s="134" t="n">
        <f aca="false">IFERROR(-AG590/AG589*AK3/AG3,"n/a")</f>
        <v>0.105980776972625</v>
      </c>
      <c r="AH596" s="134" t="n">
        <f aca="false">IFERROR(-AH590/AH589*AK3/AH3,"n/a")</f>
        <v>0.0998852248312758</v>
      </c>
      <c r="AI596" s="134" t="n">
        <f aca="false">IFERROR(-AI590/AI589*AK3/AI3,"n/a")</f>
        <v>0.101434986822434</v>
      </c>
      <c r="AJ596" s="134" t="n">
        <f aca="false">IFERROR(-AJ590/AJ589*AK3/AJ3,"n/a")</f>
        <v>0.100844758303933</v>
      </c>
      <c r="AK596" s="133" t="n">
        <f aca="false">IFERROR(-AK590/AK589,"n/a")</f>
        <v>0.104528985507246</v>
      </c>
      <c r="AL596" s="134" t="n">
        <f aca="false">IFERROR(-AL590/AL589*AP3/AL3,"n/a")</f>
        <v>0.114966589210065</v>
      </c>
      <c r="AM596" s="134" t="n">
        <f aca="false">IFERROR(-AM590/AM589*AP3/AM3,"n/a")</f>
        <v>0.114714615638403</v>
      </c>
      <c r="AN596" s="134" t="n">
        <f aca="false">IFERROR(-AN590/AN589*AP3/AN3,"n/a")</f>
        <v>0.117337778917671</v>
      </c>
      <c r="AO596" s="134" t="n">
        <f aca="false">IFERROR(-AO590/AO589*AP3/AO3,"n/a")</f>
        <v>0.114883136951903</v>
      </c>
      <c r="AP596" s="133" t="n">
        <f aca="false">IFERROR(-AP590/AP589,"n/a")</f>
        <v>0.111825425570445</v>
      </c>
      <c r="AQ596" s="134" t="n">
        <f aca="false">IFERROR(-AQ590/AQ589*AU3/AQ3,"n/a")</f>
        <v>0.123078210250898</v>
      </c>
      <c r="AR596" s="134" t="n">
        <f aca="false">IFERROR(-AR590/AR589*AU3/AR3,"n/a")</f>
        <v>0.131498111433036</v>
      </c>
      <c r="AS596" s="134" t="n">
        <f aca="false">IFERROR(-AS590/AS589*AU3/AS3,"n/a")</f>
        <v>0.135026206961005</v>
      </c>
      <c r="AT596" s="134" t="n">
        <f aca="false">IFERROR(-AT590/AT589*AU3/AT3,"n/a")</f>
        <v>0.141484083368502</v>
      </c>
      <c r="AU596" s="133" t="n">
        <f aca="false">IFERROR(-AU590/AU589,"n/a")</f>
        <v>0.126787416587226</v>
      </c>
      <c r="AV596" s="134" t="n">
        <f aca="false">IFERROR(-AV590/AV589*AZ3/AV3,"n/a")</f>
        <v>0.139226757377297</v>
      </c>
      <c r="AW596" s="134" t="n">
        <f aca="false">IFERROR(-AW590/AW589*AZ3/AW3,"n/a")</f>
        <v>0.146709068492694</v>
      </c>
      <c r="AX596" s="134" t="n">
        <f aca="false">IFERROR(-AX590/AX589*AZ3/AX3,"n/a")</f>
        <v>0.151178611590396</v>
      </c>
      <c r="AY596" s="134" t="n">
        <f aca="false">IFERROR(-AY590/AY589*AZ3/AY3,"n/a")</f>
        <v>0.157426030213641</v>
      </c>
      <c r="AZ596" s="133" t="n">
        <f aca="false">IFERROR(-AZ590/AZ589,"n/a")</f>
        <v>0.141896859573574</v>
      </c>
      <c r="BA596" s="134" t="n">
        <f aca="false">IFERROR(-BA590/BA589*BE3/BA3,"n/a")</f>
        <v>0.150237158842231</v>
      </c>
      <c r="BB596" s="134" t="n">
        <f aca="false">IFERROR(-BB590/BB589*BE3/BB3,"n/a")</f>
        <v>0.157245360022796</v>
      </c>
      <c r="BC596" s="134" t="n">
        <f aca="false">IFERROR(-BC590/BC589*BE3/BC3,"n/a")</f>
        <v>0.162126899962683</v>
      </c>
      <c r="BD596" s="134" t="n">
        <f aca="false">IFERROR(-BD590/BD589*BE3/BD3,"n/a")</f>
        <v>0.169112542229116</v>
      </c>
      <c r="BE596" s="133" t="n">
        <f aca="false">IFERROR(-BE590/BE589,"n/a")</f>
        <v>0.151471984805318</v>
      </c>
      <c r="BF596" s="134" t="n">
        <f aca="false">IFERROR(-BF590/BF589*BJ3/BF3,"n/a")</f>
        <v>0.170813412016055</v>
      </c>
      <c r="BG596" s="134" t="n">
        <f aca="false">IFERROR(-BG590/BG589*BJ3/BG3,"n/a")</f>
        <v>0.178163841502331</v>
      </c>
      <c r="BH596" s="134" t="n">
        <f aca="false">IFERROR(-BH590/BH589*BJ3/BH3,"n/a")</f>
        <v>0.184575040344271</v>
      </c>
      <c r="BI596" s="134" t="n">
        <f aca="false">IFERROR(-BI590/BI589*BJ3/BI3,"n/a")</f>
        <v>0.189872479607113</v>
      </c>
      <c r="BJ596" s="133" t="n">
        <f aca="false">IFERROR(-BJ590/BJ589,"n/a")</f>
        <v>0.169880005393016</v>
      </c>
      <c r="BK596" s="134" t="n">
        <f aca="false">IFERROR(-BK590/BK589*BO3/BK3,"n/a")</f>
        <v>0.198026247972265</v>
      </c>
      <c r="BL596" s="134" t="n">
        <f aca="false">IFERROR(-BL590/BL589*BO3/BL3,"n/a")</f>
        <v>0.203397008670842</v>
      </c>
      <c r="BM596" s="134" t="n">
        <f aca="false">IFERROR(-BM590/BM589*BO3/BM3,"n/a")</f>
        <v>0.212709334151795</v>
      </c>
      <c r="BN596" s="134" t="n">
        <f aca="false">IFERROR(-BN590/BN589*BO3/BN3,"n/a")</f>
        <v>0.209626348213294</v>
      </c>
      <c r="BO596" s="135" t="n">
        <f aca="false">IFERROR(-BO590/BO589,"n/a")</f>
        <v>0.193143408981169</v>
      </c>
      <c r="BP596" s="136" t="n">
        <v>0.15</v>
      </c>
      <c r="BQ596" s="136" t="n">
        <v>0.15</v>
      </c>
      <c r="BR596" s="136" t="n">
        <v>0.15</v>
      </c>
      <c r="BS596" s="136" t="n">
        <v>0.15</v>
      </c>
      <c r="BT596" s="133" t="n">
        <f aca="false">AVERAGE(BP596,BQ596,BR596,BS596)</f>
        <v>0.15</v>
      </c>
      <c r="BU596" s="136" t="n">
        <v>0.15</v>
      </c>
      <c r="BV596" s="136" t="n">
        <v>0.15</v>
      </c>
      <c r="BW596" s="136" t="n">
        <v>0.15</v>
      </c>
      <c r="BX596" s="136" t="n">
        <v>0.15</v>
      </c>
      <c r="BY596" s="133" t="n">
        <f aca="false">AVERAGE(BU596,BV596,BW596,BX596)</f>
        <v>0.15</v>
      </c>
      <c r="BZ596" s="137" t="n">
        <v>0.15</v>
      </c>
      <c r="CA596" s="137" t="n">
        <v>0.15</v>
      </c>
      <c r="CB596" s="137" t="n">
        <v>0.15</v>
      </c>
      <c r="CC596" s="156"/>
    </row>
    <row r="597" s="157" customFormat="true" ht="15" hidden="false" customHeight="true" outlineLevel="0" collapsed="false">
      <c r="A597" s="252" t="s">
        <v>565</v>
      </c>
      <c r="B597" s="266"/>
      <c r="C597" s="111"/>
      <c r="D597" s="111" t="n">
        <f aca="false">IFERROR(-D583/D584,"n/a")</f>
        <v>4.53222683264177</v>
      </c>
      <c r="E597" s="111" t="n">
        <f aca="false">IFERROR(-E583/E584,"n/a")</f>
        <v>4.71728481012658</v>
      </c>
      <c r="F597" s="111" t="n">
        <f aca="false">IFERROR(-F583/F584,"n/a")</f>
        <v>5.87624093697713</v>
      </c>
      <c r="G597" s="111" t="n">
        <f aca="false">IFERROR(-G583/G584,"n/a")</f>
        <v>5.22538305428716</v>
      </c>
      <c r="H597" s="112" t="n">
        <f aca="false">IFERROR(-H583/H584*H3/L3,"n/a")</f>
        <v>5.5594557068051</v>
      </c>
      <c r="I597" s="112" t="n">
        <f aca="false">IFERROR(-I583/I584*I3/L3,"n/a")</f>
        <v>5.50950770594047</v>
      </c>
      <c r="J597" s="112" t="n">
        <f aca="false">IFERROR(-J583/J584*J3/L3,"n/a")</f>
        <v>6.47272964604016</v>
      </c>
      <c r="K597" s="112" t="n">
        <f aca="false">IFERROR(-K583/K584*K3/L3,"n/a")</f>
        <v>6.89531390222014</v>
      </c>
      <c r="L597" s="111" t="n">
        <f aca="false">AVERAGE(H597,I597,J597,K597)</f>
        <v>6.10925174025147</v>
      </c>
      <c r="M597" s="112" t="n">
        <f aca="false">IFERROR(-M583/M584*M3/Q3,"n/a")</f>
        <v>6.63117001226211</v>
      </c>
      <c r="N597" s="112" t="n">
        <f aca="false">IFERROR(-N583/N584*N3/Q3,"n/a")</f>
        <v>6.40170195591474</v>
      </c>
      <c r="O597" s="112" t="n">
        <f aca="false">IFERROR(-O583/O584*O3/Q3,"n/a")</f>
        <v>5.9142678713434</v>
      </c>
      <c r="P597" s="112" t="n">
        <f aca="false">IFERROR(-P583/P584*P3/Q3,"n/a")</f>
        <v>5.95251504052884</v>
      </c>
      <c r="Q597" s="111" t="n">
        <f aca="false">AVERAGE(M597,N597,O597,P597)</f>
        <v>6.22491372001227</v>
      </c>
      <c r="R597" s="112" t="n">
        <f aca="false">IFERROR(-R583/R584*R3/V3,"n/a")</f>
        <v>6.35723107931322</v>
      </c>
      <c r="S597" s="112" t="n">
        <f aca="false">IFERROR(-S583/S584*S3/V3,"n/a")</f>
        <v>5.81451898214694</v>
      </c>
      <c r="T597" s="112" t="n">
        <f aca="false">IFERROR(-T583/T584*T3/V3,"n/a")</f>
        <v>5.62033086308855</v>
      </c>
      <c r="U597" s="112" t="n">
        <f aca="false">IFERROR(-U583/U584*U3/V3,"n/a")</f>
        <v>4.50874111804888</v>
      </c>
      <c r="V597" s="111" t="n">
        <f aca="false">AVERAGE(R597,S597,T597,U597)</f>
        <v>5.5752055106494</v>
      </c>
      <c r="W597" s="112" t="n">
        <f aca="false">IFERROR(-W583/W584*W3/AA3,"n/a")</f>
        <v>5.13762427441943</v>
      </c>
      <c r="X597" s="112" t="n">
        <f aca="false">IFERROR(-X583/X584*X3/AA3,"n/a")</f>
        <v>5.2822561818255</v>
      </c>
      <c r="Y597" s="112" t="n">
        <f aca="false">IFERROR(-Y583/Y584*Y3/AA3,"n/a")</f>
        <v>5.2893604988063</v>
      </c>
      <c r="Z597" s="112" t="n">
        <f aca="false">IFERROR(-Z583/Z584*Z3/AA3,"n/a")</f>
        <v>5.16088011072184</v>
      </c>
      <c r="AA597" s="111" t="n">
        <f aca="false">AVERAGE(W597,X597,Y597,Z597)</f>
        <v>5.21753026644327</v>
      </c>
      <c r="AB597" s="112" t="n">
        <f aca="false">IFERROR(-AB583/AB584*AB3/AF3,"n/a")</f>
        <v>5.26695561390743</v>
      </c>
      <c r="AC597" s="112" t="n">
        <f aca="false">IFERROR(-AC583/AC584*AC3/AF3,"n/a")</f>
        <v>5.33525693742804</v>
      </c>
      <c r="AD597" s="112" t="n">
        <f aca="false">IFERROR(-AD583/AD584*AD3/AF3,"n/a")</f>
        <v>4.74980051138259</v>
      </c>
      <c r="AE597" s="112" t="n">
        <f aca="false">IFERROR(-AE583/AE584*AE3/AF3,"n/a")</f>
        <v>4.74221907154185</v>
      </c>
      <c r="AF597" s="111" t="n">
        <f aca="false">AVERAGE(AB597,AC597,AD597,AE597)</f>
        <v>5.02355803356498</v>
      </c>
      <c r="AG597" s="112" t="n">
        <f aca="false">IFERROR(-AG583/AG584*AG3/AK3,"n/a")</f>
        <v>5.29637171417993</v>
      </c>
      <c r="AH597" s="112" t="n">
        <f aca="false">IFERROR(-AH583/AH584*AH3/AK3,"n/a")</f>
        <v>5.21055641858495</v>
      </c>
      <c r="AI597" s="112" t="n">
        <f aca="false">IFERROR(-AI583/AI584*AI3/AK3,"n/a")</f>
        <v>5.1017929089444</v>
      </c>
      <c r="AJ597" s="112" t="n">
        <f aca="false">IFERROR(-AJ583/AJ584*AJ3/AK3,"n/a")</f>
        <v>5.0292177948329</v>
      </c>
      <c r="AK597" s="111" t="n">
        <f aca="false">AVERAGE(AG597,AH597,AI597,AJ597)</f>
        <v>5.15948470913554</v>
      </c>
      <c r="AL597" s="112" t="n">
        <f aca="false">IFERROR(-AL583/AL584*AL3/AP3,"n/a")</f>
        <v>5.82063548919453</v>
      </c>
      <c r="AM597" s="112" t="n">
        <f aca="false">IFERROR(-AM583/AM584*AM3/AP3,"n/a")</f>
        <v>5.6344167010749</v>
      </c>
      <c r="AN597" s="112" t="n">
        <f aca="false">IFERROR(-AN583/AN584*AN3/AP3,"n/a")</f>
        <v>6.01339103223715</v>
      </c>
      <c r="AO597" s="112" t="n">
        <f aca="false">IFERROR(-AO583/AO584*AO3/AP3,"n/a")</f>
        <v>6.29624269832297</v>
      </c>
      <c r="AP597" s="111" t="n">
        <f aca="false">AVERAGE(AL597,AM597,AN597,AO597)</f>
        <v>5.94117148020739</v>
      </c>
      <c r="AQ597" s="112" t="n">
        <f aca="false">IFERROR(-AQ583/AQ584*AQ3/AU3,"n/a")</f>
        <v>7.89803661471221</v>
      </c>
      <c r="AR597" s="112" t="n">
        <f aca="false">IFERROR(-AR583/AR584*AR3/AU3,"n/a")</f>
        <v>8.34336929943369</v>
      </c>
      <c r="AS597" s="112" t="n">
        <f aca="false">IFERROR(-AS583/AS584*AS3/AU3,"n/a")</f>
        <v>8.25063715568836</v>
      </c>
      <c r="AT597" s="112" t="n">
        <f aca="false">IFERROR(-AT583/AT584*AT3/AU3,"n/a")</f>
        <v>7.66545058792912</v>
      </c>
      <c r="AU597" s="111" t="n">
        <f aca="false">AVERAGE(AQ597,AR597,AS597,AT597)</f>
        <v>8.03937341444085</v>
      </c>
      <c r="AV597" s="112" t="n">
        <f aca="false">IFERROR(-AV583/AV584*AV3/AZ3,"n/a")</f>
        <v>7.88356448587507</v>
      </c>
      <c r="AW597" s="112" t="n">
        <f aca="false">IFERROR(-AW583/AW584*AW3/AZ3,"n/a")</f>
        <v>8.12885477190155</v>
      </c>
      <c r="AX597" s="112" t="n">
        <f aca="false">IFERROR(-AX583/AX584*AX3/AZ3,"n/a")</f>
        <v>8.10382580328608</v>
      </c>
      <c r="AY597" s="112" t="n">
        <f aca="false">IFERROR(-AY583/AY584*AY3/AZ3,"n/a")</f>
        <v>5.91000940282822</v>
      </c>
      <c r="AZ597" s="111" t="n">
        <f aca="false">AVERAGE(AV597,AW597,AX597,AY597)</f>
        <v>7.50656361597273</v>
      </c>
      <c r="BA597" s="112" t="n">
        <f aca="false">IFERROR(-BA583/BA584*BA3/BE3,"n/a")</f>
        <v>7.26986852320252</v>
      </c>
      <c r="BB597" s="112" t="n">
        <f aca="false">IFERROR(-BB583/BB584*BB3/BE3,"n/a")</f>
        <v>7.35331703538078</v>
      </c>
      <c r="BC597" s="112" t="n">
        <f aca="false">IFERROR(-BC583/BC584*BC3/BE3,"n/a")</f>
        <v>8.26313853718028</v>
      </c>
      <c r="BD597" s="112" t="n">
        <f aca="false">IFERROR(-BD583/BD584*BD3/BE3,"n/a")</f>
        <v>7.11179785409866</v>
      </c>
      <c r="BE597" s="111" t="n">
        <f aca="false">AVERAGE(BA597,BB597,BC597,BD597)</f>
        <v>7.49953048746556</v>
      </c>
      <c r="BF597" s="112" t="n">
        <f aca="false">IFERROR(-BF583/BF584*BF3/BJ3,"n/a")</f>
        <v>7.52193654641498</v>
      </c>
      <c r="BG597" s="112" t="n">
        <f aca="false">IFERROR(-BG583/BG584*BG3/BJ3,"n/a")</f>
        <v>7.46048514372771</v>
      </c>
      <c r="BH597" s="112" t="n">
        <f aca="false">IFERROR(-BH583/BH584*BH3/BJ3,"n/a")</f>
        <v>7.45625890124542</v>
      </c>
      <c r="BI597" s="112" t="n">
        <f aca="false">IFERROR(-BI583/BI584*BI3/BJ3,"n/a")</f>
        <v>7.58224381677616</v>
      </c>
      <c r="BJ597" s="111" t="n">
        <f aca="false">AVERAGE(BF597,BG597,BH597,BI597)</f>
        <v>7.50523110204107</v>
      </c>
      <c r="BK597" s="112" t="n">
        <f aca="false">IFERROR(-BK583/BK584*BK3/BO3,"n/a")</f>
        <v>7.9575486112018</v>
      </c>
      <c r="BL597" s="112" t="n">
        <f aca="false">IFERROR(-BL583/BL584*BL3/BO3,"n/a")</f>
        <v>7.9826578040495</v>
      </c>
      <c r="BM597" s="112" t="n">
        <f aca="false">IFERROR(-BM583/BM584*BM3/BO3,"n/a")</f>
        <v>7.48252875247235</v>
      </c>
      <c r="BN597" s="112" t="n">
        <f aca="false">IFERROR(-BN583/BN584*BN3/BO3,"n/a")</f>
        <v>8.84692332197907</v>
      </c>
      <c r="BO597" s="113" t="n">
        <f aca="false">AVERAGE(BK597,BL597,BM597,BN597)</f>
        <v>8.06741462242568</v>
      </c>
      <c r="BP597" s="112" t="n">
        <f aca="false">IFERROR(-BP583/BP584*BP3/BT3,"n/a")</f>
        <v>7.14285714285714</v>
      </c>
      <c r="BQ597" s="112" t="n">
        <f aca="false">IFERROR(-BQ583/BQ584*BQ3/BT3,"n/a")</f>
        <v>7.14285714285714</v>
      </c>
      <c r="BR597" s="112" t="n">
        <f aca="false">IFERROR(-BR583/BR584*BR3/BT3,"n/a")</f>
        <v>7.14285714285714</v>
      </c>
      <c r="BS597" s="112" t="n">
        <f aca="false">IFERROR(-BS583/BS584*BS3/BT3,"n/a")</f>
        <v>7.14285714285714</v>
      </c>
      <c r="BT597" s="111" t="n">
        <f aca="false">AVERAGE(BP597,BQ597,BR597,BS597)</f>
        <v>7.14285714285714</v>
      </c>
      <c r="BU597" s="112" t="n">
        <f aca="false">IFERROR(-BU583/BU584*BU3/BY3,"n/a")</f>
        <v>7.14285714285714</v>
      </c>
      <c r="BV597" s="112" t="n">
        <f aca="false">IFERROR(-BV583/BV584*BV3/BY3,"n/a")</f>
        <v>7.14285714285714</v>
      </c>
      <c r="BW597" s="112" t="n">
        <f aca="false">IFERROR(-BW583/BW584*BW3/BY3,"n/a")</f>
        <v>7.14285714285714</v>
      </c>
      <c r="BX597" s="112" t="n">
        <f aca="false">IFERROR(-BX583/BX584*BX3/BY3,"n/a")</f>
        <v>7.14285714285714</v>
      </c>
      <c r="BY597" s="111" t="n">
        <f aca="false">AVERAGE(BU597,BV597,BW597,BX597)</f>
        <v>7.14285714285714</v>
      </c>
      <c r="BZ597" s="111" t="n">
        <f aca="false">IFERROR(-BZ583/BZ584,"n/a")</f>
        <v>7.14285714285714</v>
      </c>
      <c r="CA597" s="111" t="n">
        <f aca="false">IFERROR(-CA583/CA584,"n/a")</f>
        <v>7.14285714285714</v>
      </c>
      <c r="CB597" s="111" t="n">
        <f aca="false">IFERROR(-CB583/CB584,"n/a")</f>
        <v>7.14285714285714</v>
      </c>
      <c r="CC597" s="156"/>
    </row>
    <row r="598" s="157" customFormat="true" ht="15" hidden="false" customHeight="true" outlineLevel="0" collapsed="false">
      <c r="A598" s="252" t="s">
        <v>566</v>
      </c>
      <c r="B598" s="266"/>
      <c r="C598" s="111"/>
      <c r="D598" s="111" t="n">
        <f aca="false">IFERROR(-D589/D590,"n/a")</f>
        <v>3.296</v>
      </c>
      <c r="E598" s="111" t="n">
        <f aca="false">IFERROR(-E589/E590,"n/a")</f>
        <v>2.57566037735849</v>
      </c>
      <c r="F598" s="111" t="n">
        <f aca="false">IFERROR(-F589/F590,"n/a")</f>
        <v>1.37147540983607</v>
      </c>
      <c r="G598" s="111" t="n">
        <f aca="false">IFERROR(-G589/G590,"n/a")</f>
        <v>0.360253623188406</v>
      </c>
      <c r="H598" s="112" t="n">
        <f aca="false">IFERROR(-H589/H590*H3/L3,"n/a")</f>
        <v>15.4995914750211</v>
      </c>
      <c r="I598" s="112" t="n">
        <f aca="false">IFERROR(-I589/I590*I3/L3,"n/a")</f>
        <v>15.6313165038849</v>
      </c>
      <c r="J598" s="112" t="n">
        <f aca="false">IFERROR(-J589/J590*J3/L3,"n/a")</f>
        <v>15.594969887977</v>
      </c>
      <c r="K598" s="112" t="n">
        <f aca="false">IFERROR(-K589/K590*K3/L3,"n/a")</f>
        <v>16.7238867912753</v>
      </c>
      <c r="L598" s="111" t="n">
        <f aca="false">AVERAGE(H598,I598,J598,K598)</f>
        <v>15.8624411645396</v>
      </c>
      <c r="M598" s="112" t="n">
        <f aca="false">IFERROR(-M589/M590*M3/Q3,"n/a")</f>
        <v>13.6339537671233</v>
      </c>
      <c r="N598" s="112" t="n">
        <f aca="false">IFERROR(-N589/N590*N3/Q3,"n/a")</f>
        <v>15.071875</v>
      </c>
      <c r="O598" s="112" t="n">
        <f aca="false">IFERROR(-O589/O590*O3/Q3,"n/a")</f>
        <v>14.6316780821918</v>
      </c>
      <c r="P598" s="112" t="n">
        <f aca="false">IFERROR(-P589/P590*P3/Q3,"n/a")</f>
        <v>15.0369220890411</v>
      </c>
      <c r="Q598" s="111" t="n">
        <f aca="false">AVERAGE(M598,N598,O598,P598)</f>
        <v>14.593607234589</v>
      </c>
      <c r="R598" s="112" t="n">
        <f aca="false">IFERROR(-R589/R590*R3/V3,"n/a")</f>
        <v>11.942339830472</v>
      </c>
      <c r="S598" s="112" t="n">
        <f aca="false">IFERROR(-S589/S590*S3/V3,"n/a")</f>
        <v>11.0573555354761</v>
      </c>
      <c r="T598" s="112" t="n">
        <f aca="false">IFERROR(-T589/T590*T3/V3,"n/a")</f>
        <v>11.1748203605697</v>
      </c>
      <c r="U598" s="112" t="n">
        <f aca="false">IFERROR(-U589/U590*U3/V3,"n/a")</f>
        <v>10.7499677294437</v>
      </c>
      <c r="V598" s="111" t="n">
        <f aca="false">AVERAGE(R598,S598,T598,U598)</f>
        <v>11.2311208639904</v>
      </c>
      <c r="W598" s="112" t="n">
        <f aca="false">IFERROR(-W589/W590*W3/AA3,"n/a")</f>
        <v>12.6433551905473</v>
      </c>
      <c r="X598" s="112" t="n">
        <f aca="false">IFERROR(-X589/X590*X3/AA3,"n/a")</f>
        <v>12.0947347919237</v>
      </c>
      <c r="Y598" s="112" t="n">
        <f aca="false">IFERROR(-Y589/Y590*Y3/AA3,"n/a")</f>
        <v>11.6306070246056</v>
      </c>
      <c r="Z598" s="112" t="n">
        <f aca="false">IFERROR(-Z589/Z590*Z3/AA3,"n/a")</f>
        <v>11.2591157566708</v>
      </c>
      <c r="AA598" s="111" t="n">
        <f aca="false">AVERAGE(W598,X598,Y598,Z598)</f>
        <v>11.9069531909368</v>
      </c>
      <c r="AB598" s="112" t="n">
        <f aca="false">IFERROR(-AB589/AB590*AB3/AF3,"n/a")</f>
        <v>11.2131675935589</v>
      </c>
      <c r="AC598" s="112" t="n">
        <f aca="false">IFERROR(-AC589/AC590*AC3/AF3,"n/a")</f>
        <v>11.025640348212</v>
      </c>
      <c r="AD598" s="112" t="n">
        <f aca="false">IFERROR(-AD589/AD590*AD3/AF3,"n/a")</f>
        <v>10.8688868046657</v>
      </c>
      <c r="AE598" s="112" t="n">
        <f aca="false">IFERROR(-AE589/AE590*AE3/AF3,"n/a")</f>
        <v>10.7792922154265</v>
      </c>
      <c r="AF598" s="111" t="n">
        <f aca="false">AVERAGE(AB598,AC598,AD598,AE598)</f>
        <v>10.9717467404658</v>
      </c>
      <c r="AG598" s="112" t="n">
        <f aca="false">IFERROR(-AG589/AG590*AG3/AK3,"n/a")</f>
        <v>9.43567341706037</v>
      </c>
      <c r="AH598" s="112" t="n">
        <f aca="false">IFERROR(-AH589/AH590*AH3/AK3,"n/a")</f>
        <v>10.0114907053489</v>
      </c>
      <c r="AI598" s="112" t="n">
        <f aca="false">IFERROR(-AI589/AI590*AI3/AK3,"n/a")</f>
        <v>9.858531373899</v>
      </c>
      <c r="AJ598" s="112" t="n">
        <f aca="false">IFERROR(-AJ589/AJ590*AJ3/AK3,"n/a")</f>
        <v>9.91623180836163</v>
      </c>
      <c r="AK598" s="111" t="n">
        <f aca="false">AVERAGE(AG598,AH598,AI598,AJ598)</f>
        <v>9.80548182616747</v>
      </c>
      <c r="AL598" s="112" t="n">
        <f aca="false">IFERROR(-AL589/AL590*AL3/AP3,"n/a")</f>
        <v>8.69817924382204</v>
      </c>
      <c r="AM598" s="112" t="n">
        <f aca="false">IFERROR(-AM589/AM590*AM3/AP3,"n/a")</f>
        <v>8.71728501581823</v>
      </c>
      <c r="AN598" s="112" t="n">
        <f aca="false">IFERROR(-AN589/AN590*AN3/AP3,"n/a")</f>
        <v>8.5224043715847</v>
      </c>
      <c r="AO598" s="112" t="n">
        <f aca="false">IFERROR(-AO589/AO590*AO3/AP3,"n/a")</f>
        <v>8.70449768810425</v>
      </c>
      <c r="AP598" s="111" t="n">
        <f aca="false">AVERAGE(AL598,AM598,AN598,AO598)</f>
        <v>8.66059157983231</v>
      </c>
      <c r="AQ598" s="112" t="n">
        <f aca="false">IFERROR(-AQ589/AQ590*AQ3/AU3,"n/a")</f>
        <v>8.12491502729426</v>
      </c>
      <c r="AR598" s="112" t="n">
        <f aca="false">IFERROR(-AR589/AR590*AR3/AU3,"n/a")</f>
        <v>7.60467195385725</v>
      </c>
      <c r="AS598" s="112" t="n">
        <f aca="false">IFERROR(-AS589/AS590*AS3/AU3,"n/a")</f>
        <v>7.40596971881759</v>
      </c>
      <c r="AT598" s="112" t="n">
        <f aca="false">IFERROR(-AT589/AT590*AT3/AU3,"n/a")</f>
        <v>7.06793284581316</v>
      </c>
      <c r="AU598" s="111" t="n">
        <f aca="false">AVERAGE(AQ598,AR598,AS598,AT598)</f>
        <v>7.55087238644557</v>
      </c>
      <c r="AV598" s="112" t="n">
        <f aca="false">IFERROR(-AV589/AV590*AV3/AZ3,"n/a")</f>
        <v>7.18252740233009</v>
      </c>
      <c r="AW598" s="112" t="n">
        <f aca="false">IFERROR(-AW589/AW590*AW3/AZ3,"n/a")</f>
        <v>6.81621122861807</v>
      </c>
      <c r="AX598" s="112" t="n">
        <f aca="false">IFERROR(-AX589/AX590*AX3/AZ3,"n/a")</f>
        <v>6.61469231315211</v>
      </c>
      <c r="AY598" s="112" t="n">
        <f aca="false">IFERROR(-AY589/AY590*AY3/AZ3,"n/a")</f>
        <v>6.35218965150117</v>
      </c>
      <c r="AZ598" s="111" t="n">
        <f aca="false">AVERAGE(AV598,AW598,AX598,AY598)</f>
        <v>6.74140514890036</v>
      </c>
      <c r="BA598" s="112" t="n">
        <f aca="false">IFERROR(-BA589/BA590*BA3/BE3,"n/a")</f>
        <v>6.65614291235453</v>
      </c>
      <c r="BB598" s="112" t="n">
        <f aca="false">IFERROR(-BB589/BB590*BB3/BE3,"n/a")</f>
        <v>6.35948812642247</v>
      </c>
      <c r="BC598" s="112" t="n">
        <f aca="false">IFERROR(-BC589/BC590*BC3/BE3,"n/a")</f>
        <v>6.16800790140422</v>
      </c>
      <c r="BD598" s="112" t="n">
        <f aca="false">IFERROR(-BD589/BD590*BD3/BE3,"n/a")</f>
        <v>5.91322196933912</v>
      </c>
      <c r="BE598" s="111" t="n">
        <f aca="false">AVERAGE(BA598,BB598,BC598,BD598)</f>
        <v>6.27421522738008</v>
      </c>
      <c r="BF598" s="112" t="n">
        <f aca="false">IFERROR(-BF589/BF590*BF3/BJ3,"n/a")</f>
        <v>5.85434122647237</v>
      </c>
      <c r="BG598" s="112" t="n">
        <f aca="false">IFERROR(-BG589/BG590*BG3/BJ3,"n/a")</f>
        <v>5.61281117182757</v>
      </c>
      <c r="BH598" s="112" t="n">
        <f aca="false">IFERROR(-BH589/BH590*BH3/BJ3,"n/a")</f>
        <v>5.41785063752277</v>
      </c>
      <c r="BI598" s="112" t="n">
        <f aca="false">IFERROR(-BI589/BI590*BI3/BJ3,"n/a")</f>
        <v>5.26669268800416</v>
      </c>
      <c r="BJ598" s="111" t="n">
        <f aca="false">AVERAGE(BF598,BG598,BH598,BI598)</f>
        <v>5.53792393095672</v>
      </c>
      <c r="BK598" s="112" t="n">
        <f aca="false">IFERROR(-BK589/BK590*BK3/BO3,"n/a")</f>
        <v>5.04983561643836</v>
      </c>
      <c r="BL598" s="112" t="n">
        <f aca="false">IFERROR(-BL589/BL590*BL3/BO3,"n/a")</f>
        <v>4.91649315068493</v>
      </c>
      <c r="BM598" s="112" t="n">
        <f aca="false">IFERROR(-BM589/BM590*BM3/BO3,"n/a")</f>
        <v>4.70125114155251</v>
      </c>
      <c r="BN598" s="112" t="n">
        <f aca="false">IFERROR(-BN589/BN590*BN3/BO3,"n/a")</f>
        <v>4.77039269406393</v>
      </c>
      <c r="BO598" s="113" t="n">
        <f aca="false">AVERAGE(BK598,BL598,BM598,BN598)</f>
        <v>4.85949315068493</v>
      </c>
      <c r="BP598" s="112" t="n">
        <f aca="false">IFERROR(-BP589/BP590*BP3/BT3,"n/a")</f>
        <v>6.66666666666667</v>
      </c>
      <c r="BQ598" s="112" t="n">
        <f aca="false">IFERROR(-BQ589/BQ590*BQ3/BT3,"n/a")</f>
        <v>6.66666666666667</v>
      </c>
      <c r="BR598" s="112" t="n">
        <f aca="false">IFERROR(-BR589/BR590*BR3/BT3,"n/a")</f>
        <v>6.66666666666667</v>
      </c>
      <c r="BS598" s="112" t="n">
        <f aca="false">IFERROR(-BS589/BS590*BS3/BT3,"n/a")</f>
        <v>6.66666666666667</v>
      </c>
      <c r="BT598" s="111" t="n">
        <f aca="false">AVERAGE(BP598,BQ598,BR598,BS598)</f>
        <v>6.66666666666667</v>
      </c>
      <c r="BU598" s="112" t="n">
        <f aca="false">IFERROR(-BU589/BU590*BU3/BY3,"n/a")</f>
        <v>6.66666666666667</v>
      </c>
      <c r="BV598" s="112" t="n">
        <f aca="false">IFERROR(-BV589/BV590*BV3/BY3,"n/a")</f>
        <v>6.66666666666667</v>
      </c>
      <c r="BW598" s="112" t="n">
        <f aca="false">IFERROR(-BW589/BW590*BW3/BY3,"n/a")</f>
        <v>6.66666666666667</v>
      </c>
      <c r="BX598" s="112" t="n">
        <f aca="false">IFERROR(-BX589/BX590*BX3/BY3,"n/a")</f>
        <v>6.66666666666667</v>
      </c>
      <c r="BY598" s="111" t="n">
        <f aca="false">AVERAGE(BU598,BV598,BW598,BX598)</f>
        <v>6.66666666666667</v>
      </c>
      <c r="BZ598" s="111" t="n">
        <f aca="false">IFERROR(-BZ589/BZ590,"n/a")</f>
        <v>6.66666666666667</v>
      </c>
      <c r="CA598" s="111" t="n">
        <f aca="false">IFERROR(-CA589/CA590,"n/a")</f>
        <v>6.66666666666667</v>
      </c>
      <c r="CB598" s="111" t="n">
        <f aca="false">IFERROR(-CB589/CB590,"n/a")</f>
        <v>6.66666666666667</v>
      </c>
      <c r="CC598" s="156"/>
    </row>
    <row r="599" s="157" customFormat="true" ht="15" hidden="false" customHeight="true" outlineLevel="0" collapsed="false">
      <c r="A599" s="145"/>
      <c r="B599" s="254"/>
      <c r="C599" s="147"/>
      <c r="D599" s="147"/>
      <c r="E599" s="147"/>
      <c r="F599" s="147"/>
      <c r="G599" s="147"/>
      <c r="H599" s="149"/>
      <c r="I599" s="149"/>
      <c r="J599" s="149"/>
      <c r="K599" s="149"/>
      <c r="L599" s="147"/>
      <c r="M599" s="149"/>
      <c r="N599" s="149"/>
      <c r="O599" s="149"/>
      <c r="P599" s="149"/>
      <c r="Q599" s="147"/>
      <c r="R599" s="149"/>
      <c r="S599" s="149"/>
      <c r="T599" s="149"/>
      <c r="U599" s="149"/>
      <c r="V599" s="147"/>
      <c r="W599" s="149"/>
      <c r="X599" s="149"/>
      <c r="Y599" s="149"/>
      <c r="Z599" s="149"/>
      <c r="AA599" s="147"/>
      <c r="AB599" s="149"/>
      <c r="AC599" s="149"/>
      <c r="AD599" s="149"/>
      <c r="AE599" s="149"/>
      <c r="AF599" s="147"/>
      <c r="AG599" s="149"/>
      <c r="AH599" s="149"/>
      <c r="AI599" s="149"/>
      <c r="AJ599" s="149"/>
      <c r="AK599" s="147"/>
      <c r="AL599" s="149"/>
      <c r="AM599" s="149"/>
      <c r="AN599" s="149"/>
      <c r="AO599" s="149"/>
      <c r="AP599" s="147"/>
      <c r="AQ599" s="149"/>
      <c r="AR599" s="149"/>
      <c r="AS599" s="149"/>
      <c r="AT599" s="149"/>
      <c r="AU599" s="147"/>
      <c r="AV599" s="149"/>
      <c r="AW599" s="149"/>
      <c r="AX599" s="149"/>
      <c r="AY599" s="149"/>
      <c r="AZ599" s="147"/>
      <c r="BA599" s="149"/>
      <c r="BB599" s="149"/>
      <c r="BC599" s="149"/>
      <c r="BD599" s="149"/>
      <c r="BE599" s="147"/>
      <c r="BF599" s="149"/>
      <c r="BG599" s="149"/>
      <c r="BH599" s="149"/>
      <c r="BI599" s="149"/>
      <c r="BJ599" s="147"/>
      <c r="BK599" s="149"/>
      <c r="BL599" s="149"/>
      <c r="BM599" s="149"/>
      <c r="BN599" s="149"/>
      <c r="BO599" s="150"/>
      <c r="BP599" s="149"/>
      <c r="BQ599" s="149"/>
      <c r="BR599" s="149"/>
      <c r="BS599" s="149"/>
      <c r="BT599" s="147"/>
      <c r="BU599" s="149"/>
      <c r="BV599" s="149"/>
      <c r="BW599" s="149"/>
      <c r="BX599" s="149"/>
      <c r="BY599" s="147"/>
      <c r="BZ599" s="147"/>
      <c r="CA599" s="147"/>
      <c r="CB599" s="147"/>
      <c r="CC599" s="156"/>
    </row>
    <row r="600" s="157" customFormat="true" ht="15" hidden="false" customHeight="true" outlineLevel="0" collapsed="false">
      <c r="A600" s="252" t="s">
        <v>230</v>
      </c>
      <c r="B600" s="266"/>
      <c r="C600" s="223" t="n">
        <f aca="false">C107+C111</f>
        <v>139.9</v>
      </c>
      <c r="D600" s="223" t="n">
        <f aca="false">D107+D111</f>
        <v>150.1</v>
      </c>
      <c r="E600" s="223" t="n">
        <f aca="false">E107+E111</f>
        <v>163.3</v>
      </c>
      <c r="F600" s="223" t="n">
        <f aca="false">F107+F111</f>
        <v>185.4</v>
      </c>
      <c r="G600" s="223" t="n">
        <f aca="false">G107+G111</f>
        <v>224.7</v>
      </c>
      <c r="H600" s="224" t="n">
        <f aca="false">H107+H111</f>
        <v>64.389</v>
      </c>
      <c r="I600" s="224" t="n">
        <f aca="false">I107+I111</f>
        <v>66.689</v>
      </c>
      <c r="J600" s="224" t="n">
        <f aca="false">J107+J111</f>
        <v>60.089</v>
      </c>
      <c r="K600" s="224" t="n">
        <f aca="false">K107+K111</f>
        <v>62.233</v>
      </c>
      <c r="L600" s="223" t="n">
        <f aca="false">L107+L111</f>
        <v>253.4</v>
      </c>
      <c r="M600" s="224" t="n">
        <f aca="false">M107+M111</f>
        <v>65.429</v>
      </c>
      <c r="N600" s="224" t="n">
        <f aca="false">N107+N111</f>
        <v>72.129</v>
      </c>
      <c r="O600" s="224" t="n">
        <f aca="false">O107+O111</f>
        <v>76.829</v>
      </c>
      <c r="P600" s="224" t="n">
        <f aca="false">P107+P111</f>
        <v>79.813</v>
      </c>
      <c r="Q600" s="223" t="n">
        <f aca="false">Q107+Q111</f>
        <v>294.2</v>
      </c>
      <c r="R600" s="224" t="n">
        <f aca="false">R107+R111</f>
        <v>81.35</v>
      </c>
      <c r="S600" s="224" t="n">
        <f aca="false">S107+S111</f>
        <v>83.45</v>
      </c>
      <c r="T600" s="224" t="n">
        <f aca="false">T107+T111</f>
        <v>87.05</v>
      </c>
      <c r="U600" s="224" t="n">
        <f aca="false">U107+U111</f>
        <v>102.45</v>
      </c>
      <c r="V600" s="223" t="n">
        <f aca="false">V107+V111</f>
        <v>354.3</v>
      </c>
      <c r="W600" s="224" t="n">
        <f aca="false">W107+W111</f>
        <v>109.15</v>
      </c>
      <c r="X600" s="224" t="n">
        <f aca="false">X107+X111</f>
        <v>102.95</v>
      </c>
      <c r="Y600" s="224" t="n">
        <f aca="false">Y107+Y111</f>
        <v>100.25</v>
      </c>
      <c r="Z600" s="224" t="n">
        <f aca="false">Z107+Z111</f>
        <v>101.35</v>
      </c>
      <c r="AA600" s="223" t="n">
        <f aca="false">AA107+AA111</f>
        <v>413.7</v>
      </c>
      <c r="AB600" s="224" t="n">
        <f aca="false">AB107+AB111</f>
        <v>101.7</v>
      </c>
      <c r="AC600" s="224" t="n">
        <f aca="false">AC107+AC111</f>
        <v>98.8</v>
      </c>
      <c r="AD600" s="224" t="n">
        <f aca="false">AD107+AD111</f>
        <v>109.1</v>
      </c>
      <c r="AE600" s="224" t="n">
        <f aca="false">AE107+AE111</f>
        <v>109.5</v>
      </c>
      <c r="AF600" s="223" t="n">
        <f aca="false">AF107+AF111</f>
        <v>419.1</v>
      </c>
      <c r="AG600" s="224" t="n">
        <f aca="false">AG107+AG111</f>
        <v>102.85</v>
      </c>
      <c r="AH600" s="224" t="n">
        <f aca="false">AH107+AH111</f>
        <v>106.45</v>
      </c>
      <c r="AI600" s="224" t="n">
        <f aca="false">AI107+AI111</f>
        <v>110.45</v>
      </c>
      <c r="AJ600" s="224" t="n">
        <f aca="false">AJ107+AJ111</f>
        <v>120.95</v>
      </c>
      <c r="AK600" s="223" t="n">
        <f aca="false">AK107+AK111</f>
        <v>440.7</v>
      </c>
      <c r="AL600" s="224" t="n">
        <f aca="false">AL107+AL111</f>
        <v>114.4</v>
      </c>
      <c r="AM600" s="224" t="n">
        <f aca="false">AM107+AM111</f>
        <v>121.2</v>
      </c>
      <c r="AN600" s="224" t="n">
        <f aca="false">AN107+AN111</f>
        <v>118.1</v>
      </c>
      <c r="AO600" s="224" t="n">
        <f aca="false">AO107+AO111</f>
        <v>121.5</v>
      </c>
      <c r="AP600" s="223" t="n">
        <f aca="false">AP107+AP111</f>
        <v>475.2</v>
      </c>
      <c r="AQ600" s="224" t="n">
        <f aca="false">AQ107+AQ111</f>
        <v>113.8</v>
      </c>
      <c r="AR600" s="224" t="n">
        <f aca="false">AR107+AR111</f>
        <v>108.6</v>
      </c>
      <c r="AS600" s="224" t="n">
        <f aca="false">AS107+AS111</f>
        <v>112.1</v>
      </c>
      <c r="AT600" s="224" t="n">
        <f aca="false">AT107+AT111</f>
        <v>120.1</v>
      </c>
      <c r="AU600" s="223" t="n">
        <f aca="false">AU107+AU111</f>
        <v>454.6</v>
      </c>
      <c r="AV600" s="224" t="n">
        <f aca="false">AV107+AV111</f>
        <v>130.175</v>
      </c>
      <c r="AW600" s="224" t="n">
        <f aca="false">AW107+AW111</f>
        <v>130.675</v>
      </c>
      <c r="AX600" s="224" t="n">
        <f aca="false">AX107+AX111</f>
        <v>137.075</v>
      </c>
      <c r="AY600" s="224" t="n">
        <f aca="false">AY107+AY111</f>
        <v>182.375</v>
      </c>
      <c r="AZ600" s="223" t="n">
        <f aca="false">AZ107+AZ111</f>
        <v>580.3</v>
      </c>
      <c r="BA600" s="224" t="n">
        <f aca="false">BA107+BA111</f>
        <v>168.65</v>
      </c>
      <c r="BB600" s="224" t="n">
        <f aca="false">BB107+BB111</f>
        <v>179.55</v>
      </c>
      <c r="BC600" s="224" t="n">
        <f aca="false">BC107+BC111</f>
        <v>174.55</v>
      </c>
      <c r="BD600" s="224" t="n">
        <f aca="false">BD107+BD111</f>
        <v>210.45</v>
      </c>
      <c r="BE600" s="223" t="n">
        <f aca="false">BE107+BE111</f>
        <v>733.2</v>
      </c>
      <c r="BF600" s="224" t="n">
        <f aca="false">BF107+BF111</f>
        <v>213.075</v>
      </c>
      <c r="BG600" s="224" t="n">
        <f aca="false">BG107+BG111</f>
        <v>226.175</v>
      </c>
      <c r="BH600" s="224" t="n">
        <f aca="false">BH107+BH111</f>
        <v>234.375</v>
      </c>
      <c r="BI600" s="224" t="n">
        <f aca="false">BI107+BI111</f>
        <v>239.675</v>
      </c>
      <c r="BJ600" s="223" t="n">
        <f aca="false">BJ107+BJ111</f>
        <v>913.3</v>
      </c>
      <c r="BK600" s="224" t="n">
        <f aca="false">BK107+BK111</f>
        <v>239.8</v>
      </c>
      <c r="BL600" s="224" t="n">
        <f aca="false">BL107+BL111</f>
        <v>253.4</v>
      </c>
      <c r="BM600" s="224" t="n">
        <f aca="false">BM107+BM111</f>
        <v>273.1</v>
      </c>
      <c r="BN600" s="224" t="n">
        <f aca="false">BN107+BN111</f>
        <v>253.6</v>
      </c>
      <c r="BO600" s="225" t="n">
        <f aca="false">BO107+BO111</f>
        <v>1019.9</v>
      </c>
      <c r="BP600" s="224" t="n">
        <f aca="false">BP107+BP111</f>
        <v>292.474602739726</v>
      </c>
      <c r="BQ600" s="224" t="n">
        <f aca="false">BQ107+BQ111</f>
        <v>289.983826785889</v>
      </c>
      <c r="BR600" s="224" t="n">
        <f aca="false">BR107+BR111</f>
        <v>287.455856862727</v>
      </c>
      <c r="BS600" s="224" t="n">
        <f aca="false">BS107+BS111</f>
        <v>281.831529943619</v>
      </c>
      <c r="BT600" s="223" t="n">
        <f aca="false">BT107+BT111</f>
        <v>1151.74581633196</v>
      </c>
      <c r="BU600" s="224" t="n">
        <f aca="false">BU107+BU111</f>
        <v>270.398392482231</v>
      </c>
      <c r="BV600" s="224" t="n">
        <f aca="false">BV107+BV111</f>
        <v>268.439025253942</v>
      </c>
      <c r="BW600" s="224" t="n">
        <f aca="false">BW107+BW111</f>
        <v>266.44061878581</v>
      </c>
      <c r="BX600" s="224" t="n">
        <f aca="false">BX107+BX111</f>
        <v>261.563761967524</v>
      </c>
      <c r="BY600" s="223" t="n">
        <f aca="false">BY107+BY111</f>
        <v>1066.84179848951</v>
      </c>
      <c r="BZ600" s="223" t="n">
        <f aca="false">BZ107+BZ111</f>
        <v>1019.06551328855</v>
      </c>
      <c r="CA600" s="223" t="n">
        <f aca="false">CA107+CA111</f>
        <v>959.052074523622</v>
      </c>
      <c r="CB600" s="223" t="n">
        <f aca="false">CB107+CB111</f>
        <v>907.516157221461</v>
      </c>
      <c r="CC600" s="156"/>
    </row>
    <row r="601" s="157" customFormat="true" ht="15" hidden="false" customHeight="true" outlineLevel="0" collapsed="false">
      <c r="A601" s="252" t="s">
        <v>567</v>
      </c>
      <c r="B601" s="266"/>
      <c r="C601" s="223" t="n">
        <f aca="false">-C403</f>
        <v>104.959</v>
      </c>
      <c r="D601" s="223" t="n">
        <f aca="false">-D403</f>
        <v>128.728</v>
      </c>
      <c r="E601" s="223" t="n">
        <f aca="false">-E403</f>
        <v>300.898</v>
      </c>
      <c r="F601" s="223" t="n">
        <f aca="false">-F403</f>
        <v>179.536</v>
      </c>
      <c r="G601" s="223" t="n">
        <f aca="false">-G403</f>
        <v>214.804</v>
      </c>
      <c r="H601" s="224" t="n">
        <f aca="false">-H403</f>
        <v>75.5</v>
      </c>
      <c r="I601" s="224" t="n">
        <f aca="false">-I403</f>
        <v>73.7</v>
      </c>
      <c r="J601" s="224" t="n">
        <f aca="false">-J403</f>
        <v>84.2</v>
      </c>
      <c r="K601" s="224" t="n">
        <f aca="false">-K403</f>
        <v>127.832</v>
      </c>
      <c r="L601" s="223" t="n">
        <f aca="false">-L403</f>
        <v>361.232</v>
      </c>
      <c r="M601" s="224" t="n">
        <f aca="false">-M403</f>
        <v>86.7</v>
      </c>
      <c r="N601" s="224" t="n">
        <f aca="false">-N403</f>
        <v>79.2</v>
      </c>
      <c r="O601" s="224" t="n">
        <f aca="false">-O403</f>
        <v>86.5</v>
      </c>
      <c r="P601" s="224" t="n">
        <f aca="false">-P403</f>
        <v>120.478</v>
      </c>
      <c r="Q601" s="223" t="n">
        <f aca="false">-Q403</f>
        <v>372.878</v>
      </c>
      <c r="R601" s="224" t="n">
        <f aca="false">-R403</f>
        <v>58.8</v>
      </c>
      <c r="S601" s="224" t="n">
        <f aca="false">-S403</f>
        <v>100.2</v>
      </c>
      <c r="T601" s="224" t="n">
        <f aca="false">-T403</f>
        <v>68.9</v>
      </c>
      <c r="U601" s="224" t="n">
        <f aca="false">-U403</f>
        <v>96.8</v>
      </c>
      <c r="V601" s="223" t="n">
        <f aca="false">-V403</f>
        <v>324.7</v>
      </c>
      <c r="W601" s="224" t="n">
        <f aca="false">-W403</f>
        <v>43.8</v>
      </c>
      <c r="X601" s="224" t="n">
        <f aca="false">-X403</f>
        <v>61.3</v>
      </c>
      <c r="Y601" s="224" t="n">
        <f aca="false">-Y403</f>
        <v>97.8</v>
      </c>
      <c r="Z601" s="224" t="n">
        <f aca="false">-Z403</f>
        <v>155.1</v>
      </c>
      <c r="AA601" s="223" t="n">
        <f aca="false">-AA403</f>
        <v>358</v>
      </c>
      <c r="AB601" s="224" t="n">
        <f aca="false">-AB403</f>
        <v>135.3</v>
      </c>
      <c r="AC601" s="224" t="n">
        <f aca="false">-AC403</f>
        <v>135.4</v>
      </c>
      <c r="AD601" s="224" t="n">
        <f aca="false">-AD403</f>
        <v>134.3</v>
      </c>
      <c r="AE601" s="224" t="n">
        <f aca="false">-AE403</f>
        <v>204.5</v>
      </c>
      <c r="AF601" s="223" t="n">
        <f aca="false">-AF403</f>
        <v>609.5</v>
      </c>
      <c r="AG601" s="224" t="n">
        <f aca="false">-AG403</f>
        <v>233.7</v>
      </c>
      <c r="AH601" s="224" t="n">
        <f aca="false">-AH403</f>
        <v>140</v>
      </c>
      <c r="AI601" s="224" t="n">
        <f aca="false">-AI403</f>
        <v>197</v>
      </c>
      <c r="AJ601" s="224" t="n">
        <f aca="false">-AJ403</f>
        <v>315.2</v>
      </c>
      <c r="AK601" s="223" t="n">
        <f aca="false">-AK403</f>
        <v>885.9</v>
      </c>
      <c r="AL601" s="224" t="n">
        <f aca="false">-AL403</f>
        <v>242.3</v>
      </c>
      <c r="AM601" s="224" t="n">
        <f aca="false">-AM403</f>
        <v>231.8</v>
      </c>
      <c r="AN601" s="224" t="n">
        <f aca="false">-AN403</f>
        <v>221.6</v>
      </c>
      <c r="AO601" s="224" t="n">
        <f aca="false">-AO403</f>
        <v>305.1</v>
      </c>
      <c r="AP601" s="223" t="n">
        <f aca="false">-AP403</f>
        <v>1000.8</v>
      </c>
      <c r="AQ601" s="224" t="n">
        <f aca="false">-AQ403</f>
        <v>197.3</v>
      </c>
      <c r="AR601" s="224" t="n">
        <f aca="false">-AR403</f>
        <v>247.4</v>
      </c>
      <c r="AS601" s="224" t="n">
        <f aca="false">-AS403</f>
        <v>205</v>
      </c>
      <c r="AT601" s="224" t="n">
        <f aca="false">-AT403</f>
        <v>290.6</v>
      </c>
      <c r="AU601" s="223" t="n">
        <f aca="false">-AU403</f>
        <v>940.3</v>
      </c>
      <c r="AV601" s="224" t="n">
        <f aca="false">-AV403</f>
        <v>251.6</v>
      </c>
      <c r="AW601" s="224" t="n">
        <f aca="false">-AW403</f>
        <v>237.5</v>
      </c>
      <c r="AX601" s="224" t="n">
        <f aca="false">-AX403</f>
        <v>364.3</v>
      </c>
      <c r="AY601" s="224" t="n">
        <f aca="false">-AY403</f>
        <v>465.9</v>
      </c>
      <c r="AZ601" s="223" t="n">
        <f aca="false">-AZ403</f>
        <v>1319.3</v>
      </c>
      <c r="BA601" s="224" t="n">
        <f aca="false">-BA403</f>
        <v>539.4</v>
      </c>
      <c r="BB601" s="224" t="n">
        <f aca="false">-BB403</f>
        <v>544.4</v>
      </c>
      <c r="BC601" s="224" t="n">
        <f aca="false">-BC403</f>
        <v>510.1</v>
      </c>
      <c r="BD601" s="224" t="n">
        <f aca="false">-BD403</f>
        <v>602.3</v>
      </c>
      <c r="BE601" s="223" t="n">
        <f aca="false">-BE403</f>
        <v>2196.2</v>
      </c>
      <c r="BF601" s="224" t="n">
        <f aca="false">-BF403</f>
        <v>423.8</v>
      </c>
      <c r="BG601" s="224" t="n">
        <f aca="false">-BG403</f>
        <v>538</v>
      </c>
      <c r="BH601" s="224" t="n">
        <f aca="false">-BH403</f>
        <v>415.8</v>
      </c>
      <c r="BI601" s="224" t="n">
        <f aca="false">-BI403</f>
        <v>705.5</v>
      </c>
      <c r="BJ601" s="223" t="n">
        <f aca="false">-BJ403</f>
        <v>2083.1</v>
      </c>
      <c r="BK601" s="224" t="n">
        <f aca="false">-BK403</f>
        <v>416.5</v>
      </c>
      <c r="BL601" s="224" t="n">
        <f aca="false">-BL403</f>
        <v>428.9</v>
      </c>
      <c r="BM601" s="224" t="n">
        <f aca="false">-BM403</f>
        <v>315.4</v>
      </c>
      <c r="BN601" s="224" t="n">
        <f aca="false">-BN403</f>
        <v>470.4</v>
      </c>
      <c r="BO601" s="225" t="n">
        <f aca="false">-BO403</f>
        <v>1631.2</v>
      </c>
      <c r="BP601" s="224" t="n">
        <f aca="false">-BP403</f>
        <v>130.75</v>
      </c>
      <c r="BQ601" s="224" t="n">
        <f aca="false">-BQ403</f>
        <v>130.75</v>
      </c>
      <c r="BR601" s="224" t="n">
        <f aca="false">-BR403</f>
        <v>130.75</v>
      </c>
      <c r="BS601" s="224" t="n">
        <f aca="false">-BS403</f>
        <v>130.75</v>
      </c>
      <c r="BT601" s="223" t="n">
        <f aca="false">-BT403</f>
        <v>523</v>
      </c>
      <c r="BU601" s="224" t="n">
        <f aca="false">-BU403</f>
        <v>130.75</v>
      </c>
      <c r="BV601" s="224" t="n">
        <f aca="false">-BV403</f>
        <v>130.75</v>
      </c>
      <c r="BW601" s="224" t="n">
        <f aca="false">-BW403</f>
        <v>130.75</v>
      </c>
      <c r="BX601" s="224" t="n">
        <f aca="false">-BX403</f>
        <v>130.75</v>
      </c>
      <c r="BY601" s="223" t="n">
        <f aca="false">-BY403</f>
        <v>523</v>
      </c>
      <c r="BZ601" s="223" t="n">
        <f aca="false">-BZ403</f>
        <v>600</v>
      </c>
      <c r="CA601" s="223" t="n">
        <f aca="false">-CA403</f>
        <v>600</v>
      </c>
      <c r="CB601" s="223" t="n">
        <f aca="false">-CB403</f>
        <v>600</v>
      </c>
      <c r="CC601" s="156"/>
    </row>
    <row r="602" s="157" customFormat="true" ht="15" hidden="false" customHeight="true" outlineLevel="0" collapsed="false">
      <c r="A602" s="566" t="s">
        <v>568</v>
      </c>
      <c r="B602" s="419"/>
      <c r="C602" s="133"/>
      <c r="D602" s="133" t="n">
        <f aca="false">IFERROR(D591/D601,"n/a")</f>
        <v>-0</v>
      </c>
      <c r="E602" s="133" t="n">
        <f aca="false">IFERROR(E591/E601,"n/a")</f>
        <v>-0</v>
      </c>
      <c r="F602" s="133" t="n">
        <f aca="false">IFERROR(F591/F601,"n/a")</f>
        <v>0.042654398003743</v>
      </c>
      <c r="G602" s="133" t="n">
        <f aca="false">IFERROR(G591/G601,"n/a")</f>
        <v>0.018621627157781</v>
      </c>
      <c r="H602" s="134" t="n">
        <f aca="false">IFERROR(H591/H601,"n/a")</f>
        <v>-0</v>
      </c>
      <c r="I602" s="134" t="n">
        <f aca="false">IFERROR(I591/I601,"n/a")</f>
        <v>0.0407055630936228</v>
      </c>
      <c r="J602" s="134" t="n">
        <f aca="false">IFERROR(J591/J601,"n/a")</f>
        <v>-0</v>
      </c>
      <c r="K602" s="134" t="n">
        <f aca="false">IFERROR(K591/K601,"n/a")</f>
        <v>-0.000375492834345078</v>
      </c>
      <c r="L602" s="133" t="n">
        <f aca="false">IFERROR(L591/L601,"n/a")</f>
        <v>0.0081720334854055</v>
      </c>
      <c r="M602" s="134" t="n">
        <f aca="false">IFERROR(M591/M601,"n/a")</f>
        <v>0.0126874279123414</v>
      </c>
      <c r="N602" s="134" t="n">
        <f aca="false">IFERROR(N591/N601,"n/a")</f>
        <v>-0</v>
      </c>
      <c r="O602" s="134" t="n">
        <f aca="false">IFERROR(O591/O601,"n/a")</f>
        <v>-0</v>
      </c>
      <c r="P602" s="134" t="n">
        <f aca="false">IFERROR(P591/P601,"n/a")</f>
        <v>6.64021647105696E-005</v>
      </c>
      <c r="Q602" s="133" t="n">
        <f aca="false">IFERROR(Q591/Q601,"n/a")</f>
        <v>0.00297148128878615</v>
      </c>
      <c r="R602" s="134" t="n">
        <f aca="false">IFERROR(R591/R601,"n/a")</f>
        <v>0.0612244897959184</v>
      </c>
      <c r="S602" s="134" t="n">
        <f aca="false">IFERROR(S591/S601,"n/a")</f>
        <v>0.0129740518962076</v>
      </c>
      <c r="T602" s="134" t="n">
        <f aca="false">IFERROR(T591/T601,"n/a")</f>
        <v>0.0377358490566038</v>
      </c>
      <c r="U602" s="134" t="n">
        <f aca="false">IFERROR(U591/U601,"n/a")</f>
        <v>0.00929752066115703</v>
      </c>
      <c r="V602" s="133" t="n">
        <f aca="false">IFERROR(V591/V601,"n/a")</f>
        <v>0.0258700338774253</v>
      </c>
      <c r="W602" s="134" t="n">
        <f aca="false">IFERROR(W591/W601,"n/a")</f>
        <v>0.118721461187215</v>
      </c>
      <c r="X602" s="134" t="n">
        <f aca="false">IFERROR(X591/X601,"n/a")</f>
        <v>0.0815660685154975</v>
      </c>
      <c r="Y602" s="134" t="n">
        <f aca="false">IFERROR(Y591/Y601,"n/a")</f>
        <v>0.0214723926380368</v>
      </c>
      <c r="Z602" s="134" t="n">
        <f aca="false">IFERROR(Z591/Z601,"n/a")</f>
        <v>0.0438426821405545</v>
      </c>
      <c r="AA602" s="133" t="n">
        <f aca="false">IFERROR(AA591/AA601,"n/a")</f>
        <v>0.0533519553072626</v>
      </c>
      <c r="AB602" s="134" t="n">
        <f aca="false">IFERROR(AB591/AB601,"n/a")</f>
        <v>0.0450849963045085</v>
      </c>
      <c r="AC602" s="134" t="n">
        <f aca="false">IFERROR(AC591/AC601,"n/a")</f>
        <v>0.0723781388478582</v>
      </c>
      <c r="AD602" s="134" t="n">
        <f aca="false">IFERROR(AD591/AD601,"n/a")</f>
        <v>0.0387192851824274</v>
      </c>
      <c r="AE602" s="134" t="n">
        <f aca="false">IFERROR(AE591/AE601,"n/a")</f>
        <v>0.0704156479217604</v>
      </c>
      <c r="AF602" s="133" t="n">
        <f aca="false">IFERROR(AF591/AF601,"n/a")</f>
        <v>0.0582444626743232</v>
      </c>
      <c r="AG602" s="134" t="n">
        <f aca="false">IFERROR(AG591/AG601,"n/a")</f>
        <v>0.370988446726573</v>
      </c>
      <c r="AH602" s="134" t="n">
        <f aca="false">IFERROR(AH591/AH601,"n/a")</f>
        <v>0.0835714285714286</v>
      </c>
      <c r="AI602" s="134" t="n">
        <f aca="false">IFERROR(AI591/AI601,"n/a")</f>
        <v>0.0568527918781725</v>
      </c>
      <c r="AJ602" s="134" t="n">
        <f aca="false">IFERROR(AJ591/AJ601,"n/a")</f>
        <v>0.0307741116751269</v>
      </c>
      <c r="AK602" s="133" t="n">
        <f aca="false">IFERROR(AK591/AK601,"n/a")</f>
        <v>0.134665312111977</v>
      </c>
      <c r="AL602" s="134" t="n">
        <f aca="false">IFERROR(AL591/AL601,"n/a")</f>
        <v>0.044572843582336</v>
      </c>
      <c r="AM602" s="134" t="n">
        <f aca="false">IFERROR(AM591/AM601,"n/a")</f>
        <v>0.0289042277825712</v>
      </c>
      <c r="AN602" s="134" t="n">
        <f aca="false">IFERROR(AN591/AN601,"n/a")</f>
        <v>0.0410649819494585</v>
      </c>
      <c r="AO602" s="134" t="n">
        <f aca="false">IFERROR(AO591/AO601,"n/a")</f>
        <v>0.0399868895444117</v>
      </c>
      <c r="AP602" s="133" t="n">
        <f aca="false">IFERROR(AP591/AP601,"n/a")</f>
        <v>0.0387689848121503</v>
      </c>
      <c r="AQ602" s="134" t="n">
        <f aca="false">IFERROR(AQ591/AQ601,"n/a")</f>
        <v>0.0400405473897618</v>
      </c>
      <c r="AR602" s="134" t="n">
        <f aca="false">IFERROR(AR591/AR601,"n/a")</f>
        <v>0.0254648342764753</v>
      </c>
      <c r="AS602" s="134" t="n">
        <f aca="false">IFERROR(AS591/AS601,"n/a")</f>
        <v>0.0390243902439024</v>
      </c>
      <c r="AT602" s="134" t="n">
        <f aca="false">IFERROR(AT591/AT601,"n/a")</f>
        <v>0.0598761183757743</v>
      </c>
      <c r="AU602" s="133" t="n">
        <f aca="false">IFERROR(AU591/AU601,"n/a")</f>
        <v>0.0421142188663193</v>
      </c>
      <c r="AV602" s="134" t="n">
        <f aca="false">IFERROR(AV591/AV601,"n/a")</f>
        <v>0.0457074721780604</v>
      </c>
      <c r="AW602" s="134" t="n">
        <f aca="false">IFERROR(AW591/AW601,"n/a")</f>
        <v>0.0252631578947368</v>
      </c>
      <c r="AX602" s="134" t="n">
        <f aca="false">IFERROR(AX591/AX601,"n/a")</f>
        <v>0.0211364260225089</v>
      </c>
      <c r="AY602" s="134" t="n">
        <f aca="false">IFERROR(AY591/AY601,"n/a")</f>
        <v>0.0264005151320026</v>
      </c>
      <c r="AZ602" s="133" t="n">
        <f aca="false">IFERROR(AZ591/AZ601,"n/a")</f>
        <v>0.0284241643295687</v>
      </c>
      <c r="BA602" s="134" t="n">
        <f aca="false">IFERROR(BA591/BA601,"n/a")</f>
        <v>0.0137189469781238</v>
      </c>
      <c r="BB602" s="134" t="n">
        <f aca="false">IFERROR(BB591/BB601,"n/a")</f>
        <v>0.0121234386480529</v>
      </c>
      <c r="BC602" s="134" t="n">
        <f aca="false">IFERROR(BC591/BC601,"n/a")</f>
        <v>0.0162713193491472</v>
      </c>
      <c r="BD602" s="134" t="n">
        <f aca="false">IFERROR(BD591/BD601,"n/a")</f>
        <v>0.030383529802424</v>
      </c>
      <c r="BE602" s="133" t="n">
        <f aca="false">IFERROR(BE591/BE601,"n/a")</f>
        <v>0.0184864766414716</v>
      </c>
      <c r="BF602" s="134" t="n">
        <f aca="false">IFERROR(BF591/BF601,"n/a")</f>
        <v>0.0153374233128834</v>
      </c>
      <c r="BG602" s="134" t="n">
        <f aca="false">IFERROR(BG591/BG601,"n/a")</f>
        <v>0.0130111524163569</v>
      </c>
      <c r="BH602" s="134" t="n">
        <f aca="false">IFERROR(BH591/BH601,"n/a")</f>
        <v>0.00216450216450217</v>
      </c>
      <c r="BI602" s="134" t="n">
        <f aca="false">IFERROR(BI591/BI601,"n/a")</f>
        <v>0.00212615166548547</v>
      </c>
      <c r="BJ602" s="133" t="n">
        <f aca="false">IFERROR(BJ591/BJ601,"n/a")</f>
        <v>0.00763285487974653</v>
      </c>
      <c r="BK602" s="134" t="n">
        <f aca="false">IFERROR(BK591/BK601,"n/a")</f>
        <v>0.00360144057623049</v>
      </c>
      <c r="BL602" s="134" t="n">
        <f aca="false">IFERROR(BL591/BL601,"n/a")</f>
        <v>0.0328747959897412</v>
      </c>
      <c r="BM602" s="134" t="n">
        <f aca="false">IFERROR(BM591/BM601,"n/a")</f>
        <v>0.0618262523779328</v>
      </c>
      <c r="BN602" s="134" t="n">
        <f aca="false">IFERROR(BN591/BN601,"n/a")</f>
        <v>0.0478316326530612</v>
      </c>
      <c r="BO602" s="135" t="n">
        <f aca="false">IFERROR(BO591/BO601,"n/a")</f>
        <v>0.0353114271701815</v>
      </c>
      <c r="BP602" s="136" t="n">
        <v>0.02</v>
      </c>
      <c r="BQ602" s="136" t="n">
        <v>0.02</v>
      </c>
      <c r="BR602" s="136" t="n">
        <v>0.02</v>
      </c>
      <c r="BS602" s="136" t="n">
        <v>0.02</v>
      </c>
      <c r="BT602" s="133" t="n">
        <f aca="false">AVERAGE(BP602,BQ602,BR602,BS602)</f>
        <v>0.02</v>
      </c>
      <c r="BU602" s="136" t="n">
        <v>0.02</v>
      </c>
      <c r="BV602" s="136" t="n">
        <v>0.02</v>
      </c>
      <c r="BW602" s="136" t="n">
        <v>0.02</v>
      </c>
      <c r="BX602" s="136" t="n">
        <v>0.02</v>
      </c>
      <c r="BY602" s="133" t="n">
        <f aca="false">AVERAGE(BU602,BV602,BW602,BX602)</f>
        <v>0.02</v>
      </c>
      <c r="BZ602" s="137" t="n">
        <v>0.02</v>
      </c>
      <c r="CA602" s="137" t="n">
        <v>0.02</v>
      </c>
      <c r="CB602" s="137" t="n">
        <v>0.02</v>
      </c>
      <c r="CC602" s="156"/>
    </row>
    <row r="603" s="157" customFormat="true" ht="15" hidden="false" customHeight="true" outlineLevel="0" collapsed="false">
      <c r="A603" s="145"/>
      <c r="B603" s="254"/>
      <c r="C603" s="147"/>
      <c r="D603" s="147"/>
      <c r="E603" s="147"/>
      <c r="F603" s="147"/>
      <c r="G603" s="147"/>
      <c r="H603" s="149"/>
      <c r="I603" s="149"/>
      <c r="J603" s="149"/>
      <c r="K603" s="149"/>
      <c r="L603" s="147"/>
      <c r="M603" s="149"/>
      <c r="N603" s="149"/>
      <c r="O603" s="149"/>
      <c r="P603" s="149"/>
      <c r="Q603" s="147"/>
      <c r="R603" s="149"/>
      <c r="S603" s="149"/>
      <c r="T603" s="149"/>
      <c r="U603" s="149"/>
      <c r="V603" s="147"/>
      <c r="W603" s="149"/>
      <c r="X603" s="149"/>
      <c r="Y603" s="149"/>
      <c r="Z603" s="149"/>
      <c r="AA603" s="147"/>
      <c r="AB603" s="149"/>
      <c r="AC603" s="149"/>
      <c r="AD603" s="149"/>
      <c r="AE603" s="149"/>
      <c r="AF603" s="147"/>
      <c r="AG603" s="149"/>
      <c r="AH603" s="149"/>
      <c r="AI603" s="149"/>
      <c r="AJ603" s="149"/>
      <c r="AK603" s="147"/>
      <c r="AL603" s="149"/>
      <c r="AM603" s="149"/>
      <c r="AN603" s="149"/>
      <c r="AO603" s="149"/>
      <c r="AP603" s="147"/>
      <c r="AQ603" s="149"/>
      <c r="AR603" s="149"/>
      <c r="AS603" s="149"/>
      <c r="AT603" s="149"/>
      <c r="AU603" s="147"/>
      <c r="AV603" s="149"/>
      <c r="AW603" s="149"/>
      <c r="AX603" s="149"/>
      <c r="AY603" s="149"/>
      <c r="AZ603" s="147"/>
      <c r="BA603" s="149"/>
      <c r="BB603" s="149"/>
      <c r="BC603" s="149"/>
      <c r="BD603" s="149"/>
      <c r="BE603" s="147"/>
      <c r="BF603" s="149"/>
      <c r="BG603" s="149"/>
      <c r="BH603" s="149"/>
      <c r="BI603" s="149"/>
      <c r="BJ603" s="147"/>
      <c r="BK603" s="149"/>
      <c r="BL603" s="149"/>
      <c r="BM603" s="149"/>
      <c r="BN603" s="149"/>
      <c r="BO603" s="150"/>
      <c r="BP603" s="149"/>
      <c r="BQ603" s="149"/>
      <c r="BR603" s="149"/>
      <c r="BS603" s="149"/>
      <c r="BT603" s="147"/>
      <c r="BU603" s="149"/>
      <c r="BV603" s="149"/>
      <c r="BW603" s="149"/>
      <c r="BX603" s="149"/>
      <c r="BY603" s="147"/>
      <c r="BZ603" s="147"/>
      <c r="CA603" s="147"/>
      <c r="CB603" s="147"/>
      <c r="CC603" s="156"/>
    </row>
    <row r="604" s="157" customFormat="true" ht="15" hidden="false" customHeight="true" outlineLevel="0" collapsed="false">
      <c r="A604" s="562" t="s">
        <v>569</v>
      </c>
      <c r="B604" s="563"/>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c r="AA604" s="219"/>
      <c r="AB604" s="219"/>
      <c r="AC604" s="219"/>
      <c r="AD604" s="219"/>
      <c r="AE604" s="219"/>
      <c r="AF604" s="219"/>
      <c r="AG604" s="219"/>
      <c r="AH604" s="219"/>
      <c r="AI604" s="219"/>
      <c r="AJ604" s="219"/>
      <c r="AK604" s="219"/>
      <c r="AL604" s="219"/>
      <c r="AM604" s="219"/>
      <c r="AN604" s="219"/>
      <c r="AO604" s="219"/>
      <c r="AP604" s="219"/>
      <c r="AQ604" s="219"/>
      <c r="AR604" s="219"/>
      <c r="AS604" s="219"/>
      <c r="AT604" s="219"/>
      <c r="AU604" s="219"/>
      <c r="AV604" s="219"/>
      <c r="AW604" s="219"/>
      <c r="AX604" s="219"/>
      <c r="AY604" s="219"/>
      <c r="AZ604" s="219"/>
      <c r="BA604" s="219"/>
      <c r="BB604" s="219"/>
      <c r="BC604" s="219"/>
      <c r="BD604" s="219"/>
      <c r="BE604" s="219"/>
      <c r="BF604" s="219"/>
      <c r="BG604" s="219"/>
      <c r="BH604" s="219"/>
      <c r="BI604" s="219"/>
      <c r="BJ604" s="219"/>
      <c r="BK604" s="219"/>
      <c r="BL604" s="219"/>
      <c r="BM604" s="219"/>
      <c r="BN604" s="219"/>
      <c r="BO604" s="220"/>
      <c r="BP604" s="219"/>
      <c r="BQ604" s="219"/>
      <c r="BR604" s="219"/>
      <c r="BS604" s="219"/>
      <c r="BT604" s="219"/>
      <c r="BU604" s="219"/>
      <c r="BV604" s="219"/>
      <c r="BW604" s="219"/>
      <c r="BX604" s="219"/>
      <c r="BY604" s="219"/>
      <c r="BZ604" s="219"/>
      <c r="CA604" s="219"/>
      <c r="CB604" s="219"/>
      <c r="CC604" s="156"/>
    </row>
    <row r="605" s="157" customFormat="true" ht="15" hidden="false" customHeight="true" outlineLevel="0" collapsed="false">
      <c r="A605" s="388" t="s">
        <v>570</v>
      </c>
      <c r="B605" s="433"/>
      <c r="C605" s="567" t="n">
        <f aca="false">C627/C$329</f>
        <v>0.236481266716915</v>
      </c>
      <c r="D605" s="567" t="n">
        <f aca="false">D627/D$329</f>
        <v>0.249234572436444</v>
      </c>
      <c r="E605" s="567" t="n">
        <f aca="false">E627/E$329</f>
        <v>0.155834639141325</v>
      </c>
      <c r="F605" s="567" t="n">
        <f aca="false">F627/F$329</f>
        <v>0.127925808745751</v>
      </c>
      <c r="G605" s="567" t="n">
        <f aca="false">G627/G$329</f>
        <v>0.167448314937909</v>
      </c>
      <c r="H605" s="374"/>
      <c r="I605" s="374"/>
      <c r="J605" s="374"/>
      <c r="K605" s="374"/>
      <c r="L605" s="567" t="n">
        <f aca="false">L627/L$329</f>
        <v>0.179722373104961</v>
      </c>
      <c r="M605" s="83" t="n">
        <f aca="false">M627/(M$329+K$329+J$329+I$329)</f>
        <v>0.207964384503331</v>
      </c>
      <c r="N605" s="83" t="n">
        <f aca="false">N627/(N$329+M$329+K$329+J$329)</f>
        <v>0.209519296755008</v>
      </c>
      <c r="O605" s="83" t="n">
        <f aca="false">O627/(O$329+N$329+M$329+K$329)</f>
        <v>0.171634736576758</v>
      </c>
      <c r="P605" s="83" t="n">
        <f aca="false">P627/(P$329+O$329+N$329+M$329)</f>
        <v>0.127826446543881</v>
      </c>
      <c r="Q605" s="567" t="n">
        <f aca="false">Q627/Q$329</f>
        <v>0.127826954810235</v>
      </c>
      <c r="R605" s="83" t="n">
        <f aca="false">R627/(R$329+P$329+O$329+N$329)</f>
        <v>0.126149362721289</v>
      </c>
      <c r="S605" s="83" t="n">
        <f aca="false">S627/(S$329+R$329+P$329+O$329)</f>
        <v>0.120933918959083</v>
      </c>
      <c r="T605" s="83" t="n">
        <f aca="false">T627/(T$329+S$329+R$329+P$329)</f>
        <v>0.135788407997975</v>
      </c>
      <c r="U605" s="83" t="n">
        <f aca="false">U627/(U$329+T$329+S$329+R$329)</f>
        <v>0.103049390710543</v>
      </c>
      <c r="V605" s="567" t="n">
        <f aca="false">V627/V$329</f>
        <v>0.103049390710543</v>
      </c>
      <c r="W605" s="83" t="n">
        <f aca="false">W627/(W$329+U$329+T$329+S$329)</f>
        <v>0.11678280127478</v>
      </c>
      <c r="X605" s="83" t="n">
        <f aca="false">X627/(X$329+W$329+U$329+T$329)</f>
        <v>0.157667052916184</v>
      </c>
      <c r="Y605" s="83" t="n">
        <f aca="false">Y627/(Y$329+X$329+W$329+U$329)</f>
        <v>0.198123764851544</v>
      </c>
      <c r="Z605" s="83" t="n">
        <f aca="false">Z627/(Z$329+Y$329+X$329+W$329)</f>
        <v>0.195773683280311</v>
      </c>
      <c r="AA605" s="567" t="n">
        <f aca="false">AA627/AA$329</f>
        <v>0.195773683280311</v>
      </c>
      <c r="AB605" s="83" t="n">
        <f aca="false">AB627/(AB$329+Z$329+Y$329+X$329)</f>
        <v>0.170679781141555</v>
      </c>
      <c r="AC605" s="83" t="n">
        <f aca="false">AC627/(AC$329+AB$329+Z$329+Y$329)</f>
        <v>0.113513136387195</v>
      </c>
      <c r="AD605" s="83" t="n">
        <f aca="false">AD627/(AD$329+AC$329+AB$329+Z$329)</f>
        <v>0.162045570793001</v>
      </c>
      <c r="AE605" s="83" t="n">
        <f aca="false">AE627/(AE$329+AD$329+AC$329+AB$329)</f>
        <v>0.136896929824561</v>
      </c>
      <c r="AF605" s="567" t="n">
        <f aca="false">AF627/AF$329</f>
        <v>0.136896929824561</v>
      </c>
      <c r="AG605" s="83" t="n">
        <f aca="false">AG627/(AG$329+AE$329+AD$329+AC$329)</f>
        <v>0.145966697587274</v>
      </c>
      <c r="AH605" s="83" t="n">
        <f aca="false">AH627/(AH$329+AG$329+AE$329+AD$329)</f>
        <v>0.152833252454366</v>
      </c>
      <c r="AI605" s="83" t="n">
        <f aca="false">AI627/(AI$329+AH$329+AG$329+AE$329)</f>
        <v>0.192266154127769</v>
      </c>
      <c r="AJ605" s="83" t="n">
        <f aca="false">AJ627/(AJ$329+AI$329+AH$329+AG$329)</f>
        <v>0.151167512690355</v>
      </c>
      <c r="AK605" s="567" t="n">
        <f aca="false">AK627/AK$329</f>
        <v>0.151167512690355</v>
      </c>
      <c r="AL605" s="83" t="n">
        <f aca="false">AL627/(AL$329+AJ$329+AI$329+AH$329)</f>
        <v>0.146897726800482</v>
      </c>
      <c r="AM605" s="83" t="n">
        <f aca="false">AM627/(AM$329+AL$329+AJ$329+AI$329)</f>
        <v>0.138396941193029</v>
      </c>
      <c r="AN605" s="83" t="n">
        <f aca="false">AN627/(AN$329+AM$329+AL$329+AJ$329)</f>
        <v>0.178681472007441</v>
      </c>
      <c r="AO605" s="83" t="n">
        <f aca="false">AO627/(AO$329+AN$329+AM$329+AL$329)</f>
        <v>0.0937368101012269</v>
      </c>
      <c r="AP605" s="567" t="n">
        <f aca="false">AP627/AP$329</f>
        <v>0.0937368101012269</v>
      </c>
      <c r="AQ605" s="83" t="n">
        <f aca="false">AQ627/(AQ$329+AO$329+AN$329+AM$329)</f>
        <v>0.140814247443686</v>
      </c>
      <c r="AR605" s="83" t="n">
        <f aca="false">AR627/(AR$329+AQ$329+AO$329+AN$329)</f>
        <v>0.167627724251791</v>
      </c>
      <c r="AS605" s="83" t="n">
        <f aca="false">AS627/(AS$329+AR$329+AQ$329+AO$329)</f>
        <v>0.189226828340679</v>
      </c>
      <c r="AT605" s="83" t="n">
        <f aca="false">AT627/(AT$329+AS$329+AR$329+AQ$329)</f>
        <v>0.162699478802859</v>
      </c>
      <c r="AU605" s="567" t="n">
        <f aca="false">AU627/AU$329</f>
        <v>0.162699478802859</v>
      </c>
      <c r="AV605" s="83" t="n">
        <f aca="false">AV627/(AV$329+AT$329+AS$329+AR$329)</f>
        <v>0.196530101509996</v>
      </c>
      <c r="AW605" s="83" t="n">
        <f aca="false">AW627/(AW$329+AV$329+AT$329+AS$329)</f>
        <v>0.280156108337936</v>
      </c>
      <c r="AX605" s="83" t="n">
        <f aca="false">AX627/(AX$329+AW$329+AV$329+AT$329)</f>
        <v>0.296024086614493</v>
      </c>
      <c r="AY605" s="83" t="n">
        <f aca="false">AY627/(AY$329+AX$329+AW$329+AV$329)</f>
        <v>0.25143812519482</v>
      </c>
      <c r="AZ605" s="567" t="n">
        <f aca="false">AZ627/AZ$329</f>
        <v>0.25143812519482</v>
      </c>
      <c r="BA605" s="83" t="n">
        <f aca="false">BA627/(BA$329+AY$329+AX$329+AW$329)</f>
        <v>0.141671997769139</v>
      </c>
      <c r="BB605" s="83" t="n">
        <f aca="false">BB627/(BB$329+BA$329+AY$329+AX$329)</f>
        <v>0.15328924469196</v>
      </c>
      <c r="BC605" s="83" t="n">
        <f aca="false">BC627/(BC$329+BB$329+BA$329+AY$329)</f>
        <v>0.14617762609479</v>
      </c>
      <c r="BD605" s="83" t="n">
        <f aca="false">BD627/(BD$329+BC$329+BB$329+BA$329)</f>
        <v>0.157269082134369</v>
      </c>
      <c r="BE605" s="567" t="n">
        <f aca="false">BE627/BE$329</f>
        <v>0.157269082134369</v>
      </c>
      <c r="BF605" s="83" t="n">
        <f aca="false">BF627/(BF$329+BD$329+BC$329+BB$329)</f>
        <v>0.137363374108795</v>
      </c>
      <c r="BG605" s="83" t="n">
        <f aca="false">BG627/(BG$329+BF$329+BD$329+BC$329)</f>
        <v>0.175916172748282</v>
      </c>
      <c r="BH605" s="83" t="n">
        <f aca="false">BH627/(BH$329+BG$329+BF$329+BD$329)</f>
        <v>0.19669094526453</v>
      </c>
      <c r="BI605" s="83" t="n">
        <f aca="false">BI627/(BI$329+BH$329+BG$329+BF$329)</f>
        <v>0.158423233284624</v>
      </c>
      <c r="BJ605" s="567" t="n">
        <f aca="false">BJ627/BJ$329</f>
        <v>0.158423233284624</v>
      </c>
      <c r="BK605" s="83" t="n">
        <f aca="false">BK627/(BK$329+BI$329+BH$329+BG$329)</f>
        <v>0.149685489542365</v>
      </c>
      <c r="BL605" s="83" t="n">
        <f aca="false">BL627/(BL$329+BK$329+BI$329+BH$329)</f>
        <v>0.155360301959065</v>
      </c>
      <c r="BM605" s="83" t="n">
        <f aca="false">BM627/(BM$329+BL$329+BK$329+BI$329)</f>
        <v>0.166531106419968</v>
      </c>
      <c r="BN605" s="83" t="n">
        <f aca="false">BN627/(BN$329+BM$329+BL$329+BK$329)</f>
        <v>0.0925390222026308</v>
      </c>
      <c r="BO605" s="568" t="n">
        <f aca="false">BO627/BO$329</f>
        <v>0.0925390222026308</v>
      </c>
      <c r="BP605" s="374" t="n">
        <f aca="false">BK605+BP614</f>
        <v>0.149685489542365</v>
      </c>
      <c r="BQ605" s="374" t="n">
        <f aca="false">BL605+BQ614</f>
        <v>0.155360301959065</v>
      </c>
      <c r="BR605" s="374" t="n">
        <f aca="false">BM605+BR614</f>
        <v>0.166531106419968</v>
      </c>
      <c r="BS605" s="374" t="n">
        <f aca="false">BN605+BS614</f>
        <v>0.0925390222026308</v>
      </c>
      <c r="BT605" s="434" t="n">
        <f aca="false">BT627/BT$329</f>
        <v>0.0925390222026308</v>
      </c>
      <c r="BU605" s="374" t="n">
        <f aca="false">BP605+BU614</f>
        <v>0.149685489542365</v>
      </c>
      <c r="BV605" s="374" t="n">
        <f aca="false">BQ605+BV614</f>
        <v>0.155360301959065</v>
      </c>
      <c r="BW605" s="374" t="n">
        <f aca="false">BR605+BW614</f>
        <v>0.166531106419968</v>
      </c>
      <c r="BX605" s="374" t="n">
        <f aca="false">BS605+BX614</f>
        <v>0.0925390222026308</v>
      </c>
      <c r="BY605" s="434" t="n">
        <f aca="false">BY627/BY$329</f>
        <v>0.0925390222026308</v>
      </c>
      <c r="BZ605" s="434" t="n">
        <f aca="false">BY605+BZ614</f>
        <v>0.0925390222026308</v>
      </c>
      <c r="CA605" s="434" t="n">
        <f aca="false">BZ605+CA614</f>
        <v>0.0925390222026308</v>
      </c>
      <c r="CB605" s="434" t="n">
        <f aca="false">CA605+CB614</f>
        <v>0.0925390222026308</v>
      </c>
      <c r="CC605" s="156"/>
    </row>
    <row r="606" s="157" customFormat="true" ht="15" hidden="false" customHeight="true" outlineLevel="0" collapsed="false">
      <c r="A606" s="388" t="s">
        <v>571</v>
      </c>
      <c r="B606" s="433"/>
      <c r="C606" s="567" t="n">
        <f aca="false">C628/C$329</f>
        <v>0.0135038529180866</v>
      </c>
      <c r="D606" s="567" t="n">
        <f aca="false">D628/D$329</f>
        <v>0.00280571738120622</v>
      </c>
      <c r="E606" s="567" t="n">
        <f aca="false">E628/E$329</f>
        <v>0.0139537270606181</v>
      </c>
      <c r="F606" s="567" t="n">
        <f aca="false">F628/F$329</f>
        <v>0.0560422524941589</v>
      </c>
      <c r="G606" s="567" t="n">
        <f aca="false">G628/G$329</f>
        <v>0.0477514648279249</v>
      </c>
      <c r="H606" s="374"/>
      <c r="I606" s="374"/>
      <c r="J606" s="374"/>
      <c r="K606" s="374"/>
      <c r="L606" s="567" t="n">
        <f aca="false">L628/L$329</f>
        <v>0.0334832180923136</v>
      </c>
      <c r="M606" s="83" t="n">
        <f aca="false">M628/(M$329+K$329+J$329+I$329)</f>
        <v>0.0301160449776585</v>
      </c>
      <c r="N606" s="83" t="n">
        <f aca="false">N628/(N$329+M$329+K$329+J$329)</f>
        <v>0.0410444103133885</v>
      </c>
      <c r="O606" s="83" t="n">
        <f aca="false">O628/(O$329+N$329+M$329+K$329)</f>
        <v>0.0714803377867406</v>
      </c>
      <c r="P606" s="83" t="n">
        <f aca="false">P628/(P$329+O$329+N$329+M$329)</f>
        <v>0.0446166937048701</v>
      </c>
      <c r="Q606" s="567" t="n">
        <f aca="false">Q628/Q$329</f>
        <v>0.0446168711107577</v>
      </c>
      <c r="R606" s="83" t="n">
        <f aca="false">R628/(R$329+P$329+O$329+N$329)</f>
        <v>0.0747818513742107</v>
      </c>
      <c r="S606" s="83" t="n">
        <f aca="false">S628/(S$329+R$329+P$329+O$329)</f>
        <v>0.086522902149863</v>
      </c>
      <c r="T606" s="83" t="n">
        <f aca="false">T628/(T$329+S$329+R$329+P$329)</f>
        <v>0.104957605669451</v>
      </c>
      <c r="U606" s="83" t="n">
        <f aca="false">U628/(U$329+T$329+S$329+R$329)</f>
        <v>0.065844469300053</v>
      </c>
      <c r="V606" s="567" t="n">
        <f aca="false">V628/V$329</f>
        <v>0.065844469300053</v>
      </c>
      <c r="W606" s="83" t="n">
        <f aca="false">W628/(W$329+U$329+T$329+S$329)</f>
        <v>0.0468454599470642</v>
      </c>
      <c r="X606" s="83" t="n">
        <f aca="false">X628/(X$329+W$329+U$329+T$329)</f>
        <v>0.0532509334363332</v>
      </c>
      <c r="Y606" s="83" t="n">
        <f aca="false">Y628/(Y$329+X$329+W$329+U$329)</f>
        <v>0.0164527726850639</v>
      </c>
      <c r="Z606" s="83" t="n">
        <f aca="false">Z628/(Z$329+Y$329+X$329+W$329)</f>
        <v>0.00652836691410392</v>
      </c>
      <c r="AA606" s="567" t="n">
        <f aca="false">AA628/AA$329</f>
        <v>0.00652836691410392</v>
      </c>
      <c r="AB606" s="83" t="n">
        <f aca="false">AB628/(AB$329+Z$329+Y$329+X$329)</f>
        <v>0.024344808498861</v>
      </c>
      <c r="AC606" s="83" t="n">
        <f aca="false">AC628/(AC$329+AB$329+Z$329+Y$329)</f>
        <v>0.0597715584260256</v>
      </c>
      <c r="AD606" s="83" t="n">
        <f aca="false">AD628/(AD$329+AC$329+AB$329+Z$329)</f>
        <v>0.0888929636456634</v>
      </c>
      <c r="AE606" s="83" t="n">
        <f aca="false">AE628/(AE$329+AD$329+AC$329+AB$329)</f>
        <v>0.0558388157894737</v>
      </c>
      <c r="AF606" s="567" t="n">
        <f aca="false">AF628/AF$329</f>
        <v>0.0558388157894737</v>
      </c>
      <c r="AG606" s="83" t="n">
        <f aca="false">AG628/(AG$329+AE$329+AD$329+AC$329)</f>
        <v>0.0490994755742508</v>
      </c>
      <c r="AH606" s="83" t="n">
        <f aca="false">AH628/(AH$329+AG$329+AE$329+AD$329)</f>
        <v>0.0578689014147598</v>
      </c>
      <c r="AI606" s="83" t="n">
        <f aca="false">AI628/(AI$329+AH$329+AG$329+AE$329)</f>
        <v>0.0535328574043566</v>
      </c>
      <c r="AJ606" s="83" t="n">
        <f aca="false">AJ628/(AJ$329+AI$329+AH$329+AG$329)</f>
        <v>0.0477580372250423</v>
      </c>
      <c r="AK606" s="567" t="n">
        <f aca="false">AK628/AK$329</f>
        <v>0.0477580372250423</v>
      </c>
      <c r="AL606" s="83" t="n">
        <f aca="false">AL628/(AL$329+AJ$329+AI$329+AH$329)</f>
        <v>0.0622283173336658</v>
      </c>
      <c r="AM606" s="83" t="n">
        <f aca="false">AM628/(AM$329+AL$329+AJ$329+AI$329)</f>
        <v>0.0837809731572486</v>
      </c>
      <c r="AN606" s="83" t="n">
        <f aca="false">AN628/(AN$329+AM$329+AL$329+AJ$329)</f>
        <v>0.134832277193186</v>
      </c>
      <c r="AO606" s="83" t="n">
        <f aca="false">AO628/(AO$329+AN$329+AM$329+AL$329)</f>
        <v>0.122366491397503</v>
      </c>
      <c r="AP606" s="567" t="n">
        <f aca="false">AP628/AP$329</f>
        <v>0.122366491397503</v>
      </c>
      <c r="AQ606" s="83" t="n">
        <f aca="false">AQ628/(AQ$329+AO$329+AN$329+AM$329)</f>
        <v>0.13951879661422</v>
      </c>
      <c r="AR606" s="83" t="n">
        <f aca="false">AR628/(AR$329+AQ$329+AO$329+AN$329)</f>
        <v>0.098660544820231</v>
      </c>
      <c r="AS606" s="83" t="n">
        <f aca="false">AS628/(AS$329+AR$329+AQ$329+AO$329)</f>
        <v>0.0663269871809213</v>
      </c>
      <c r="AT606" s="83" t="n">
        <f aca="false">AT628/(AT$329+AS$329+AR$329+AQ$329)</f>
        <v>0.0637042609209607</v>
      </c>
      <c r="AU606" s="567" t="n">
        <f aca="false">AU628/AU$329</f>
        <v>0.0637042609209607</v>
      </c>
      <c r="AV606" s="83" t="n">
        <f aca="false">AV628/(AV$329+AT$329+AS$329+AR$329)</f>
        <v>0.0712875741641594</v>
      </c>
      <c r="AW606" s="83" t="n">
        <f aca="false">AW628/(AW$329+AV$329+AT$329+AS$329)</f>
        <v>0.0642513990350045</v>
      </c>
      <c r="AX606" s="83" t="n">
        <f aca="false">AX628/(AX$329+AW$329+AV$329+AT$329)</f>
        <v>0.0709318356919833</v>
      </c>
      <c r="AY606" s="83" t="n">
        <f aca="false">AY628/(AY$329+AX$329+AW$329+AV$329)</f>
        <v>0.0640756798624689</v>
      </c>
      <c r="AZ606" s="567" t="n">
        <f aca="false">AZ628/AZ$329</f>
        <v>0.0640756798624689</v>
      </c>
      <c r="BA606" s="83" t="n">
        <f aca="false">BA628/(BA$329+AY$329+AX$329+AW$329)</f>
        <v>0.055328641963158</v>
      </c>
      <c r="BB606" s="83" t="n">
        <f aca="false">BB628/(BB$329+BA$329+AY$329+AX$329)</f>
        <v>0.0638434466488765</v>
      </c>
      <c r="BC606" s="83" t="n">
        <f aca="false">BC628/(BC$329+BB$329+BA$329+AY$329)</f>
        <v>0.0503967972128874</v>
      </c>
      <c r="BD606" s="83" t="n">
        <f aca="false">BD628/(BD$329+BC$329+BB$329+BA$329)</f>
        <v>0.050046265217628</v>
      </c>
      <c r="BE606" s="567" t="n">
        <f aca="false">BE628/BE$329</f>
        <v>0.050046265217628</v>
      </c>
      <c r="BF606" s="83" t="n">
        <f aca="false">BF628/(BF$329+BD$329+BC$329+BB$329)</f>
        <v>0.0552135252449018</v>
      </c>
      <c r="BG606" s="83" t="n">
        <f aca="false">BG628/(BG$329+BF$329+BD$329+BC$329)</f>
        <v>0.0383998616504473</v>
      </c>
      <c r="BH606" s="83" t="n">
        <f aca="false">BH628/(BH$329+BG$329+BF$329+BD$329)</f>
        <v>0.0244196195463676</v>
      </c>
      <c r="BI606" s="83" t="n">
        <f aca="false">BI628/(BI$329+BH$329+BG$329+BF$329)</f>
        <v>0.00292255925612729</v>
      </c>
      <c r="BJ606" s="567" t="n">
        <f aca="false">BJ628/BJ$329</f>
        <v>0.00292255925612729</v>
      </c>
      <c r="BK606" s="83" t="n">
        <f aca="false">BK628/(BK$329+BI$329+BH$329+BG$329)</f>
        <v>0.012427395618993</v>
      </c>
      <c r="BL606" s="83" t="n">
        <f aca="false">BL628/(BL$329+BK$329+BI$329+BH$329)</f>
        <v>0.0165126090917288</v>
      </c>
      <c r="BM606" s="83" t="n">
        <f aca="false">BM628/(BM$329+BL$329+BK$329+BI$329)</f>
        <v>0.0206817335154601</v>
      </c>
      <c r="BN606" s="83" t="n">
        <f aca="false">BN628/(BN$329+BM$329+BL$329+BK$329)</f>
        <v>0.0187802481380463</v>
      </c>
      <c r="BO606" s="568" t="n">
        <f aca="false">BO628/BO$329</f>
        <v>0.0187802481380463</v>
      </c>
      <c r="BP606" s="374" t="n">
        <f aca="false">BK606+BP615</f>
        <v>0.012427395618993</v>
      </c>
      <c r="BQ606" s="374" t="n">
        <f aca="false">BL606+BQ615</f>
        <v>0.0165126090917288</v>
      </c>
      <c r="BR606" s="374" t="n">
        <f aca="false">BM606+BR615</f>
        <v>0.0206817335154601</v>
      </c>
      <c r="BS606" s="374" t="n">
        <f aca="false">BN606+BS615</f>
        <v>0.0187802481380463</v>
      </c>
      <c r="BT606" s="434" t="n">
        <f aca="false">BT628/BT$329</f>
        <v>0.0187802481380463</v>
      </c>
      <c r="BU606" s="374" t="n">
        <f aca="false">BP606+BU615</f>
        <v>0.012427395618993</v>
      </c>
      <c r="BV606" s="374" t="n">
        <f aca="false">BQ606+BV615</f>
        <v>0.0165126090917288</v>
      </c>
      <c r="BW606" s="374" t="n">
        <f aca="false">BR606+BW615</f>
        <v>0.0206817335154601</v>
      </c>
      <c r="BX606" s="374" t="n">
        <f aca="false">BS606+BX615</f>
        <v>0.0187802481380463</v>
      </c>
      <c r="BY606" s="434" t="n">
        <f aca="false">BY628/BY$329</f>
        <v>0.0187802481380463</v>
      </c>
      <c r="BZ606" s="434" t="n">
        <f aca="false">BY606+BZ615</f>
        <v>0.0187802481380463</v>
      </c>
      <c r="CA606" s="434" t="n">
        <f aca="false">BZ606+CA615</f>
        <v>0.0187802481380463</v>
      </c>
      <c r="CB606" s="434" t="n">
        <f aca="false">CA606+CB615</f>
        <v>0.0187802481380463</v>
      </c>
      <c r="CC606" s="156"/>
    </row>
    <row r="607" s="157" customFormat="true" ht="15" hidden="false" customHeight="true" outlineLevel="0" collapsed="false">
      <c r="A607" s="388" t="s">
        <v>572</v>
      </c>
      <c r="B607" s="433"/>
      <c r="C607" s="567" t="n">
        <f aca="false">C631/C$329</f>
        <v>0.603598980741988</v>
      </c>
      <c r="D607" s="567" t="n">
        <f aca="false">D631/D$329</f>
        <v>0.332120805565649</v>
      </c>
      <c r="E607" s="567" t="n">
        <f aca="false">E631/E$329</f>
        <v>0.287491937317677</v>
      </c>
      <c r="F607" s="567" t="n">
        <f aca="false">F631/F$329</f>
        <v>0.392465056413801</v>
      </c>
      <c r="G607" s="567" t="n">
        <f aca="false">G631/G$329</f>
        <v>0.456219880327743</v>
      </c>
      <c r="H607" s="374"/>
      <c r="I607" s="374"/>
      <c r="J607" s="374"/>
      <c r="K607" s="374"/>
      <c r="L607" s="567" t="n">
        <f aca="false">L631/L$329</f>
        <v>0.435402389606912</v>
      </c>
      <c r="M607" s="83" t="n">
        <f aca="false">M631/(M$329+K$329+J$329+I$329)</f>
        <v>0.426780365648068</v>
      </c>
      <c r="N607" s="83" t="n">
        <f aca="false">N631/(N$329+M$329+K$329+J$329)</f>
        <v>0.423531910721872</v>
      </c>
      <c r="O607" s="83" t="n">
        <f aca="false">O631/(O$329+N$329+M$329+K$329)</f>
        <v>0.399703806402823</v>
      </c>
      <c r="P607" s="83" t="n">
        <f aca="false">P631/(P$329+O$329+N$329+M$329)</f>
        <v>0.409347265960492</v>
      </c>
      <c r="Q607" s="567" t="n">
        <f aca="false">Q631/Q$329</f>
        <v>0.409348893616175</v>
      </c>
      <c r="R607" s="83" t="n">
        <f aca="false">R631/(R$329+P$329+O$329+N$329)</f>
        <v>0.460582511263336</v>
      </c>
      <c r="S607" s="83" t="n">
        <f aca="false">S631/(S$329+R$329+P$329+O$329)</f>
        <v>0.448350450777715</v>
      </c>
      <c r="T607" s="83" t="n">
        <f aca="false">T631/(T$329+S$329+R$329+P$329)</f>
        <v>0.426616679321691</v>
      </c>
      <c r="U607" s="83" t="n">
        <f aca="false">U631/(U$329+T$329+S$329+R$329)</f>
        <v>0.409268852652028</v>
      </c>
      <c r="V607" s="567" t="n">
        <f aca="false">V631/V$329</f>
        <v>0.409268852652028</v>
      </c>
      <c r="W607" s="83" t="n">
        <f aca="false">W631/(W$329+U$329+T$329+S$329)</f>
        <v>0.404540052935775</v>
      </c>
      <c r="X607" s="83" t="n">
        <f aca="false">X631/(X$329+W$329+U$329+T$329)</f>
        <v>0.403875370155787</v>
      </c>
      <c r="Y607" s="83" t="n">
        <f aca="false">Y631/(Y$329+X$329+W$329+U$329)</f>
        <v>0.356972785066311</v>
      </c>
      <c r="Z607" s="83" t="n">
        <f aca="false">Z631/(Z$329+Y$329+X$329+W$329)</f>
        <v>0.326793920113114</v>
      </c>
      <c r="AA607" s="567" t="n">
        <f aca="false">AA631/AA$329</f>
        <v>0.326793920113114</v>
      </c>
      <c r="AB607" s="83" t="n">
        <f aca="false">AB631/(AB$329+Z$329+Y$329+X$329)</f>
        <v>0.343988844180452</v>
      </c>
      <c r="AC607" s="83" t="n">
        <f aca="false">AC631/(AC$329+AB$329+Z$329+Y$329)</f>
        <v>0.320685324721923</v>
      </c>
      <c r="AD607" s="83" t="n">
        <f aca="false">AD631/(AD$329+AC$329+AB$329+Z$329)</f>
        <v>0.328385720765497</v>
      </c>
      <c r="AE607" s="83" t="n">
        <f aca="false">AE631/(AE$329+AD$329+AC$329+AB$329)</f>
        <v>0.314281798245614</v>
      </c>
      <c r="AF607" s="567" t="n">
        <f aca="false">AF631/AF$329</f>
        <v>0.314281798245614</v>
      </c>
      <c r="AG607" s="83" t="n">
        <f aca="false">AG631/(AG$329+AE$329+AD$329+AC$329)</f>
        <v>0.345771989603328</v>
      </c>
      <c r="AH607" s="83" t="n">
        <f aca="false">AH631/(AH$329+AG$329+AE$329+AD$329)</f>
        <v>0.365271193400276</v>
      </c>
      <c r="AI607" s="83" t="n">
        <f aca="false">AI631/(AI$329+AH$329+AG$329+AE$329)</f>
        <v>0.356489108548417</v>
      </c>
      <c r="AJ607" s="83" t="n">
        <f aca="false">AJ631/(AJ$329+AI$329+AH$329+AG$329)</f>
        <v>0.322267343485618</v>
      </c>
      <c r="AK607" s="567" t="n">
        <f aca="false">AK631/AK$329</f>
        <v>0.322267343485618</v>
      </c>
      <c r="AL607" s="83" t="n">
        <f aca="false">AL631/(AL$329+AJ$329+AI$329+AH$329)</f>
        <v>0.36116028757844</v>
      </c>
      <c r="AM607" s="83" t="n">
        <f aca="false">AM631/(AM$329+AL$329+AJ$329+AI$329)</f>
        <v>0.366368761386472</v>
      </c>
      <c r="AN607" s="83" t="n">
        <f aca="false">AN631/(AN$329+AM$329+AL$329+AJ$329)</f>
        <v>0.33527847218185</v>
      </c>
      <c r="AO607" s="83" t="n">
        <f aca="false">AO631/(AO$329+AN$329+AM$329+AL$329)</f>
        <v>0.3268877204278</v>
      </c>
      <c r="AP607" s="567" t="n">
        <f aca="false">AP631/AP$329</f>
        <v>0.3268877204278</v>
      </c>
      <c r="AQ607" s="83" t="n">
        <f aca="false">AQ631/(AQ$329+AO$329+AN$329+AM$329)</f>
        <v>0.298588838999359</v>
      </c>
      <c r="AR607" s="83" t="n">
        <f aca="false">AR631/(AR$329+AQ$329+AO$329+AN$329)</f>
        <v>0.306471924465092</v>
      </c>
      <c r="AS607" s="83" t="n">
        <f aca="false">AS631/(AS$329+AR$329+AQ$329+AO$329)</f>
        <v>0.276527439092597</v>
      </c>
      <c r="AT607" s="83" t="n">
        <f aca="false">AT631/(AT$329+AS$329+AR$329+AQ$329)</f>
        <v>0.27828703454946</v>
      </c>
      <c r="AU607" s="567" t="n">
        <f aca="false">AU631/AU$329</f>
        <v>0.27828703454946</v>
      </c>
      <c r="AV607" s="83" t="n">
        <f aca="false">AV631/(AV$329+AT$329+AS$329+AR$329)</f>
        <v>0.34156286027613</v>
      </c>
      <c r="AW607" s="83" t="n">
        <f aca="false">AW631/(AW$329+AV$329+AT$329+AS$329)</f>
        <v>0.331761481466043</v>
      </c>
      <c r="AX607" s="83" t="n">
        <f aca="false">AX631/(AX$329+AW$329+AV$329+AT$329)</f>
        <v>0.348931511293135</v>
      </c>
      <c r="AY607" s="83" t="n">
        <f aca="false">AY631/(AY$329+AX$329+AW$329+AV$329)</f>
        <v>0.340035138428405</v>
      </c>
      <c r="AZ607" s="567" t="n">
        <f aca="false">AZ631/AZ$329</f>
        <v>0.340035138428405</v>
      </c>
      <c r="BA607" s="83" t="n">
        <f aca="false">BA631/(BA$329+AY$329+AX$329+AW$329)</f>
        <v>0.303134688253531</v>
      </c>
      <c r="BB607" s="83" t="n">
        <f aca="false">BB631/(BB$329+BA$329+AY$329+AX$329)</f>
        <v>0.299122094597208</v>
      </c>
      <c r="BC607" s="83" t="n">
        <f aca="false">BC631/(BC$329+BB$329+BA$329+AY$329)</f>
        <v>0.313195049286587</v>
      </c>
      <c r="BD607" s="83" t="n">
        <f aca="false">BD631/(BD$329+BC$329+BB$329+BA$329)</f>
        <v>0.321160440517445</v>
      </c>
      <c r="BE607" s="567" t="n">
        <f aca="false">BE631/BE$329</f>
        <v>0.321160440517445</v>
      </c>
      <c r="BF607" s="83" t="n">
        <f aca="false">BF631/(BF$329+BD$329+BC$329+BB$329)</f>
        <v>0.377916888550051</v>
      </c>
      <c r="BG607" s="83" t="n">
        <f aca="false">BG631/(BG$329+BF$329+BD$329+BC$329)</f>
        <v>0.431253635606144</v>
      </c>
      <c r="BH607" s="83" t="n">
        <f aca="false">BH631/(BH$329+BG$329+BF$329+BD$329)</f>
        <v>0.435051892167961</v>
      </c>
      <c r="BI607" s="83" t="n">
        <f aca="false">BI631/(BI$329+BH$329+BG$329+BF$329)</f>
        <v>0.385363851550973</v>
      </c>
      <c r="BJ607" s="567" t="n">
        <f aca="false">BJ631/BJ$329</f>
        <v>0.385363851550973</v>
      </c>
      <c r="BK607" s="83" t="n">
        <f aca="false">BK631/(BK$329+BI$329+BH$329+BG$329)</f>
        <v>0.358942385330659</v>
      </c>
      <c r="BL607" s="83" t="n">
        <f aca="false">BL631/(BL$329+BK$329+BI$329+BH$329)</f>
        <v>0.359907099084982</v>
      </c>
      <c r="BM607" s="83" t="n">
        <f aca="false">BM631/(BM$329+BL$329+BK$329+BI$329)</f>
        <v>0.365168260275674</v>
      </c>
      <c r="BN607" s="83" t="n">
        <f aca="false">BN631/(BN$329+BM$329+BL$329+BK$329)</f>
        <v>0.349869747423264</v>
      </c>
      <c r="BO607" s="568" t="n">
        <f aca="false">BO631/BO$329</f>
        <v>0.349869747423264</v>
      </c>
      <c r="BP607" s="374" t="n">
        <f aca="false">BK607+BP616</f>
        <v>0.358942385330659</v>
      </c>
      <c r="BQ607" s="374" t="n">
        <f aca="false">BL607+BQ616</f>
        <v>0.359907099084982</v>
      </c>
      <c r="BR607" s="374" t="n">
        <f aca="false">BM607+BR616</f>
        <v>0.365168260275674</v>
      </c>
      <c r="BS607" s="374" t="n">
        <f aca="false">BN607+BS616</f>
        <v>0.349869747423264</v>
      </c>
      <c r="BT607" s="434" t="n">
        <f aca="false">BT631/BT$329</f>
        <v>0.349869747423264</v>
      </c>
      <c r="BU607" s="374" t="n">
        <f aca="false">BP607+BU616</f>
        <v>0.358942385330659</v>
      </c>
      <c r="BV607" s="374" t="n">
        <f aca="false">BQ607+BV616</f>
        <v>0.359907099084982</v>
      </c>
      <c r="BW607" s="374" t="n">
        <f aca="false">BR607+BW616</f>
        <v>0.365168260275674</v>
      </c>
      <c r="BX607" s="374" t="n">
        <f aca="false">BS607+BX616</f>
        <v>0.349869747423264</v>
      </c>
      <c r="BY607" s="434" t="n">
        <f aca="false">BY631/BY$329</f>
        <v>0.349869747423264</v>
      </c>
      <c r="BZ607" s="434" t="n">
        <f aca="false">BY607+BZ616</f>
        <v>0.349869747423264</v>
      </c>
      <c r="CA607" s="434" t="n">
        <f aca="false">BZ607+CA616</f>
        <v>0.349869747423264</v>
      </c>
      <c r="CB607" s="434" t="n">
        <f aca="false">CA607+CB616</f>
        <v>0.349869747423264</v>
      </c>
      <c r="CC607" s="156"/>
    </row>
    <row r="608" s="157" customFormat="true" ht="15" hidden="false" customHeight="true" outlineLevel="0" collapsed="false">
      <c r="A608" s="388" t="s">
        <v>573</v>
      </c>
      <c r="B608" s="433"/>
      <c r="C608" s="567" t="n">
        <f aca="false">C634/C$329</f>
        <v>0.137053487237033</v>
      </c>
      <c r="D608" s="567" t="n">
        <f aca="false">D634/D$329</f>
        <v>0.0475077518812371</v>
      </c>
      <c r="E608" s="567" t="n">
        <f aca="false">E634/E$329</f>
        <v>0.0421329897974442</v>
      </c>
      <c r="F608" s="567" t="n">
        <f aca="false">F634/F$329</f>
        <v>0.0519924210962358</v>
      </c>
      <c r="G608" s="567" t="n">
        <f aca="false">G634/G$329</f>
        <v>0.064137290990112</v>
      </c>
      <c r="H608" s="374"/>
      <c r="I608" s="374"/>
      <c r="J608" s="374"/>
      <c r="K608" s="374"/>
      <c r="L608" s="567" t="n">
        <f aca="false">L634/L$329</f>
        <v>0.0666107494573771</v>
      </c>
      <c r="M608" s="83" t="n">
        <f aca="false">M634/(M$329+K$329+J$329+I$329)</f>
        <v>0.074700885477192</v>
      </c>
      <c r="N608" s="83" t="n">
        <f aca="false">N634/(N$329+M$329+K$329+J$329)</f>
        <v>0.0712068233064279</v>
      </c>
      <c r="O608" s="83" t="n">
        <f aca="false">O634/(O$329+N$329+M$329+K$329)</f>
        <v>0.0655564658432065</v>
      </c>
      <c r="P608" s="83" t="n">
        <f aca="false">P634/(P$329+O$329+N$329+M$329)</f>
        <v>0.0777466043197506</v>
      </c>
      <c r="Q608" s="567" t="n">
        <f aca="false">Q634/Q$329</f>
        <v>0.077746913457524</v>
      </c>
      <c r="R608" s="83" t="n">
        <f aca="false">R634/(R$329+P$329+O$329+N$329)</f>
        <v>0.0840939923292077</v>
      </c>
      <c r="S608" s="83" t="n">
        <f aca="false">S634/(S$329+R$329+P$329+O$329)</f>
        <v>0.0833360853340378</v>
      </c>
      <c r="T608" s="83" t="n">
        <f aca="false">T634/(T$329+S$329+R$329+P$329)</f>
        <v>0.0854846874209061</v>
      </c>
      <c r="U608" s="83" t="n">
        <f aca="false">U634/(U$329+T$329+S$329+R$329)</f>
        <v>0.082474833696356</v>
      </c>
      <c r="V608" s="567" t="n">
        <f aca="false">V634/V$329</f>
        <v>0.082474833696356</v>
      </c>
      <c r="W608" s="83" t="n">
        <f aca="false">W634/(W$329+U$329+T$329+S$329)</f>
        <v>0.0796197266785502</v>
      </c>
      <c r="X608" s="83" t="n">
        <f aca="false">X634/(X$329+W$329+U$329+T$329)</f>
        <v>0.0926483841895198</v>
      </c>
      <c r="Y608" s="83" t="n">
        <f aca="false">Y634/(Y$329+X$329+W$329+U$329)</f>
        <v>0.0883116264672968</v>
      </c>
      <c r="Z608" s="83" t="n">
        <f aca="false">Z634/(Z$329+Y$329+X$329+W$329)</f>
        <v>0.0958046129374337</v>
      </c>
      <c r="AA608" s="567" t="n">
        <f aca="false">AA634/AA$329</f>
        <v>0.0958046129374337</v>
      </c>
      <c r="AB608" s="83" t="n">
        <f aca="false">AB634/(AB$329+Z$329+Y$329+X$329)</f>
        <v>0.0671691043409764</v>
      </c>
      <c r="AC608" s="83" t="n">
        <f aca="false">AC634/(AC$329+AB$329+Z$329+Y$329)</f>
        <v>0.0698281704740262</v>
      </c>
      <c r="AD608" s="83" t="n">
        <f aca="false">AD634/(AD$329+AC$329+AB$329+Z$329)</f>
        <v>0.0629807274727608</v>
      </c>
      <c r="AE608" s="83" t="n">
        <f aca="false">AE634/(AE$329+AD$329+AC$329+AB$329)</f>
        <v>0.0705957602339181</v>
      </c>
      <c r="AF608" s="567" t="n">
        <f aca="false">AF634/AF$329</f>
        <v>0.0705957602339181</v>
      </c>
      <c r="AG608" s="83" t="n">
        <f aca="false">AG634/(AG$329+AE$329+AD$329+AC$329)</f>
        <v>0.0694060488055767</v>
      </c>
      <c r="AH608" s="83" t="n">
        <f aca="false">AH634/(AH$329+AG$329+AE$329+AD$329)</f>
        <v>0.0818899548322073</v>
      </c>
      <c r="AI608" s="83" t="n">
        <f aca="false">AI634/(AI$329+AH$329+AG$329+AE$329)</f>
        <v>0.0747025443895296</v>
      </c>
      <c r="AJ608" s="83" t="n">
        <f aca="false">AJ634/(AJ$329+AI$329+AH$329+AG$329)</f>
        <v>0.0713028764805414</v>
      </c>
      <c r="AK608" s="567" t="n">
        <f aca="false">AK634/AK$329</f>
        <v>0.0713028764805415</v>
      </c>
      <c r="AL608" s="83" t="n">
        <f aca="false">AL634/(AL$329+AJ$329+AI$329+AH$329)</f>
        <v>0.0752857083489174</v>
      </c>
      <c r="AM608" s="83" t="n">
        <f aca="false">AM634/(AM$329+AL$329+AJ$329+AI$329)</f>
        <v>0.0706449922982493</v>
      </c>
      <c r="AN608" s="83" t="n">
        <f aca="false">AN634/(AN$329+AM$329+AL$329+AJ$329)</f>
        <v>0.0561522585896169</v>
      </c>
      <c r="AO608" s="83" t="n">
        <f aca="false">AO634/(AO$329+AN$329+AM$329+AL$329)</f>
        <v>0.0573523625567836</v>
      </c>
      <c r="AP608" s="567" t="n">
        <f aca="false">AP634/AP$329</f>
        <v>0.0573523625567836</v>
      </c>
      <c r="AQ608" s="83" t="n">
        <f aca="false">AQ634/(AQ$329+AO$329+AN$329+AM$329)</f>
        <v>0.0575846759486348</v>
      </c>
      <c r="AR608" s="83" t="n">
        <f aca="false">AR634/(AR$329+AQ$329+AO$329+AN$329)</f>
        <v>0.0556087802703012</v>
      </c>
      <c r="AS608" s="83" t="n">
        <f aca="false">AS634/(AS$329+AR$329+AQ$329+AO$329)</f>
        <v>0.0556500145417123</v>
      </c>
      <c r="AT608" s="83" t="n">
        <f aca="false">AT634/(AT$329+AS$329+AR$329+AQ$329)</f>
        <v>0.0537585299016711</v>
      </c>
      <c r="AU608" s="567" t="n">
        <f aca="false">AU634/AU$329</f>
        <v>0.0537585299016711</v>
      </c>
      <c r="AV608" s="83" t="n">
        <f aca="false">AV634/(AV$329+AT$329+AS$329+AR$329)</f>
        <v>0.0825689621235554</v>
      </c>
      <c r="AW608" s="83" t="n">
        <f aca="false">AW634/(AW$329+AV$329+AT$329+AS$329)</f>
        <v>0.0796225471295032</v>
      </c>
      <c r="AX608" s="83" t="n">
        <f aca="false">AX634/(AX$329+AW$329+AV$329+AT$329)</f>
        <v>0.0840142329994729</v>
      </c>
      <c r="AY608" s="83" t="n">
        <f aca="false">AY634/(AY$329+AX$329+AW$329+AV$329)</f>
        <v>0.0776162543568817</v>
      </c>
      <c r="AZ608" s="567" t="n">
        <f aca="false">AZ634/AZ$329</f>
        <v>0.0776162543568817</v>
      </c>
      <c r="BA608" s="83" t="n">
        <f aca="false">BA634/(BA$329+AY$329+AX$329+AW$329)</f>
        <v>0.0706330069058281</v>
      </c>
      <c r="BB608" s="83" t="n">
        <f aca="false">BB634/(BB$329+BA$329+AY$329+AX$329)</f>
        <v>0.0740727849325134</v>
      </c>
      <c r="BC608" s="83" t="n">
        <f aca="false">BC634/(BC$329+BB$329+BA$329+AY$329)</f>
        <v>0.0716515212117361</v>
      </c>
      <c r="BD608" s="83" t="n">
        <f aca="false">BD634/(BD$329+BC$329+BB$329+BA$329)</f>
        <v>0.0572781537456683</v>
      </c>
      <c r="BE608" s="567" t="n">
        <f aca="false">BE634/BE$329</f>
        <v>0.0572781537456683</v>
      </c>
      <c r="BF608" s="83" t="n">
        <f aca="false">BF634/(BF$329+BD$329+BC$329+BB$329)</f>
        <v>0.0724265677737211</v>
      </c>
      <c r="BG608" s="83" t="n">
        <f aca="false">BG634/(BG$329+BF$329+BD$329+BC$329)</f>
        <v>0.0742606945776408</v>
      </c>
      <c r="BH608" s="83" t="n">
        <f aca="false">BH634/(BH$329+BG$329+BF$329+BD$329)</f>
        <v>0.068060113350942</v>
      </c>
      <c r="BI608" s="83" t="n">
        <f aca="false">BI634/(BI$329+BH$329+BG$329+BF$329)</f>
        <v>0.0686518368603363</v>
      </c>
      <c r="BJ608" s="567" t="n">
        <f aca="false">BJ634/BJ$329</f>
        <v>0.0686518368603363</v>
      </c>
      <c r="BK608" s="83" t="n">
        <f aca="false">BK634/(BK$329+BI$329+BH$329+BG$329)</f>
        <v>0.060186752793478</v>
      </c>
      <c r="BL608" s="83" t="n">
        <f aca="false">BL634/(BL$329+BK$329+BI$329+BH$329)</f>
        <v>0.0611317868502299</v>
      </c>
      <c r="BM608" s="83" t="n">
        <f aca="false">BM634/(BM$329+BL$329+BK$329+BI$329)</f>
        <v>0.0488979262386688</v>
      </c>
      <c r="BN608" s="83" t="n">
        <f aca="false">BN634/(BN$329+BM$329+BL$329+BK$329)</f>
        <v>0.0438603741356035</v>
      </c>
      <c r="BO608" s="568" t="n">
        <f aca="false">BO634/BO$329</f>
        <v>0.0438603741356035</v>
      </c>
      <c r="BP608" s="374" t="n">
        <f aca="false">BK608+BP617</f>
        <v>0.060186752793478</v>
      </c>
      <c r="BQ608" s="374" t="n">
        <f aca="false">BL608+BQ617</f>
        <v>0.0611317868502299</v>
      </c>
      <c r="BR608" s="374" t="n">
        <f aca="false">BM608+BR617</f>
        <v>0.0488979262386688</v>
      </c>
      <c r="BS608" s="374" t="n">
        <f aca="false">BN608+BS617</f>
        <v>0.0438603741356035</v>
      </c>
      <c r="BT608" s="434" t="n">
        <f aca="false">BT634/BT$329</f>
        <v>0.0438603741356035</v>
      </c>
      <c r="BU608" s="374" t="n">
        <f aca="false">BP608+BU617</f>
        <v>0.060186752793478</v>
      </c>
      <c r="BV608" s="374" t="n">
        <f aca="false">BQ608+BV617</f>
        <v>0.0611317868502299</v>
      </c>
      <c r="BW608" s="374" t="n">
        <f aca="false">BR608+BW617</f>
        <v>0.0488979262386688</v>
      </c>
      <c r="BX608" s="374" t="n">
        <f aca="false">BS608+BX617</f>
        <v>0.0438603741356035</v>
      </c>
      <c r="BY608" s="434" t="n">
        <f aca="false">BY634/BY$329</f>
        <v>0.0438603741356035</v>
      </c>
      <c r="BZ608" s="434" t="n">
        <f aca="false">BY608+BZ617</f>
        <v>0.0438603741356035</v>
      </c>
      <c r="CA608" s="434" t="n">
        <f aca="false">BZ608+CA617</f>
        <v>0.0438603741356035</v>
      </c>
      <c r="CB608" s="434" t="n">
        <f aca="false">CA608+CB617</f>
        <v>0.0438603741356035</v>
      </c>
      <c r="CC608" s="156"/>
    </row>
    <row r="609" s="157" customFormat="true" ht="15" hidden="false" customHeight="true" outlineLevel="0" collapsed="false">
      <c r="A609" s="252" t="s">
        <v>574</v>
      </c>
      <c r="B609" s="266"/>
      <c r="C609" s="434" t="n">
        <f aca="false">C657/C329</f>
        <v>0.51211073748342</v>
      </c>
      <c r="D609" s="434" t="n">
        <f aca="false">D657/D329</f>
        <v>0.336905476517201</v>
      </c>
      <c r="E609" s="434" t="n">
        <f aca="false">E657/E329</f>
        <v>0.312977534203911</v>
      </c>
      <c r="F609" s="434" t="n">
        <f aca="false">F657/F329</f>
        <v>0.397410576438401</v>
      </c>
      <c r="G609" s="434" t="n">
        <f aca="false">G657/G329</f>
        <v>0.422639508011514</v>
      </c>
      <c r="H609" s="374"/>
      <c r="I609" s="374"/>
      <c r="J609" s="374"/>
      <c r="K609" s="374"/>
      <c r="L609" s="434" t="n">
        <f aca="false">L657/L329</f>
        <v>0.400902996904006</v>
      </c>
      <c r="M609" s="374"/>
      <c r="N609" s="374"/>
      <c r="O609" s="374"/>
      <c r="P609" s="374"/>
      <c r="Q609" s="434" t="n">
        <f aca="false">Q657/Q329</f>
        <v>0.408213761705004</v>
      </c>
      <c r="R609" s="374"/>
      <c r="S609" s="374"/>
      <c r="T609" s="374"/>
      <c r="U609" s="374"/>
      <c r="V609" s="434" t="n">
        <f aca="false">V657/V329</f>
        <v>0.329075175133926</v>
      </c>
      <c r="W609" s="374"/>
      <c r="X609" s="374"/>
      <c r="Y609" s="374"/>
      <c r="Z609" s="374"/>
      <c r="AA609" s="434" t="n">
        <f aca="false">AA657/AA329</f>
        <v>0.257091728525981</v>
      </c>
      <c r="AB609" s="374"/>
      <c r="AC609" s="374"/>
      <c r="AD609" s="374"/>
      <c r="AE609" s="374"/>
      <c r="AF609" s="434" t="n">
        <f aca="false">AF657/AF329</f>
        <v>0.0832785087719298</v>
      </c>
      <c r="AG609" s="374"/>
      <c r="AH609" s="374"/>
      <c r="AI609" s="374"/>
      <c r="AJ609" s="374"/>
      <c r="AK609" s="434" t="n">
        <f aca="false">AK657/AK329</f>
        <v>0.0879780033840948</v>
      </c>
      <c r="AL609" s="374"/>
      <c r="AM609" s="374"/>
      <c r="AN609" s="374"/>
      <c r="AO609" s="374"/>
      <c r="AP609" s="434" t="n">
        <f aca="false">AP657/AP329</f>
        <v>0.0819830453911364</v>
      </c>
      <c r="AQ609" s="374"/>
      <c r="AR609" s="374"/>
      <c r="AS609" s="374"/>
      <c r="AT609" s="374"/>
      <c r="AU609" s="434" t="n">
        <f aca="false">AU657/AU329</f>
        <v>0.0771318037719628</v>
      </c>
      <c r="AV609" s="374"/>
      <c r="AW609" s="374"/>
      <c r="AX609" s="374"/>
      <c r="AY609" s="374"/>
      <c r="AZ609" s="434" t="n">
        <f aca="false">AZ657/AZ329</f>
        <v>0.0885970132335855</v>
      </c>
      <c r="BA609" s="374"/>
      <c r="BB609" s="374"/>
      <c r="BC609" s="374"/>
      <c r="BD609" s="374"/>
      <c r="BE609" s="434" t="n">
        <f aca="false">BE657/BE329</f>
        <v>0.0790101057749878</v>
      </c>
      <c r="BF609" s="374"/>
      <c r="BG609" s="374"/>
      <c r="BH609" s="374"/>
      <c r="BI609" s="374" t="n">
        <f aca="false">BJ609</f>
        <v>0.0950574781781063</v>
      </c>
      <c r="BJ609" s="567" t="n">
        <f aca="false">BJ657/BJ329</f>
        <v>0.0950574781781063</v>
      </c>
      <c r="BK609" s="374"/>
      <c r="BL609" s="374"/>
      <c r="BM609" s="374"/>
      <c r="BN609" s="374" t="n">
        <f aca="false">BO609</f>
        <v>0.095</v>
      </c>
      <c r="BO609" s="569" t="n">
        <v>0.095</v>
      </c>
      <c r="BP609" s="436" t="n">
        <v>0.089</v>
      </c>
      <c r="BQ609" s="436" t="n">
        <v>0.089</v>
      </c>
      <c r="BR609" s="436" t="n">
        <v>0.089</v>
      </c>
      <c r="BS609" s="374" t="n">
        <f aca="false">BN609+BS618</f>
        <v>0.095</v>
      </c>
      <c r="BT609" s="434" t="n">
        <f aca="false">BT657/BT$329</f>
        <v>0.095</v>
      </c>
      <c r="BU609" s="436" t="n">
        <v>0.089</v>
      </c>
      <c r="BV609" s="436" t="n">
        <v>0.089</v>
      </c>
      <c r="BW609" s="436" t="n">
        <v>0.089</v>
      </c>
      <c r="BX609" s="374" t="n">
        <f aca="false">BS609+BX618</f>
        <v>0.095</v>
      </c>
      <c r="BY609" s="434" t="n">
        <f aca="false">BY657/BY$329</f>
        <v>0.095</v>
      </c>
      <c r="BZ609" s="434" t="n">
        <f aca="false">BY609+BZ618</f>
        <v>0.095</v>
      </c>
      <c r="CA609" s="434" t="n">
        <f aca="false">BZ609+CA618</f>
        <v>0.095</v>
      </c>
      <c r="CB609" s="434" t="n">
        <f aca="false">CA609+CB618</f>
        <v>0.095</v>
      </c>
      <c r="CC609" s="156"/>
    </row>
    <row r="610" s="157" customFormat="true" ht="15" hidden="false" customHeight="true" outlineLevel="0" collapsed="false">
      <c r="A610" s="252" t="s">
        <v>575</v>
      </c>
      <c r="B610" s="266"/>
      <c r="C610" s="434" t="n">
        <f aca="false">C656/C329</f>
        <v>0.129209185351706</v>
      </c>
      <c r="D610" s="434" t="n">
        <f aca="false">D656/D329</f>
        <v>0.123204223305644</v>
      </c>
      <c r="E610" s="434" t="n">
        <f aca="false">E656/E329</f>
        <v>0.0786172798434269</v>
      </c>
      <c r="F610" s="434" t="n">
        <f aca="false">F656/F329</f>
        <v>0.039936342280709</v>
      </c>
      <c r="G610" s="434" t="n">
        <f aca="false">G656/G329</f>
        <v>0.11931956183467</v>
      </c>
      <c r="H610" s="374"/>
      <c r="I610" s="374"/>
      <c r="J610" s="374"/>
      <c r="K610" s="374"/>
      <c r="L610" s="434" t="n">
        <f aca="false">L656/L329</f>
        <v>0.084735745935515</v>
      </c>
      <c r="M610" s="374"/>
      <c r="N610" s="374"/>
      <c r="O610" s="374"/>
      <c r="P610" s="374"/>
      <c r="Q610" s="434" t="n">
        <f aca="false">Q656/Q329</f>
        <v>0.0839609534980815</v>
      </c>
      <c r="R610" s="374"/>
      <c r="S610" s="374"/>
      <c r="T610" s="374"/>
      <c r="U610" s="374"/>
      <c r="V610" s="434" t="n">
        <f aca="false">V656/V329</f>
        <v>0.0873020545122741</v>
      </c>
      <c r="W610" s="374"/>
      <c r="X610" s="374"/>
      <c r="Y610" s="374"/>
      <c r="Z610" s="374"/>
      <c r="AA610" s="434" t="n">
        <f aca="false">AA656/AA329</f>
        <v>0.0924907211028632</v>
      </c>
      <c r="AB610" s="374"/>
      <c r="AC610" s="374"/>
      <c r="AD610" s="374"/>
      <c r="AE610" s="374"/>
      <c r="AF610" s="434" t="n">
        <f aca="false">AF656/AF329</f>
        <v>0.0880847953216374</v>
      </c>
      <c r="AG610" s="374"/>
      <c r="AH610" s="374"/>
      <c r="AI610" s="374"/>
      <c r="AJ610" s="374"/>
      <c r="AK610" s="434" t="n">
        <f aca="false">AK656/AK329</f>
        <v>0.0898646362098139</v>
      </c>
      <c r="AL610" s="374"/>
      <c r="AM610" s="374"/>
      <c r="AN610" s="374"/>
      <c r="AO610" s="374"/>
      <c r="AP610" s="434" t="n">
        <f aca="false">AP656/AP329</f>
        <v>0.0985728082412276</v>
      </c>
      <c r="AQ610" s="374"/>
      <c r="AR610" s="374"/>
      <c r="AS610" s="374"/>
      <c r="AT610" s="374"/>
      <c r="AU610" s="434" t="n">
        <f aca="false">AU656/AU329</f>
        <v>0.113712320670571</v>
      </c>
      <c r="AV610" s="374"/>
      <c r="AW610" s="374"/>
      <c r="AX610" s="374"/>
      <c r="AY610" s="374"/>
      <c r="AZ610" s="434" t="n">
        <f aca="false">AZ656/AZ329</f>
        <v>0.12115201148611</v>
      </c>
      <c r="BA610" s="374"/>
      <c r="BB610" s="374"/>
      <c r="BC610" s="374"/>
      <c r="BD610" s="374"/>
      <c r="BE610" s="434" t="n">
        <f aca="false">BE656/BE329</f>
        <v>0.0851751728141953</v>
      </c>
      <c r="BF610" s="374"/>
      <c r="BG610" s="374"/>
      <c r="BH610" s="374"/>
      <c r="BI610" s="374" t="n">
        <f aca="false">BJ610</f>
        <v>0.123851409444891</v>
      </c>
      <c r="BJ610" s="567" t="n">
        <f aca="false">BJ656/BJ329</f>
        <v>0.123851409444891</v>
      </c>
      <c r="BK610" s="374"/>
      <c r="BL610" s="374"/>
      <c r="BM610" s="374"/>
      <c r="BN610" s="374" t="n">
        <f aca="false">BO610</f>
        <v>0.125</v>
      </c>
      <c r="BO610" s="569" t="n">
        <v>0.125</v>
      </c>
      <c r="BP610" s="436" t="n">
        <v>0.121</v>
      </c>
      <c r="BQ610" s="436" t="n">
        <v>0.121</v>
      </c>
      <c r="BR610" s="436" t="n">
        <v>0.121</v>
      </c>
      <c r="BS610" s="374" t="n">
        <f aca="false">BN610+BS619</f>
        <v>0.125</v>
      </c>
      <c r="BT610" s="434" t="n">
        <f aca="false">BT656/BT329</f>
        <v>0.125</v>
      </c>
      <c r="BU610" s="436" t="n">
        <v>0.121</v>
      </c>
      <c r="BV610" s="436" t="n">
        <v>0.121</v>
      </c>
      <c r="BW610" s="436" t="n">
        <v>0.121</v>
      </c>
      <c r="BX610" s="374" t="n">
        <f aca="false">BS610+BX619</f>
        <v>0.125</v>
      </c>
      <c r="BY610" s="434" t="n">
        <f aca="false">BY656/BY329</f>
        <v>0.125</v>
      </c>
      <c r="BZ610" s="434" t="n">
        <f aca="false">BY610+BZ619</f>
        <v>0.125</v>
      </c>
      <c r="CA610" s="434" t="n">
        <f aca="false">BZ610+CA619</f>
        <v>0.125</v>
      </c>
      <c r="CB610" s="434" t="n">
        <f aca="false">CA610+CB619</f>
        <v>0.125</v>
      </c>
      <c r="CC610" s="156"/>
    </row>
    <row r="611" s="157" customFormat="true" ht="15" hidden="false" customHeight="true" outlineLevel="0" collapsed="false">
      <c r="A611" s="252" t="s">
        <v>576</v>
      </c>
      <c r="B611" s="266"/>
      <c r="C611" s="434"/>
      <c r="D611" s="434"/>
      <c r="E611" s="434"/>
      <c r="F611" s="434"/>
      <c r="G611" s="434"/>
      <c r="H611" s="374"/>
      <c r="I611" s="374"/>
      <c r="J611" s="374"/>
      <c r="K611" s="374"/>
      <c r="L611" s="434"/>
      <c r="M611" s="374"/>
      <c r="N611" s="374"/>
      <c r="O611" s="374"/>
      <c r="P611" s="374"/>
      <c r="Q611" s="434"/>
      <c r="R611" s="374"/>
      <c r="S611" s="374"/>
      <c r="T611" s="374"/>
      <c r="U611" s="374"/>
      <c r="V611" s="434"/>
      <c r="W611" s="374"/>
      <c r="X611" s="374"/>
      <c r="Y611" s="374"/>
      <c r="Z611" s="374"/>
      <c r="AA611" s="434"/>
      <c r="AB611" s="374"/>
      <c r="AC611" s="374"/>
      <c r="AD611" s="374"/>
      <c r="AE611" s="374"/>
      <c r="AF611" s="434" t="n">
        <f aca="false">AF660/AF329</f>
        <v>0.157949561403509</v>
      </c>
      <c r="AG611" s="374"/>
      <c r="AH611" s="374"/>
      <c r="AI611" s="374"/>
      <c r="AJ611" s="374"/>
      <c r="AK611" s="434" t="n">
        <f aca="false">AK660/AK329</f>
        <v>0.213739424703892</v>
      </c>
      <c r="AL611" s="374"/>
      <c r="AM611" s="374"/>
      <c r="AN611" s="374"/>
      <c r="AO611" s="374"/>
      <c r="AP611" s="434" t="n">
        <f aca="false">AP660/AP329</f>
        <v>0.282877275816432</v>
      </c>
      <c r="AQ611" s="374"/>
      <c r="AR611" s="374"/>
      <c r="AS611" s="374"/>
      <c r="AT611" s="374"/>
      <c r="AU611" s="434" t="n">
        <f aca="false">AU660/AU329</f>
        <v>0.426371500725377</v>
      </c>
      <c r="AV611" s="374"/>
      <c r="AW611" s="374"/>
      <c r="AX611" s="374"/>
      <c r="AY611" s="374"/>
      <c r="AZ611" s="434" t="n">
        <f aca="false">AZ660/AZ329</f>
        <v>0.589466028129634</v>
      </c>
      <c r="BA611" s="374"/>
      <c r="BB611" s="374"/>
      <c r="BC611" s="374"/>
      <c r="BD611" s="374"/>
      <c r="BE611" s="434" t="n">
        <f aca="false">BE660/BE329</f>
        <v>0.41515321951485</v>
      </c>
      <c r="BF611" s="374"/>
      <c r="BG611" s="374"/>
      <c r="BH611" s="374"/>
      <c r="BI611" s="374" t="n">
        <f aca="false">BJ611</f>
        <v>0.44478096727512</v>
      </c>
      <c r="BJ611" s="567" t="n">
        <f aca="false">BJ660/BJ329</f>
        <v>0.44478096727512</v>
      </c>
      <c r="BK611" s="374"/>
      <c r="BL611" s="374"/>
      <c r="BM611" s="374"/>
      <c r="BN611" s="374" t="n">
        <f aca="false">BO611</f>
        <v>0.45</v>
      </c>
      <c r="BO611" s="569" t="n">
        <v>0.45</v>
      </c>
      <c r="BP611" s="436" t="n">
        <v>0.589</v>
      </c>
      <c r="BQ611" s="436" t="n">
        <v>0.589</v>
      </c>
      <c r="BR611" s="436" t="n">
        <v>0.589</v>
      </c>
      <c r="BS611" s="374" t="n">
        <f aca="false">BN611+BS620</f>
        <v>0.45</v>
      </c>
      <c r="BT611" s="434" t="n">
        <f aca="false">BT660/BT329</f>
        <v>0.45</v>
      </c>
      <c r="BU611" s="436" t="n">
        <v>0.589</v>
      </c>
      <c r="BV611" s="436" t="n">
        <v>0.589</v>
      </c>
      <c r="BW611" s="436" t="n">
        <v>0.589</v>
      </c>
      <c r="BX611" s="374" t="n">
        <f aca="false">BS611+BX620</f>
        <v>0.45</v>
      </c>
      <c r="BY611" s="434" t="n">
        <f aca="false">BY660/BY329</f>
        <v>0.45</v>
      </c>
      <c r="BZ611" s="434" t="n">
        <f aca="false">BY611+BZ620</f>
        <v>0.45</v>
      </c>
      <c r="CA611" s="434" t="n">
        <f aca="false">BZ611+CA620</f>
        <v>0.45</v>
      </c>
      <c r="CB611" s="434" t="n">
        <f aca="false">CA611+CB620</f>
        <v>0.45</v>
      </c>
      <c r="CC611" s="156"/>
    </row>
    <row r="612" s="157" customFormat="true" ht="15" hidden="false" customHeight="true" outlineLevel="0" collapsed="false">
      <c r="A612" s="252" t="s">
        <v>577</v>
      </c>
      <c r="B612" s="266"/>
      <c r="C612" s="434" t="n">
        <f aca="false">C658/C329</f>
        <v>0.00941817459586495</v>
      </c>
      <c r="D612" s="434" t="n">
        <f aca="false">D658/D329</f>
        <v>0.0135753863518087</v>
      </c>
      <c r="E612" s="434" t="n">
        <f aca="false">E658/E329</f>
        <v>0.00265420405288589</v>
      </c>
      <c r="F612" s="434" t="n">
        <f aca="false">F658/F329</f>
        <v>0.00228064558057552</v>
      </c>
      <c r="G612" s="434" t="n">
        <f aca="false">G658/G329</f>
        <v>0.00301277747083785</v>
      </c>
      <c r="H612" s="374"/>
      <c r="I612" s="374"/>
      <c r="J612" s="374"/>
      <c r="K612" s="374"/>
      <c r="L612" s="434" t="n">
        <f aca="false">L658/L329</f>
        <v>0.00619728199332101</v>
      </c>
      <c r="M612" s="374"/>
      <c r="N612" s="374"/>
      <c r="O612" s="374"/>
      <c r="P612" s="374"/>
      <c r="Q612" s="434" t="n">
        <f aca="false">Q658/Q329</f>
        <v>0.000581164635479831</v>
      </c>
      <c r="R612" s="374"/>
      <c r="S612" s="374"/>
      <c r="T612" s="374"/>
      <c r="U612" s="374"/>
      <c r="V612" s="434" t="n">
        <f aca="false">V658/V329</f>
        <v>0.0297138988638371</v>
      </c>
      <c r="W612" s="374"/>
      <c r="X612" s="374"/>
      <c r="Y612" s="374"/>
      <c r="Z612" s="374"/>
      <c r="AA612" s="434" t="n">
        <f aca="false">AA658/AA329</f>
        <v>0.0167903852951573</v>
      </c>
      <c r="AB612" s="374"/>
      <c r="AC612" s="374"/>
      <c r="AD612" s="374"/>
      <c r="AE612" s="374"/>
      <c r="AF612" s="434" t="n">
        <f aca="false">AF658/AF329</f>
        <v>0.0171692251461988</v>
      </c>
      <c r="AG612" s="374"/>
      <c r="AH612" s="374"/>
      <c r="AI612" s="374"/>
      <c r="AJ612" s="374"/>
      <c r="AK612" s="434" t="n">
        <f aca="false">AK658/AK329</f>
        <v>0.00554991539763113</v>
      </c>
      <c r="AL612" s="374"/>
      <c r="AM612" s="374"/>
      <c r="AN612" s="374"/>
      <c r="AO612" s="374"/>
      <c r="AP612" s="434" t="n">
        <f aca="false">AP658/AP329</f>
        <v>0.00786922774260472</v>
      </c>
      <c r="AQ612" s="374"/>
      <c r="AR612" s="374"/>
      <c r="AS612" s="374"/>
      <c r="AT612" s="374"/>
      <c r="AU612" s="434" t="n">
        <f aca="false">AU658/AU329</f>
        <v>0.0162215893826232</v>
      </c>
      <c r="AV612" s="374"/>
      <c r="AW612" s="374"/>
      <c r="AX612" s="374"/>
      <c r="AY612" s="374"/>
      <c r="AZ612" s="434" t="n">
        <f aca="false">AZ658/AZ329</f>
        <v>0.0148913259089235</v>
      </c>
      <c r="BA612" s="374"/>
      <c r="BB612" s="374"/>
      <c r="BC612" s="374"/>
      <c r="BD612" s="374"/>
      <c r="BE612" s="434" t="n">
        <f aca="false">BE658/BE329</f>
        <v>0.0112088829217846</v>
      </c>
      <c r="BF612" s="374"/>
      <c r="BG612" s="374"/>
      <c r="BH612" s="374"/>
      <c r="BI612" s="374" t="n">
        <f aca="false">BJ612</f>
        <v>0.0100237413711969</v>
      </c>
      <c r="BJ612" s="567" t="n">
        <f aca="false">BJ658/BJ329</f>
        <v>0.0100237413711969</v>
      </c>
      <c r="BK612" s="374"/>
      <c r="BL612" s="374"/>
      <c r="BM612" s="374"/>
      <c r="BN612" s="374" t="n">
        <f aca="false">BO612</f>
        <v>0.01</v>
      </c>
      <c r="BO612" s="569" t="n">
        <v>0.01</v>
      </c>
      <c r="BP612" s="436" t="n">
        <v>0.015</v>
      </c>
      <c r="BQ612" s="436" t="n">
        <v>0.015</v>
      </c>
      <c r="BR612" s="436" t="n">
        <v>0.015</v>
      </c>
      <c r="BS612" s="374" t="n">
        <f aca="false">BN612+BS621</f>
        <v>0.01</v>
      </c>
      <c r="BT612" s="434" t="n">
        <f aca="false">BT658/BT329</f>
        <v>0.01</v>
      </c>
      <c r="BU612" s="436" t="n">
        <v>0.015</v>
      </c>
      <c r="BV612" s="436" t="n">
        <v>0.015</v>
      </c>
      <c r="BW612" s="436" t="n">
        <v>0.015</v>
      </c>
      <c r="BX612" s="374" t="n">
        <f aca="false">BS612+BX621</f>
        <v>0.01</v>
      </c>
      <c r="BY612" s="434" t="n">
        <f aca="false">BY658/BY329</f>
        <v>0.01</v>
      </c>
      <c r="BZ612" s="434" t="n">
        <f aca="false">BY612+BZ621</f>
        <v>0.01</v>
      </c>
      <c r="CA612" s="434" t="n">
        <f aca="false">BZ612+CA621</f>
        <v>0.01</v>
      </c>
      <c r="CB612" s="434" t="n">
        <f aca="false">CA612+CB621</f>
        <v>0.01</v>
      </c>
      <c r="CC612" s="156"/>
    </row>
    <row r="613" s="157" customFormat="true" ht="15" hidden="false" customHeight="true" outlineLevel="0" collapsed="false">
      <c r="A613" s="252"/>
      <c r="B613" s="266"/>
      <c r="C613" s="570"/>
      <c r="D613" s="570"/>
      <c r="E613" s="570"/>
      <c r="F613" s="570"/>
      <c r="G613" s="570"/>
      <c r="H613" s="571"/>
      <c r="I613" s="571"/>
      <c r="J613" s="571"/>
      <c r="K613" s="571"/>
      <c r="L613" s="570"/>
      <c r="M613" s="571"/>
      <c r="N613" s="571"/>
      <c r="O613" s="571"/>
      <c r="P613" s="571"/>
      <c r="Q613" s="570"/>
      <c r="R613" s="571"/>
      <c r="S613" s="571"/>
      <c r="T613" s="571"/>
      <c r="U613" s="571"/>
      <c r="V613" s="570"/>
      <c r="W613" s="571"/>
      <c r="X613" s="571"/>
      <c r="Y613" s="571"/>
      <c r="Z613" s="571"/>
      <c r="AA613" s="570"/>
      <c r="AB613" s="571"/>
      <c r="AC613" s="571"/>
      <c r="AD613" s="571"/>
      <c r="AE613" s="571"/>
      <c r="AF613" s="570"/>
      <c r="AG613" s="571"/>
      <c r="AH613" s="571"/>
      <c r="AI613" s="571"/>
      <c r="AJ613" s="571"/>
      <c r="AK613" s="570"/>
      <c r="AL613" s="571"/>
      <c r="AM613" s="571"/>
      <c r="AN613" s="571"/>
      <c r="AO613" s="571"/>
      <c r="AP613" s="570"/>
      <c r="AQ613" s="571"/>
      <c r="AR613" s="571"/>
      <c r="AS613" s="571"/>
      <c r="AT613" s="571"/>
      <c r="AU613" s="570"/>
      <c r="AV613" s="571"/>
      <c r="AW613" s="571"/>
      <c r="AX613" s="571"/>
      <c r="AY613" s="571"/>
      <c r="AZ613" s="570"/>
      <c r="BA613" s="571"/>
      <c r="BB613" s="571"/>
      <c r="BC613" s="571"/>
      <c r="BD613" s="571"/>
      <c r="BE613" s="570"/>
      <c r="BF613" s="571"/>
      <c r="BG613" s="571"/>
      <c r="BH613" s="571"/>
      <c r="BI613" s="571"/>
      <c r="BJ613" s="570"/>
      <c r="BK613" s="571"/>
      <c r="BL613" s="571"/>
      <c r="BM613" s="571"/>
      <c r="BN613" s="571"/>
      <c r="BO613" s="572"/>
      <c r="BP613" s="571"/>
      <c r="BQ613" s="571"/>
      <c r="BR613" s="571"/>
      <c r="BS613" s="571"/>
      <c r="BT613" s="570"/>
      <c r="BU613" s="571"/>
      <c r="BV613" s="571"/>
      <c r="BW613" s="571"/>
      <c r="BX613" s="571"/>
      <c r="BY613" s="570"/>
      <c r="BZ613" s="570"/>
      <c r="CA613" s="570"/>
      <c r="CB613" s="570"/>
      <c r="CC613" s="156"/>
    </row>
    <row r="614" s="157" customFormat="true" ht="15" hidden="false" customHeight="true" outlineLevel="0" collapsed="false">
      <c r="A614" s="573" t="s">
        <v>578</v>
      </c>
      <c r="B614" s="574"/>
      <c r="C614" s="177"/>
      <c r="D614" s="575" t="n">
        <f aca="false">D605-C605</f>
        <v>0.012753305719529</v>
      </c>
      <c r="E614" s="575" t="n">
        <f aca="false">E605-D605</f>
        <v>-0.0933999332951189</v>
      </c>
      <c r="F614" s="575" t="n">
        <f aca="false">F605-E605</f>
        <v>-0.0279088303955748</v>
      </c>
      <c r="G614" s="575" t="n">
        <f aca="false">G605-F605</f>
        <v>0.0395225061921579</v>
      </c>
      <c r="H614" s="178"/>
      <c r="I614" s="178"/>
      <c r="J614" s="178"/>
      <c r="K614" s="178"/>
      <c r="L614" s="575" t="n">
        <f aca="false">L605-G605</f>
        <v>0.0122740581670522</v>
      </c>
      <c r="M614" s="178"/>
      <c r="N614" s="178"/>
      <c r="O614" s="178"/>
      <c r="P614" s="178"/>
      <c r="Q614" s="575" t="n">
        <f aca="false">Q605-L605</f>
        <v>-0.0518954182947259</v>
      </c>
      <c r="R614" s="180" t="n">
        <f aca="false">R605-M605</f>
        <v>-0.0818150217820418</v>
      </c>
      <c r="S614" s="180" t="n">
        <f aca="false">S605-N605</f>
        <v>-0.0885853777959247</v>
      </c>
      <c r="T614" s="180" t="n">
        <f aca="false">T605-O605</f>
        <v>-0.0358463285787831</v>
      </c>
      <c r="U614" s="180" t="n">
        <f aca="false">U605-P605</f>
        <v>-0.0247770558333381</v>
      </c>
      <c r="V614" s="575" t="n">
        <f aca="false">V605-Q605</f>
        <v>-0.0247775640996914</v>
      </c>
      <c r="W614" s="180" t="n">
        <f aca="false">W605-R605</f>
        <v>-0.00936656144650912</v>
      </c>
      <c r="X614" s="180" t="n">
        <f aca="false">X605-S605</f>
        <v>0.0367331339571006</v>
      </c>
      <c r="Y614" s="180" t="n">
        <f aca="false">Y605-T605</f>
        <v>0.0623353568535689</v>
      </c>
      <c r="Z614" s="180" t="n">
        <f aca="false">Z605-U605</f>
        <v>0.0927242925697677</v>
      </c>
      <c r="AA614" s="575" t="n">
        <f aca="false">AA605-V605</f>
        <v>0.0927242925697677</v>
      </c>
      <c r="AB614" s="180" t="n">
        <f aca="false">AB605-W605</f>
        <v>0.0538969798667756</v>
      </c>
      <c r="AC614" s="180" t="n">
        <f aca="false">AC605-X605</f>
        <v>-0.0441539165289893</v>
      </c>
      <c r="AD614" s="180" t="n">
        <f aca="false">AD605-Y605</f>
        <v>-0.0360781940585428</v>
      </c>
      <c r="AE614" s="180" t="n">
        <f aca="false">AE605-Z605</f>
        <v>-0.0588767534557497</v>
      </c>
      <c r="AF614" s="575" t="n">
        <f aca="false">AF605-AA605</f>
        <v>-0.0588767534557497</v>
      </c>
      <c r="AG614" s="180" t="n">
        <f aca="false">AG605-AB605</f>
        <v>-0.0247130835542813</v>
      </c>
      <c r="AH614" s="180" t="n">
        <f aca="false">AH605-AC605</f>
        <v>0.0393201160671711</v>
      </c>
      <c r="AI614" s="180" t="n">
        <f aca="false">AI605-AD605</f>
        <v>0.0302205833347673</v>
      </c>
      <c r="AJ614" s="180" t="n">
        <f aca="false">AJ605-AE605</f>
        <v>0.0142705828657939</v>
      </c>
      <c r="AK614" s="575" t="n">
        <f aca="false">AK605-AF605</f>
        <v>0.0142705828657939</v>
      </c>
      <c r="AL614" s="180" t="n">
        <f aca="false">AL605-AG605</f>
        <v>0.000931029213207868</v>
      </c>
      <c r="AM614" s="180" t="n">
        <f aca="false">AM605-AH605</f>
        <v>-0.0144363112613371</v>
      </c>
      <c r="AN614" s="180" t="n">
        <f aca="false">AN605-AI605</f>
        <v>-0.0135846821203272</v>
      </c>
      <c r="AO614" s="180" t="n">
        <f aca="false">AO605-AJ605</f>
        <v>-0.0574307025891284</v>
      </c>
      <c r="AP614" s="575" t="n">
        <f aca="false">AP605-AK605</f>
        <v>-0.0574307025891285</v>
      </c>
      <c r="AQ614" s="180" t="n">
        <f aca="false">AQ605-AL605</f>
        <v>-0.00608347935679643</v>
      </c>
      <c r="AR614" s="180" t="n">
        <f aca="false">AR605-AM605</f>
        <v>0.0292307830587625</v>
      </c>
      <c r="AS614" s="180" t="n">
        <f aca="false">AS605-AN605</f>
        <v>0.0105453563332374</v>
      </c>
      <c r="AT614" s="180" t="n">
        <f aca="false">AT605-AO605</f>
        <v>0.0689626687016317</v>
      </c>
      <c r="AU614" s="575" t="n">
        <f aca="false">AU605-AP605</f>
        <v>0.0689626687016317</v>
      </c>
      <c r="AV614" s="180" t="n">
        <f aca="false">AV605-AQ605</f>
        <v>0.0557158540663107</v>
      </c>
      <c r="AW614" s="180" t="n">
        <f aca="false">AW605-AR605</f>
        <v>0.112528384086145</v>
      </c>
      <c r="AX614" s="180" t="n">
        <f aca="false">AX605-AS605</f>
        <v>0.106797258273814</v>
      </c>
      <c r="AY614" s="180" t="n">
        <f aca="false">AY605-AT605</f>
        <v>0.0887386463919614</v>
      </c>
      <c r="AZ614" s="575" t="n">
        <f aca="false">AZ605-AU605</f>
        <v>0.0887386463919614</v>
      </c>
      <c r="BA614" s="180" t="n">
        <f aca="false">BA605-AV605</f>
        <v>-0.0548581037408577</v>
      </c>
      <c r="BB614" s="180" t="n">
        <f aca="false">BB605-AW605</f>
        <v>-0.126866863645976</v>
      </c>
      <c r="BC614" s="180" t="n">
        <f aca="false">BC605-AX605</f>
        <v>-0.149846460519702</v>
      </c>
      <c r="BD614" s="180" t="n">
        <f aca="false">BD605-AY605</f>
        <v>-0.0941690430604512</v>
      </c>
      <c r="BE614" s="575" t="n">
        <f aca="false">BE605-AZ605</f>
        <v>-0.0941690430604512</v>
      </c>
      <c r="BF614" s="180" t="n">
        <f aca="false">BF605-BA605</f>
        <v>-0.00430862366034362</v>
      </c>
      <c r="BG614" s="180" t="n">
        <f aca="false">BG605-BB605</f>
        <v>0.0226269280563228</v>
      </c>
      <c r="BH614" s="180" t="n">
        <f aca="false">BH605-BC605</f>
        <v>0.0505133191697398</v>
      </c>
      <c r="BI614" s="180" t="n">
        <f aca="false">BI605-BD605</f>
        <v>0.0011541511502553</v>
      </c>
      <c r="BJ614" s="575" t="n">
        <f aca="false">BJ605-BE605</f>
        <v>0.0011541511502553</v>
      </c>
      <c r="BK614" s="180" t="n">
        <f aca="false">BK605-BF605</f>
        <v>0.0123221154335695</v>
      </c>
      <c r="BL614" s="180" t="n">
        <f aca="false">BL605-BG605</f>
        <v>-0.0205558707892173</v>
      </c>
      <c r="BM614" s="180" t="n">
        <f aca="false">BM605-BH605</f>
        <v>-0.0301598388445623</v>
      </c>
      <c r="BN614" s="180" t="n">
        <f aca="false">BN605-BI605</f>
        <v>-0.0658842110819932</v>
      </c>
      <c r="BO614" s="576" t="n">
        <f aca="false">BO605-BJ605</f>
        <v>-0.0658842110819932</v>
      </c>
      <c r="BP614" s="577" t="n">
        <v>0</v>
      </c>
      <c r="BQ614" s="577" t="n">
        <v>0</v>
      </c>
      <c r="BR614" s="577" t="n">
        <v>0</v>
      </c>
      <c r="BS614" s="577" t="n">
        <v>0</v>
      </c>
      <c r="BT614" s="177" t="n">
        <f aca="false">BT605-BO605</f>
        <v>0</v>
      </c>
      <c r="BU614" s="577" t="n">
        <v>0</v>
      </c>
      <c r="BV614" s="577" t="n">
        <v>0</v>
      </c>
      <c r="BW614" s="577" t="n">
        <v>0</v>
      </c>
      <c r="BX614" s="577" t="n">
        <v>0</v>
      </c>
      <c r="BY614" s="177" t="n">
        <f aca="false">BY605-BT605</f>
        <v>0</v>
      </c>
      <c r="BZ614" s="578" t="n">
        <v>0</v>
      </c>
      <c r="CA614" s="578" t="n">
        <v>0</v>
      </c>
      <c r="CB614" s="578" t="n">
        <v>0</v>
      </c>
      <c r="CC614" s="156"/>
    </row>
    <row r="615" s="157" customFormat="true" ht="15" hidden="false" customHeight="true" outlineLevel="0" collapsed="false">
      <c r="A615" s="573" t="s">
        <v>579</v>
      </c>
      <c r="B615" s="574"/>
      <c r="C615" s="177"/>
      <c r="D615" s="575" t="n">
        <f aca="false">D606-C606</f>
        <v>-0.0106981355368804</v>
      </c>
      <c r="E615" s="575" t="n">
        <f aca="false">E606-D606</f>
        <v>0.0111480096794119</v>
      </c>
      <c r="F615" s="575" t="n">
        <f aca="false">F606-E606</f>
        <v>0.0420885254335408</v>
      </c>
      <c r="G615" s="575" t="n">
        <f aca="false">G606-F606</f>
        <v>-0.00829078766623399</v>
      </c>
      <c r="H615" s="178"/>
      <c r="I615" s="178"/>
      <c r="J615" s="178"/>
      <c r="K615" s="178"/>
      <c r="L615" s="575" t="n">
        <f aca="false">L606-G606</f>
        <v>-0.0142682467356113</v>
      </c>
      <c r="M615" s="178"/>
      <c r="N615" s="178"/>
      <c r="O615" s="178"/>
      <c r="P615" s="178"/>
      <c r="Q615" s="575" t="n">
        <f aca="false">Q606-L606</f>
        <v>0.0111336530184441</v>
      </c>
      <c r="R615" s="180" t="n">
        <f aca="false">R606-M606</f>
        <v>0.0446658063965523</v>
      </c>
      <c r="S615" s="180" t="n">
        <f aca="false">S606-N606</f>
        <v>0.0454784918364745</v>
      </c>
      <c r="T615" s="180" t="n">
        <f aca="false">T606-O606</f>
        <v>0.0334772678827102</v>
      </c>
      <c r="U615" s="180" t="n">
        <f aca="false">U606-P606</f>
        <v>0.0212277755951829</v>
      </c>
      <c r="V615" s="575" t="n">
        <f aca="false">V606-Q606</f>
        <v>0.0212275981892953</v>
      </c>
      <c r="W615" s="180" t="n">
        <f aca="false">W606-R606</f>
        <v>-0.0279363914271465</v>
      </c>
      <c r="X615" s="180" t="n">
        <f aca="false">X606-S606</f>
        <v>-0.0332719687135298</v>
      </c>
      <c r="Y615" s="180" t="n">
        <f aca="false">Y606-T606</f>
        <v>-0.0885048329843869</v>
      </c>
      <c r="Z615" s="180" t="n">
        <f aca="false">Z606-U606</f>
        <v>-0.059316102385949</v>
      </c>
      <c r="AA615" s="575" t="n">
        <f aca="false">AA606-V606</f>
        <v>-0.059316102385949</v>
      </c>
      <c r="AB615" s="180" t="n">
        <f aca="false">AB606-W606</f>
        <v>-0.0225006514482032</v>
      </c>
      <c r="AC615" s="180" t="n">
        <f aca="false">AC606-X606</f>
        <v>0.0065206249896924</v>
      </c>
      <c r="AD615" s="180" t="n">
        <f aca="false">AD606-Y606</f>
        <v>0.0724401909605995</v>
      </c>
      <c r="AE615" s="180" t="n">
        <f aca="false">AE606-Z606</f>
        <v>0.0493104488753698</v>
      </c>
      <c r="AF615" s="575" t="n">
        <f aca="false">AF606-AA606</f>
        <v>0.0493104488753698</v>
      </c>
      <c r="AG615" s="180" t="n">
        <f aca="false">AG606-AB606</f>
        <v>0.0247546670753898</v>
      </c>
      <c r="AH615" s="180" t="n">
        <f aca="false">AH606-AC606</f>
        <v>-0.00190265701126582</v>
      </c>
      <c r="AI615" s="180" t="n">
        <f aca="false">AI606-AD606</f>
        <v>-0.0353601062413069</v>
      </c>
      <c r="AJ615" s="180" t="n">
        <f aca="false">AJ606-AE606</f>
        <v>-0.00808077856443139</v>
      </c>
      <c r="AK615" s="575" t="n">
        <f aca="false">AK606-AF606</f>
        <v>-0.00808077856443139</v>
      </c>
      <c r="AL615" s="180" t="n">
        <f aca="false">AL606-AG606</f>
        <v>0.013128841759415</v>
      </c>
      <c r="AM615" s="180" t="n">
        <f aca="false">AM606-AH606</f>
        <v>0.0259120717424888</v>
      </c>
      <c r="AN615" s="180" t="n">
        <f aca="false">AN606-AI606</f>
        <v>0.0812994197888299</v>
      </c>
      <c r="AO615" s="180" t="n">
        <f aca="false">AO606-AJ606</f>
        <v>0.074608454172461</v>
      </c>
      <c r="AP615" s="575" t="n">
        <f aca="false">AP606-AK606</f>
        <v>0.074608454172461</v>
      </c>
      <c r="AQ615" s="180" t="n">
        <f aca="false">AQ606-AL606</f>
        <v>0.077290479280554</v>
      </c>
      <c r="AR615" s="180" t="n">
        <f aca="false">AR606-AM606</f>
        <v>0.0148795716629824</v>
      </c>
      <c r="AS615" s="180" t="n">
        <f aca="false">AS606-AN606</f>
        <v>-0.0685052900122652</v>
      </c>
      <c r="AT615" s="180" t="n">
        <f aca="false">AT606-AO606</f>
        <v>-0.0586622304765426</v>
      </c>
      <c r="AU615" s="575" t="n">
        <f aca="false">AU606-AP606</f>
        <v>-0.0586622304765426</v>
      </c>
      <c r="AV615" s="180" t="n">
        <f aca="false">AV606-AQ606</f>
        <v>-0.0682312224500604</v>
      </c>
      <c r="AW615" s="180" t="n">
        <f aca="false">AW606-AR606</f>
        <v>-0.0344091457852265</v>
      </c>
      <c r="AX615" s="180" t="n">
        <f aca="false">AX606-AS606</f>
        <v>0.00460484851106202</v>
      </c>
      <c r="AY615" s="180" t="n">
        <f aca="false">AY606-AT606</f>
        <v>0.000371418941508217</v>
      </c>
      <c r="AZ615" s="575" t="n">
        <f aca="false">AZ606-AU606</f>
        <v>0.000371418941508217</v>
      </c>
      <c r="BA615" s="180" t="n">
        <f aca="false">BA606-AV606</f>
        <v>-0.0159589322010014</v>
      </c>
      <c r="BB615" s="180" t="n">
        <f aca="false">BB606-AW606</f>
        <v>-0.000407952386128022</v>
      </c>
      <c r="BC615" s="180" t="n">
        <f aca="false">BC606-AX606</f>
        <v>-0.0205350384790959</v>
      </c>
      <c r="BD615" s="180" t="n">
        <f aca="false">BD606-AY606</f>
        <v>-0.014029414644841</v>
      </c>
      <c r="BE615" s="575" t="n">
        <f aca="false">BE606-AZ606</f>
        <v>-0.014029414644841</v>
      </c>
      <c r="BF615" s="180" t="n">
        <f aca="false">BF606-BA606</f>
        <v>-0.000115116718256189</v>
      </c>
      <c r="BG615" s="180" t="n">
        <f aca="false">BG606-BB606</f>
        <v>-0.0254435849984292</v>
      </c>
      <c r="BH615" s="180" t="n">
        <f aca="false">BH606-BC606</f>
        <v>-0.0259771776665199</v>
      </c>
      <c r="BI615" s="180" t="n">
        <f aca="false">BI606-BD606</f>
        <v>-0.0471237059615007</v>
      </c>
      <c r="BJ615" s="575" t="n">
        <f aca="false">BJ606-BE606</f>
        <v>-0.0471237059615007</v>
      </c>
      <c r="BK615" s="180" t="n">
        <f aca="false">BK606-BF606</f>
        <v>-0.0427861296259088</v>
      </c>
      <c r="BL615" s="180" t="n">
        <f aca="false">BL606-BG606</f>
        <v>-0.0218872525587185</v>
      </c>
      <c r="BM615" s="180" t="n">
        <f aca="false">BM606-BH606</f>
        <v>-0.00373788603090747</v>
      </c>
      <c r="BN615" s="180" t="n">
        <f aca="false">BN606-BI606</f>
        <v>0.015857688881919</v>
      </c>
      <c r="BO615" s="576" t="n">
        <f aca="false">BO606-BJ606</f>
        <v>0.015857688881919</v>
      </c>
      <c r="BP615" s="577" t="n">
        <v>0</v>
      </c>
      <c r="BQ615" s="577" t="n">
        <v>0</v>
      </c>
      <c r="BR615" s="577" t="n">
        <v>0</v>
      </c>
      <c r="BS615" s="577" t="n">
        <v>0</v>
      </c>
      <c r="BT615" s="177" t="n">
        <f aca="false">BT606-BO606</f>
        <v>0</v>
      </c>
      <c r="BU615" s="577" t="n">
        <v>0</v>
      </c>
      <c r="BV615" s="577" t="n">
        <v>0</v>
      </c>
      <c r="BW615" s="577" t="n">
        <v>0</v>
      </c>
      <c r="BX615" s="577" t="n">
        <v>0</v>
      </c>
      <c r="BY615" s="177" t="n">
        <f aca="false">BY606-BT606</f>
        <v>0</v>
      </c>
      <c r="BZ615" s="578" t="n">
        <v>0</v>
      </c>
      <c r="CA615" s="578" t="n">
        <v>0</v>
      </c>
      <c r="CB615" s="578" t="n">
        <v>0</v>
      </c>
      <c r="CC615" s="156"/>
    </row>
    <row r="616" s="157" customFormat="true" ht="15" hidden="false" customHeight="true" outlineLevel="0" collapsed="false">
      <c r="A616" s="573" t="s">
        <v>580</v>
      </c>
      <c r="B616" s="574"/>
      <c r="C616" s="177"/>
      <c r="D616" s="575" t="n">
        <f aca="false">D607-C607</f>
        <v>-0.271478175176339</v>
      </c>
      <c r="E616" s="575" t="n">
        <f aca="false">E607-D607</f>
        <v>-0.0446288682479717</v>
      </c>
      <c r="F616" s="575" t="n">
        <f aca="false">F607-E607</f>
        <v>0.104973119096123</v>
      </c>
      <c r="G616" s="575" t="n">
        <f aca="false">G607-F607</f>
        <v>0.0637548239139427</v>
      </c>
      <c r="H616" s="178"/>
      <c r="I616" s="178"/>
      <c r="J616" s="178"/>
      <c r="K616" s="178"/>
      <c r="L616" s="575" t="n">
        <f aca="false">L607-G607</f>
        <v>-0.0208174907208308</v>
      </c>
      <c r="M616" s="178"/>
      <c r="N616" s="178"/>
      <c r="O616" s="178"/>
      <c r="P616" s="178"/>
      <c r="Q616" s="575" t="n">
        <f aca="false">Q607-L607</f>
        <v>-0.0260534959907371</v>
      </c>
      <c r="R616" s="180" t="n">
        <f aca="false">R607-M607</f>
        <v>0.0338021456152683</v>
      </c>
      <c r="S616" s="180" t="n">
        <f aca="false">S607-N607</f>
        <v>0.0248185400558436</v>
      </c>
      <c r="T616" s="180" t="n">
        <f aca="false">T607-O607</f>
        <v>0.0269128729188675</v>
      </c>
      <c r="U616" s="180" t="n">
        <f aca="false">U607-P607</f>
        <v>-7.84133084644201E-005</v>
      </c>
      <c r="V616" s="575" t="n">
        <f aca="false">V607-Q607</f>
        <v>-8.00409641472655E-005</v>
      </c>
      <c r="W616" s="180" t="n">
        <f aca="false">W607-R607</f>
        <v>-0.0560424583275613</v>
      </c>
      <c r="X616" s="180" t="n">
        <f aca="false">X607-S607</f>
        <v>-0.0444750806219281</v>
      </c>
      <c r="Y616" s="180" t="n">
        <f aca="false">Y607-T607</f>
        <v>-0.0696438942553797</v>
      </c>
      <c r="Z616" s="180" t="n">
        <f aca="false">Z607-U607</f>
        <v>-0.0824749325389138</v>
      </c>
      <c r="AA616" s="575" t="n">
        <f aca="false">AA607-V607</f>
        <v>-0.0824749325389138</v>
      </c>
      <c r="AB616" s="180" t="n">
        <f aca="false">AB607-W607</f>
        <v>-0.060551208755323</v>
      </c>
      <c r="AC616" s="180" t="n">
        <f aca="false">AC607-X607</f>
        <v>-0.0831900454338641</v>
      </c>
      <c r="AD616" s="180" t="n">
        <f aca="false">AD607-Y607</f>
        <v>-0.0285870643008145</v>
      </c>
      <c r="AE616" s="180" t="n">
        <f aca="false">AE607-Z607</f>
        <v>-0.0125121218675002</v>
      </c>
      <c r="AF616" s="575" t="n">
        <f aca="false">AF607-AA607</f>
        <v>-0.0125121218675002</v>
      </c>
      <c r="AG616" s="180" t="n">
        <f aca="false">AG607-AB607</f>
        <v>0.00178314542287661</v>
      </c>
      <c r="AH616" s="180" t="n">
        <f aca="false">AH607-AC607</f>
        <v>0.044585868678353</v>
      </c>
      <c r="AI616" s="180" t="n">
        <f aca="false">AI607-AD607</f>
        <v>0.02810338778292</v>
      </c>
      <c r="AJ616" s="180" t="n">
        <f aca="false">AJ607-AE607</f>
        <v>0.0079855452400035</v>
      </c>
      <c r="AK616" s="575" t="n">
        <f aca="false">AK607-AF607</f>
        <v>0.00798554524000356</v>
      </c>
      <c r="AL616" s="180" t="n">
        <f aca="false">AL607-AG607</f>
        <v>0.0153882979751115</v>
      </c>
      <c r="AM616" s="180" t="n">
        <f aca="false">AM607-AH607</f>
        <v>0.00109756798619531</v>
      </c>
      <c r="AN616" s="180" t="n">
        <f aca="false">AN607-AI607</f>
        <v>-0.0212106363665668</v>
      </c>
      <c r="AO616" s="180" t="n">
        <f aca="false">AO607-AJ607</f>
        <v>0.00462037694218226</v>
      </c>
      <c r="AP616" s="575" t="n">
        <f aca="false">AP607-AK607</f>
        <v>0.0046203769421822</v>
      </c>
      <c r="AQ616" s="180" t="n">
        <f aca="false">AQ607-AL607</f>
        <v>-0.0625714485790813</v>
      </c>
      <c r="AR616" s="180" t="n">
        <f aca="false">AR607-AM607</f>
        <v>-0.0598968369213799</v>
      </c>
      <c r="AS616" s="180" t="n">
        <f aca="false">AS607-AN607</f>
        <v>-0.0587510330892527</v>
      </c>
      <c r="AT616" s="180" t="n">
        <f aca="false">AT607-AO607</f>
        <v>-0.0486006858783398</v>
      </c>
      <c r="AU616" s="575" t="n">
        <f aca="false">AU607-AP607</f>
        <v>-0.0486006858783398</v>
      </c>
      <c r="AV616" s="180" t="n">
        <f aca="false">AV607-AQ607</f>
        <v>0.0429740212767711</v>
      </c>
      <c r="AW616" s="180" t="n">
        <f aca="false">AW607-AR607</f>
        <v>0.0252895570009512</v>
      </c>
      <c r="AX616" s="180" t="n">
        <f aca="false">AX607-AS607</f>
        <v>0.0724040722005378</v>
      </c>
      <c r="AY616" s="180" t="n">
        <f aca="false">AY607-AT607</f>
        <v>0.0617481038789455</v>
      </c>
      <c r="AZ616" s="575" t="n">
        <f aca="false">AZ607-AU607</f>
        <v>0.0617481038789455</v>
      </c>
      <c r="BA616" s="180" t="n">
        <f aca="false">BA607-AV607</f>
        <v>-0.0384281720225989</v>
      </c>
      <c r="BB616" s="180" t="n">
        <f aca="false">BB607-AW607</f>
        <v>-0.0326393868688351</v>
      </c>
      <c r="BC616" s="180" t="n">
        <f aca="false">BC607-AX607</f>
        <v>-0.0357364620065476</v>
      </c>
      <c r="BD616" s="180" t="n">
        <f aca="false">BD607-AY607</f>
        <v>-0.0188746979109607</v>
      </c>
      <c r="BE616" s="575" t="n">
        <f aca="false">BE607-AZ607</f>
        <v>-0.0188746979109607</v>
      </c>
      <c r="BF616" s="180" t="n">
        <f aca="false">BF607-BA607</f>
        <v>0.0747822002965203</v>
      </c>
      <c r="BG616" s="180" t="n">
        <f aca="false">BG607-BB607</f>
        <v>0.132131541008936</v>
      </c>
      <c r="BH616" s="180" t="n">
        <f aca="false">BH607-BC607</f>
        <v>0.121856842881373</v>
      </c>
      <c r="BI616" s="180" t="n">
        <f aca="false">BI607-BD607</f>
        <v>0.0642034110335285</v>
      </c>
      <c r="BJ616" s="575" t="n">
        <f aca="false">BJ607-BE607</f>
        <v>0.0642034110335285</v>
      </c>
      <c r="BK616" s="180" t="n">
        <f aca="false">BK607-BF607</f>
        <v>-0.0189745032193919</v>
      </c>
      <c r="BL616" s="180" t="n">
        <f aca="false">BL607-BG607</f>
        <v>-0.0713465365211621</v>
      </c>
      <c r="BM616" s="180" t="n">
        <f aca="false">BM607-BH607</f>
        <v>-0.069883631892287</v>
      </c>
      <c r="BN616" s="180" t="n">
        <f aca="false">BN607-BI607</f>
        <v>-0.035494104127709</v>
      </c>
      <c r="BO616" s="576" t="n">
        <f aca="false">BO607-BJ607</f>
        <v>-0.035494104127709</v>
      </c>
      <c r="BP616" s="577" t="n">
        <v>0</v>
      </c>
      <c r="BQ616" s="577" t="n">
        <v>0</v>
      </c>
      <c r="BR616" s="577" t="n">
        <v>0</v>
      </c>
      <c r="BS616" s="577" t="n">
        <v>0</v>
      </c>
      <c r="BT616" s="177" t="n">
        <f aca="false">BT607-BO607</f>
        <v>0</v>
      </c>
      <c r="BU616" s="577" t="n">
        <v>0</v>
      </c>
      <c r="BV616" s="577" t="n">
        <v>0</v>
      </c>
      <c r="BW616" s="577" t="n">
        <v>0</v>
      </c>
      <c r="BX616" s="577" t="n">
        <v>0</v>
      </c>
      <c r="BY616" s="177" t="n">
        <f aca="false">BY607-BT607</f>
        <v>0</v>
      </c>
      <c r="BZ616" s="578" t="n">
        <v>0</v>
      </c>
      <c r="CA616" s="578" t="n">
        <v>0</v>
      </c>
      <c r="CB616" s="578" t="n">
        <v>0</v>
      </c>
      <c r="CC616" s="156"/>
    </row>
    <row r="617" s="157" customFormat="true" ht="15" hidden="false" customHeight="true" outlineLevel="0" collapsed="false">
      <c r="A617" s="573" t="s">
        <v>581</v>
      </c>
      <c r="B617" s="574"/>
      <c r="C617" s="177"/>
      <c r="D617" s="575" t="n">
        <f aca="false">D608-C608</f>
        <v>-0.0895457353557956</v>
      </c>
      <c r="E617" s="575" t="n">
        <f aca="false">E608-D608</f>
        <v>-0.00537476208379287</v>
      </c>
      <c r="F617" s="575" t="n">
        <f aca="false">F608-E608</f>
        <v>0.00985943129879162</v>
      </c>
      <c r="G617" s="575" t="n">
        <f aca="false">G608-F608</f>
        <v>0.0121448698938762</v>
      </c>
      <c r="H617" s="178"/>
      <c r="I617" s="178"/>
      <c r="J617" s="178"/>
      <c r="K617" s="178"/>
      <c r="L617" s="575" t="n">
        <f aca="false">L608-G608</f>
        <v>0.00247345846726516</v>
      </c>
      <c r="M617" s="178"/>
      <c r="N617" s="178"/>
      <c r="O617" s="178"/>
      <c r="P617" s="178"/>
      <c r="Q617" s="575" t="n">
        <f aca="false">Q608-L608</f>
        <v>0.0111361640001469</v>
      </c>
      <c r="R617" s="180" t="n">
        <f aca="false">R608-M608</f>
        <v>0.00939310685201567</v>
      </c>
      <c r="S617" s="180" t="n">
        <f aca="false">S608-N608</f>
        <v>0.0121292620276099</v>
      </c>
      <c r="T617" s="180" t="n">
        <f aca="false">T608-O608</f>
        <v>0.0199282215776996</v>
      </c>
      <c r="U617" s="180" t="n">
        <f aca="false">U608-P608</f>
        <v>0.0047282293766054</v>
      </c>
      <c r="V617" s="575" t="n">
        <f aca="false">V608-Q608</f>
        <v>0.00472792023883202</v>
      </c>
      <c r="W617" s="180" t="n">
        <f aca="false">W608-R608</f>
        <v>-0.00447426565065745</v>
      </c>
      <c r="X617" s="180" t="n">
        <f aca="false">X608-S608</f>
        <v>0.00931229885548192</v>
      </c>
      <c r="Y617" s="180" t="n">
        <f aca="false">Y608-T608</f>
        <v>0.00282693904639074</v>
      </c>
      <c r="Z617" s="180" t="n">
        <f aca="false">Z608-U608</f>
        <v>0.0133297792410777</v>
      </c>
      <c r="AA617" s="575" t="n">
        <f aca="false">AA608-V608</f>
        <v>0.0133297792410777</v>
      </c>
      <c r="AB617" s="180" t="n">
        <f aca="false">AB608-W608</f>
        <v>-0.0124506223375739</v>
      </c>
      <c r="AC617" s="180" t="n">
        <f aca="false">AC608-X608</f>
        <v>-0.0228202137154935</v>
      </c>
      <c r="AD617" s="180" t="n">
        <f aca="false">AD608-Y608</f>
        <v>-0.0253308989945361</v>
      </c>
      <c r="AE617" s="180" t="n">
        <f aca="false">AE608-Z608</f>
        <v>-0.0252088527035156</v>
      </c>
      <c r="AF617" s="575" t="n">
        <f aca="false">AF608-AA608</f>
        <v>-0.0252088527035156</v>
      </c>
      <c r="AG617" s="180" t="n">
        <f aca="false">AG608-AB608</f>
        <v>0.00223694446460038</v>
      </c>
      <c r="AH617" s="180" t="n">
        <f aca="false">AH608-AC608</f>
        <v>0.012061784358181</v>
      </c>
      <c r="AI617" s="180" t="n">
        <f aca="false">AI608-AD608</f>
        <v>0.0117218169167688</v>
      </c>
      <c r="AJ617" s="180" t="n">
        <f aca="false">AJ608-AE608</f>
        <v>0.000707116246623313</v>
      </c>
      <c r="AK617" s="575" t="n">
        <f aca="false">AK608-AF608</f>
        <v>0.000707116246623327</v>
      </c>
      <c r="AL617" s="180" t="n">
        <f aca="false">AL608-AG608</f>
        <v>0.00587965954334069</v>
      </c>
      <c r="AM617" s="180" t="n">
        <f aca="false">AM608-AH608</f>
        <v>-0.0112449625339579</v>
      </c>
      <c r="AN617" s="180" t="n">
        <f aca="false">AN608-AI608</f>
        <v>-0.0185502857999127</v>
      </c>
      <c r="AO617" s="180" t="n">
        <f aca="false">AO608-AJ608</f>
        <v>-0.0139505139237578</v>
      </c>
      <c r="AP617" s="575" t="n">
        <f aca="false">AP608-AK608</f>
        <v>-0.0139505139237578</v>
      </c>
      <c r="AQ617" s="180" t="n">
        <f aca="false">AQ608-AL608</f>
        <v>-0.0177010324002827</v>
      </c>
      <c r="AR617" s="180" t="n">
        <f aca="false">AR608-AM608</f>
        <v>-0.0150362120279481</v>
      </c>
      <c r="AS617" s="180" t="n">
        <f aca="false">AS608-AN608</f>
        <v>-0.000502244047904533</v>
      </c>
      <c r="AT617" s="180" t="n">
        <f aca="false">AT608-AO608</f>
        <v>-0.00359383265511257</v>
      </c>
      <c r="AU617" s="575" t="n">
        <f aca="false">AU608-AP608</f>
        <v>-0.00359383265511258</v>
      </c>
      <c r="AV617" s="180" t="n">
        <f aca="false">AV608-AQ608</f>
        <v>0.0249842861749206</v>
      </c>
      <c r="AW617" s="180" t="n">
        <f aca="false">AW608-AR608</f>
        <v>0.024013766859202</v>
      </c>
      <c r="AX617" s="180" t="n">
        <f aca="false">AX608-AS608</f>
        <v>0.0283642184577605</v>
      </c>
      <c r="AY617" s="180" t="n">
        <f aca="false">AY608-AT608</f>
        <v>0.0238577244552107</v>
      </c>
      <c r="AZ617" s="575" t="n">
        <f aca="false">AZ608-AU608</f>
        <v>0.0238577244552107</v>
      </c>
      <c r="BA617" s="180" t="n">
        <f aca="false">BA608-AV608</f>
        <v>-0.0119359552177273</v>
      </c>
      <c r="BB617" s="180" t="n">
        <f aca="false">BB608-AW608</f>
        <v>-0.00554976219698979</v>
      </c>
      <c r="BC617" s="180" t="n">
        <f aca="false">BC608-AX608</f>
        <v>-0.0123627117877368</v>
      </c>
      <c r="BD617" s="180" t="n">
        <f aca="false">BD608-AY608</f>
        <v>-0.0203381006112134</v>
      </c>
      <c r="BE617" s="575" t="n">
        <f aca="false">BE608-AZ608</f>
        <v>-0.0203381006112134</v>
      </c>
      <c r="BF617" s="180" t="n">
        <f aca="false">BF608-BA608</f>
        <v>0.00179356086789297</v>
      </c>
      <c r="BG617" s="180" t="n">
        <f aca="false">BG608-BB608</f>
        <v>0.000187909645127396</v>
      </c>
      <c r="BH617" s="180" t="n">
        <f aca="false">BH608-BC608</f>
        <v>-0.00359140786079408</v>
      </c>
      <c r="BI617" s="180" t="n">
        <f aca="false">BI608-BD608</f>
        <v>0.011373683114668</v>
      </c>
      <c r="BJ617" s="575" t="n">
        <f aca="false">BJ608-BE608</f>
        <v>0.011373683114668</v>
      </c>
      <c r="BK617" s="180" t="n">
        <f aca="false">BK608-BF608</f>
        <v>-0.0122398149802431</v>
      </c>
      <c r="BL617" s="180" t="n">
        <f aca="false">BL608-BG608</f>
        <v>-0.0131289077274109</v>
      </c>
      <c r="BM617" s="180" t="n">
        <f aca="false">BM608-BH608</f>
        <v>-0.0191621871122732</v>
      </c>
      <c r="BN617" s="180" t="n">
        <f aca="false">BN608-BI608</f>
        <v>-0.0247914627247328</v>
      </c>
      <c r="BO617" s="576" t="n">
        <f aca="false">BO608-BJ608</f>
        <v>-0.0247914627247328</v>
      </c>
      <c r="BP617" s="577" t="n">
        <v>0</v>
      </c>
      <c r="BQ617" s="577" t="n">
        <v>0</v>
      </c>
      <c r="BR617" s="577" t="n">
        <v>0</v>
      </c>
      <c r="BS617" s="577" t="n">
        <v>0</v>
      </c>
      <c r="BT617" s="177" t="n">
        <f aca="false">BT608-BO608</f>
        <v>0</v>
      </c>
      <c r="BU617" s="577" t="n">
        <v>0</v>
      </c>
      <c r="BV617" s="577" t="n">
        <v>0</v>
      </c>
      <c r="BW617" s="577" t="n">
        <v>0</v>
      </c>
      <c r="BX617" s="577" t="n">
        <v>0</v>
      </c>
      <c r="BY617" s="177" t="n">
        <f aca="false">BY608-BT608</f>
        <v>0</v>
      </c>
      <c r="BZ617" s="578" t="n">
        <v>0</v>
      </c>
      <c r="CA617" s="578" t="n">
        <v>0</v>
      </c>
      <c r="CB617" s="578" t="n">
        <v>0</v>
      </c>
      <c r="CC617" s="156"/>
    </row>
    <row r="618" s="157" customFormat="true" ht="15" hidden="false" customHeight="true" outlineLevel="0" collapsed="false">
      <c r="A618" s="175" t="s">
        <v>582</v>
      </c>
      <c r="B618" s="574"/>
      <c r="C618" s="177"/>
      <c r="D618" s="177" t="n">
        <f aca="false">D609-C609</f>
        <v>-0.175205260966219</v>
      </c>
      <c r="E618" s="177" t="n">
        <f aca="false">E609-D609</f>
        <v>-0.0239279423132901</v>
      </c>
      <c r="F618" s="177" t="n">
        <f aca="false">F609-E609</f>
        <v>0.0844330422344899</v>
      </c>
      <c r="G618" s="177" t="n">
        <f aca="false">G609-F609</f>
        <v>0.0252289315731122</v>
      </c>
      <c r="H618" s="178"/>
      <c r="I618" s="178"/>
      <c r="J618" s="178"/>
      <c r="K618" s="178"/>
      <c r="L618" s="177" t="n">
        <f aca="false">L609-G609</f>
        <v>-0.0217365111075078</v>
      </c>
      <c r="M618" s="178"/>
      <c r="N618" s="178"/>
      <c r="O618" s="178"/>
      <c r="P618" s="178"/>
      <c r="Q618" s="177" t="n">
        <f aca="false">Q609-L609</f>
        <v>0.00731076480099835</v>
      </c>
      <c r="R618" s="178"/>
      <c r="S618" s="178"/>
      <c r="T618" s="178"/>
      <c r="U618" s="178"/>
      <c r="V618" s="177" t="n">
        <f aca="false">V609-Q609</f>
        <v>-0.0791385865710781</v>
      </c>
      <c r="W618" s="178"/>
      <c r="X618" s="178"/>
      <c r="Y618" s="178"/>
      <c r="Z618" s="178"/>
      <c r="AA618" s="177" t="n">
        <f aca="false">AA609-V609</f>
        <v>-0.071983446607945</v>
      </c>
      <c r="AB618" s="178"/>
      <c r="AC618" s="178"/>
      <c r="AD618" s="178"/>
      <c r="AE618" s="178"/>
      <c r="AF618" s="177" t="n">
        <f aca="false">AF609-AA609</f>
        <v>-0.173813219754051</v>
      </c>
      <c r="AG618" s="178"/>
      <c r="AH618" s="178"/>
      <c r="AI618" s="178"/>
      <c r="AJ618" s="178"/>
      <c r="AK618" s="177" t="n">
        <f aca="false">AK609-AF609</f>
        <v>0.00469949461216494</v>
      </c>
      <c r="AL618" s="178"/>
      <c r="AM618" s="178"/>
      <c r="AN618" s="178"/>
      <c r="AO618" s="178"/>
      <c r="AP618" s="177" t="n">
        <f aca="false">AP609-AK609</f>
        <v>-0.00599495799295838</v>
      </c>
      <c r="AQ618" s="178"/>
      <c r="AR618" s="178"/>
      <c r="AS618" s="178"/>
      <c r="AT618" s="178"/>
      <c r="AU618" s="177" t="n">
        <f aca="false">AU609-AP609</f>
        <v>-0.00485124161917358</v>
      </c>
      <c r="AV618" s="178"/>
      <c r="AW618" s="178"/>
      <c r="AX618" s="178"/>
      <c r="AY618" s="178"/>
      <c r="AZ618" s="177" t="n">
        <f aca="false">AZ609-AU609</f>
        <v>0.0114652094616227</v>
      </c>
      <c r="BA618" s="178"/>
      <c r="BB618" s="178"/>
      <c r="BC618" s="178"/>
      <c r="BD618" s="178"/>
      <c r="BE618" s="177" t="n">
        <f aca="false">BE609-AZ609</f>
        <v>-0.00958690745859778</v>
      </c>
      <c r="BF618" s="178"/>
      <c r="BG618" s="178"/>
      <c r="BH618" s="178"/>
      <c r="BI618" s="178"/>
      <c r="BJ618" s="575" t="n">
        <f aca="false">BJ609-BE609</f>
        <v>0.0160473724031185</v>
      </c>
      <c r="BK618" s="178"/>
      <c r="BL618" s="178"/>
      <c r="BM618" s="178"/>
      <c r="BN618" s="178"/>
      <c r="BO618" s="576" t="n">
        <f aca="false">BO609-BJ609</f>
        <v>-5.74781781062655E-005</v>
      </c>
      <c r="BP618" s="178"/>
      <c r="BQ618" s="178"/>
      <c r="BR618" s="178"/>
      <c r="BS618" s="577" t="n">
        <v>0</v>
      </c>
      <c r="BT618" s="177" t="n">
        <f aca="false">BT609-BO609</f>
        <v>0</v>
      </c>
      <c r="BU618" s="178"/>
      <c r="BV618" s="178"/>
      <c r="BW618" s="178"/>
      <c r="BX618" s="577" t="n">
        <v>0</v>
      </c>
      <c r="BY618" s="177" t="n">
        <f aca="false">BY609-BT609</f>
        <v>0</v>
      </c>
      <c r="BZ618" s="578" t="n">
        <v>0</v>
      </c>
      <c r="CA618" s="578" t="n">
        <v>0</v>
      </c>
      <c r="CB618" s="578" t="n">
        <v>0</v>
      </c>
      <c r="CC618" s="156"/>
    </row>
    <row r="619" s="157" customFormat="true" ht="15" hidden="false" customHeight="true" outlineLevel="0" collapsed="false">
      <c r="A619" s="175" t="s">
        <v>583</v>
      </c>
      <c r="B619" s="574"/>
      <c r="C619" s="177"/>
      <c r="D619" s="177" t="n">
        <f aca="false">D610-C610</f>
        <v>-0.00600496204606166</v>
      </c>
      <c r="E619" s="177" t="n">
        <f aca="false">E610-D610</f>
        <v>-0.0445869434622175</v>
      </c>
      <c r="F619" s="177" t="n">
        <f aca="false">F610-E610</f>
        <v>-0.0386809375627179</v>
      </c>
      <c r="G619" s="177" t="n">
        <f aca="false">G610-F610</f>
        <v>0.0793832195539606</v>
      </c>
      <c r="H619" s="178"/>
      <c r="I619" s="178"/>
      <c r="J619" s="178"/>
      <c r="K619" s="178"/>
      <c r="L619" s="177" t="n">
        <f aca="false">L610-G610</f>
        <v>-0.0345838158991546</v>
      </c>
      <c r="M619" s="178"/>
      <c r="N619" s="178"/>
      <c r="O619" s="178"/>
      <c r="P619" s="178"/>
      <c r="Q619" s="177" t="n">
        <f aca="false">Q610-L610</f>
        <v>-0.00077479243743353</v>
      </c>
      <c r="R619" s="178"/>
      <c r="S619" s="178"/>
      <c r="T619" s="178"/>
      <c r="U619" s="178"/>
      <c r="V619" s="177" t="n">
        <f aca="false">V610-Q610</f>
        <v>0.00334110101419263</v>
      </c>
      <c r="W619" s="178"/>
      <c r="X619" s="178"/>
      <c r="Y619" s="178"/>
      <c r="Z619" s="178"/>
      <c r="AA619" s="177" t="n">
        <f aca="false">AA610-V610</f>
        <v>0.0051886665905891</v>
      </c>
      <c r="AB619" s="178"/>
      <c r="AC619" s="178"/>
      <c r="AD619" s="178"/>
      <c r="AE619" s="178"/>
      <c r="AF619" s="177" t="n">
        <f aca="false">AF610-AA610</f>
        <v>-0.00440592578122577</v>
      </c>
      <c r="AG619" s="178"/>
      <c r="AH619" s="178"/>
      <c r="AI619" s="178"/>
      <c r="AJ619" s="178"/>
      <c r="AK619" s="177" t="n">
        <f aca="false">AK610-AF610</f>
        <v>0.00177984088817644</v>
      </c>
      <c r="AL619" s="178"/>
      <c r="AM619" s="178"/>
      <c r="AN619" s="178"/>
      <c r="AO619" s="178"/>
      <c r="AP619" s="177" t="n">
        <f aca="false">AP610-AK610</f>
        <v>0.00870817203141373</v>
      </c>
      <c r="AQ619" s="178"/>
      <c r="AR619" s="178"/>
      <c r="AS619" s="178"/>
      <c r="AT619" s="178"/>
      <c r="AU619" s="177" t="n">
        <f aca="false">AU610-AP610</f>
        <v>0.0151395124293436</v>
      </c>
      <c r="AV619" s="178"/>
      <c r="AW619" s="178"/>
      <c r="AX619" s="178"/>
      <c r="AY619" s="178"/>
      <c r="AZ619" s="177" t="n">
        <f aca="false">AZ610-AU610</f>
        <v>0.00743969081553875</v>
      </c>
      <c r="BA619" s="178"/>
      <c r="BB619" s="178"/>
      <c r="BC619" s="178"/>
      <c r="BD619" s="178"/>
      <c r="BE619" s="177" t="n">
        <f aca="false">BE610-AZ610</f>
        <v>-0.0359768386719147</v>
      </c>
      <c r="BF619" s="178"/>
      <c r="BG619" s="178"/>
      <c r="BH619" s="178"/>
      <c r="BI619" s="178"/>
      <c r="BJ619" s="575" t="n">
        <f aca="false">BJ610-BE610</f>
        <v>0.0386762366306954</v>
      </c>
      <c r="BK619" s="178"/>
      <c r="BL619" s="178"/>
      <c r="BM619" s="178"/>
      <c r="BN619" s="178"/>
      <c r="BO619" s="576" t="n">
        <f aca="false">BO610-BJ610</f>
        <v>0.00114859055510935</v>
      </c>
      <c r="BP619" s="178"/>
      <c r="BQ619" s="178"/>
      <c r="BR619" s="178"/>
      <c r="BS619" s="577" t="n">
        <v>0</v>
      </c>
      <c r="BT619" s="177" t="n">
        <f aca="false">BT610-BO610</f>
        <v>0</v>
      </c>
      <c r="BU619" s="178"/>
      <c r="BV619" s="178"/>
      <c r="BW619" s="178"/>
      <c r="BX619" s="577" t="n">
        <v>0</v>
      </c>
      <c r="BY619" s="177" t="n">
        <f aca="false">BY610-BT610</f>
        <v>0</v>
      </c>
      <c r="BZ619" s="578" t="n">
        <v>0</v>
      </c>
      <c r="CA619" s="578" t="n">
        <v>0</v>
      </c>
      <c r="CB619" s="578" t="n">
        <v>0</v>
      </c>
      <c r="CC619" s="156"/>
    </row>
    <row r="620" s="157" customFormat="true" ht="15" hidden="false" customHeight="true" outlineLevel="0" collapsed="false">
      <c r="A620" s="175" t="s">
        <v>584</v>
      </c>
      <c r="B620" s="574"/>
      <c r="C620" s="177"/>
      <c r="D620" s="177"/>
      <c r="E620" s="177"/>
      <c r="F620" s="177"/>
      <c r="G620" s="177"/>
      <c r="H620" s="178"/>
      <c r="I620" s="178"/>
      <c r="J620" s="178"/>
      <c r="K620" s="178"/>
      <c r="L620" s="177"/>
      <c r="M620" s="178"/>
      <c r="N620" s="178"/>
      <c r="O620" s="178"/>
      <c r="P620" s="178"/>
      <c r="Q620" s="177"/>
      <c r="R620" s="178"/>
      <c r="S620" s="178"/>
      <c r="T620" s="178"/>
      <c r="U620" s="178"/>
      <c r="V620" s="177"/>
      <c r="W620" s="178"/>
      <c r="X620" s="178"/>
      <c r="Y620" s="178"/>
      <c r="Z620" s="178"/>
      <c r="AA620" s="177"/>
      <c r="AB620" s="178"/>
      <c r="AC620" s="178"/>
      <c r="AD620" s="178"/>
      <c r="AE620" s="178"/>
      <c r="AF620" s="177"/>
      <c r="AG620" s="178"/>
      <c r="AH620" s="178"/>
      <c r="AI620" s="178"/>
      <c r="AJ620" s="178"/>
      <c r="AK620" s="177" t="n">
        <f aca="false">AK611-AF611</f>
        <v>0.0557898633003829</v>
      </c>
      <c r="AL620" s="178"/>
      <c r="AM620" s="178"/>
      <c r="AN620" s="178"/>
      <c r="AO620" s="178"/>
      <c r="AP620" s="177" t="n">
        <f aca="false">AP611-AK611</f>
        <v>0.0691378511125406</v>
      </c>
      <c r="AQ620" s="178"/>
      <c r="AR620" s="178"/>
      <c r="AS620" s="178"/>
      <c r="AT620" s="178"/>
      <c r="AU620" s="177" t="n">
        <f aca="false">AU611-AP611</f>
        <v>0.143494224908945</v>
      </c>
      <c r="AV620" s="178"/>
      <c r="AW620" s="178"/>
      <c r="AX620" s="178"/>
      <c r="AY620" s="178"/>
      <c r="AZ620" s="177" t="n">
        <f aca="false">AZ611-AU611</f>
        <v>0.163094527404257</v>
      </c>
      <c r="BA620" s="178"/>
      <c r="BB620" s="178"/>
      <c r="BC620" s="178"/>
      <c r="BD620" s="178"/>
      <c r="BE620" s="177" t="n">
        <f aca="false">BE611-AZ611</f>
        <v>-0.174312808614784</v>
      </c>
      <c r="BF620" s="178"/>
      <c r="BG620" s="178"/>
      <c r="BH620" s="178"/>
      <c r="BI620" s="178"/>
      <c r="BJ620" s="575" t="n">
        <f aca="false">BJ611-BE611</f>
        <v>0.0296277477602701</v>
      </c>
      <c r="BK620" s="178"/>
      <c r="BL620" s="178"/>
      <c r="BM620" s="178"/>
      <c r="BN620" s="178"/>
      <c r="BO620" s="576" t="n">
        <f aca="false">BO611-BJ611</f>
        <v>0.00521903272487967</v>
      </c>
      <c r="BP620" s="178"/>
      <c r="BQ620" s="178"/>
      <c r="BR620" s="178"/>
      <c r="BS620" s="577" t="n">
        <v>0</v>
      </c>
      <c r="BT620" s="177" t="n">
        <f aca="false">BT611-BO611</f>
        <v>0</v>
      </c>
      <c r="BU620" s="178"/>
      <c r="BV620" s="178"/>
      <c r="BW620" s="178"/>
      <c r="BX620" s="577" t="n">
        <v>0</v>
      </c>
      <c r="BY620" s="177" t="n">
        <f aca="false">BY611-BT611</f>
        <v>0</v>
      </c>
      <c r="BZ620" s="578" t="n">
        <v>0</v>
      </c>
      <c r="CA620" s="578" t="n">
        <v>0</v>
      </c>
      <c r="CB620" s="578" t="n">
        <v>0</v>
      </c>
      <c r="CC620" s="156"/>
    </row>
    <row r="621" s="157" customFormat="true" ht="15" hidden="false" customHeight="true" outlineLevel="0" collapsed="false">
      <c r="A621" s="175" t="s">
        <v>585</v>
      </c>
      <c r="B621" s="574"/>
      <c r="C621" s="177"/>
      <c r="D621" s="177" t="n">
        <f aca="false">D612-C612</f>
        <v>0.00415721175594379</v>
      </c>
      <c r="E621" s="177" t="n">
        <f aca="false">E612-D612</f>
        <v>-0.0109211822989229</v>
      </c>
      <c r="F621" s="177" t="n">
        <f aca="false">F612-E612</f>
        <v>-0.000373558472310368</v>
      </c>
      <c r="G621" s="177" t="n">
        <f aca="false">G612-F612</f>
        <v>0.000732131890262328</v>
      </c>
      <c r="H621" s="178"/>
      <c r="I621" s="178"/>
      <c r="J621" s="178"/>
      <c r="K621" s="178"/>
      <c r="L621" s="177" t="n">
        <f aca="false">L612-G612</f>
        <v>0.00318450452248317</v>
      </c>
      <c r="M621" s="178"/>
      <c r="N621" s="178"/>
      <c r="O621" s="178"/>
      <c r="P621" s="178"/>
      <c r="Q621" s="177" t="n">
        <f aca="false">Q612-L612</f>
        <v>-0.00561611735784118</v>
      </c>
      <c r="R621" s="178"/>
      <c r="S621" s="178"/>
      <c r="T621" s="178"/>
      <c r="U621" s="178"/>
      <c r="V621" s="177" t="n">
        <f aca="false">V612-Q612</f>
        <v>0.0291327342283572</v>
      </c>
      <c r="W621" s="178"/>
      <c r="X621" s="178"/>
      <c r="Y621" s="178"/>
      <c r="Z621" s="178"/>
      <c r="AA621" s="177" t="n">
        <f aca="false">AA612-V612</f>
        <v>-0.0129235135686798</v>
      </c>
      <c r="AB621" s="178"/>
      <c r="AC621" s="178"/>
      <c r="AD621" s="178"/>
      <c r="AE621" s="178"/>
      <c r="AF621" s="177" t="n">
        <f aca="false">AF612-AA612</f>
        <v>0.000378839851041531</v>
      </c>
      <c r="AG621" s="178"/>
      <c r="AH621" s="178"/>
      <c r="AI621" s="178"/>
      <c r="AJ621" s="178"/>
      <c r="AK621" s="177" t="n">
        <f aca="false">AK612-AF612</f>
        <v>-0.0116193097485677</v>
      </c>
      <c r="AL621" s="178"/>
      <c r="AM621" s="178"/>
      <c r="AN621" s="178"/>
      <c r="AO621" s="178"/>
      <c r="AP621" s="177" t="n">
        <f aca="false">AP612-AK612</f>
        <v>0.00231931234497358</v>
      </c>
      <c r="AQ621" s="178"/>
      <c r="AR621" s="178"/>
      <c r="AS621" s="178"/>
      <c r="AT621" s="178"/>
      <c r="AU621" s="177" t="n">
        <f aca="false">AU612-AP612</f>
        <v>0.00835236164001846</v>
      </c>
      <c r="AV621" s="178"/>
      <c r="AW621" s="178"/>
      <c r="AX621" s="178"/>
      <c r="AY621" s="178"/>
      <c r="AZ621" s="177" t="n">
        <f aca="false">AZ612-AU612</f>
        <v>-0.00133026347369972</v>
      </c>
      <c r="BA621" s="178"/>
      <c r="BB621" s="178"/>
      <c r="BC621" s="178"/>
      <c r="BD621" s="178"/>
      <c r="BE621" s="177" t="n">
        <f aca="false">BE612-AZ612</f>
        <v>-0.00368244298713889</v>
      </c>
      <c r="BF621" s="178"/>
      <c r="BG621" s="178"/>
      <c r="BH621" s="178"/>
      <c r="BI621" s="178"/>
      <c r="BJ621" s="575" t="n">
        <f aca="false">BJ612-BE612</f>
        <v>-0.0011851415505877</v>
      </c>
      <c r="BK621" s="178"/>
      <c r="BL621" s="178"/>
      <c r="BM621" s="178"/>
      <c r="BN621" s="178"/>
      <c r="BO621" s="576" t="n">
        <f aca="false">BO612-BJ612</f>
        <v>-2.37413711968691E-005</v>
      </c>
      <c r="BP621" s="178"/>
      <c r="BQ621" s="178"/>
      <c r="BR621" s="178"/>
      <c r="BS621" s="577" t="n">
        <v>0</v>
      </c>
      <c r="BT621" s="177" t="n">
        <f aca="false">BT612-BO612</f>
        <v>0</v>
      </c>
      <c r="BU621" s="178"/>
      <c r="BV621" s="178"/>
      <c r="BW621" s="178"/>
      <c r="BX621" s="577" t="n">
        <v>0</v>
      </c>
      <c r="BY621" s="177" t="n">
        <f aca="false">BY612-BT612</f>
        <v>0</v>
      </c>
      <c r="BZ621" s="578" t="n">
        <v>0</v>
      </c>
      <c r="CA621" s="578" t="n">
        <v>0</v>
      </c>
      <c r="CB621" s="578" t="n">
        <v>0</v>
      </c>
      <c r="CC621" s="156"/>
    </row>
    <row r="622" s="157" customFormat="true" ht="15" hidden="false" customHeight="true" outlineLevel="0" collapsed="false">
      <c r="A622" s="145"/>
      <c r="B622" s="254"/>
      <c r="C622" s="147"/>
      <c r="D622" s="147"/>
      <c r="E622" s="147"/>
      <c r="F622" s="147"/>
      <c r="G622" s="147"/>
      <c r="H622" s="149"/>
      <c r="I622" s="149"/>
      <c r="J622" s="149"/>
      <c r="K622" s="149"/>
      <c r="L622" s="147"/>
      <c r="M622" s="149"/>
      <c r="N622" s="149"/>
      <c r="O622" s="149"/>
      <c r="P622" s="149"/>
      <c r="Q622" s="147"/>
      <c r="R622" s="149"/>
      <c r="S622" s="149"/>
      <c r="T622" s="149"/>
      <c r="U622" s="149"/>
      <c r="V622" s="147"/>
      <c r="W622" s="149"/>
      <c r="X622" s="149"/>
      <c r="Y622" s="149"/>
      <c r="Z622" s="149"/>
      <c r="AA622" s="147"/>
      <c r="AB622" s="149"/>
      <c r="AC622" s="149"/>
      <c r="AD622" s="149"/>
      <c r="AE622" s="149"/>
      <c r="AF622" s="147"/>
      <c r="AG622" s="149"/>
      <c r="AH622" s="149"/>
      <c r="AI622" s="149"/>
      <c r="AJ622" s="149"/>
      <c r="AK622" s="147"/>
      <c r="AL622" s="149"/>
      <c r="AM622" s="149"/>
      <c r="AN622" s="149"/>
      <c r="AO622" s="149"/>
      <c r="AP622" s="147"/>
      <c r="AQ622" s="149"/>
      <c r="AR622" s="149"/>
      <c r="AS622" s="149"/>
      <c r="AT622" s="149"/>
      <c r="AU622" s="147"/>
      <c r="AV622" s="149"/>
      <c r="AW622" s="149"/>
      <c r="AX622" s="149"/>
      <c r="AY622" s="149"/>
      <c r="AZ622" s="147"/>
      <c r="BA622" s="149"/>
      <c r="BB622" s="149"/>
      <c r="BC622" s="149"/>
      <c r="BD622" s="149"/>
      <c r="BE622" s="147"/>
      <c r="BF622" s="149"/>
      <c r="BG622" s="149"/>
      <c r="BH622" s="149"/>
      <c r="BI622" s="149"/>
      <c r="BJ622" s="147"/>
      <c r="BK622" s="149"/>
      <c r="BL622" s="149"/>
      <c r="BM622" s="149"/>
      <c r="BN622" s="149"/>
      <c r="BO622" s="150"/>
      <c r="BP622" s="149"/>
      <c r="BQ622" s="149"/>
      <c r="BR622" s="149"/>
      <c r="BS622" s="149"/>
      <c r="BT622" s="147"/>
      <c r="BU622" s="149"/>
      <c r="BV622" s="149"/>
      <c r="BW622" s="149"/>
      <c r="BX622" s="149"/>
      <c r="BY622" s="147"/>
      <c r="BZ622" s="147"/>
      <c r="CA622" s="147"/>
      <c r="CB622" s="147"/>
      <c r="CC622" s="156"/>
    </row>
    <row r="623" s="157" customFormat="true" ht="15" hidden="false" customHeight="true" outlineLevel="0" collapsed="false">
      <c r="A623" s="219" t="s">
        <v>586</v>
      </c>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c r="AA623" s="219"/>
      <c r="AB623" s="219"/>
      <c r="AC623" s="219"/>
      <c r="AD623" s="219"/>
      <c r="AE623" s="219"/>
      <c r="AF623" s="219"/>
      <c r="AG623" s="219"/>
      <c r="AH623" s="219"/>
      <c r="AI623" s="219"/>
      <c r="AJ623" s="219"/>
      <c r="AK623" s="219"/>
      <c r="AL623" s="219"/>
      <c r="AM623" s="219"/>
      <c r="AN623" s="219"/>
      <c r="AO623" s="219"/>
      <c r="AP623" s="219"/>
      <c r="AQ623" s="219"/>
      <c r="AR623" s="219"/>
      <c r="AS623" s="219"/>
      <c r="AT623" s="219"/>
      <c r="AU623" s="219"/>
      <c r="AV623" s="219"/>
      <c r="AW623" s="219"/>
      <c r="AX623" s="219"/>
      <c r="AY623" s="219"/>
      <c r="AZ623" s="219"/>
      <c r="BA623" s="219"/>
      <c r="BB623" s="219"/>
      <c r="BC623" s="219"/>
      <c r="BD623" s="219"/>
      <c r="BE623" s="219"/>
      <c r="BF623" s="219"/>
      <c r="BG623" s="219"/>
      <c r="BH623" s="219"/>
      <c r="BI623" s="219"/>
      <c r="BJ623" s="219"/>
      <c r="BK623" s="219"/>
      <c r="BL623" s="219"/>
      <c r="BM623" s="219"/>
      <c r="BN623" s="219"/>
      <c r="BO623" s="220"/>
      <c r="BP623" s="219"/>
      <c r="BQ623" s="219"/>
      <c r="BR623" s="219"/>
      <c r="BS623" s="219"/>
      <c r="BT623" s="219"/>
      <c r="BU623" s="219"/>
      <c r="BV623" s="219"/>
      <c r="BW623" s="219"/>
      <c r="BX623" s="219"/>
      <c r="BY623" s="219"/>
      <c r="BZ623" s="219"/>
      <c r="CA623" s="219"/>
      <c r="CB623" s="219"/>
      <c r="CC623" s="156"/>
    </row>
    <row r="624" s="51" customFormat="true" ht="15" hidden="false" customHeight="true" outlineLevel="0" collapsed="false">
      <c r="A624" s="221" t="s">
        <v>587</v>
      </c>
      <c r="B624" s="254"/>
      <c r="C624" s="159"/>
      <c r="D624" s="159"/>
      <c r="E624" s="159"/>
      <c r="F624" s="159"/>
      <c r="G624" s="159"/>
      <c r="H624" s="48"/>
      <c r="I624" s="48"/>
      <c r="J624" s="48"/>
      <c r="K624" s="48"/>
      <c r="L624" s="159"/>
      <c r="M624" s="48"/>
      <c r="N624" s="48"/>
      <c r="O624" s="48"/>
      <c r="P624" s="48"/>
      <c r="Q624" s="159"/>
      <c r="R624" s="48"/>
      <c r="S624" s="48"/>
      <c r="T624" s="48"/>
      <c r="U624" s="48"/>
      <c r="V624" s="159"/>
      <c r="W624" s="48"/>
      <c r="X624" s="48"/>
      <c r="Y624" s="48"/>
      <c r="Z624" s="48"/>
      <c r="AA624" s="159"/>
      <c r="AB624" s="48"/>
      <c r="AC624" s="48"/>
      <c r="AD624" s="48"/>
      <c r="AE624" s="48"/>
      <c r="AF624" s="159"/>
      <c r="AG624" s="48"/>
      <c r="AH624" s="48"/>
      <c r="AI624" s="48"/>
      <c r="AJ624" s="48"/>
      <c r="AK624" s="159"/>
      <c r="AL624" s="48"/>
      <c r="AM624" s="48"/>
      <c r="AN624" s="48"/>
      <c r="AO624" s="48"/>
      <c r="AP624" s="159"/>
      <c r="AQ624" s="48"/>
      <c r="AR624" s="48"/>
      <c r="AS624" s="48"/>
      <c r="AT624" s="48"/>
      <c r="AU624" s="159"/>
      <c r="AV624" s="48"/>
      <c r="AW624" s="48"/>
      <c r="AX624" s="48"/>
      <c r="AY624" s="48"/>
      <c r="AZ624" s="159"/>
      <c r="BA624" s="48"/>
      <c r="BB624" s="48"/>
      <c r="BC624" s="48"/>
      <c r="BD624" s="48"/>
      <c r="BE624" s="159"/>
      <c r="BF624" s="48"/>
      <c r="BG624" s="48"/>
      <c r="BH624" s="48"/>
      <c r="BI624" s="48"/>
      <c r="BJ624" s="159"/>
      <c r="BK624" s="48"/>
      <c r="BL624" s="48"/>
      <c r="BM624" s="48"/>
      <c r="BN624" s="48"/>
      <c r="BO624" s="160"/>
      <c r="BP624" s="48"/>
      <c r="BQ624" s="48"/>
      <c r="BR624" s="48"/>
      <c r="BS624" s="48"/>
      <c r="BT624" s="159"/>
      <c r="BU624" s="48"/>
      <c r="BV624" s="48"/>
      <c r="BW624" s="48"/>
      <c r="BX624" s="48"/>
      <c r="BY624" s="159"/>
      <c r="BZ624" s="159"/>
      <c r="CA624" s="159"/>
      <c r="CB624" s="159"/>
      <c r="CC624" s="50"/>
    </row>
    <row r="625" s="51" customFormat="true" ht="15" hidden="false" customHeight="true" outlineLevel="0" collapsed="false">
      <c r="A625" s="270" t="s">
        <v>588</v>
      </c>
      <c r="B625" s="254"/>
      <c r="C625" s="255" t="n">
        <v>1037.074</v>
      </c>
      <c r="D625" s="255" t="n">
        <v>1949.834</v>
      </c>
      <c r="E625" s="255" t="n">
        <v>2731.782</v>
      </c>
      <c r="F625" s="255" t="n">
        <v>1767.596</v>
      </c>
      <c r="G625" s="255" t="n">
        <v>2330.694</v>
      </c>
      <c r="H625" s="263" t="n">
        <v>2398.1</v>
      </c>
      <c r="I625" s="263" t="n">
        <v>2111</v>
      </c>
      <c r="J625" s="263" t="n">
        <v>2144.8</v>
      </c>
      <c r="K625" s="50" t="n">
        <f aca="false">L625</f>
        <v>2419.487</v>
      </c>
      <c r="L625" s="255" t="n">
        <v>2419.487</v>
      </c>
      <c r="M625" s="263" t="n">
        <v>2778.5</v>
      </c>
      <c r="N625" s="263" t="n">
        <v>2495</v>
      </c>
      <c r="O625" s="263" t="n">
        <v>2680.9</v>
      </c>
      <c r="P625" s="50" t="n">
        <f aca="false">Q625</f>
        <v>2458.717</v>
      </c>
      <c r="Q625" s="255" t="n">
        <v>2458.717</v>
      </c>
      <c r="R625" s="263" t="n">
        <v>2063.4</v>
      </c>
      <c r="S625" s="263" t="n">
        <v>1926.1</v>
      </c>
      <c r="T625" s="263" t="n">
        <v>2913</v>
      </c>
      <c r="U625" s="50" t="n">
        <f aca="false">V625</f>
        <v>2906.9</v>
      </c>
      <c r="V625" s="255" t="n">
        <v>2906.9</v>
      </c>
      <c r="W625" s="263" t="n">
        <v>2910.6</v>
      </c>
      <c r="X625" s="263" t="n">
        <v>1914.2</v>
      </c>
      <c r="Y625" s="263" t="n">
        <v>2077.6</v>
      </c>
      <c r="Z625" s="50" t="n">
        <f aca="false">AA625</f>
        <v>2259</v>
      </c>
      <c r="AA625" s="255" t="n">
        <v>2259</v>
      </c>
      <c r="AB625" s="263" t="n">
        <v>2464.8</v>
      </c>
      <c r="AC625" s="263" t="n">
        <v>2325.7</v>
      </c>
      <c r="AD625" s="263" t="n">
        <v>2203.2</v>
      </c>
      <c r="AE625" s="50" t="n">
        <f aca="false">AF625</f>
        <v>3121.1</v>
      </c>
      <c r="AF625" s="255" t="n">
        <v>3121.1</v>
      </c>
      <c r="AG625" s="263" t="n">
        <v>2253</v>
      </c>
      <c r="AH625" s="263" t="n">
        <v>1661.1</v>
      </c>
      <c r="AI625" s="263" t="n">
        <v>1586.1</v>
      </c>
      <c r="AJ625" s="50" t="n">
        <f aca="false">AK625</f>
        <v>3532.3</v>
      </c>
      <c r="AK625" s="255" t="n">
        <v>3532.3</v>
      </c>
      <c r="AL625" s="263" t="n">
        <v>2723.7</v>
      </c>
      <c r="AM625" s="263" t="n">
        <v>3499.1</v>
      </c>
      <c r="AN625" s="263" t="n">
        <v>3531.5</v>
      </c>
      <c r="AO625" s="50" t="n">
        <f aca="false">AP625</f>
        <v>6049.4</v>
      </c>
      <c r="AP625" s="255" t="n">
        <v>6049.4</v>
      </c>
      <c r="AQ625" s="263" t="n">
        <v>3243.8</v>
      </c>
      <c r="AR625" s="263" t="n">
        <v>5186.6</v>
      </c>
      <c r="AS625" s="263" t="n">
        <v>4318.7</v>
      </c>
      <c r="AT625" s="50" t="n">
        <f aca="false">AU625</f>
        <v>6951.8</v>
      </c>
      <c r="AU625" s="255" t="n">
        <v>6951.8</v>
      </c>
      <c r="AV625" s="263" t="n">
        <v>4324.1</v>
      </c>
      <c r="AW625" s="263" t="n">
        <v>4096.5</v>
      </c>
      <c r="AX625" s="263" t="n">
        <v>3152.8</v>
      </c>
      <c r="AY625" s="50" t="n">
        <f aca="false">AZ625</f>
        <v>7268.3</v>
      </c>
      <c r="AZ625" s="255" t="n">
        <v>7268.3</v>
      </c>
      <c r="BA625" s="263" t="n">
        <v>6647.7</v>
      </c>
      <c r="BB625" s="263" t="n">
        <v>6341.3</v>
      </c>
      <c r="BC625" s="263" t="n">
        <v>4975.5</v>
      </c>
      <c r="BD625" s="50" t="n">
        <f aca="false">BE625</f>
        <v>7004.7</v>
      </c>
      <c r="BE625" s="255" t="n">
        <v>7004.7</v>
      </c>
      <c r="BF625" s="263" t="n">
        <v>5100.8</v>
      </c>
      <c r="BG625" s="263" t="n">
        <v>4813.6</v>
      </c>
      <c r="BH625" s="263" t="n">
        <v>4979.3</v>
      </c>
      <c r="BI625" s="50" t="n">
        <f aca="false">BJ625</f>
        <v>12735.9</v>
      </c>
      <c r="BJ625" s="255" t="n">
        <v>12735.9</v>
      </c>
      <c r="BK625" s="263" t="n">
        <v>9098.4</v>
      </c>
      <c r="BL625" s="263" t="n">
        <v>7243.5</v>
      </c>
      <c r="BM625" s="263" t="n">
        <v>5126.5</v>
      </c>
      <c r="BN625" s="50" t="n">
        <f aca="false">BO625</f>
        <v>12916</v>
      </c>
      <c r="BO625" s="390" t="n">
        <v>12916</v>
      </c>
      <c r="BP625" s="48" t="n">
        <f aca="false">BP578</f>
        <v>16895.9522308287</v>
      </c>
      <c r="BQ625" s="48" t="n">
        <f aca="false">BQ578</f>
        <v>18985.3165402904</v>
      </c>
      <c r="BR625" s="48" t="n">
        <f aca="false">BR578</f>
        <v>21249.9750095995</v>
      </c>
      <c r="BS625" s="48" t="n">
        <f aca="false">BS578</f>
        <v>22377.5590300503</v>
      </c>
      <c r="BT625" s="159" t="n">
        <f aca="false">BS625</f>
        <v>22377.5590300503</v>
      </c>
      <c r="BU625" s="48" t="n">
        <f aca="false">BU578</f>
        <v>26579.4936154714</v>
      </c>
      <c r="BV625" s="48" t="n">
        <f aca="false">BV578</f>
        <v>28944.508753916</v>
      </c>
      <c r="BW625" s="48" t="n">
        <f aca="false">BW578</f>
        <v>31388.1074980378</v>
      </c>
      <c r="BX625" s="48" t="n">
        <f aca="false">BX578</f>
        <v>32842.3283271572</v>
      </c>
      <c r="BY625" s="159" t="n">
        <f aca="false">BX625</f>
        <v>32842.3283271572</v>
      </c>
      <c r="BZ625" s="159" t="n">
        <f aca="false">BZ578</f>
        <v>46780.3700058035</v>
      </c>
      <c r="CA625" s="159" t="n">
        <f aca="false">CA578</f>
        <v>60663.6947396154</v>
      </c>
      <c r="CB625" s="159" t="n">
        <f aca="false">CB578</f>
        <v>75570.8238265814</v>
      </c>
      <c r="CC625" s="50"/>
    </row>
    <row r="626" s="51" customFormat="true" ht="15" hidden="false" customHeight="true" outlineLevel="0" collapsed="false">
      <c r="A626" s="270" t="s">
        <v>589</v>
      </c>
      <c r="B626" s="254"/>
      <c r="C626" s="159"/>
      <c r="D626" s="159"/>
      <c r="E626" s="159"/>
      <c r="F626" s="255" t="n">
        <v>930.005</v>
      </c>
      <c r="G626" s="255" t="n">
        <v>679.884</v>
      </c>
      <c r="H626" s="263" t="n">
        <v>599.7</v>
      </c>
      <c r="I626" s="263" t="n">
        <v>599.7</v>
      </c>
      <c r="J626" s="263" t="n">
        <v>539.8</v>
      </c>
      <c r="K626" s="50" t="n">
        <f aca="false">L626</f>
        <v>334.864</v>
      </c>
      <c r="L626" s="255" t="n">
        <v>334.864</v>
      </c>
      <c r="M626" s="263" t="n">
        <v>60</v>
      </c>
      <c r="N626" s="263" t="n">
        <v>25</v>
      </c>
      <c r="O626" s="48"/>
      <c r="P626" s="50" t="n">
        <f aca="false">Q626</f>
        <v>950</v>
      </c>
      <c r="Q626" s="255" t="n">
        <v>950</v>
      </c>
      <c r="R626" s="263" t="n">
        <v>1075</v>
      </c>
      <c r="S626" s="263" t="n">
        <v>1000</v>
      </c>
      <c r="T626" s="263" t="n">
        <v>1400</v>
      </c>
      <c r="U626" s="50" t="n">
        <f aca="false">V626</f>
        <v>1150</v>
      </c>
      <c r="V626" s="255" t="n">
        <v>1150</v>
      </c>
      <c r="W626" s="263" t="n">
        <v>925</v>
      </c>
      <c r="X626" s="263" t="n">
        <v>600</v>
      </c>
      <c r="Y626" s="263" t="n">
        <v>600</v>
      </c>
      <c r="Z626" s="50" t="n">
        <f aca="false">AA626</f>
        <v>1029.3</v>
      </c>
      <c r="AA626" s="255" t="n">
        <v>1029.3</v>
      </c>
      <c r="AB626" s="263" t="n">
        <v>729.3</v>
      </c>
      <c r="AC626" s="263" t="n">
        <v>654.3</v>
      </c>
      <c r="AD626" s="263" t="n">
        <v>744.3</v>
      </c>
      <c r="AE626" s="50" t="n">
        <f aca="false">AF626</f>
        <v>913.3</v>
      </c>
      <c r="AF626" s="255" t="n">
        <v>913.3</v>
      </c>
      <c r="AG626" s="263" t="n">
        <v>1022.1</v>
      </c>
      <c r="AH626" s="263" t="n">
        <v>673.5</v>
      </c>
      <c r="AI626" s="263" t="n">
        <v>483.8</v>
      </c>
      <c r="AJ626" s="50" t="n">
        <f aca="false">AK626</f>
        <v>1185.8</v>
      </c>
      <c r="AK626" s="255" t="n">
        <v>1185.8</v>
      </c>
      <c r="AL626" s="263" t="n">
        <v>1388.1</v>
      </c>
      <c r="AM626" s="263" t="n">
        <v>941.2</v>
      </c>
      <c r="AN626" s="263" t="n">
        <v>876.3</v>
      </c>
      <c r="AO626" s="50" t="n">
        <f aca="false">AP626</f>
        <v>1302.2</v>
      </c>
      <c r="AP626" s="255" t="n">
        <v>1302.2</v>
      </c>
      <c r="AQ626" s="263" t="n">
        <v>1411.6</v>
      </c>
      <c r="AR626" s="263" t="n">
        <v>186.7</v>
      </c>
      <c r="AS626" s="263" t="n">
        <v>137</v>
      </c>
      <c r="AT626" s="50" t="n">
        <f aca="false">AU626</f>
        <v>638.5</v>
      </c>
      <c r="AU626" s="255" t="n">
        <v>638.5</v>
      </c>
      <c r="AV626" s="263" t="n">
        <v>398.5</v>
      </c>
      <c r="AW626" s="263" t="n">
        <v>305.4</v>
      </c>
      <c r="AX626" s="263" t="n">
        <v>210</v>
      </c>
      <c r="AY626" s="50" t="n">
        <f aca="false">AZ626</f>
        <v>107.7</v>
      </c>
      <c r="AZ626" s="255" t="n">
        <v>107.7</v>
      </c>
      <c r="BA626" s="263" t="n">
        <v>4.8</v>
      </c>
      <c r="BB626" s="263" t="n">
        <v>5.1</v>
      </c>
      <c r="BC626" s="263" t="n">
        <v>5.4</v>
      </c>
      <c r="BD626" s="50" t="n">
        <f aca="false">BE626</f>
        <v>5.4</v>
      </c>
      <c r="BE626" s="255" t="n">
        <v>5.4</v>
      </c>
      <c r="BF626" s="263" t="n">
        <v>305.3</v>
      </c>
      <c r="BG626" s="263" t="n">
        <v>205.3</v>
      </c>
      <c r="BH626" s="263" t="n">
        <v>5.2</v>
      </c>
      <c r="BI626" s="50" t="n">
        <f aca="false">BJ626</f>
        <v>5.4</v>
      </c>
      <c r="BJ626" s="255" t="n">
        <v>5.4</v>
      </c>
      <c r="BK626" s="263" t="n">
        <v>5.2</v>
      </c>
      <c r="BL626" s="263" t="n">
        <v>5.4</v>
      </c>
      <c r="BM626" s="263" t="n">
        <v>1.7</v>
      </c>
      <c r="BN626" s="50" t="n">
        <f aca="false">BO626</f>
        <v>405.9</v>
      </c>
      <c r="BO626" s="390" t="n">
        <v>405.9</v>
      </c>
      <c r="BP626" s="48" t="n">
        <f aca="false">BO626</f>
        <v>405.9</v>
      </c>
      <c r="BQ626" s="48" t="n">
        <f aca="false">BP626</f>
        <v>405.9</v>
      </c>
      <c r="BR626" s="48" t="n">
        <f aca="false">BQ626</f>
        <v>405.9</v>
      </c>
      <c r="BS626" s="48" t="n">
        <f aca="false">BR626</f>
        <v>405.9</v>
      </c>
      <c r="BT626" s="159" t="n">
        <f aca="false">BS626</f>
        <v>405.9</v>
      </c>
      <c r="BU626" s="48" t="n">
        <f aca="false">BT626</f>
        <v>405.9</v>
      </c>
      <c r="BV626" s="48" t="n">
        <f aca="false">BU626</f>
        <v>405.9</v>
      </c>
      <c r="BW626" s="48" t="n">
        <f aca="false">BV626</f>
        <v>405.9</v>
      </c>
      <c r="BX626" s="48" t="n">
        <f aca="false">BW626</f>
        <v>405.9</v>
      </c>
      <c r="BY626" s="159" t="n">
        <f aca="false">BX626</f>
        <v>405.9</v>
      </c>
      <c r="BZ626" s="159" t="n">
        <f aca="false">BY626</f>
        <v>405.9</v>
      </c>
      <c r="CA626" s="159" t="n">
        <f aca="false">BZ626</f>
        <v>405.9</v>
      </c>
      <c r="CB626" s="159" t="n">
        <f aca="false">CA626</f>
        <v>405.9</v>
      </c>
      <c r="CC626" s="50"/>
    </row>
    <row r="627" s="51" customFormat="true" ht="15" hidden="false" customHeight="true" outlineLevel="0" collapsed="false">
      <c r="A627" s="401" t="s">
        <v>590</v>
      </c>
      <c r="B627" s="254"/>
      <c r="C627" s="255" t="n">
        <v>377.439</v>
      </c>
      <c r="D627" s="255" t="n">
        <v>1123.534</v>
      </c>
      <c r="E627" s="255" t="n">
        <v>880.627</v>
      </c>
      <c r="F627" s="255" t="n">
        <v>605.288</v>
      </c>
      <c r="G627" s="255" t="n">
        <v>878.321</v>
      </c>
      <c r="H627" s="263" t="n">
        <v>832.2</v>
      </c>
      <c r="I627" s="263" t="n">
        <v>1085.6</v>
      </c>
      <c r="J627" s="263" t="n">
        <v>961.2</v>
      </c>
      <c r="K627" s="50" t="n">
        <f aca="false">L627</f>
        <v>1052.504</v>
      </c>
      <c r="L627" s="255" t="n">
        <v>1052.504</v>
      </c>
      <c r="M627" s="263" t="n">
        <v>1270.6</v>
      </c>
      <c r="N627" s="263" t="n">
        <v>1282.3</v>
      </c>
      <c r="O627" s="263" t="n">
        <v>1089.4</v>
      </c>
      <c r="P627" s="50" t="n">
        <f aca="false">Q627</f>
        <v>803.696</v>
      </c>
      <c r="Q627" s="255" t="n">
        <v>803.696</v>
      </c>
      <c r="R627" s="263" t="n">
        <v>753.2</v>
      </c>
      <c r="S627" s="263" t="n">
        <v>732.4</v>
      </c>
      <c r="T627" s="263" t="n">
        <v>858.4</v>
      </c>
      <c r="U627" s="50" t="n">
        <f aca="false">V627</f>
        <v>700.2</v>
      </c>
      <c r="V627" s="255" t="n">
        <v>700.2</v>
      </c>
      <c r="W627" s="263" t="n">
        <v>864.8</v>
      </c>
      <c r="X627" s="263" t="n">
        <v>1224.6</v>
      </c>
      <c r="Y627" s="263" t="n">
        <v>1664.2</v>
      </c>
      <c r="Z627" s="50" t="n">
        <f aca="false">AA627</f>
        <v>1772.3</v>
      </c>
      <c r="AA627" s="255" t="n">
        <v>1772.3</v>
      </c>
      <c r="AB627" s="263" t="n">
        <v>1603.4</v>
      </c>
      <c r="AC627" s="263" t="n">
        <v>1138.9</v>
      </c>
      <c r="AD627" s="263" t="n">
        <v>1679.1</v>
      </c>
      <c r="AE627" s="50" t="n">
        <f aca="false">AF627</f>
        <v>1498.2</v>
      </c>
      <c r="AF627" s="255" t="n">
        <v>1498.2</v>
      </c>
      <c r="AG627" s="263" t="n">
        <v>1589.3</v>
      </c>
      <c r="AH627" s="263" t="n">
        <v>1637.7</v>
      </c>
      <c r="AI627" s="263" t="n">
        <v>2100.7</v>
      </c>
      <c r="AJ627" s="50" t="n">
        <f aca="false">AK627</f>
        <v>1786.8</v>
      </c>
      <c r="AK627" s="255" t="n">
        <v>1786.8</v>
      </c>
      <c r="AL627" s="263" t="n">
        <v>1767.4</v>
      </c>
      <c r="AM627" s="263" t="n">
        <v>1770</v>
      </c>
      <c r="AN627" s="263" t="n">
        <v>2458.8</v>
      </c>
      <c r="AO627" s="50" t="n">
        <f aca="false">AP627</f>
        <v>1310.3</v>
      </c>
      <c r="AP627" s="255" t="n">
        <v>1310.3</v>
      </c>
      <c r="AQ627" s="263" t="n">
        <v>2239.2</v>
      </c>
      <c r="AR627" s="263" t="n">
        <v>2782</v>
      </c>
      <c r="AS627" s="263" t="n">
        <v>3383.3</v>
      </c>
      <c r="AT627" s="50" t="n">
        <f aca="false">AU627</f>
        <v>3028</v>
      </c>
      <c r="AU627" s="255" t="n">
        <v>3028</v>
      </c>
      <c r="AV627" s="263" t="n">
        <v>3494.6</v>
      </c>
      <c r="AW627" s="263" t="n">
        <v>5376.7</v>
      </c>
      <c r="AX627" s="263" t="n">
        <v>5840.2</v>
      </c>
      <c r="AY627" s="50" t="n">
        <f aca="false">AZ627</f>
        <v>5323.8</v>
      </c>
      <c r="AZ627" s="255" t="n">
        <v>5323.8</v>
      </c>
      <c r="BA627" s="263" t="n">
        <v>3454.7</v>
      </c>
      <c r="BB627" s="263" t="n">
        <v>3963.6</v>
      </c>
      <c r="BC627" s="263" t="n">
        <v>3910.5</v>
      </c>
      <c r="BD627" s="50" t="n">
        <f aca="false">BE627</f>
        <v>4334.1</v>
      </c>
      <c r="BE627" s="255" t="n">
        <v>4334.1</v>
      </c>
      <c r="BF627" s="263" t="n">
        <v>3585.5</v>
      </c>
      <c r="BG627" s="263" t="n">
        <v>4475.8</v>
      </c>
      <c r="BH627" s="263" t="n">
        <v>5160.6</v>
      </c>
      <c r="BI627" s="50" t="n">
        <f aca="false">BJ627</f>
        <v>4477.5</v>
      </c>
      <c r="BJ627" s="255" t="n">
        <v>4477.5</v>
      </c>
      <c r="BK627" s="263" t="n">
        <v>4597.5</v>
      </c>
      <c r="BL627" s="263" t="n">
        <v>4996.9</v>
      </c>
      <c r="BM627" s="263" t="n">
        <v>5364.3</v>
      </c>
      <c r="BN627" s="50" t="n">
        <f aca="false">BO627</f>
        <v>3023</v>
      </c>
      <c r="BO627" s="390" t="n">
        <v>3023</v>
      </c>
      <c r="BP627" s="48" t="n">
        <f aca="false">(BP$329+BN$329+BM$329+BL$329)*BP605</f>
        <v>5016.75858958464</v>
      </c>
      <c r="BQ627" s="48" t="n">
        <f aca="false">(BQ$329+BP$329+BN$329+BM$329)*BQ605</f>
        <v>5388.99623648873</v>
      </c>
      <c r="BR627" s="48" t="n">
        <f aca="false">(BR$329+BQ$329+BP$329+BN$329)*BR605</f>
        <v>6086.73955375526</v>
      </c>
      <c r="BS627" s="48" t="n">
        <f aca="false">(BS$329+BR$329+BQ$329+BP$329)*BS605</f>
        <v>3416.03888634146</v>
      </c>
      <c r="BT627" s="159" t="n">
        <f aca="false">BS627</f>
        <v>3416.03888634146</v>
      </c>
      <c r="BU627" s="48" t="n">
        <f aca="false">(BU$329+BS$329+BR$329+BQ$329)*BU605</f>
        <v>5570.9550068999</v>
      </c>
      <c r="BV627" s="48" t="n">
        <f aca="false">(BV$329+BU$329+BS$329+BR$329)*BV605</f>
        <v>5809.09641870649</v>
      </c>
      <c r="BW627" s="48" t="n">
        <f aca="false">(BW$329+BV$329+BU$329+BS$329)*BW605</f>
        <v>6322.80481411369</v>
      </c>
      <c r="BX627" s="48" t="n">
        <f aca="false">(BX$329+BW$329+BV$329+BU$329)*BX605</f>
        <v>3572.39427827888</v>
      </c>
      <c r="BY627" s="159" t="n">
        <f aca="false">BX627</f>
        <v>3572.39427827888</v>
      </c>
      <c r="BZ627" s="159" t="n">
        <f aca="false">BZ329*BZ605</f>
        <v>4307.13222438316</v>
      </c>
      <c r="CA627" s="159" t="n">
        <f aca="false">CA329*CA605</f>
        <v>4525.99423058388</v>
      </c>
      <c r="CB627" s="159" t="n">
        <f aca="false">CB329*CB605</f>
        <v>4758.20375167818</v>
      </c>
      <c r="CC627" s="50"/>
    </row>
    <row r="628" s="51" customFormat="true" ht="15" hidden="false" customHeight="true" outlineLevel="0" collapsed="false">
      <c r="A628" s="401" t="s">
        <v>591</v>
      </c>
      <c r="B628" s="254"/>
      <c r="C628" s="255" t="n">
        <v>21.553</v>
      </c>
      <c r="D628" s="255" t="n">
        <v>12.648</v>
      </c>
      <c r="E628" s="255" t="n">
        <v>78.853</v>
      </c>
      <c r="F628" s="255" t="n">
        <v>265.167</v>
      </c>
      <c r="G628" s="255" t="n">
        <v>250.472</v>
      </c>
      <c r="H628" s="263" t="n">
        <v>298.6</v>
      </c>
      <c r="I628" s="263" t="n">
        <v>297.3</v>
      </c>
      <c r="J628" s="263" t="n">
        <v>255.9</v>
      </c>
      <c r="K628" s="50" t="n">
        <f aca="false">L628</f>
        <v>196.087</v>
      </c>
      <c r="L628" s="255" t="n">
        <v>196.087</v>
      </c>
      <c r="M628" s="263" t="n">
        <v>184</v>
      </c>
      <c r="N628" s="263" t="n">
        <v>251.2</v>
      </c>
      <c r="O628" s="263" t="n">
        <v>453.7</v>
      </c>
      <c r="P628" s="50" t="n">
        <f aca="false">Q628</f>
        <v>280.523</v>
      </c>
      <c r="Q628" s="255" t="n">
        <v>280.523</v>
      </c>
      <c r="R628" s="263" t="n">
        <v>446.5</v>
      </c>
      <c r="S628" s="263" t="n">
        <v>524</v>
      </c>
      <c r="T628" s="263" t="n">
        <v>663.5</v>
      </c>
      <c r="U628" s="50" t="n">
        <f aca="false">V628</f>
        <v>447.4</v>
      </c>
      <c r="V628" s="255" t="n">
        <v>447.4</v>
      </c>
      <c r="W628" s="263" t="n">
        <v>346.9</v>
      </c>
      <c r="X628" s="263" t="n">
        <v>413.6</v>
      </c>
      <c r="Y628" s="263" t="n">
        <v>138.2</v>
      </c>
      <c r="Z628" s="50" t="n">
        <f aca="false">AA628</f>
        <v>59.1</v>
      </c>
      <c r="AA628" s="255" t="n">
        <v>59.1</v>
      </c>
      <c r="AB628" s="263" t="n">
        <v>228.7</v>
      </c>
      <c r="AC628" s="263" t="n">
        <v>599.7</v>
      </c>
      <c r="AD628" s="263" t="n">
        <v>921.1</v>
      </c>
      <c r="AE628" s="50" t="n">
        <f aca="false">AF628</f>
        <v>611.1</v>
      </c>
      <c r="AF628" s="255" t="n">
        <v>611.1</v>
      </c>
      <c r="AG628" s="263" t="n">
        <v>534.6</v>
      </c>
      <c r="AH628" s="263" t="n">
        <v>620.1</v>
      </c>
      <c r="AI628" s="263" t="n">
        <v>584.9</v>
      </c>
      <c r="AJ628" s="50" t="n">
        <f aca="false">AK628</f>
        <v>564.5</v>
      </c>
      <c r="AK628" s="255" t="n">
        <v>564.5</v>
      </c>
      <c r="AL628" s="263" t="n">
        <v>748.7</v>
      </c>
      <c r="AM628" s="263" t="n">
        <v>1071.5</v>
      </c>
      <c r="AN628" s="263" t="n">
        <v>1855.4</v>
      </c>
      <c r="AO628" s="50" t="n">
        <f aca="false">AP628</f>
        <v>1710.5</v>
      </c>
      <c r="AP628" s="255" t="n">
        <v>1710.5</v>
      </c>
      <c r="AQ628" s="263" t="n">
        <v>2218.6</v>
      </c>
      <c r="AR628" s="263" t="n">
        <v>1637.4</v>
      </c>
      <c r="AS628" s="263" t="n">
        <v>1185.9</v>
      </c>
      <c r="AT628" s="50" t="n">
        <f aca="false">AU628</f>
        <v>1185.6</v>
      </c>
      <c r="AU628" s="255" t="n">
        <v>1185.6</v>
      </c>
      <c r="AV628" s="263" t="n">
        <v>1267.6</v>
      </c>
      <c r="AW628" s="263" t="n">
        <v>1233.1</v>
      </c>
      <c r="AX628" s="263" t="n">
        <v>1399.4</v>
      </c>
      <c r="AY628" s="50" t="n">
        <f aca="false">AZ628</f>
        <v>1356.7</v>
      </c>
      <c r="AZ628" s="255" t="n">
        <v>1356.7</v>
      </c>
      <c r="BA628" s="263" t="n">
        <v>1349.2</v>
      </c>
      <c r="BB628" s="263" t="n">
        <v>1650.8</v>
      </c>
      <c r="BC628" s="263" t="n">
        <v>1348.2</v>
      </c>
      <c r="BD628" s="50" t="n">
        <f aca="false">BE628</f>
        <v>1379.2</v>
      </c>
      <c r="BE628" s="255" t="n">
        <v>1379.2</v>
      </c>
      <c r="BF628" s="263" t="n">
        <v>1441.2</v>
      </c>
      <c r="BG628" s="263" t="n">
        <v>977</v>
      </c>
      <c r="BH628" s="263" t="n">
        <v>640.7</v>
      </c>
      <c r="BI628" s="50" t="n">
        <f aca="false">BJ628</f>
        <v>82.6</v>
      </c>
      <c r="BJ628" s="255" t="n">
        <v>82.6</v>
      </c>
      <c r="BK628" s="263" t="n">
        <v>381.7</v>
      </c>
      <c r="BL628" s="263" t="n">
        <v>531.1</v>
      </c>
      <c r="BM628" s="263" t="n">
        <v>666.2</v>
      </c>
      <c r="BN628" s="50" t="n">
        <f aca="false">BO628</f>
        <v>613.5</v>
      </c>
      <c r="BO628" s="390" t="n">
        <v>613.5</v>
      </c>
      <c r="BP628" s="48" t="n">
        <f aca="false">(BP$329+BN$329+BM$329+BL$329)*BP606</f>
        <v>416.508266154314</v>
      </c>
      <c r="BQ628" s="48" t="n">
        <f aca="false">(BQ$329+BP$329+BN$329+BM$329)*BQ606</f>
        <v>572.774300306022</v>
      </c>
      <c r="BR628" s="48" t="n">
        <f aca="false">(BR$329+BQ$329+BP$329+BN$329)*BR606</f>
        <v>755.920789424855</v>
      </c>
      <c r="BS628" s="48" t="n">
        <f aca="false">(BS$329+BR$329+BQ$329+BP$329)*BS606</f>
        <v>693.264921194338</v>
      </c>
      <c r="BT628" s="159" t="n">
        <f aca="false">BS628</f>
        <v>693.264921194338</v>
      </c>
      <c r="BU628" s="48" t="n">
        <f aca="false">(BU$329+BS$329+BR$329+BQ$329)*BU606</f>
        <v>462.519527163391</v>
      </c>
      <c r="BV628" s="48" t="n">
        <f aca="false">(BV$329+BU$329+BS$329+BR$329)*BV606</f>
        <v>617.425025110572</v>
      </c>
      <c r="BW628" s="48" t="n">
        <f aca="false">(BW$329+BV$329+BU$329+BS$329)*BW606</f>
        <v>785.238067811744</v>
      </c>
      <c r="BX628" s="48" t="n">
        <f aca="false">(BX$329+BW$329+BV$329+BU$329)*BX606</f>
        <v>724.996324751603</v>
      </c>
      <c r="BY628" s="159" t="n">
        <f aca="false">BX628</f>
        <v>724.996324751603</v>
      </c>
      <c r="BZ628" s="159" t="n">
        <f aca="false">BZ329*BZ606</f>
        <v>874.107052483978</v>
      </c>
      <c r="CA628" s="159" t="n">
        <f aca="false">CA329*CA606</f>
        <v>918.523804321274</v>
      </c>
      <c r="CB628" s="159" t="n">
        <f aca="false">CB329*CB606</f>
        <v>965.649355492743</v>
      </c>
      <c r="CC628" s="50"/>
    </row>
    <row r="629" s="51" customFormat="true" ht="15" hidden="false" customHeight="true" outlineLevel="0" collapsed="false">
      <c r="A629" s="430" t="s">
        <v>592</v>
      </c>
      <c r="B629" s="431"/>
      <c r="C629" s="579" t="n">
        <f aca="false">C627+C628</f>
        <v>398.992</v>
      </c>
      <c r="D629" s="579" t="n">
        <f aca="false">D627+D628</f>
        <v>1136.182</v>
      </c>
      <c r="E629" s="579" t="n">
        <f aca="false">E627+E628</f>
        <v>959.48</v>
      </c>
      <c r="F629" s="579" t="n">
        <f aca="false">F627+F628</f>
        <v>870.455</v>
      </c>
      <c r="G629" s="579" t="n">
        <f aca="false">G627+G628</f>
        <v>1128.793</v>
      </c>
      <c r="H629" s="580" t="n">
        <f aca="false">H627+H628</f>
        <v>1130.8</v>
      </c>
      <c r="I629" s="580" t="n">
        <f aca="false">I627+I628</f>
        <v>1382.9</v>
      </c>
      <c r="J629" s="580" t="n">
        <f aca="false">J627+J628</f>
        <v>1217.1</v>
      </c>
      <c r="K629" s="580" t="n">
        <f aca="false">K627+K628</f>
        <v>1248.591</v>
      </c>
      <c r="L629" s="579" t="n">
        <f aca="false">L627+L628</f>
        <v>1248.591</v>
      </c>
      <c r="M629" s="580" t="n">
        <f aca="false">M627+M628</f>
        <v>1454.6</v>
      </c>
      <c r="N629" s="580" t="n">
        <f aca="false">N627+N628</f>
        <v>1533.5</v>
      </c>
      <c r="O629" s="580" t="n">
        <f aca="false">O627+O628</f>
        <v>1543.1</v>
      </c>
      <c r="P629" s="580" t="n">
        <f aca="false">P627+P628</f>
        <v>1084.219</v>
      </c>
      <c r="Q629" s="579" t="n">
        <f aca="false">Q627+Q628</f>
        <v>1084.219</v>
      </c>
      <c r="R629" s="580" t="n">
        <f aca="false">R627+R628</f>
        <v>1199.7</v>
      </c>
      <c r="S629" s="580" t="n">
        <f aca="false">S627+S628</f>
        <v>1256.4</v>
      </c>
      <c r="T629" s="580" t="n">
        <f aca="false">T627+T628</f>
        <v>1521.9</v>
      </c>
      <c r="U629" s="580" t="n">
        <f aca="false">U627+U628</f>
        <v>1147.6</v>
      </c>
      <c r="V629" s="579" t="n">
        <f aca="false">V627+V628</f>
        <v>1147.6</v>
      </c>
      <c r="W629" s="580" t="n">
        <f aca="false">W627+W628</f>
        <v>1211.7</v>
      </c>
      <c r="X629" s="580" t="n">
        <f aca="false">X627+X628</f>
        <v>1638.2</v>
      </c>
      <c r="Y629" s="580" t="n">
        <f aca="false">Y627+Y628</f>
        <v>1802.4</v>
      </c>
      <c r="Z629" s="580" t="n">
        <f aca="false">Z627+Z628</f>
        <v>1831.4</v>
      </c>
      <c r="AA629" s="579" t="n">
        <f aca="false">AA627+AA628</f>
        <v>1831.4</v>
      </c>
      <c r="AB629" s="580" t="n">
        <f aca="false">AB627+AB628</f>
        <v>1832.1</v>
      </c>
      <c r="AC629" s="580" t="n">
        <f aca="false">AC627+AC628</f>
        <v>1738.6</v>
      </c>
      <c r="AD629" s="580" t="n">
        <f aca="false">AD627+AD628</f>
        <v>2600.2</v>
      </c>
      <c r="AE629" s="580" t="n">
        <f aca="false">AE627+AE628</f>
        <v>2109.3</v>
      </c>
      <c r="AF629" s="579" t="n">
        <f aca="false">AF627+AF628</f>
        <v>2109.3</v>
      </c>
      <c r="AG629" s="580" t="n">
        <f aca="false">AG627+AG628</f>
        <v>2123.9</v>
      </c>
      <c r="AH629" s="580" t="n">
        <f aca="false">AH627+AH628</f>
        <v>2257.8</v>
      </c>
      <c r="AI629" s="580" t="n">
        <f aca="false">AI627+AI628</f>
        <v>2685.6</v>
      </c>
      <c r="AJ629" s="580" t="n">
        <f aca="false">AJ627+AJ628</f>
        <v>2351.3</v>
      </c>
      <c r="AK629" s="579" t="n">
        <f aca="false">AK627+AK628</f>
        <v>2351.3</v>
      </c>
      <c r="AL629" s="580" t="n">
        <f aca="false">AL627+AL628</f>
        <v>2516.1</v>
      </c>
      <c r="AM629" s="580" t="n">
        <f aca="false">AM627+AM628</f>
        <v>2841.5</v>
      </c>
      <c r="AN629" s="580" t="n">
        <f aca="false">AN627+AN628</f>
        <v>4314.2</v>
      </c>
      <c r="AO629" s="580" t="n">
        <f aca="false">AO627+AO628</f>
        <v>3020.8</v>
      </c>
      <c r="AP629" s="579" t="n">
        <f aca="false">AP627+AP628</f>
        <v>3020.8</v>
      </c>
      <c r="AQ629" s="580" t="n">
        <f aca="false">AQ627+AQ628</f>
        <v>4457.8</v>
      </c>
      <c r="AR629" s="580" t="n">
        <f aca="false">AR627+AR628</f>
        <v>4419.4</v>
      </c>
      <c r="AS629" s="580" t="n">
        <f aca="false">AS627+AS628</f>
        <v>4569.2</v>
      </c>
      <c r="AT629" s="580" t="n">
        <f aca="false">AT627+AT628</f>
        <v>4213.6</v>
      </c>
      <c r="AU629" s="579" t="n">
        <f aca="false">AU627+AU628</f>
        <v>4213.6</v>
      </c>
      <c r="AV629" s="580" t="n">
        <f aca="false">AV627+AV628</f>
        <v>4762.2</v>
      </c>
      <c r="AW629" s="580" t="n">
        <f aca="false">AW627+AW628</f>
        <v>6609.8</v>
      </c>
      <c r="AX629" s="580" t="n">
        <f aca="false">AX627+AX628</f>
        <v>7239.6</v>
      </c>
      <c r="AY629" s="580" t="n">
        <f aca="false">AY627+AY628</f>
        <v>6680.5</v>
      </c>
      <c r="AZ629" s="579" t="n">
        <f aca="false">AZ627+AZ628</f>
        <v>6680.5</v>
      </c>
      <c r="BA629" s="580" t="n">
        <f aca="false">BA627+BA628</f>
        <v>4803.9</v>
      </c>
      <c r="BB629" s="580" t="n">
        <f aca="false">BB627+BB628</f>
        <v>5614.4</v>
      </c>
      <c r="BC629" s="580" t="n">
        <f aca="false">BC627+BC628</f>
        <v>5258.7</v>
      </c>
      <c r="BD629" s="580" t="n">
        <f aca="false">BD627+BD628</f>
        <v>5713.3</v>
      </c>
      <c r="BE629" s="579" t="n">
        <f aca="false">BE627+BE628</f>
        <v>5713.3</v>
      </c>
      <c r="BF629" s="580" t="n">
        <f aca="false">BF627+BF628</f>
        <v>5026.7</v>
      </c>
      <c r="BG629" s="580" t="n">
        <f aca="false">BG627+BG628</f>
        <v>5452.8</v>
      </c>
      <c r="BH629" s="580" t="n">
        <f aca="false">BH627+BH628</f>
        <v>5801.3</v>
      </c>
      <c r="BI629" s="580" t="n">
        <f aca="false">BI627+BI628</f>
        <v>4560.1</v>
      </c>
      <c r="BJ629" s="579" t="n">
        <f aca="false">BJ627+BJ628</f>
        <v>4560.1</v>
      </c>
      <c r="BK629" s="580" t="n">
        <f aca="false">BK627+BK628</f>
        <v>4979.2</v>
      </c>
      <c r="BL629" s="580" t="n">
        <f aca="false">BL627+BL628</f>
        <v>5528</v>
      </c>
      <c r="BM629" s="580" t="n">
        <f aca="false">BM627+BM628</f>
        <v>6030.5</v>
      </c>
      <c r="BN629" s="580" t="n">
        <f aca="false">BN627+BN628</f>
        <v>3636.5</v>
      </c>
      <c r="BO629" s="581" t="n">
        <f aca="false">BO627+BO628</f>
        <v>3636.5</v>
      </c>
      <c r="BP629" s="414" t="n">
        <f aca="false">BP627+BP628</f>
        <v>5433.26685573895</v>
      </c>
      <c r="BQ629" s="414" t="n">
        <f aca="false">BQ627+BQ628</f>
        <v>5961.77053679475</v>
      </c>
      <c r="BR629" s="414" t="n">
        <f aca="false">BR627+BR628</f>
        <v>6842.66034318011</v>
      </c>
      <c r="BS629" s="414" t="n">
        <f aca="false">BS627+BS628</f>
        <v>4109.30380753579</v>
      </c>
      <c r="BT629" s="413" t="n">
        <f aca="false">BT627+BT628</f>
        <v>4109.30380753579</v>
      </c>
      <c r="BU629" s="414" t="n">
        <f aca="false">BU627+BU628</f>
        <v>6033.47453406329</v>
      </c>
      <c r="BV629" s="414" t="n">
        <f aca="false">BV627+BV628</f>
        <v>6426.52144381706</v>
      </c>
      <c r="BW629" s="414" t="n">
        <f aca="false">BW627+BW628</f>
        <v>7108.04288192543</v>
      </c>
      <c r="BX629" s="414" t="n">
        <f aca="false">BX627+BX628</f>
        <v>4297.39060303049</v>
      </c>
      <c r="BY629" s="413" t="n">
        <f aca="false">BY627+BY628</f>
        <v>4297.39060303049</v>
      </c>
      <c r="BZ629" s="413" t="n">
        <f aca="false">BZ627+BZ628</f>
        <v>5181.23927686714</v>
      </c>
      <c r="CA629" s="413" t="n">
        <f aca="false">CA627+CA628</f>
        <v>5444.51803490516</v>
      </c>
      <c r="CB629" s="413" t="n">
        <f aca="false">CB627+CB628</f>
        <v>5723.85310717092</v>
      </c>
      <c r="CC629" s="50"/>
    </row>
    <row r="630" s="51" customFormat="true" ht="15" hidden="false" customHeight="true" outlineLevel="0" collapsed="false">
      <c r="A630" s="270" t="s">
        <v>593</v>
      </c>
      <c r="B630" s="254"/>
      <c r="C630" s="255" t="n">
        <v>11.286</v>
      </c>
      <c r="D630" s="255" t="n">
        <v>12.678</v>
      </c>
      <c r="E630" s="255" t="n">
        <v>32.105</v>
      </c>
      <c r="F630" s="255" t="n">
        <v>57.116</v>
      </c>
      <c r="G630" s="255" t="n">
        <v>32.333</v>
      </c>
      <c r="H630" s="263" t="n">
        <v>92.1</v>
      </c>
      <c r="I630" s="263" t="n">
        <v>94</v>
      </c>
      <c r="J630" s="263" t="n">
        <v>76.7</v>
      </c>
      <c r="K630" s="50" t="n">
        <f aca="false">L630</f>
        <v>43.876</v>
      </c>
      <c r="L630" s="255" t="n">
        <v>43.876</v>
      </c>
      <c r="M630" s="263" t="n">
        <v>94.3</v>
      </c>
      <c r="N630" s="263" t="n">
        <v>52.3</v>
      </c>
      <c r="O630" s="263" t="n">
        <v>42.8</v>
      </c>
      <c r="P630" s="50" t="n">
        <f aca="false">Q630</f>
        <v>19.08</v>
      </c>
      <c r="Q630" s="255" t="n">
        <v>19.08</v>
      </c>
      <c r="R630" s="263" t="n">
        <v>96</v>
      </c>
      <c r="S630" s="263" t="n">
        <v>178</v>
      </c>
      <c r="T630" s="263" t="n">
        <v>143.5</v>
      </c>
      <c r="U630" s="50" t="n">
        <f aca="false">V630</f>
        <v>11.6</v>
      </c>
      <c r="V630" s="255" t="n">
        <v>11.6</v>
      </c>
      <c r="W630" s="263" t="n">
        <v>137</v>
      </c>
      <c r="X630" s="263" t="n">
        <v>32.6</v>
      </c>
      <c r="Y630" s="263" t="n">
        <v>73.6</v>
      </c>
      <c r="Z630" s="50" t="n">
        <f aca="false">AA630</f>
        <v>61.6</v>
      </c>
      <c r="AA630" s="255" t="n">
        <v>61.6</v>
      </c>
      <c r="AB630" s="263" t="n">
        <v>312.5</v>
      </c>
      <c r="AC630" s="263" t="n">
        <v>292.8</v>
      </c>
      <c r="AD630" s="263" t="n">
        <v>193.4</v>
      </c>
      <c r="AE630" s="50" t="n">
        <f aca="false">AF630</f>
        <v>79.7</v>
      </c>
      <c r="AF630" s="255" t="n">
        <v>79.7</v>
      </c>
      <c r="AG630" s="263" t="n">
        <v>373.3</v>
      </c>
      <c r="AH630" s="263" t="n">
        <v>320.9</v>
      </c>
      <c r="AI630" s="263" t="n">
        <v>339.6</v>
      </c>
      <c r="AJ630" s="50" t="n">
        <f aca="false">AK630</f>
        <v>178.7</v>
      </c>
      <c r="AK630" s="255" t="n">
        <v>178.7</v>
      </c>
      <c r="AL630" s="263" t="n">
        <v>529</v>
      </c>
      <c r="AM630" s="263" t="n">
        <v>360.8</v>
      </c>
      <c r="AN630" s="263" t="n">
        <v>265.6</v>
      </c>
      <c r="AO630" s="50" t="n">
        <f aca="false">AP630</f>
        <v>67.3</v>
      </c>
      <c r="AP630" s="255" t="n">
        <v>67.3</v>
      </c>
      <c r="AQ630" s="263" t="n">
        <v>809.7</v>
      </c>
      <c r="AR630" s="263" t="n">
        <v>608.2</v>
      </c>
      <c r="AS630" s="263" t="n">
        <v>289.5</v>
      </c>
      <c r="AT630" s="50" t="n">
        <f aca="false">AU630</f>
        <v>42</v>
      </c>
      <c r="AU630" s="255" t="n">
        <v>42</v>
      </c>
      <c r="AV630" s="263" t="n">
        <v>811</v>
      </c>
      <c r="AW630" s="263" t="n">
        <v>658</v>
      </c>
      <c r="AX630" s="263" t="n">
        <v>305.6</v>
      </c>
      <c r="AY630" s="50" t="n">
        <f aca="false">AZ630</f>
        <v>33.4</v>
      </c>
      <c r="AZ630" s="255" t="n">
        <v>33.4</v>
      </c>
      <c r="BA630" s="263" t="n">
        <v>253.6</v>
      </c>
      <c r="BB630" s="263" t="n">
        <v>595.8</v>
      </c>
      <c r="BC630" s="263" t="n">
        <v>854.3</v>
      </c>
      <c r="BD630" s="50" t="n">
        <f aca="false">BE630</f>
        <v>1001.2</v>
      </c>
      <c r="BE630" s="255" t="n">
        <v>1001.2</v>
      </c>
      <c r="BF630" s="263" t="n">
        <v>649.3</v>
      </c>
      <c r="BG630" s="263" t="n">
        <v>684.8</v>
      </c>
      <c r="BH630" s="263" t="n">
        <v>324.4</v>
      </c>
      <c r="BI630" s="50" t="n">
        <f aca="false">BJ630</f>
        <v>283.6</v>
      </c>
      <c r="BJ630" s="255" t="n">
        <v>283.6</v>
      </c>
      <c r="BK630" s="263" t="n">
        <v>143.2</v>
      </c>
      <c r="BL630" s="263" t="n">
        <v>98.5</v>
      </c>
      <c r="BM630" s="263" t="n">
        <v>93</v>
      </c>
      <c r="BN630" s="50" t="n">
        <f aca="false">BO630</f>
        <v>88.9</v>
      </c>
      <c r="BO630" s="390" t="n">
        <v>88.9</v>
      </c>
      <c r="BP630" s="48" t="n">
        <f aca="false">BO630</f>
        <v>88.9</v>
      </c>
      <c r="BQ630" s="48" t="n">
        <f aca="false">BP630</f>
        <v>88.9</v>
      </c>
      <c r="BR630" s="48" t="n">
        <f aca="false">BQ630</f>
        <v>88.9</v>
      </c>
      <c r="BS630" s="48" t="n">
        <f aca="false">BR630</f>
        <v>88.9</v>
      </c>
      <c r="BT630" s="159" t="n">
        <f aca="false">BS630</f>
        <v>88.9</v>
      </c>
      <c r="BU630" s="48" t="n">
        <f aca="false">BT630</f>
        <v>88.9</v>
      </c>
      <c r="BV630" s="48" t="n">
        <f aca="false">BU630</f>
        <v>88.9</v>
      </c>
      <c r="BW630" s="48" t="n">
        <f aca="false">BV630</f>
        <v>88.9</v>
      </c>
      <c r="BX630" s="48" t="n">
        <f aca="false">BW630</f>
        <v>88.9</v>
      </c>
      <c r="BY630" s="159" t="n">
        <f aca="false">BX630</f>
        <v>88.9</v>
      </c>
      <c r="BZ630" s="159" t="n">
        <f aca="false">BY630</f>
        <v>88.9</v>
      </c>
      <c r="CA630" s="159" t="n">
        <f aca="false">BZ630</f>
        <v>88.9</v>
      </c>
      <c r="CB630" s="159" t="n">
        <f aca="false">CA630</f>
        <v>88.9</v>
      </c>
      <c r="CC630" s="50"/>
    </row>
    <row r="631" s="51" customFormat="true" ht="15" hidden="false" customHeight="true" outlineLevel="0" collapsed="false">
      <c r="A631" s="270" t="s">
        <v>594</v>
      </c>
      <c r="B631" s="254"/>
      <c r="C631" s="255" t="n">
        <v>963.382</v>
      </c>
      <c r="D631" s="255" t="n">
        <v>1497.18</v>
      </c>
      <c r="E631" s="255" t="n">
        <v>1624.627</v>
      </c>
      <c r="F631" s="255" t="n">
        <v>1856.97</v>
      </c>
      <c r="G631" s="255" t="n">
        <v>2393.022</v>
      </c>
      <c r="H631" s="263" t="n">
        <v>2547.7</v>
      </c>
      <c r="I631" s="263" t="n">
        <v>2615.5</v>
      </c>
      <c r="J631" s="263" t="n">
        <v>2676.8</v>
      </c>
      <c r="K631" s="50" t="n">
        <f aca="false">L631</f>
        <v>2549.837</v>
      </c>
      <c r="L631" s="255" t="n">
        <v>2549.837</v>
      </c>
      <c r="M631" s="263" t="n">
        <v>2607.5</v>
      </c>
      <c r="N631" s="263" t="n">
        <v>2592.1</v>
      </c>
      <c r="O631" s="263" t="n">
        <v>2537</v>
      </c>
      <c r="P631" s="50" t="n">
        <f aca="false">Q631</f>
        <v>2573.73</v>
      </c>
      <c r="Q631" s="255" t="n">
        <v>2573.73</v>
      </c>
      <c r="R631" s="263" t="n">
        <v>2750</v>
      </c>
      <c r="S631" s="263" t="n">
        <v>2715.3</v>
      </c>
      <c r="T631" s="263" t="n">
        <v>2696.9</v>
      </c>
      <c r="U631" s="50" t="n">
        <f aca="false">V631</f>
        <v>2780.9</v>
      </c>
      <c r="V631" s="255" t="n">
        <v>2780.9</v>
      </c>
      <c r="W631" s="263" t="n">
        <v>2995.7</v>
      </c>
      <c r="X631" s="263" t="n">
        <v>3136.9</v>
      </c>
      <c r="Y631" s="263" t="n">
        <v>2998.5</v>
      </c>
      <c r="Z631" s="50" t="n">
        <f aca="false">AA631</f>
        <v>2958.4</v>
      </c>
      <c r="AA631" s="255" t="n">
        <v>2958.4</v>
      </c>
      <c r="AB631" s="263" t="n">
        <v>3231.5</v>
      </c>
      <c r="AC631" s="263" t="n">
        <v>3217.5</v>
      </c>
      <c r="AD631" s="263" t="n">
        <v>3402.7</v>
      </c>
      <c r="AE631" s="50" t="n">
        <f aca="false">AF631</f>
        <v>3439.5</v>
      </c>
      <c r="AF631" s="255" t="n">
        <v>3439.5</v>
      </c>
      <c r="AG631" s="263" t="n">
        <v>3764.8</v>
      </c>
      <c r="AH631" s="263" t="n">
        <v>3914.1</v>
      </c>
      <c r="AI631" s="263" t="n">
        <v>3895</v>
      </c>
      <c r="AJ631" s="50" t="n">
        <f aca="false">AK631</f>
        <v>3809.2</v>
      </c>
      <c r="AK631" s="255" t="n">
        <v>3809.2</v>
      </c>
      <c r="AL631" s="263" t="n">
        <v>4345.3</v>
      </c>
      <c r="AM631" s="263" t="n">
        <v>4685.6</v>
      </c>
      <c r="AN631" s="263" t="n">
        <v>4613.7</v>
      </c>
      <c r="AO631" s="50" t="n">
        <f aca="false">AP631</f>
        <v>4569.4</v>
      </c>
      <c r="AP631" s="255" t="n">
        <v>4569.4</v>
      </c>
      <c r="AQ631" s="263" t="n">
        <v>4748.1</v>
      </c>
      <c r="AR631" s="263" t="n">
        <v>5086.3</v>
      </c>
      <c r="AS631" s="263" t="n">
        <v>4944.2</v>
      </c>
      <c r="AT631" s="50" t="n">
        <f aca="false">AU631</f>
        <v>5179.2</v>
      </c>
      <c r="AU631" s="255" t="n">
        <v>5179.2</v>
      </c>
      <c r="AV631" s="263" t="n">
        <v>6073.5</v>
      </c>
      <c r="AW631" s="263" t="n">
        <v>6367.1</v>
      </c>
      <c r="AX631" s="263" t="n">
        <v>6884</v>
      </c>
      <c r="AY631" s="50" t="n">
        <f aca="false">AZ631</f>
        <v>7199.7</v>
      </c>
      <c r="AZ631" s="255" t="n">
        <v>7199.7</v>
      </c>
      <c r="BA631" s="263" t="n">
        <v>7392</v>
      </c>
      <c r="BB631" s="263" t="n">
        <v>7734.4</v>
      </c>
      <c r="BC631" s="263" t="n">
        <v>8378.5</v>
      </c>
      <c r="BD631" s="50" t="n">
        <f aca="false">BE631</f>
        <v>8850.7</v>
      </c>
      <c r="BE631" s="255" t="n">
        <v>8850.7</v>
      </c>
      <c r="BF631" s="263" t="n">
        <v>9864.5</v>
      </c>
      <c r="BG631" s="263" t="n">
        <v>10972.3</v>
      </c>
      <c r="BH631" s="263" t="n">
        <v>11414.5</v>
      </c>
      <c r="BI631" s="50" t="n">
        <f aca="false">BJ631</f>
        <v>10891.5</v>
      </c>
      <c r="BJ631" s="255" t="n">
        <v>10891.5</v>
      </c>
      <c r="BK631" s="263" t="n">
        <v>11024.7</v>
      </c>
      <c r="BL631" s="263" t="n">
        <v>11575.8</v>
      </c>
      <c r="BM631" s="263" t="n">
        <v>11762.8</v>
      </c>
      <c r="BN631" s="50" t="n">
        <f aca="false">BO631</f>
        <v>11429.3</v>
      </c>
      <c r="BO631" s="390" t="n">
        <v>11429.3</v>
      </c>
      <c r="BP631" s="48" t="n">
        <f aca="false">(BP$329+BN$329+BM$329+BL$329)*BP607</f>
        <v>12030.072522587</v>
      </c>
      <c r="BQ631" s="48" t="n">
        <f aca="false">(BQ$329+BP$329+BN$329+BM$329)*BQ607</f>
        <v>12484.128686655</v>
      </c>
      <c r="BR631" s="48" t="n">
        <f aca="false">(BR$329+BQ$329+BP$329+BN$329)*BR607</f>
        <v>13346.9604650956</v>
      </c>
      <c r="BS631" s="48" t="n">
        <f aca="false">(BS$329+BR$329+BQ$329+BP$329)*BS607</f>
        <v>12915.2938285354</v>
      </c>
      <c r="BT631" s="159" t="n">
        <f aca="false">BS631</f>
        <v>12915.2938285354</v>
      </c>
      <c r="BU631" s="48" t="n">
        <f aca="false">(BU$329+BS$329+BR$329+BQ$329)*BU607</f>
        <v>13359.0228742946</v>
      </c>
      <c r="BV631" s="48" t="n">
        <f aca="false">(BV$329+BU$329+BS$329+BR$329)*BV607</f>
        <v>13457.3312100828</v>
      </c>
      <c r="BW631" s="48" t="n">
        <f aca="false">(BW$329+BV$329+BU$329+BS$329)*BW607</f>
        <v>13864.6027380006</v>
      </c>
      <c r="BX631" s="48" t="n">
        <f aca="false">(BX$329+BW$329+BV$329+BU$329)*BX607</f>
        <v>13506.4392738117</v>
      </c>
      <c r="BY631" s="159" t="n">
        <f aca="false">BX631</f>
        <v>13506.4392738117</v>
      </c>
      <c r="BZ631" s="159" t="n">
        <f aca="false">BZ329*BZ607</f>
        <v>16284.3223063653</v>
      </c>
      <c r="CA631" s="159" t="n">
        <f aca="false">CA329*CA607</f>
        <v>17111.7915513107</v>
      </c>
      <c r="CB631" s="159" t="n">
        <f aca="false">CB329*CB607</f>
        <v>17989.724822711</v>
      </c>
      <c r="CC631" s="50"/>
    </row>
    <row r="632" s="51" customFormat="true" ht="15" hidden="false" customHeight="true" outlineLevel="0" collapsed="false">
      <c r="A632" s="270" t="s">
        <v>595</v>
      </c>
      <c r="B632" s="254"/>
      <c r="C632" s="255" t="n">
        <v>119.404</v>
      </c>
      <c r="D632" s="255" t="n">
        <v>134.429</v>
      </c>
      <c r="E632" s="255" t="n">
        <v>120.72</v>
      </c>
      <c r="F632" s="255" t="n">
        <v>103.695</v>
      </c>
      <c r="G632" s="255" t="n">
        <v>124.431</v>
      </c>
      <c r="H632" s="263" t="n">
        <v>118.5</v>
      </c>
      <c r="I632" s="263" t="n">
        <v>108.6</v>
      </c>
      <c r="J632" s="263" t="n">
        <v>144.2</v>
      </c>
      <c r="K632" s="50" t="n">
        <f aca="false">L632</f>
        <v>159.46</v>
      </c>
      <c r="L632" s="255" t="n">
        <v>159.46</v>
      </c>
      <c r="M632" s="263" t="n">
        <v>173.8</v>
      </c>
      <c r="N632" s="263" t="n">
        <v>178.1</v>
      </c>
      <c r="O632" s="263" t="n">
        <v>127.6</v>
      </c>
      <c r="P632" s="50" t="n">
        <f aca="false">Q632</f>
        <v>133.131</v>
      </c>
      <c r="Q632" s="255" t="n">
        <v>133.131</v>
      </c>
      <c r="R632" s="48"/>
      <c r="S632" s="48"/>
      <c r="T632" s="48"/>
      <c r="U632" s="48"/>
      <c r="V632" s="159"/>
      <c r="W632" s="48"/>
      <c r="X632" s="48"/>
      <c r="Y632" s="48"/>
      <c r="Z632" s="48"/>
      <c r="AA632" s="159"/>
      <c r="AB632" s="48"/>
      <c r="AC632" s="48"/>
      <c r="AD632" s="48"/>
      <c r="AE632" s="50" t="n">
        <f aca="false">AF632</f>
        <v>0</v>
      </c>
      <c r="AF632" s="159"/>
      <c r="AG632" s="48"/>
      <c r="AH632" s="48"/>
      <c r="AI632" s="48"/>
      <c r="AJ632" s="50" t="n">
        <f aca="false">AK632</f>
        <v>0</v>
      </c>
      <c r="AK632" s="159"/>
      <c r="AL632" s="48"/>
      <c r="AM632" s="48"/>
      <c r="AN632" s="48"/>
      <c r="AO632" s="50" t="n">
        <f aca="false">AP632</f>
        <v>0</v>
      </c>
      <c r="AP632" s="159"/>
      <c r="AQ632" s="48"/>
      <c r="AR632" s="48"/>
      <c r="AS632" s="48"/>
      <c r="AT632" s="50" t="n">
        <f aca="false">AU632</f>
        <v>0</v>
      </c>
      <c r="AU632" s="159"/>
      <c r="AV632" s="48"/>
      <c r="AW632" s="48"/>
      <c r="AX632" s="48"/>
      <c r="AY632" s="50" t="n">
        <f aca="false">AZ632</f>
        <v>0</v>
      </c>
      <c r="AZ632" s="159"/>
      <c r="BA632" s="48"/>
      <c r="BB632" s="48"/>
      <c r="BC632" s="48"/>
      <c r="BD632" s="50" t="n">
        <f aca="false">BE632</f>
        <v>0</v>
      </c>
      <c r="BE632" s="159"/>
      <c r="BF632" s="48"/>
      <c r="BG632" s="48"/>
      <c r="BH632" s="48"/>
      <c r="BI632" s="50" t="n">
        <f aca="false">BJ632</f>
        <v>0</v>
      </c>
      <c r="BJ632" s="159"/>
      <c r="BK632" s="48"/>
      <c r="BL632" s="48"/>
      <c r="BM632" s="48"/>
      <c r="BN632" s="50" t="n">
        <f aca="false">BO632</f>
        <v>0</v>
      </c>
      <c r="BO632" s="160"/>
      <c r="BP632" s="48" t="n">
        <f aca="false">BO632</f>
        <v>0</v>
      </c>
      <c r="BQ632" s="48" t="n">
        <f aca="false">BP632</f>
        <v>0</v>
      </c>
      <c r="BR632" s="48" t="n">
        <f aca="false">BQ632</f>
        <v>0</v>
      </c>
      <c r="BS632" s="48" t="n">
        <f aca="false">BR632</f>
        <v>0</v>
      </c>
      <c r="BT632" s="159" t="n">
        <f aca="false">BS632</f>
        <v>0</v>
      </c>
      <c r="BU632" s="48" t="n">
        <f aca="false">BT632</f>
        <v>0</v>
      </c>
      <c r="BV632" s="48" t="n">
        <f aca="false">BU632</f>
        <v>0</v>
      </c>
      <c r="BW632" s="48" t="n">
        <f aca="false">BV632</f>
        <v>0</v>
      </c>
      <c r="BX632" s="48" t="n">
        <f aca="false">BW632</f>
        <v>0</v>
      </c>
      <c r="BY632" s="159" t="n">
        <f aca="false">BX632</f>
        <v>0</v>
      </c>
      <c r="BZ632" s="159" t="n">
        <f aca="false">BY632</f>
        <v>0</v>
      </c>
      <c r="CA632" s="159" t="n">
        <f aca="false">BZ632</f>
        <v>0</v>
      </c>
      <c r="CB632" s="159" t="n">
        <f aca="false">CA632</f>
        <v>0</v>
      </c>
      <c r="CC632" s="50"/>
    </row>
    <row r="633" s="51" customFormat="true" ht="15" hidden="false" customHeight="true" outlineLevel="0" collapsed="false">
      <c r="A633" s="270" t="s">
        <v>596</v>
      </c>
      <c r="B633" s="254"/>
      <c r="C633" s="159"/>
      <c r="D633" s="159"/>
      <c r="E633" s="159"/>
      <c r="F633" s="159"/>
      <c r="G633" s="159"/>
      <c r="H633" s="48"/>
      <c r="I633" s="48"/>
      <c r="J633" s="48"/>
      <c r="K633" s="48"/>
      <c r="L633" s="159"/>
      <c r="M633" s="48"/>
      <c r="N633" s="48"/>
      <c r="O633" s="48"/>
      <c r="P633" s="48"/>
      <c r="Q633" s="159"/>
      <c r="R633" s="48"/>
      <c r="S633" s="48"/>
      <c r="T633" s="48"/>
      <c r="U633" s="48"/>
      <c r="V633" s="159"/>
      <c r="W633" s="48"/>
      <c r="X633" s="48"/>
      <c r="Y633" s="48"/>
      <c r="Z633" s="48"/>
      <c r="AA633" s="159"/>
      <c r="AB633" s="263" t="n">
        <v>11.5</v>
      </c>
      <c r="AC633" s="263" t="n">
        <v>284.7</v>
      </c>
      <c r="AD633" s="263" t="n">
        <v>116.7</v>
      </c>
      <c r="AE633" s="50" t="n">
        <f aca="false">AF633</f>
        <v>95.9</v>
      </c>
      <c r="AF633" s="255" t="n">
        <v>95.9</v>
      </c>
      <c r="AG633" s="263" t="n">
        <v>103.5</v>
      </c>
      <c r="AH633" s="263" t="n">
        <v>190.4</v>
      </c>
      <c r="AI633" s="263" t="n">
        <v>287.8</v>
      </c>
      <c r="AJ633" s="50" t="n">
        <f aca="false">AK633</f>
        <v>231</v>
      </c>
      <c r="AK633" s="255" t="n">
        <v>231</v>
      </c>
      <c r="AL633" s="263" t="n">
        <v>292.1</v>
      </c>
      <c r="AM633" s="263" t="n">
        <v>260.9</v>
      </c>
      <c r="AN633" s="263" t="n">
        <v>176.8</v>
      </c>
      <c r="AO633" s="50" t="n">
        <f aca="false">AP633</f>
        <v>119.2</v>
      </c>
      <c r="AP633" s="255" t="n">
        <v>119.2</v>
      </c>
      <c r="AQ633" s="263" t="n">
        <v>107.4</v>
      </c>
      <c r="AR633" s="263" t="n">
        <v>178.9</v>
      </c>
      <c r="AS633" s="263" t="n">
        <v>272</v>
      </c>
      <c r="AT633" s="50" t="n">
        <f aca="false">AU633</f>
        <v>164.6</v>
      </c>
      <c r="AU633" s="255" t="n">
        <v>164.6</v>
      </c>
      <c r="AV633" s="263" t="n">
        <v>371.3</v>
      </c>
      <c r="AW633" s="263" t="n">
        <v>270.4</v>
      </c>
      <c r="AX633" s="263" t="n">
        <v>276.9</v>
      </c>
      <c r="AY633" s="50" t="n">
        <f aca="false">AZ633</f>
        <v>131.9</v>
      </c>
      <c r="AZ633" s="255" t="n">
        <v>131.9</v>
      </c>
      <c r="BA633" s="263" t="n">
        <v>236.4</v>
      </c>
      <c r="BB633" s="263" t="n">
        <v>191.9</v>
      </c>
      <c r="BC633" s="263" t="n">
        <v>266.5</v>
      </c>
      <c r="BD633" s="50" t="n">
        <f aca="false">BE633</f>
        <v>240.1</v>
      </c>
      <c r="BE633" s="255" t="n">
        <v>240.1</v>
      </c>
      <c r="BF633" s="263" t="n">
        <v>302.6</v>
      </c>
      <c r="BG633" s="263" t="n">
        <v>435</v>
      </c>
      <c r="BH633" s="263" t="n">
        <v>553.6</v>
      </c>
      <c r="BI633" s="50" t="n">
        <f aca="false">BJ633</f>
        <v>320.6</v>
      </c>
      <c r="BJ633" s="255" t="n">
        <v>320.6</v>
      </c>
      <c r="BK633" s="263" t="n">
        <v>407.3</v>
      </c>
      <c r="BL633" s="263" t="n">
        <v>275.3</v>
      </c>
      <c r="BM633" s="263" t="n">
        <v>366.7</v>
      </c>
      <c r="BN633" s="50" t="n">
        <f aca="false">BO633</f>
        <v>440.6</v>
      </c>
      <c r="BO633" s="390" t="n">
        <v>440.6</v>
      </c>
      <c r="BP633" s="48" t="n">
        <f aca="false">BO633</f>
        <v>440.6</v>
      </c>
      <c r="BQ633" s="48" t="n">
        <f aca="false">BP633</f>
        <v>440.6</v>
      </c>
      <c r="BR633" s="48" t="n">
        <f aca="false">BQ633</f>
        <v>440.6</v>
      </c>
      <c r="BS633" s="48" t="n">
        <f aca="false">BR633</f>
        <v>440.6</v>
      </c>
      <c r="BT633" s="159" t="n">
        <f aca="false">BS633</f>
        <v>440.6</v>
      </c>
      <c r="BU633" s="48" t="n">
        <f aca="false">BT633</f>
        <v>440.6</v>
      </c>
      <c r="BV633" s="48" t="n">
        <f aca="false">BU633</f>
        <v>440.6</v>
      </c>
      <c r="BW633" s="48" t="n">
        <f aca="false">BV633</f>
        <v>440.6</v>
      </c>
      <c r="BX633" s="48" t="n">
        <f aca="false">BW633</f>
        <v>440.6</v>
      </c>
      <c r="BY633" s="159" t="n">
        <f aca="false">BX633</f>
        <v>440.6</v>
      </c>
      <c r="BZ633" s="159" t="n">
        <f aca="false">BY633</f>
        <v>440.6</v>
      </c>
      <c r="CA633" s="159" t="n">
        <f aca="false">BZ633</f>
        <v>440.6</v>
      </c>
      <c r="CB633" s="159" t="n">
        <f aca="false">CA633</f>
        <v>440.6</v>
      </c>
      <c r="CC633" s="50"/>
    </row>
    <row r="634" s="51" customFormat="true" ht="15" hidden="false" customHeight="true" outlineLevel="0" collapsed="false">
      <c r="A634" s="270" t="s">
        <v>516</v>
      </c>
      <c r="B634" s="254"/>
      <c r="C634" s="255" t="n">
        <v>218.746</v>
      </c>
      <c r="D634" s="255" t="n">
        <v>214.162</v>
      </c>
      <c r="E634" s="255" t="n">
        <v>238.095</v>
      </c>
      <c r="F634" s="255" t="n">
        <v>246.005</v>
      </c>
      <c r="G634" s="255" t="n">
        <v>336.421</v>
      </c>
      <c r="H634" s="263" t="n">
        <v>353.9</v>
      </c>
      <c r="I634" s="263" t="n">
        <v>378.6</v>
      </c>
      <c r="J634" s="263" t="n">
        <v>362.2</v>
      </c>
      <c r="K634" s="50" t="n">
        <f aca="false">L634</f>
        <v>390.091</v>
      </c>
      <c r="L634" s="255" t="n">
        <v>390.091</v>
      </c>
      <c r="M634" s="263" t="n">
        <v>456.4</v>
      </c>
      <c r="N634" s="263" t="n">
        <v>435.8</v>
      </c>
      <c r="O634" s="263" t="n">
        <v>416.1</v>
      </c>
      <c r="P634" s="50" t="n">
        <f aca="false">Q634</f>
        <v>488.824</v>
      </c>
      <c r="Q634" s="255" t="n">
        <v>488.824</v>
      </c>
      <c r="R634" s="263" t="n">
        <v>502.1</v>
      </c>
      <c r="S634" s="263" t="n">
        <v>504.7</v>
      </c>
      <c r="T634" s="263" t="n">
        <v>540.4</v>
      </c>
      <c r="U634" s="50" t="n">
        <f aca="false">V634</f>
        <v>560.4</v>
      </c>
      <c r="V634" s="255" t="n">
        <v>560.4</v>
      </c>
      <c r="W634" s="263" t="n">
        <v>589.6</v>
      </c>
      <c r="X634" s="263" t="n">
        <v>719.6</v>
      </c>
      <c r="Y634" s="263" t="n">
        <v>741.8</v>
      </c>
      <c r="Z634" s="50" t="n">
        <f aca="false">AA634</f>
        <v>867.3</v>
      </c>
      <c r="AA634" s="255" t="n">
        <v>867.3</v>
      </c>
      <c r="AB634" s="263" t="n">
        <v>631</v>
      </c>
      <c r="AC634" s="263" t="n">
        <v>700.6</v>
      </c>
      <c r="AD634" s="263" t="n">
        <v>652.6</v>
      </c>
      <c r="AE634" s="50" t="n">
        <f aca="false">AF634</f>
        <v>772.6</v>
      </c>
      <c r="AF634" s="255" t="n">
        <v>772.6</v>
      </c>
      <c r="AG634" s="263" t="n">
        <v>755.7</v>
      </c>
      <c r="AH634" s="263" t="n">
        <v>877.5</v>
      </c>
      <c r="AI634" s="263" t="n">
        <v>816.2</v>
      </c>
      <c r="AJ634" s="50" t="n">
        <f aca="false">AK634</f>
        <v>842.8</v>
      </c>
      <c r="AK634" s="255" t="n">
        <v>842.8</v>
      </c>
      <c r="AL634" s="263" t="n">
        <v>905.8</v>
      </c>
      <c r="AM634" s="263" t="n">
        <v>903.5</v>
      </c>
      <c r="AN634" s="263" t="n">
        <v>772.7</v>
      </c>
      <c r="AO634" s="50" t="n">
        <f aca="false">AP634</f>
        <v>801.7</v>
      </c>
      <c r="AP634" s="255" t="n">
        <v>801.7</v>
      </c>
      <c r="AQ634" s="263" t="n">
        <v>915.7</v>
      </c>
      <c r="AR634" s="263" t="n">
        <v>922.9</v>
      </c>
      <c r="AS634" s="263" t="n">
        <v>995</v>
      </c>
      <c r="AT634" s="50" t="n">
        <f aca="false">AU634</f>
        <v>1000.5</v>
      </c>
      <c r="AU634" s="255" t="n">
        <v>1000.5</v>
      </c>
      <c r="AV634" s="263" t="n">
        <v>1468.2</v>
      </c>
      <c r="AW634" s="263" t="n">
        <v>1528.1</v>
      </c>
      <c r="AX634" s="263" t="n">
        <v>1657.5</v>
      </c>
      <c r="AY634" s="50" t="n">
        <f aca="false">AZ634</f>
        <v>1643.4</v>
      </c>
      <c r="AZ634" s="255" t="n">
        <v>1643.4</v>
      </c>
      <c r="BA634" s="263" t="n">
        <v>1722.4</v>
      </c>
      <c r="BB634" s="263" t="n">
        <v>1915.3</v>
      </c>
      <c r="BC634" s="263" t="n">
        <v>1916.8</v>
      </c>
      <c r="BD634" s="50" t="n">
        <f aca="false">BE634</f>
        <v>1578.5</v>
      </c>
      <c r="BE634" s="255" t="n">
        <v>1578.5</v>
      </c>
      <c r="BF634" s="263" t="n">
        <v>1890.5</v>
      </c>
      <c r="BG634" s="263" t="n">
        <v>1889.4</v>
      </c>
      <c r="BH634" s="263" t="n">
        <v>1785.7</v>
      </c>
      <c r="BI634" s="50" t="n">
        <f aca="false">BJ634</f>
        <v>1940.3</v>
      </c>
      <c r="BJ634" s="255" t="n">
        <v>1940.3</v>
      </c>
      <c r="BK634" s="263" t="n">
        <v>1848.6</v>
      </c>
      <c r="BL634" s="263" t="n">
        <v>1966.2</v>
      </c>
      <c r="BM634" s="263" t="n">
        <v>1575.1</v>
      </c>
      <c r="BN634" s="50" t="n">
        <f aca="false">BO634</f>
        <v>1432.8</v>
      </c>
      <c r="BO634" s="390" t="n">
        <v>1432.8</v>
      </c>
      <c r="BP634" s="48" t="n">
        <f aca="false">(BP$329+BN$329+BM$329+BL$329)*BP608</f>
        <v>2017.17888606986</v>
      </c>
      <c r="BQ634" s="48" t="n">
        <f aca="false">(BQ$329+BP$329+BN$329+BM$329)*BQ608</f>
        <v>2120.48357985634</v>
      </c>
      <c r="BR634" s="48" t="n">
        <f aca="false">(BR$329+BQ$329+BP$329+BN$329)*BR608</f>
        <v>1787.22731225321</v>
      </c>
      <c r="BS634" s="48" t="n">
        <f aca="false">(BS$329+BR$329+BQ$329+BP$329)*BS608</f>
        <v>1619.08717047636</v>
      </c>
      <c r="BT634" s="159" t="n">
        <f aca="false">BS634</f>
        <v>1619.08717047636</v>
      </c>
      <c r="BU634" s="48" t="n">
        <f aca="false">(BU$329+BS$329+BR$329+BQ$329)*BU608</f>
        <v>2240.01466574337</v>
      </c>
      <c r="BV634" s="48" t="n">
        <f aca="false">(BV$329+BU$329+BS$329+BR$329)*BV608</f>
        <v>2285.78626317531</v>
      </c>
      <c r="BW634" s="48" t="n">
        <f aca="false">(BW$329+BV$329+BU$329+BS$329)*BW608</f>
        <v>1856.54230052578</v>
      </c>
      <c r="BX634" s="48" t="n">
        <f aca="false">(BX$329+BW$329+BV$329+BU$329)*BX608</f>
        <v>1693.19435061792</v>
      </c>
      <c r="BY634" s="159" t="n">
        <f aca="false">BX634</f>
        <v>1693.19435061792</v>
      </c>
      <c r="BZ634" s="159" t="n">
        <f aca="false">BZ329*BZ608</f>
        <v>2041.43534604571</v>
      </c>
      <c r="CA634" s="159" t="n">
        <f aca="false">CA329*CA608</f>
        <v>2145.16855229262</v>
      </c>
      <c r="CB634" s="159" t="n">
        <f aca="false">CB329*CB608</f>
        <v>2255.22803023635</v>
      </c>
      <c r="CC634" s="50"/>
    </row>
    <row r="635" s="51" customFormat="true" ht="15" hidden="false" customHeight="true" outlineLevel="0" collapsed="false">
      <c r="A635" s="270" t="s">
        <v>597</v>
      </c>
      <c r="B635" s="254"/>
      <c r="C635" s="159"/>
      <c r="D635" s="159"/>
      <c r="E635" s="159"/>
      <c r="F635" s="159"/>
      <c r="G635" s="159"/>
      <c r="H635" s="48"/>
      <c r="I635" s="48"/>
      <c r="J635" s="48"/>
      <c r="K635" s="48"/>
      <c r="L635" s="159"/>
      <c r="M635" s="48"/>
      <c r="N635" s="48"/>
      <c r="O635" s="48"/>
      <c r="P635" s="48"/>
      <c r="Q635" s="159"/>
      <c r="R635" s="48"/>
      <c r="S635" s="48"/>
      <c r="T635" s="48"/>
      <c r="U635" s="48"/>
      <c r="V635" s="159"/>
      <c r="W635" s="48"/>
      <c r="X635" s="48"/>
      <c r="Y635" s="48"/>
      <c r="Z635" s="48"/>
      <c r="AA635" s="159"/>
      <c r="AB635" s="48"/>
      <c r="AC635" s="48"/>
      <c r="AD635" s="48"/>
      <c r="AE635" s="48"/>
      <c r="AF635" s="159"/>
      <c r="AG635" s="48"/>
      <c r="AH635" s="48"/>
      <c r="AI635" s="48"/>
      <c r="AJ635" s="48"/>
      <c r="AK635" s="159"/>
      <c r="AL635" s="48"/>
      <c r="AM635" s="48"/>
      <c r="AN635" s="48"/>
      <c r="AO635" s="48"/>
      <c r="AP635" s="159"/>
      <c r="AQ635" s="48"/>
      <c r="AR635" s="48"/>
      <c r="AS635" s="48"/>
      <c r="AT635" s="48"/>
      <c r="AU635" s="159"/>
      <c r="AV635" s="48"/>
      <c r="AW635" s="48"/>
      <c r="AX635" s="48"/>
      <c r="AY635" s="48"/>
      <c r="AZ635" s="159"/>
      <c r="BA635" s="48"/>
      <c r="BB635" s="48"/>
      <c r="BC635" s="48"/>
      <c r="BD635" s="48"/>
      <c r="BE635" s="159"/>
      <c r="BF635" s="48"/>
      <c r="BG635" s="48"/>
      <c r="BH635" s="48"/>
      <c r="BI635" s="48"/>
      <c r="BJ635" s="159"/>
      <c r="BK635" s="263" t="n">
        <v>17.8</v>
      </c>
      <c r="BL635" s="263" t="n">
        <v>17.8</v>
      </c>
      <c r="BM635" s="263" t="n">
        <v>190</v>
      </c>
      <c r="BN635" s="48" t="n">
        <f aca="false">BO635</f>
        <v>266.1</v>
      </c>
      <c r="BO635" s="390" t="n">
        <v>266.1</v>
      </c>
      <c r="BP635" s="48" t="n">
        <f aca="false">BO635</f>
        <v>266.1</v>
      </c>
      <c r="BQ635" s="48" t="n">
        <f aca="false">BP635</f>
        <v>266.1</v>
      </c>
      <c r="BR635" s="48" t="n">
        <f aca="false">BQ635</f>
        <v>266.1</v>
      </c>
      <c r="BS635" s="48" t="n">
        <f aca="false">BR635</f>
        <v>266.1</v>
      </c>
      <c r="BT635" s="159" t="n">
        <f aca="false">BS635</f>
        <v>266.1</v>
      </c>
      <c r="BU635" s="48" t="n">
        <f aca="false">BT635</f>
        <v>266.1</v>
      </c>
      <c r="BV635" s="48" t="n">
        <f aca="false">BU635</f>
        <v>266.1</v>
      </c>
      <c r="BW635" s="48" t="n">
        <f aca="false">BV635</f>
        <v>266.1</v>
      </c>
      <c r="BX635" s="48" t="n">
        <f aca="false">BW635</f>
        <v>266.1</v>
      </c>
      <c r="BY635" s="159" t="n">
        <f aca="false">BX635</f>
        <v>266.1</v>
      </c>
      <c r="BZ635" s="159" t="n">
        <f aca="false">BY635</f>
        <v>266.1</v>
      </c>
      <c r="CA635" s="159" t="n">
        <f aca="false">BZ635</f>
        <v>266.1</v>
      </c>
      <c r="CB635" s="159" t="n">
        <f aca="false">CA635</f>
        <v>266.1</v>
      </c>
      <c r="CC635" s="50"/>
    </row>
    <row r="636" s="51" customFormat="true" ht="15" hidden="false" customHeight="true" outlineLevel="0" collapsed="false">
      <c r="A636" s="270" t="s">
        <v>598</v>
      </c>
      <c r="B636" s="254"/>
      <c r="C636" s="159"/>
      <c r="D636" s="159"/>
      <c r="E636" s="159"/>
      <c r="F636" s="159"/>
      <c r="G636" s="159"/>
      <c r="H636" s="48"/>
      <c r="I636" s="48"/>
      <c r="J636" s="48"/>
      <c r="K636" s="48"/>
      <c r="L636" s="159"/>
      <c r="M636" s="48"/>
      <c r="N636" s="48"/>
      <c r="O636" s="48"/>
      <c r="P636" s="48"/>
      <c r="Q636" s="159"/>
      <c r="R636" s="48"/>
      <c r="S636" s="48"/>
      <c r="T636" s="48"/>
      <c r="U636" s="48"/>
      <c r="V636" s="159"/>
      <c r="W636" s="48"/>
      <c r="X636" s="48"/>
      <c r="Y636" s="48"/>
      <c r="Z636" s="48"/>
      <c r="AA636" s="159"/>
      <c r="AB636" s="48"/>
      <c r="AC636" s="48"/>
      <c r="AD636" s="48"/>
      <c r="AE636" s="48"/>
      <c r="AF636" s="159"/>
      <c r="AG636" s="48"/>
      <c r="AH636" s="48"/>
      <c r="AI636" s="48"/>
      <c r="AJ636" s="48"/>
      <c r="AK636" s="159"/>
      <c r="AL636" s="48"/>
      <c r="AM636" s="48"/>
      <c r="AN636" s="48"/>
      <c r="AO636" s="48"/>
      <c r="AP636" s="159"/>
      <c r="AQ636" s="263" t="n">
        <v>165.5</v>
      </c>
      <c r="AR636" s="263" t="n">
        <v>150.2</v>
      </c>
      <c r="AS636" s="263" t="n">
        <v>152.7</v>
      </c>
      <c r="AT636" s="48" t="n">
        <f aca="false">AU636</f>
        <v>0</v>
      </c>
      <c r="AU636" s="159"/>
      <c r="AV636" s="48"/>
      <c r="AW636" s="48"/>
      <c r="AX636" s="48"/>
      <c r="AY636" s="48" t="n">
        <f aca="false">AZ636</f>
        <v>0</v>
      </c>
      <c r="AZ636" s="159"/>
      <c r="BA636" s="48"/>
      <c r="BB636" s="48"/>
      <c r="BC636" s="48"/>
      <c r="BD636" s="48" t="n">
        <f aca="false">BE636</f>
        <v>0</v>
      </c>
      <c r="BE636" s="159"/>
      <c r="BF636" s="48"/>
      <c r="BG636" s="48"/>
      <c r="BH636" s="48"/>
      <c r="BI636" s="48" t="n">
        <f aca="false">BJ636</f>
        <v>0</v>
      </c>
      <c r="BJ636" s="159"/>
      <c r="BK636" s="48"/>
      <c r="BL636" s="48"/>
      <c r="BM636" s="48"/>
      <c r="BN636" s="48" t="n">
        <f aca="false">BO636</f>
        <v>0</v>
      </c>
      <c r="BO636" s="160"/>
      <c r="BP636" s="48" t="n">
        <f aca="false">BO636</f>
        <v>0</v>
      </c>
      <c r="BQ636" s="48" t="n">
        <f aca="false">BP636</f>
        <v>0</v>
      </c>
      <c r="BR636" s="48" t="n">
        <f aca="false">BQ636</f>
        <v>0</v>
      </c>
      <c r="BS636" s="48" t="n">
        <f aca="false">BR636</f>
        <v>0</v>
      </c>
      <c r="BT636" s="159" t="n">
        <f aca="false">BS636</f>
        <v>0</v>
      </c>
      <c r="BU636" s="48" t="n">
        <f aca="false">BT636</f>
        <v>0</v>
      </c>
      <c r="BV636" s="48" t="n">
        <f aca="false">BU636</f>
        <v>0</v>
      </c>
      <c r="BW636" s="48" t="n">
        <f aca="false">BV636</f>
        <v>0</v>
      </c>
      <c r="BX636" s="48" t="n">
        <f aca="false">BW636</f>
        <v>0</v>
      </c>
      <c r="BY636" s="159" t="n">
        <f aca="false">BX636</f>
        <v>0</v>
      </c>
      <c r="BZ636" s="159" t="n">
        <f aca="false">BY636</f>
        <v>0</v>
      </c>
      <c r="CA636" s="159" t="n">
        <f aca="false">BZ636</f>
        <v>0</v>
      </c>
      <c r="CB636" s="159" t="n">
        <f aca="false">CA636</f>
        <v>0</v>
      </c>
      <c r="CC636" s="50"/>
    </row>
    <row r="637" s="157" customFormat="true" ht="15" hidden="false" customHeight="true" outlineLevel="0" collapsed="false">
      <c r="A637" s="244" t="s">
        <v>599</v>
      </c>
      <c r="B637" s="393"/>
      <c r="C637" s="357" t="n">
        <f aca="false">SUM(C625:C626,C629:C636)</f>
        <v>2748.884</v>
      </c>
      <c r="D637" s="357" t="n">
        <f aca="false">SUM(D625:D626,D629:D636)</f>
        <v>4944.465</v>
      </c>
      <c r="E637" s="357" t="n">
        <f aca="false">SUM(E625:E626,E629:E636)</f>
        <v>5706.809</v>
      </c>
      <c r="F637" s="357" t="n">
        <f aca="false">SUM(F625:F626,F629:F636)</f>
        <v>5831.842</v>
      </c>
      <c r="G637" s="357" t="n">
        <f aca="false">SUM(G625:G626,G629:G636)</f>
        <v>7025.578</v>
      </c>
      <c r="H637" s="394" t="n">
        <f aca="false">SUM(H625:H626,H629:H636)</f>
        <v>7240.8</v>
      </c>
      <c r="I637" s="394" t="n">
        <f aca="false">SUM(I625:I626,I629:I636)</f>
        <v>7290.3</v>
      </c>
      <c r="J637" s="394" t="n">
        <f aca="false">SUM(J625:J626,J629:J636)</f>
        <v>7161.6</v>
      </c>
      <c r="K637" s="394" t="n">
        <f aca="false">SUM(K625:K626,K629:K636)</f>
        <v>7146.206</v>
      </c>
      <c r="L637" s="357" t="n">
        <f aca="false">SUM(L625:L626,L629:L636)</f>
        <v>7146.206</v>
      </c>
      <c r="M637" s="394" t="n">
        <f aca="false">SUM(M625:M626,M629:M636)</f>
        <v>7625.1</v>
      </c>
      <c r="N637" s="394" t="n">
        <f aca="false">SUM(N625:N626,N629:N636)</f>
        <v>7311.8</v>
      </c>
      <c r="O637" s="394" t="n">
        <f aca="false">SUM(O625:O626,O629:O636)</f>
        <v>7347.5</v>
      </c>
      <c r="P637" s="394" t="n">
        <f aca="false">SUM(P625:P626,P629:P636)</f>
        <v>7707.701</v>
      </c>
      <c r="Q637" s="357" t="n">
        <f aca="false">SUM(Q625:Q626,Q629:Q636)</f>
        <v>7707.701</v>
      </c>
      <c r="R637" s="394" t="n">
        <f aca="false">SUM(R625:R626,R629:R636)</f>
        <v>7686.2</v>
      </c>
      <c r="S637" s="394" t="n">
        <f aca="false">SUM(S625:S626,S629:S636)</f>
        <v>7580.5</v>
      </c>
      <c r="T637" s="394" t="n">
        <f aca="false">SUM(T625:T626,T629:T636)</f>
        <v>9215.7</v>
      </c>
      <c r="U637" s="394" t="n">
        <f aca="false">SUM(U625:U626,U629:U636)</f>
        <v>8557.4</v>
      </c>
      <c r="V637" s="357" t="n">
        <f aca="false">SUM(V625:V626,V629:V636)</f>
        <v>8557.4</v>
      </c>
      <c r="W637" s="394" t="n">
        <f aca="false">SUM(W625:W626,W629:W636)</f>
        <v>8769.6</v>
      </c>
      <c r="X637" s="394" t="n">
        <f aca="false">SUM(X625:X626,X629:X636)</f>
        <v>8041.5</v>
      </c>
      <c r="Y637" s="394" t="n">
        <f aca="false">SUM(Y625:Y626,Y629:Y636)</f>
        <v>8293.9</v>
      </c>
      <c r="Z637" s="394" t="n">
        <f aca="false">SUM(Z625:Z626,Z629:Z636)</f>
        <v>9007</v>
      </c>
      <c r="AA637" s="357" t="n">
        <f aca="false">SUM(AA625:AA626,AA629:AA636)</f>
        <v>9007</v>
      </c>
      <c r="AB637" s="394" t="n">
        <f aca="false">SUM(AB625:AB626,AB629:AB636)</f>
        <v>9212.7</v>
      </c>
      <c r="AC637" s="394" t="n">
        <f aca="false">SUM(AC625:AC626,AC629:AC636)</f>
        <v>9214.2</v>
      </c>
      <c r="AD637" s="394" t="n">
        <f aca="false">SUM(AD625:AD626,AD629:AD636)</f>
        <v>9913.1</v>
      </c>
      <c r="AE637" s="394" t="n">
        <f aca="false">SUM(AE625:AE626,AE629:AE636)</f>
        <v>10531.4</v>
      </c>
      <c r="AF637" s="357" t="n">
        <f aca="false">SUM(AF625:AF626,AF629:AF636)</f>
        <v>10531.4</v>
      </c>
      <c r="AG637" s="394" t="n">
        <f aca="false">SUM(AG625:AG626,AG629:AG636)</f>
        <v>10396.3</v>
      </c>
      <c r="AH637" s="394" t="n">
        <f aca="false">SUM(AH625:AH626,AH629:AH636)</f>
        <v>9895.3</v>
      </c>
      <c r="AI637" s="394" t="n">
        <f aca="false">SUM(AI625:AI626,AI629:AI636)</f>
        <v>10094.1</v>
      </c>
      <c r="AJ637" s="394" t="n">
        <f aca="false">SUM(AJ625:AJ626,AJ629:AJ636)</f>
        <v>12131.1</v>
      </c>
      <c r="AK637" s="357" t="n">
        <f aca="false">SUM(AK625:AK626,AK629:AK636)</f>
        <v>12131.1</v>
      </c>
      <c r="AL637" s="394" t="n">
        <f aca="false">SUM(AL625:AL626,AL629:AL636)</f>
        <v>12700.1</v>
      </c>
      <c r="AM637" s="394" t="n">
        <f aca="false">SUM(AM625:AM626,AM629:AM636)</f>
        <v>13492.6</v>
      </c>
      <c r="AN637" s="394" t="n">
        <f aca="false">SUM(AN625:AN626,AN629:AN636)</f>
        <v>14550.8</v>
      </c>
      <c r="AO637" s="394" t="n">
        <f aca="false">SUM(AO625:AO626,AO629:AO636)</f>
        <v>15930</v>
      </c>
      <c r="AP637" s="357" t="n">
        <f aca="false">SUM(AP625:AP626,AP629:AP636)</f>
        <v>15930</v>
      </c>
      <c r="AQ637" s="394" t="n">
        <f aca="false">SUM(AQ625:AQ626,AQ629:AQ636)</f>
        <v>15859.6</v>
      </c>
      <c r="AR637" s="394" t="n">
        <f aca="false">SUM(AR625:AR626,AR629:AR636)</f>
        <v>16739.2</v>
      </c>
      <c r="AS637" s="394" t="n">
        <f aca="false">SUM(AS625:AS626,AS629:AS636)</f>
        <v>15678.3</v>
      </c>
      <c r="AT637" s="394" t="n">
        <f aca="false">SUM(AT625:AT626,AT629:AT636)</f>
        <v>18190.2</v>
      </c>
      <c r="AU637" s="357" t="n">
        <f aca="false">SUM(AU625:AU626,AU629:AU636)</f>
        <v>18190.2</v>
      </c>
      <c r="AV637" s="394" t="n">
        <f aca="false">SUM(AV625:AV626,AV629:AV636)</f>
        <v>18208.8</v>
      </c>
      <c r="AW637" s="394" t="n">
        <f aca="false">SUM(AW625:AW626,AW629:AW636)</f>
        <v>19835.3</v>
      </c>
      <c r="AX637" s="394" t="n">
        <f aca="false">SUM(AX625:AX626,AX629:AX636)</f>
        <v>19726.4</v>
      </c>
      <c r="AY637" s="394" t="n">
        <f aca="false">SUM(AY625:AY626,AY629:AY636)</f>
        <v>23064.9</v>
      </c>
      <c r="AZ637" s="357" t="n">
        <f aca="false">SUM(AZ625:AZ626,AZ629:AZ636)</f>
        <v>23064.9</v>
      </c>
      <c r="BA637" s="394" t="n">
        <f aca="false">SUM(BA625:BA626,BA629:BA636)</f>
        <v>21060.8</v>
      </c>
      <c r="BB637" s="394" t="n">
        <f aca="false">SUM(BB625:BB626,BB629:BB636)</f>
        <v>22398.2</v>
      </c>
      <c r="BC637" s="394" t="n">
        <f aca="false">SUM(BC625:BC626,BC629:BC636)</f>
        <v>21655.7</v>
      </c>
      <c r="BD637" s="394" t="n">
        <f aca="false">SUM(BD625:BD626,BD629:BD636)</f>
        <v>24393.9</v>
      </c>
      <c r="BE637" s="357" t="n">
        <f aca="false">SUM(BE625:BE626,BE629:BE636)</f>
        <v>24393.9</v>
      </c>
      <c r="BF637" s="394" t="n">
        <f aca="false">SUM(BF625:BF626,BF629:BF636)</f>
        <v>23139.7</v>
      </c>
      <c r="BG637" s="394" t="n">
        <f aca="false">SUM(BG625:BG626,BG629:BG636)</f>
        <v>24453.2</v>
      </c>
      <c r="BH637" s="394" t="n">
        <f aca="false">SUM(BH625:BH626,BH629:BH636)</f>
        <v>24864</v>
      </c>
      <c r="BI637" s="394" t="n">
        <f aca="false">SUM(BI625:BI626,BI629:BI636)</f>
        <v>30737.4</v>
      </c>
      <c r="BJ637" s="357" t="n">
        <f aca="false">SUM(BJ625:BJ626,BJ629:BJ636)</f>
        <v>30737.4</v>
      </c>
      <c r="BK637" s="394" t="n">
        <f aca="false">SUM(BK625:BK626,BK629:BK636)</f>
        <v>27524.4</v>
      </c>
      <c r="BL637" s="394" t="n">
        <f aca="false">SUM(BL625:BL626,BL629:BL636)</f>
        <v>26710.5</v>
      </c>
      <c r="BM637" s="394" t="n">
        <f aca="false">SUM(BM625:BM626,BM629:BM636)</f>
        <v>25146.3</v>
      </c>
      <c r="BN637" s="394" t="n">
        <f aca="false">SUM(BN625:BN626,BN629:BN636)</f>
        <v>30616.1</v>
      </c>
      <c r="BO637" s="395" t="n">
        <f aca="false">SUM(BO625:BO626,BO629:BO636)</f>
        <v>30616.1</v>
      </c>
      <c r="BP637" s="163" t="n">
        <f aca="false">SUM(BP625:BP626,BP629:BP636)</f>
        <v>37577.9704952245</v>
      </c>
      <c r="BQ637" s="163" t="n">
        <f aca="false">SUM(BQ625:BQ626,BQ629:BQ636)</f>
        <v>40753.1993435965</v>
      </c>
      <c r="BR637" s="163" t="n">
        <f aca="false">SUM(BR625:BR626,BR629:BR636)</f>
        <v>44428.3231301284</v>
      </c>
      <c r="BS637" s="163" t="n">
        <f aca="false">SUM(BS625:BS626,BS629:BS636)</f>
        <v>42222.7438365978</v>
      </c>
      <c r="BT637" s="162" t="n">
        <f aca="false">SUM(BT625:BT626,BT629:BT636)</f>
        <v>42222.7438365978</v>
      </c>
      <c r="BU637" s="163" t="n">
        <f aca="false">SUM(BU625:BU626,BU629:BU636)</f>
        <v>49413.5056895726</v>
      </c>
      <c r="BV637" s="163" t="n">
        <f aca="false">SUM(BV625:BV626,BV629:BV636)</f>
        <v>52315.6476709911</v>
      </c>
      <c r="BW637" s="163" t="n">
        <f aca="false">SUM(BW625:BW626,BW629:BW636)</f>
        <v>55418.7954184896</v>
      </c>
      <c r="BX637" s="163" t="n">
        <f aca="false">SUM(BX625:BX626,BX629:BX636)</f>
        <v>53540.8525546174</v>
      </c>
      <c r="BY637" s="162" t="n">
        <f aca="false">SUM(BY625:BY626,BY629:BY636)</f>
        <v>53540.8525546174</v>
      </c>
      <c r="BZ637" s="162" t="n">
        <f aca="false">SUM(BZ625:BZ626,BZ629:BZ636)</f>
        <v>71488.8669350817</v>
      </c>
      <c r="CA637" s="162" t="n">
        <f aca="false">SUM(CA625:CA626,CA629:CA636)</f>
        <v>86566.6728781239</v>
      </c>
      <c r="CB637" s="162" t="n">
        <f aca="false">SUM(CB625:CB626,CB629:CB636)</f>
        <v>102741.1297867</v>
      </c>
      <c r="CC637" s="156"/>
    </row>
    <row r="638" s="157" customFormat="true" ht="15" hidden="false" customHeight="true" outlineLevel="0" collapsed="false">
      <c r="A638" s="252"/>
      <c r="B638" s="266"/>
      <c r="C638" s="267"/>
      <c r="D638" s="267"/>
      <c r="E638" s="267"/>
      <c r="F638" s="267"/>
      <c r="G638" s="267"/>
      <c r="H638" s="268"/>
      <c r="I638" s="268"/>
      <c r="J638" s="268"/>
      <c r="K638" s="268"/>
      <c r="L638" s="267"/>
      <c r="M638" s="268"/>
      <c r="N638" s="268"/>
      <c r="O638" s="268"/>
      <c r="P638" s="268"/>
      <c r="Q638" s="267"/>
      <c r="R638" s="268"/>
      <c r="S638" s="268"/>
      <c r="T638" s="268"/>
      <c r="U638" s="268"/>
      <c r="V638" s="267"/>
      <c r="W638" s="268"/>
      <c r="X638" s="268"/>
      <c r="Y638" s="268"/>
      <c r="Z638" s="268"/>
      <c r="AA638" s="267"/>
      <c r="AB638" s="268"/>
      <c r="AC638" s="268"/>
      <c r="AD638" s="268"/>
      <c r="AE638" s="268"/>
      <c r="AF638" s="267"/>
      <c r="AG638" s="268"/>
      <c r="AH638" s="268"/>
      <c r="AI638" s="268"/>
      <c r="AJ638" s="268"/>
      <c r="AK638" s="267"/>
      <c r="AL638" s="268"/>
      <c r="AM638" s="268"/>
      <c r="AN638" s="268"/>
      <c r="AO638" s="268"/>
      <c r="AP638" s="267"/>
      <c r="AQ638" s="268"/>
      <c r="AR638" s="268"/>
      <c r="AS638" s="268"/>
      <c r="AT638" s="268"/>
      <c r="AU638" s="267"/>
      <c r="AV638" s="268"/>
      <c r="AW638" s="268"/>
      <c r="AX638" s="268"/>
      <c r="AY638" s="268"/>
      <c r="AZ638" s="267"/>
      <c r="BA638" s="268"/>
      <c r="BB638" s="268"/>
      <c r="BC638" s="268"/>
      <c r="BD638" s="268"/>
      <c r="BE638" s="267"/>
      <c r="BF638" s="268"/>
      <c r="BG638" s="268"/>
      <c r="BH638" s="268"/>
      <c r="BI638" s="268"/>
      <c r="BJ638" s="267"/>
      <c r="BK638" s="268"/>
      <c r="BL638" s="268"/>
      <c r="BM638" s="268"/>
      <c r="BN638" s="268"/>
      <c r="BO638" s="269"/>
      <c r="BP638" s="268"/>
      <c r="BQ638" s="268"/>
      <c r="BR638" s="268"/>
      <c r="BS638" s="268"/>
      <c r="BT638" s="267"/>
      <c r="BU638" s="268"/>
      <c r="BV638" s="268"/>
      <c r="BW638" s="268"/>
      <c r="BX638" s="268"/>
      <c r="BY638" s="267"/>
      <c r="BZ638" s="267"/>
      <c r="CA638" s="267"/>
      <c r="CB638" s="267"/>
      <c r="CC638" s="156"/>
    </row>
    <row r="639" s="157" customFormat="true" ht="15" hidden="false" customHeight="true" outlineLevel="0" collapsed="false">
      <c r="A639" s="582" t="s">
        <v>600</v>
      </c>
      <c r="B639" s="266"/>
      <c r="C639" s="267"/>
      <c r="D639" s="267"/>
      <c r="E639" s="267"/>
      <c r="F639" s="267"/>
      <c r="G639" s="267"/>
      <c r="H639" s="268"/>
      <c r="I639" s="268"/>
      <c r="J639" s="268"/>
      <c r="K639" s="268"/>
      <c r="L639" s="267"/>
      <c r="M639" s="268"/>
      <c r="N639" s="268"/>
      <c r="O639" s="268"/>
      <c r="P639" s="268"/>
      <c r="Q639" s="267"/>
      <c r="R639" s="268"/>
      <c r="S639" s="268"/>
      <c r="T639" s="268"/>
      <c r="U639" s="268"/>
      <c r="V639" s="267"/>
      <c r="W639" s="268"/>
      <c r="X639" s="268"/>
      <c r="Y639" s="268"/>
      <c r="Z639" s="268"/>
      <c r="AA639" s="267"/>
      <c r="AB639" s="268"/>
      <c r="AC639" s="268"/>
      <c r="AD639" s="268"/>
      <c r="AE639" s="268"/>
      <c r="AF639" s="267"/>
      <c r="AG639" s="268"/>
      <c r="AH639" s="268"/>
      <c r="AI639" s="268"/>
      <c r="AJ639" s="268"/>
      <c r="AK639" s="267"/>
      <c r="AL639" s="268"/>
      <c r="AM639" s="268"/>
      <c r="AN639" s="268"/>
      <c r="AO639" s="268"/>
      <c r="AP639" s="267"/>
      <c r="AQ639" s="268"/>
      <c r="AR639" s="268"/>
      <c r="AS639" s="268"/>
      <c r="AT639" s="268"/>
      <c r="AU639" s="267"/>
      <c r="AV639" s="268"/>
      <c r="AW639" s="268"/>
      <c r="AX639" s="268"/>
      <c r="AY639" s="268"/>
      <c r="AZ639" s="267"/>
      <c r="BA639" s="268"/>
      <c r="BB639" s="268"/>
      <c r="BC639" s="268"/>
      <c r="BD639" s="268"/>
      <c r="BE639" s="267"/>
      <c r="BF639" s="268"/>
      <c r="BG639" s="268"/>
      <c r="BH639" s="268"/>
      <c r="BI639" s="268"/>
      <c r="BJ639" s="267"/>
      <c r="BK639" s="268"/>
      <c r="BL639" s="268"/>
      <c r="BM639" s="268"/>
      <c r="BN639" s="268"/>
      <c r="BO639" s="269"/>
      <c r="BP639" s="268"/>
      <c r="BQ639" s="268"/>
      <c r="BR639" s="268"/>
      <c r="BS639" s="268"/>
      <c r="BT639" s="267"/>
      <c r="BU639" s="268"/>
      <c r="BV639" s="268"/>
      <c r="BW639" s="268"/>
      <c r="BX639" s="268"/>
      <c r="BY639" s="267"/>
      <c r="BZ639" s="267"/>
      <c r="CA639" s="267"/>
      <c r="CB639" s="267"/>
      <c r="CC639" s="156"/>
    </row>
    <row r="640" s="51" customFormat="true" ht="15" hidden="false" customHeight="true" outlineLevel="0" collapsed="false">
      <c r="A640" s="270" t="s">
        <v>591</v>
      </c>
      <c r="B640" s="254"/>
      <c r="C640" s="159"/>
      <c r="D640" s="255" t="n">
        <v>28.905</v>
      </c>
      <c r="E640" s="159"/>
      <c r="F640" s="255" t="n">
        <v>38.621</v>
      </c>
      <c r="G640" s="255" t="n">
        <v>46.017</v>
      </c>
      <c r="H640" s="263" t="n">
        <v>46.2</v>
      </c>
      <c r="I640" s="263" t="n">
        <v>46.4</v>
      </c>
      <c r="J640" s="263" t="n">
        <v>119.3</v>
      </c>
      <c r="K640" s="50" t="n">
        <f aca="false">L640</f>
        <v>55.261</v>
      </c>
      <c r="L640" s="255" t="n">
        <v>55.261</v>
      </c>
      <c r="M640" s="263" t="n">
        <v>55.3</v>
      </c>
      <c r="N640" s="263" t="n">
        <v>55.7</v>
      </c>
      <c r="O640" s="263" t="n">
        <v>49.8</v>
      </c>
      <c r="P640" s="50" t="n">
        <f aca="false">Q640</f>
        <v>124.036</v>
      </c>
      <c r="Q640" s="255" t="n">
        <v>124.036</v>
      </c>
      <c r="R640" s="263" t="n">
        <v>102.2</v>
      </c>
      <c r="S640" s="263" t="n">
        <v>105.7</v>
      </c>
      <c r="T640" s="263" t="n">
        <v>71.8</v>
      </c>
      <c r="U640" s="50" t="n">
        <f aca="false">V640</f>
        <v>117.2</v>
      </c>
      <c r="V640" s="255" t="n">
        <v>117.2</v>
      </c>
      <c r="W640" s="263" t="n">
        <v>213.6</v>
      </c>
      <c r="X640" s="263" t="n">
        <v>120.2</v>
      </c>
      <c r="Y640" s="263" t="n">
        <v>263.9</v>
      </c>
      <c r="Z640" s="50" t="n">
        <f aca="false">AA640</f>
        <v>264.9</v>
      </c>
      <c r="AA640" s="255" t="n">
        <v>264.9</v>
      </c>
      <c r="AB640" s="263" t="n">
        <v>193.2</v>
      </c>
      <c r="AC640" s="263" t="n">
        <v>193</v>
      </c>
      <c r="AD640" s="263" t="n">
        <v>193.5</v>
      </c>
      <c r="AE640" s="50" t="n">
        <f aca="false">AF640</f>
        <v>275.1</v>
      </c>
      <c r="AF640" s="255" t="n">
        <v>275.1</v>
      </c>
      <c r="AG640" s="263" t="n">
        <v>399.4</v>
      </c>
      <c r="AH640" s="263" t="n">
        <v>406.3</v>
      </c>
      <c r="AI640" s="263" t="n">
        <v>588.2</v>
      </c>
      <c r="AJ640" s="50" t="n">
        <f aca="false">AK640</f>
        <v>421.1</v>
      </c>
      <c r="AK640" s="255" t="n">
        <v>421.1</v>
      </c>
      <c r="AL640" s="263" t="n">
        <v>340.8</v>
      </c>
      <c r="AM640" s="263" t="n">
        <v>444</v>
      </c>
      <c r="AN640" s="263" t="n">
        <v>349.6</v>
      </c>
      <c r="AO640" s="50" t="n">
        <f aca="false">AP640</f>
        <v>400.5</v>
      </c>
      <c r="AP640" s="255" t="n">
        <v>400.5</v>
      </c>
      <c r="AQ640" s="263" t="n">
        <v>66.6</v>
      </c>
      <c r="AR640" s="263" t="n">
        <v>6.2</v>
      </c>
      <c r="AS640" s="263" t="n">
        <v>139</v>
      </c>
      <c r="AT640" s="50" t="n">
        <f aca="false">AU640</f>
        <v>383</v>
      </c>
      <c r="AU640" s="255" t="n">
        <v>383</v>
      </c>
      <c r="AV640" s="263" t="n">
        <v>191.5</v>
      </c>
      <c r="AW640" s="263" t="n">
        <v>0</v>
      </c>
      <c r="AX640" s="263" t="n">
        <v>174.9</v>
      </c>
      <c r="AY640" s="50" t="n">
        <f aca="false">AZ640</f>
        <v>0</v>
      </c>
      <c r="AZ640" s="159"/>
      <c r="BA640" s="263" t="n">
        <v>58.3</v>
      </c>
      <c r="BB640" s="263" t="n">
        <v>71.7</v>
      </c>
      <c r="BC640" s="263" t="n">
        <v>423.4</v>
      </c>
      <c r="BD640" s="50" t="n">
        <f aca="false">BE640</f>
        <v>60.6</v>
      </c>
      <c r="BE640" s="255" t="n">
        <v>60.6</v>
      </c>
      <c r="BF640" s="263" t="n">
        <v>13.8</v>
      </c>
      <c r="BG640" s="263" t="n">
        <v>64</v>
      </c>
      <c r="BH640" s="263" t="n">
        <v>370.5</v>
      </c>
      <c r="BI640" s="50" t="n">
        <f aca="false">BJ640</f>
        <v>317.2</v>
      </c>
      <c r="BJ640" s="255" t="n">
        <v>317.2</v>
      </c>
      <c r="BK640" s="263" t="n">
        <v>153.4</v>
      </c>
      <c r="BL640" s="263" t="n">
        <v>175.1</v>
      </c>
      <c r="BM640" s="48"/>
      <c r="BN640" s="50" t="n">
        <f aca="false">BO640</f>
        <v>13.3</v>
      </c>
      <c r="BO640" s="390" t="n">
        <v>13.3</v>
      </c>
      <c r="BP640" s="48" t="n">
        <f aca="false">BO640</f>
        <v>13.3</v>
      </c>
      <c r="BQ640" s="48" t="n">
        <f aca="false">BP640</f>
        <v>13.3</v>
      </c>
      <c r="BR640" s="48" t="n">
        <f aca="false">BQ640</f>
        <v>13.3</v>
      </c>
      <c r="BS640" s="48" t="n">
        <f aca="false">BR640</f>
        <v>13.3</v>
      </c>
      <c r="BT640" s="159" t="n">
        <f aca="false">BS640</f>
        <v>13.3</v>
      </c>
      <c r="BU640" s="48" t="n">
        <f aca="false">BT640</f>
        <v>13.3</v>
      </c>
      <c r="BV640" s="48" t="n">
        <f aca="false">BU640</f>
        <v>13.3</v>
      </c>
      <c r="BW640" s="48" t="n">
        <f aca="false">BV640</f>
        <v>13.3</v>
      </c>
      <c r="BX640" s="48" t="n">
        <f aca="false">BW640</f>
        <v>13.3</v>
      </c>
      <c r="BY640" s="159" t="n">
        <f aca="false">BX640</f>
        <v>13.3</v>
      </c>
      <c r="BZ640" s="159" t="n">
        <f aca="false">BY640</f>
        <v>13.3</v>
      </c>
      <c r="CA640" s="159" t="n">
        <f aca="false">BZ640</f>
        <v>13.3</v>
      </c>
      <c r="CB640" s="159" t="n">
        <f aca="false">CA640</f>
        <v>13.3</v>
      </c>
      <c r="CC640" s="50"/>
    </row>
    <row r="641" s="51" customFormat="true" ht="15" hidden="false" customHeight="true" outlineLevel="0" collapsed="false">
      <c r="A641" s="270" t="s">
        <v>595</v>
      </c>
      <c r="B641" s="254"/>
      <c r="C641" s="255" t="n">
        <v>133.263</v>
      </c>
      <c r="D641" s="255" t="n">
        <v>71.008</v>
      </c>
      <c r="E641" s="255" t="n">
        <v>38.735</v>
      </c>
      <c r="F641" s="255" t="n">
        <v>39.443</v>
      </c>
      <c r="G641" s="255" t="n">
        <v>139.513</v>
      </c>
      <c r="H641" s="263" t="n">
        <v>129.1</v>
      </c>
      <c r="I641" s="263" t="n">
        <v>126.2</v>
      </c>
      <c r="J641" s="263" t="n">
        <v>115.8</v>
      </c>
      <c r="K641" s="50" t="n">
        <f aca="false">L641</f>
        <v>28.76</v>
      </c>
      <c r="L641" s="255" t="n">
        <v>28.76</v>
      </c>
      <c r="M641" s="263" t="n">
        <v>30.5</v>
      </c>
      <c r="N641" s="263" t="n">
        <v>33.3</v>
      </c>
      <c r="O641" s="263" t="n">
        <v>32.8</v>
      </c>
      <c r="P641" s="50" t="n">
        <f aca="false">Q641</f>
        <v>29.012</v>
      </c>
      <c r="Q641" s="255" t="n">
        <v>29.012</v>
      </c>
      <c r="R641" s="263" t="n">
        <v>47.4</v>
      </c>
      <c r="S641" s="263" t="n">
        <v>50</v>
      </c>
      <c r="T641" s="263" t="n">
        <v>39.1</v>
      </c>
      <c r="U641" s="50" t="n">
        <f aca="false">V641</f>
        <v>34.9</v>
      </c>
      <c r="V641" s="255" t="n">
        <v>34.9</v>
      </c>
      <c r="W641" s="263" t="n">
        <v>34.5</v>
      </c>
      <c r="X641" s="263" t="n">
        <v>30.1</v>
      </c>
      <c r="Y641" s="263" t="n">
        <v>25.5</v>
      </c>
      <c r="Z641" s="50" t="n">
        <f aca="false">AA641</f>
        <v>31.7</v>
      </c>
      <c r="AA641" s="255" t="n">
        <v>31.7</v>
      </c>
      <c r="AB641" s="263" t="n">
        <v>90.7</v>
      </c>
      <c r="AC641" s="263" t="n">
        <v>97.5</v>
      </c>
      <c r="AD641" s="263" t="n">
        <v>109.5</v>
      </c>
      <c r="AE641" s="50" t="n">
        <f aca="false">AF641</f>
        <v>236.3</v>
      </c>
      <c r="AF641" s="255" t="n">
        <v>236.3</v>
      </c>
      <c r="AG641" s="263" t="n">
        <v>280.7</v>
      </c>
      <c r="AH641" s="263" t="n">
        <v>326.6</v>
      </c>
      <c r="AI641" s="263" t="n">
        <v>309.2</v>
      </c>
      <c r="AJ641" s="50" t="n">
        <f aca="false">AK641</f>
        <v>445.3</v>
      </c>
      <c r="AK641" s="255" t="n">
        <v>445.3</v>
      </c>
      <c r="AL641" s="263" t="n">
        <v>482.3</v>
      </c>
      <c r="AM641" s="263" t="n">
        <v>485.3</v>
      </c>
      <c r="AN641" s="263" t="n">
        <v>610.7</v>
      </c>
      <c r="AO641" s="50" t="n">
        <f aca="false">AP641</f>
        <v>671.5</v>
      </c>
      <c r="AP641" s="255" t="n">
        <v>671.5</v>
      </c>
      <c r="AQ641" s="263" t="n">
        <v>700.8</v>
      </c>
      <c r="AR641" s="263" t="n">
        <v>710.5</v>
      </c>
      <c r="AS641" s="263" t="n">
        <v>986</v>
      </c>
      <c r="AT641" s="50" t="n">
        <f aca="false">AU641</f>
        <v>1098.7</v>
      </c>
      <c r="AU641" s="255" t="n">
        <v>1098.7</v>
      </c>
      <c r="AV641" s="263" t="n">
        <v>1141.9</v>
      </c>
      <c r="AW641" s="263" t="n">
        <v>1240.8</v>
      </c>
      <c r="AX641" s="263" t="n">
        <v>1599.6</v>
      </c>
      <c r="AY641" s="50" t="n">
        <f aca="false">AZ641</f>
        <v>1672.8</v>
      </c>
      <c r="AZ641" s="255" t="n">
        <v>1672.8</v>
      </c>
      <c r="BA641" s="263" t="n">
        <v>1667.4</v>
      </c>
      <c r="BB641" s="263" t="n">
        <v>1679.1</v>
      </c>
      <c r="BC641" s="263" t="n">
        <v>1827.4</v>
      </c>
      <c r="BD641" s="50" t="n">
        <f aca="false">BE641</f>
        <v>1872.3</v>
      </c>
      <c r="BE641" s="255" t="n">
        <v>1872.3</v>
      </c>
      <c r="BF641" s="263" t="n">
        <v>1875.2</v>
      </c>
      <c r="BG641" s="263" t="n">
        <v>1872.4</v>
      </c>
      <c r="BH641" s="263" t="n">
        <v>1939</v>
      </c>
      <c r="BI641" s="50" t="n">
        <f aca="false">BJ641</f>
        <v>1940.7</v>
      </c>
      <c r="BJ641" s="255" t="n">
        <v>1940.7</v>
      </c>
      <c r="BK641" s="263" t="n">
        <v>1861</v>
      </c>
      <c r="BL641" s="263" t="n">
        <v>1830.4</v>
      </c>
      <c r="BM641" s="263" t="n">
        <v>1838.6</v>
      </c>
      <c r="BN641" s="50" t="n">
        <f aca="false">BO641</f>
        <v>1719.4</v>
      </c>
      <c r="BO641" s="390" t="n">
        <v>1719.4</v>
      </c>
      <c r="BP641" s="48" t="n">
        <f aca="false">BO641</f>
        <v>1719.4</v>
      </c>
      <c r="BQ641" s="48" t="n">
        <f aca="false">BP641</f>
        <v>1719.4</v>
      </c>
      <c r="BR641" s="48" t="n">
        <f aca="false">BQ641</f>
        <v>1719.4</v>
      </c>
      <c r="BS641" s="48" t="n">
        <f aca="false">BR641</f>
        <v>1719.4</v>
      </c>
      <c r="BT641" s="159" t="n">
        <f aca="false">BS641</f>
        <v>1719.4</v>
      </c>
      <c r="BU641" s="48" t="n">
        <f aca="false">BT641</f>
        <v>1719.4</v>
      </c>
      <c r="BV641" s="48" t="n">
        <f aca="false">BU641</f>
        <v>1719.4</v>
      </c>
      <c r="BW641" s="48" t="n">
        <f aca="false">BV641</f>
        <v>1719.4</v>
      </c>
      <c r="BX641" s="48" t="n">
        <f aca="false">BW641</f>
        <v>1719.4</v>
      </c>
      <c r="BY641" s="159" t="n">
        <f aca="false">BX641</f>
        <v>1719.4</v>
      </c>
      <c r="BZ641" s="159" t="n">
        <f aca="false">BY641</f>
        <v>1719.4</v>
      </c>
      <c r="CA641" s="159" t="n">
        <f aca="false">BZ641</f>
        <v>1719.4</v>
      </c>
      <c r="CB641" s="159" t="n">
        <f aca="false">CA641</f>
        <v>1719.4</v>
      </c>
      <c r="CC641" s="50"/>
    </row>
    <row r="642" s="51" customFormat="true" ht="15" hidden="false" customHeight="true" outlineLevel="0" collapsed="false">
      <c r="A642" s="270" t="s">
        <v>601</v>
      </c>
      <c r="B642" s="254"/>
      <c r="C642" s="159"/>
      <c r="D642" s="159"/>
      <c r="E642" s="159"/>
      <c r="F642" s="159"/>
      <c r="G642" s="159"/>
      <c r="H642" s="48"/>
      <c r="I642" s="48"/>
      <c r="J642" s="48"/>
      <c r="K642" s="48"/>
      <c r="L642" s="159"/>
      <c r="M642" s="48"/>
      <c r="N642" s="48"/>
      <c r="O642" s="48"/>
      <c r="P642" s="48"/>
      <c r="Q642" s="159"/>
      <c r="R642" s="48"/>
      <c r="S642" s="48"/>
      <c r="T642" s="48"/>
      <c r="U642" s="48"/>
      <c r="V642" s="159"/>
      <c r="W642" s="48"/>
      <c r="X642" s="48"/>
      <c r="Y642" s="48"/>
      <c r="Z642" s="48"/>
      <c r="AA642" s="159"/>
      <c r="AB642" s="48"/>
      <c r="AC642" s="48"/>
      <c r="AD642" s="48"/>
      <c r="AE642" s="48"/>
      <c r="AF642" s="159"/>
      <c r="AG642" s="48"/>
      <c r="AH642" s="48"/>
      <c r="AI642" s="48"/>
      <c r="AJ642" s="48"/>
      <c r="AK642" s="159"/>
      <c r="AL642" s="48"/>
      <c r="AM642" s="48"/>
      <c r="AN642" s="48"/>
      <c r="AO642" s="48"/>
      <c r="AP642" s="159"/>
      <c r="AQ642" s="48"/>
      <c r="AR642" s="48"/>
      <c r="AS642" s="48"/>
      <c r="AT642" s="48"/>
      <c r="AU642" s="159"/>
      <c r="AV642" s="48"/>
      <c r="AW642" s="48"/>
      <c r="AX642" s="263" t="n">
        <v>364.4</v>
      </c>
      <c r="AY642" s="50" t="n">
        <f aca="false">AZ642</f>
        <v>364.4</v>
      </c>
      <c r="AZ642" s="255" t="n">
        <v>364.4</v>
      </c>
      <c r="BA642" s="263" t="n">
        <v>364.4</v>
      </c>
      <c r="BB642" s="263" t="n">
        <v>364.4</v>
      </c>
      <c r="BC642" s="263" t="n">
        <v>920.7</v>
      </c>
      <c r="BD642" s="50" t="n">
        <f aca="false">BE642</f>
        <v>929.2</v>
      </c>
      <c r="BE642" s="255" t="n">
        <v>929.2</v>
      </c>
      <c r="BF642" s="263" t="n">
        <v>929.5</v>
      </c>
      <c r="BG642" s="263" t="n">
        <v>929.3</v>
      </c>
      <c r="BH642" s="263" t="n">
        <v>928.6</v>
      </c>
      <c r="BI642" s="50" t="n">
        <f aca="false">BJ642</f>
        <v>1456.6</v>
      </c>
      <c r="BJ642" s="255" t="n">
        <v>1456.6</v>
      </c>
      <c r="BK642" s="263" t="n">
        <v>1443.4</v>
      </c>
      <c r="BL642" s="263" t="n">
        <v>1444.9</v>
      </c>
      <c r="BM642" s="263" t="n">
        <v>1686</v>
      </c>
      <c r="BN642" s="50" t="n">
        <f aca="false">BO642</f>
        <v>1653.9</v>
      </c>
      <c r="BO642" s="390" t="n">
        <v>1653.9</v>
      </c>
      <c r="BP642" s="48" t="n">
        <f aca="false">BO642</f>
        <v>1653.9</v>
      </c>
      <c r="BQ642" s="48" t="n">
        <f aca="false">BP642</f>
        <v>1653.9</v>
      </c>
      <c r="BR642" s="48" t="n">
        <f aca="false">BQ642</f>
        <v>1653.9</v>
      </c>
      <c r="BS642" s="48" t="n">
        <f aca="false">BR642</f>
        <v>1653.9</v>
      </c>
      <c r="BT642" s="159" t="n">
        <f aca="false">BS642</f>
        <v>1653.9</v>
      </c>
      <c r="BU642" s="48" t="n">
        <f aca="false">BT642</f>
        <v>1653.9</v>
      </c>
      <c r="BV642" s="48" t="n">
        <f aca="false">BU642</f>
        <v>1653.9</v>
      </c>
      <c r="BW642" s="48" t="n">
        <f aca="false">BV642</f>
        <v>1653.9</v>
      </c>
      <c r="BX642" s="48" t="n">
        <f aca="false">BW642</f>
        <v>1653.9</v>
      </c>
      <c r="BY642" s="159" t="n">
        <f aca="false">BX642</f>
        <v>1653.9</v>
      </c>
      <c r="BZ642" s="159" t="n">
        <f aca="false">BY642</f>
        <v>1653.9</v>
      </c>
      <c r="CA642" s="159" t="n">
        <f aca="false">BZ642</f>
        <v>1653.9</v>
      </c>
      <c r="CB642" s="159" t="n">
        <f aca="false">CA642</f>
        <v>1653.9</v>
      </c>
      <c r="CC642" s="50"/>
    </row>
    <row r="643" s="51" customFormat="true" ht="15" hidden="false" customHeight="true" outlineLevel="0" collapsed="false">
      <c r="A643" s="270" t="s">
        <v>516</v>
      </c>
      <c r="B643" s="254"/>
      <c r="C643" s="255" t="n">
        <v>77.054</v>
      </c>
      <c r="D643" s="255" t="n">
        <v>235.712</v>
      </c>
      <c r="E643" s="255" t="n">
        <v>307.251</v>
      </c>
      <c r="F643" s="255" t="n">
        <v>311.538</v>
      </c>
      <c r="G643" s="255" t="n">
        <v>298.559</v>
      </c>
      <c r="H643" s="263" t="n">
        <v>330.2</v>
      </c>
      <c r="I643" s="263" t="n">
        <v>347.9</v>
      </c>
      <c r="J643" s="263" t="n">
        <v>349.9</v>
      </c>
      <c r="K643" s="50" t="n">
        <f aca="false">L643</f>
        <v>444.82</v>
      </c>
      <c r="L643" s="255" t="n">
        <v>444.82</v>
      </c>
      <c r="M643" s="263" t="n">
        <v>472.2</v>
      </c>
      <c r="N643" s="263" t="n">
        <v>435</v>
      </c>
      <c r="O643" s="263" t="n">
        <v>429.4</v>
      </c>
      <c r="P643" s="50" t="n">
        <f aca="false">Q643</f>
        <v>450.882</v>
      </c>
      <c r="Q643" s="255" t="n">
        <v>450.882</v>
      </c>
      <c r="R643" s="263" t="n">
        <v>483.8</v>
      </c>
      <c r="S643" s="263" t="n">
        <v>641.2</v>
      </c>
      <c r="T643" s="263" t="n">
        <v>623.2</v>
      </c>
      <c r="U643" s="50" t="n">
        <f aca="false">V643</f>
        <v>612.3</v>
      </c>
      <c r="V643" s="255" t="n">
        <v>612.3</v>
      </c>
      <c r="W643" s="263" t="n">
        <v>621.1</v>
      </c>
      <c r="X643" s="263" t="n">
        <v>634.6</v>
      </c>
      <c r="Y643" s="263" t="n">
        <v>597.4</v>
      </c>
      <c r="Z643" s="50" t="n">
        <f aca="false">AA643</f>
        <v>602.7</v>
      </c>
      <c r="AA643" s="255" t="n">
        <v>602.7</v>
      </c>
      <c r="AB643" s="263" t="n">
        <v>805.9</v>
      </c>
      <c r="AC643" s="263" t="n">
        <v>871.2</v>
      </c>
      <c r="AD643" s="263" t="n">
        <v>904.5</v>
      </c>
      <c r="AE643" s="50" t="n">
        <f aca="false">AF643</f>
        <v>806.1</v>
      </c>
      <c r="AF643" s="255" t="n">
        <v>806.1</v>
      </c>
      <c r="AG643" s="263" t="n">
        <v>881.1</v>
      </c>
      <c r="AH643" s="263" t="n">
        <v>893.3</v>
      </c>
      <c r="AI643" s="263" t="n">
        <v>951.2</v>
      </c>
      <c r="AJ643" s="50" t="n">
        <f aca="false">AK643</f>
        <v>830.4</v>
      </c>
      <c r="AK643" s="255" t="n">
        <v>830.4</v>
      </c>
      <c r="AL643" s="263" t="n">
        <v>902.3</v>
      </c>
      <c r="AM643" s="263" t="n">
        <v>929.7</v>
      </c>
      <c r="AN643" s="263" t="n">
        <v>961.5</v>
      </c>
      <c r="AO643" s="50" t="n">
        <f aca="false">AP643</f>
        <v>951.4</v>
      </c>
      <c r="AP643" s="255" t="n">
        <v>951.4</v>
      </c>
      <c r="AQ643" s="263" t="n">
        <v>1313.4</v>
      </c>
      <c r="AR643" s="263" t="n">
        <v>1016.4</v>
      </c>
      <c r="AS643" s="263" t="n">
        <v>1120.9</v>
      </c>
      <c r="AT643" s="50" t="n">
        <f aca="false">AU643</f>
        <v>1011.4</v>
      </c>
      <c r="AU643" s="255" t="n">
        <v>1011.4</v>
      </c>
      <c r="AV643" s="263" t="n">
        <v>934.2</v>
      </c>
      <c r="AW643" s="263" t="n">
        <v>877.3</v>
      </c>
      <c r="AX643" s="263" t="n">
        <v>745.2</v>
      </c>
      <c r="AY643" s="50" t="n">
        <f aca="false">AZ643</f>
        <v>739.8</v>
      </c>
      <c r="AZ643" s="255" t="n">
        <v>739.8</v>
      </c>
      <c r="BA643" s="263" t="n">
        <v>1012.8</v>
      </c>
      <c r="BB643" s="263" t="n">
        <v>996.3</v>
      </c>
      <c r="BC643" s="263" t="n">
        <v>859.2</v>
      </c>
      <c r="BD643" s="50" t="n">
        <f aca="false">BE643</f>
        <v>651.8</v>
      </c>
      <c r="BE643" s="255" t="n">
        <v>651.8</v>
      </c>
      <c r="BF643" s="263" t="n">
        <v>648.5</v>
      </c>
      <c r="BG643" s="263" t="n">
        <v>702.8</v>
      </c>
      <c r="BH643" s="263" t="n">
        <v>733.5</v>
      </c>
      <c r="BI643" s="50" t="n">
        <f aca="false">BJ643</f>
        <v>790.8</v>
      </c>
      <c r="BJ643" s="255" t="n">
        <v>790.8</v>
      </c>
      <c r="BK643" s="263" t="n">
        <v>859.2</v>
      </c>
      <c r="BL643" s="263" t="n">
        <v>843.7</v>
      </c>
      <c r="BM643" s="263" t="n">
        <v>918.5</v>
      </c>
      <c r="BN643" s="50" t="n">
        <f aca="false">BO643</f>
        <v>1057.1</v>
      </c>
      <c r="BO643" s="390" t="n">
        <v>1057.1</v>
      </c>
      <c r="BP643" s="48" t="n">
        <f aca="false">BO643</f>
        <v>1057.1</v>
      </c>
      <c r="BQ643" s="48" t="n">
        <f aca="false">BP643</f>
        <v>1057.1</v>
      </c>
      <c r="BR643" s="48" t="n">
        <f aca="false">BQ643</f>
        <v>1057.1</v>
      </c>
      <c r="BS643" s="48" t="n">
        <f aca="false">BR643</f>
        <v>1057.1</v>
      </c>
      <c r="BT643" s="159" t="n">
        <f aca="false">BS643</f>
        <v>1057.1</v>
      </c>
      <c r="BU643" s="48" t="n">
        <f aca="false">BT643</f>
        <v>1057.1</v>
      </c>
      <c r="BV643" s="48" t="n">
        <f aca="false">BU643</f>
        <v>1057.1</v>
      </c>
      <c r="BW643" s="48" t="n">
        <f aca="false">BV643</f>
        <v>1057.1</v>
      </c>
      <c r="BX643" s="48" t="n">
        <f aca="false">BW643</f>
        <v>1057.1</v>
      </c>
      <c r="BY643" s="159" t="n">
        <f aca="false">BX643</f>
        <v>1057.1</v>
      </c>
      <c r="BZ643" s="159" t="n">
        <f aca="false">BY643</f>
        <v>1057.1</v>
      </c>
      <c r="CA643" s="159" t="n">
        <f aca="false">BZ643</f>
        <v>1057.1</v>
      </c>
      <c r="CB643" s="159" t="n">
        <f aca="false">CA643</f>
        <v>1057.1</v>
      </c>
      <c r="CC643" s="50"/>
    </row>
    <row r="644" s="51" customFormat="true" ht="15" hidden="false" customHeight="true" outlineLevel="0" collapsed="false">
      <c r="A644" s="270" t="s">
        <v>602</v>
      </c>
      <c r="B644" s="254"/>
      <c r="C644" s="159"/>
      <c r="D644" s="159"/>
      <c r="E644" s="159"/>
      <c r="F644" s="159"/>
      <c r="G644" s="159"/>
      <c r="H644" s="48"/>
      <c r="I644" s="48"/>
      <c r="J644" s="48"/>
      <c r="K644" s="50" t="n">
        <f aca="false">L644</f>
        <v>0</v>
      </c>
      <c r="L644" s="159"/>
      <c r="M644" s="48"/>
      <c r="N644" s="48"/>
      <c r="O644" s="48"/>
      <c r="P644" s="50" t="n">
        <f aca="false">Q644</f>
        <v>0</v>
      </c>
      <c r="Q644" s="159"/>
      <c r="R644" s="48"/>
      <c r="S644" s="48"/>
      <c r="T644" s="48"/>
      <c r="U644" s="50" t="n">
        <f aca="false">V644</f>
        <v>0</v>
      </c>
      <c r="V644" s="159"/>
      <c r="W644" s="48"/>
      <c r="X644" s="263" t="n">
        <v>1002.1</v>
      </c>
      <c r="Y644" s="263" t="n">
        <v>1007.9</v>
      </c>
      <c r="Z644" s="50" t="n">
        <f aca="false">AA644</f>
        <v>982.2</v>
      </c>
      <c r="AA644" s="255" t="n">
        <v>982.2</v>
      </c>
      <c r="AB644" s="263" t="n">
        <v>970.5</v>
      </c>
      <c r="AC644" s="263" t="n">
        <v>979.5</v>
      </c>
      <c r="AD644" s="263" t="n">
        <v>985.2</v>
      </c>
      <c r="AE644" s="50" t="n">
        <f aca="false">AF644</f>
        <v>915.8</v>
      </c>
      <c r="AF644" s="255" t="n">
        <v>915.8</v>
      </c>
      <c r="AG644" s="263" t="n">
        <v>933.6</v>
      </c>
      <c r="AH644" s="263" t="n">
        <v>949.9</v>
      </c>
      <c r="AI644" s="263" t="n">
        <v>969</v>
      </c>
      <c r="AJ644" s="50" t="n">
        <f aca="false">AK644</f>
        <v>833</v>
      </c>
      <c r="AK644" s="255" t="n">
        <v>833</v>
      </c>
      <c r="AL644" s="263" t="n">
        <v>865.1</v>
      </c>
      <c r="AM644" s="263" t="n">
        <v>891.6</v>
      </c>
      <c r="AN644" s="263" t="n">
        <v>918</v>
      </c>
      <c r="AO644" s="50" t="n">
        <f aca="false">AP644</f>
        <v>820.7</v>
      </c>
      <c r="AP644" s="255" t="n">
        <v>820.7</v>
      </c>
      <c r="AQ644" s="263" t="n">
        <v>842.5</v>
      </c>
      <c r="AR644" s="263" t="n">
        <v>864.9</v>
      </c>
      <c r="AS644" s="263" t="n">
        <v>963.2</v>
      </c>
      <c r="AT644" s="50" t="n">
        <f aca="false">AU644</f>
        <v>892.5</v>
      </c>
      <c r="AU644" s="255" t="n">
        <v>892.5</v>
      </c>
      <c r="AV644" s="263" t="n">
        <v>940</v>
      </c>
      <c r="AW644" s="263" t="n">
        <v>961.4</v>
      </c>
      <c r="AX644" s="263" t="n">
        <v>998.7</v>
      </c>
      <c r="AY644" s="50" t="n">
        <f aca="false">AZ644</f>
        <v>923.6</v>
      </c>
      <c r="AZ644" s="255" t="n">
        <v>923.6</v>
      </c>
      <c r="BA644" s="263" t="n">
        <v>969.6</v>
      </c>
      <c r="BB644" s="263" t="n">
        <v>1040.4</v>
      </c>
      <c r="BC644" s="263" t="n">
        <v>1094.3</v>
      </c>
      <c r="BD644" s="50" t="n">
        <f aca="false">BE644</f>
        <v>919.6</v>
      </c>
      <c r="BE644" s="255" t="n">
        <v>919.6</v>
      </c>
      <c r="BF644" s="263" t="n">
        <v>951.5</v>
      </c>
      <c r="BG644" s="263" t="n">
        <v>1002.3</v>
      </c>
      <c r="BH644" s="263" t="n">
        <v>1083.4</v>
      </c>
      <c r="BI644" s="50" t="n">
        <f aca="false">BJ644</f>
        <v>903</v>
      </c>
      <c r="BJ644" s="255" t="n">
        <v>903</v>
      </c>
      <c r="BK644" s="263" t="n">
        <v>938.9</v>
      </c>
      <c r="BL644" s="263" t="n">
        <v>1029.2</v>
      </c>
      <c r="BM644" s="263" t="n">
        <v>1109.3</v>
      </c>
      <c r="BN644" s="50" t="n">
        <f aca="false">BO644</f>
        <v>822.6</v>
      </c>
      <c r="BO644" s="390" t="n">
        <v>822.6</v>
      </c>
      <c r="BP644" s="48" t="n">
        <f aca="false">BO644</f>
        <v>822.6</v>
      </c>
      <c r="BQ644" s="48" t="n">
        <f aca="false">BP644</f>
        <v>822.6</v>
      </c>
      <c r="BR644" s="48" t="n">
        <f aca="false">BQ644</f>
        <v>822.6</v>
      </c>
      <c r="BS644" s="48" t="n">
        <f aca="false">BR644</f>
        <v>822.6</v>
      </c>
      <c r="BT644" s="159" t="n">
        <f aca="false">BS644</f>
        <v>822.6</v>
      </c>
      <c r="BU644" s="48" t="n">
        <f aca="false">BT644</f>
        <v>822.6</v>
      </c>
      <c r="BV644" s="48" t="n">
        <f aca="false">BU644</f>
        <v>822.6</v>
      </c>
      <c r="BW644" s="48" t="n">
        <f aca="false">BV644</f>
        <v>822.6</v>
      </c>
      <c r="BX644" s="48" t="n">
        <f aca="false">BW644</f>
        <v>822.6</v>
      </c>
      <c r="BY644" s="159" t="n">
        <f aca="false">BX644</f>
        <v>822.6</v>
      </c>
      <c r="BZ644" s="159" t="n">
        <f aca="false">BY644</f>
        <v>822.6</v>
      </c>
      <c r="CA644" s="159" t="n">
        <f aca="false">BZ644</f>
        <v>822.6</v>
      </c>
      <c r="CB644" s="159" t="n">
        <f aca="false">CA644</f>
        <v>822.6</v>
      </c>
      <c r="CC644" s="50"/>
    </row>
    <row r="645" s="51" customFormat="true" ht="15" hidden="false" customHeight="true" outlineLevel="0" collapsed="false">
      <c r="A645" s="270" t="s">
        <v>603</v>
      </c>
      <c r="B645" s="254"/>
      <c r="C645" s="159"/>
      <c r="D645" s="159"/>
      <c r="E645" s="159"/>
      <c r="F645" s="159"/>
      <c r="G645" s="159"/>
      <c r="H645" s="48"/>
      <c r="I645" s="48"/>
      <c r="J645" s="48"/>
      <c r="K645" s="48"/>
      <c r="L645" s="159"/>
      <c r="M645" s="48"/>
      <c r="N645" s="48"/>
      <c r="O645" s="48"/>
      <c r="P645" s="48"/>
      <c r="Q645" s="159"/>
      <c r="R645" s="48"/>
      <c r="S645" s="48"/>
      <c r="T645" s="48"/>
      <c r="U645" s="48"/>
      <c r="V645" s="159"/>
      <c r="W645" s="48"/>
      <c r="X645" s="48"/>
      <c r="Y645" s="48"/>
      <c r="Z645" s="48"/>
      <c r="AA645" s="159"/>
      <c r="AB645" s="48"/>
      <c r="AC645" s="48"/>
      <c r="AD645" s="48"/>
      <c r="AE645" s="48"/>
      <c r="AF645" s="159"/>
      <c r="AG645" s="48"/>
      <c r="AH645" s="48"/>
      <c r="AI645" s="48"/>
      <c r="AJ645" s="48"/>
      <c r="AK645" s="159"/>
      <c r="AL645" s="48"/>
      <c r="AM645" s="48"/>
      <c r="AN645" s="48"/>
      <c r="AO645" s="48"/>
      <c r="AP645" s="159"/>
      <c r="AQ645" s="48"/>
      <c r="AR645" s="48"/>
      <c r="AS645" s="48"/>
      <c r="AT645" s="48"/>
      <c r="AU645" s="159"/>
      <c r="AV645" s="48"/>
      <c r="AW645" s="48"/>
      <c r="AX645" s="48"/>
      <c r="AY645" s="48"/>
      <c r="AZ645" s="159"/>
      <c r="BA645" s="48"/>
      <c r="BB645" s="48"/>
      <c r="BC645" s="48"/>
      <c r="BD645" s="48"/>
      <c r="BE645" s="159"/>
      <c r="BF645" s="48"/>
      <c r="BG645" s="48"/>
      <c r="BH645" s="48"/>
      <c r="BI645" s="48"/>
      <c r="BJ645" s="159"/>
      <c r="BK645" s="48"/>
      <c r="BL645" s="48"/>
      <c r="BM645" s="263" t="n">
        <v>1226.9</v>
      </c>
      <c r="BN645" s="48" t="n">
        <f aca="false">BO645</f>
        <v>1320.7</v>
      </c>
      <c r="BO645" s="390" t="n">
        <v>1320.7</v>
      </c>
      <c r="BP645" s="48" t="n">
        <f aca="false">BO645</f>
        <v>1320.7</v>
      </c>
      <c r="BQ645" s="48" t="n">
        <f aca="false">BP645</f>
        <v>1320.7</v>
      </c>
      <c r="BR645" s="48" t="n">
        <f aca="false">BQ645</f>
        <v>1320.7</v>
      </c>
      <c r="BS645" s="48" t="n">
        <f aca="false">BR645</f>
        <v>1320.7</v>
      </c>
      <c r="BT645" s="159" t="n">
        <f aca="false">BS645</f>
        <v>1320.7</v>
      </c>
      <c r="BU645" s="48" t="n">
        <f aca="false">BT645</f>
        <v>1320.7</v>
      </c>
      <c r="BV645" s="48" t="n">
        <f aca="false">BU645</f>
        <v>1320.7</v>
      </c>
      <c r="BW645" s="48" t="n">
        <f aca="false">BV645</f>
        <v>1320.7</v>
      </c>
      <c r="BX645" s="48" t="n">
        <f aca="false">BW645</f>
        <v>1320.7</v>
      </c>
      <c r="BY645" s="159" t="n">
        <f aca="false">BX645</f>
        <v>1320.7</v>
      </c>
      <c r="BZ645" s="159" t="n">
        <f aca="false">BY645</f>
        <v>1320.7</v>
      </c>
      <c r="CA645" s="159" t="n">
        <f aca="false">BZ645</f>
        <v>1320.7</v>
      </c>
      <c r="CB645" s="159" t="n">
        <f aca="false">CA645</f>
        <v>1320.7</v>
      </c>
      <c r="CC645" s="50"/>
    </row>
    <row r="646" s="51" customFormat="true" ht="15" hidden="false" customHeight="true" outlineLevel="0" collapsed="false">
      <c r="A646" s="270" t="s">
        <v>604</v>
      </c>
      <c r="B646" s="254"/>
      <c r="C646" s="255" t="n">
        <v>131.462</v>
      </c>
      <c r="D646" s="255" t="n">
        <v>141.286</v>
      </c>
      <c r="E646" s="255" t="n">
        <v>146.044</v>
      </c>
      <c r="F646" s="255" t="n">
        <v>149.168</v>
      </c>
      <c r="G646" s="255" t="n">
        <v>2088.589</v>
      </c>
      <c r="H646" s="263" t="n">
        <v>2092.7</v>
      </c>
      <c r="I646" s="263" t="n">
        <v>2116.1</v>
      </c>
      <c r="J646" s="263" t="n">
        <v>2264.9</v>
      </c>
      <c r="K646" s="50" t="n">
        <f aca="false">L646</f>
        <v>2357.536</v>
      </c>
      <c r="L646" s="255" t="n">
        <v>2357.536</v>
      </c>
      <c r="M646" s="263" t="n">
        <v>2610.8</v>
      </c>
      <c r="N646" s="263" t="n">
        <v>2569.4</v>
      </c>
      <c r="O646" s="263" t="n">
        <v>2574</v>
      </c>
      <c r="P646" s="50" t="n">
        <f aca="false">Q646</f>
        <v>2624.552</v>
      </c>
      <c r="Q646" s="255" t="n">
        <v>2624.552</v>
      </c>
      <c r="R646" s="263" t="n">
        <v>2537.7</v>
      </c>
      <c r="S646" s="263" t="n">
        <v>2603.7</v>
      </c>
      <c r="T646" s="263" t="n">
        <v>2571</v>
      </c>
      <c r="U646" s="50" t="n">
        <f aca="false">V646</f>
        <v>4873.9</v>
      </c>
      <c r="V646" s="255" t="n">
        <v>4873.9</v>
      </c>
      <c r="W646" s="263" t="n">
        <v>4784.1</v>
      </c>
      <c r="X646" s="263" t="n">
        <v>4645.9</v>
      </c>
      <c r="Y646" s="263" t="n">
        <v>4564.7</v>
      </c>
      <c r="Z646" s="50" t="n">
        <f aca="false">AA646</f>
        <v>4541.1</v>
      </c>
      <c r="AA646" s="255" t="n">
        <v>4541.1</v>
      </c>
      <c r="AB646" s="263" t="n">
        <v>4541.2</v>
      </c>
      <c r="AC646" s="263" t="n">
        <v>4541.2</v>
      </c>
      <c r="AD646" s="263" t="n">
        <v>4541.2</v>
      </c>
      <c r="AE646" s="50" t="n">
        <f aca="false">AF646</f>
        <v>4541.1</v>
      </c>
      <c r="AF646" s="255" t="n">
        <v>4541.1</v>
      </c>
      <c r="AG646" s="263" t="n">
        <v>4541.1</v>
      </c>
      <c r="AH646" s="263" t="n">
        <v>4541.1</v>
      </c>
      <c r="AI646" s="263" t="n">
        <v>4541.1</v>
      </c>
      <c r="AJ646" s="50" t="n">
        <f aca="false">AK646</f>
        <v>4541.1</v>
      </c>
      <c r="AK646" s="255" t="n">
        <v>4541.1</v>
      </c>
      <c r="AL646" s="263" t="n">
        <v>4541.1</v>
      </c>
      <c r="AM646" s="263" t="n">
        <v>4541.1</v>
      </c>
      <c r="AN646" s="263" t="n">
        <v>4541.1</v>
      </c>
      <c r="AO646" s="50" t="n">
        <f aca="false">AP646</f>
        <v>4629.1</v>
      </c>
      <c r="AP646" s="255" t="n">
        <v>4629.1</v>
      </c>
      <c r="AQ646" s="263" t="n">
        <v>4555.5</v>
      </c>
      <c r="AR646" s="263" t="n">
        <v>4555.5</v>
      </c>
      <c r="AS646" s="263" t="n">
        <v>4555.6</v>
      </c>
      <c r="AT646" s="50" t="n">
        <f aca="false">AU646</f>
        <v>4555.6</v>
      </c>
      <c r="AU646" s="255" t="n">
        <v>4555.6</v>
      </c>
      <c r="AV646" s="263" t="n">
        <v>4555.6</v>
      </c>
      <c r="AW646" s="263" t="n">
        <v>4555.6</v>
      </c>
      <c r="AX646" s="263" t="n">
        <v>4555.6</v>
      </c>
      <c r="AY646" s="50" t="n">
        <f aca="false">AZ646</f>
        <v>4555.6</v>
      </c>
      <c r="AZ646" s="255" t="n">
        <v>4555.6</v>
      </c>
      <c r="BA646" s="263" t="n">
        <v>4555.6</v>
      </c>
      <c r="BB646" s="263" t="n">
        <v>4555.6</v>
      </c>
      <c r="BC646" s="263" t="n">
        <v>4582.6</v>
      </c>
      <c r="BD646" s="50" t="n">
        <f aca="false">BE646</f>
        <v>4588.6</v>
      </c>
      <c r="BE646" s="255" t="n">
        <v>4588.6</v>
      </c>
      <c r="BF646" s="263" t="n">
        <v>4588.6</v>
      </c>
      <c r="BG646" s="263" t="n">
        <v>4588.6</v>
      </c>
      <c r="BH646" s="263" t="n">
        <v>4588.6</v>
      </c>
      <c r="BI646" s="50" t="n">
        <f aca="false">BJ646</f>
        <v>4588.6</v>
      </c>
      <c r="BJ646" s="255" t="n">
        <v>4588.6</v>
      </c>
      <c r="BK646" s="263" t="n">
        <v>4588.6</v>
      </c>
      <c r="BL646" s="263" t="n">
        <v>4588.6</v>
      </c>
      <c r="BM646" s="263" t="n">
        <v>4588.6</v>
      </c>
      <c r="BN646" s="50" t="n">
        <f aca="false">BO646</f>
        <v>4588.6</v>
      </c>
      <c r="BO646" s="390" t="n">
        <v>4588.6</v>
      </c>
      <c r="BP646" s="48" t="n">
        <f aca="false">BO646</f>
        <v>4588.6</v>
      </c>
      <c r="BQ646" s="48" t="n">
        <f aca="false">BP646</f>
        <v>4588.6</v>
      </c>
      <c r="BR646" s="48" t="n">
        <f aca="false">BQ646</f>
        <v>4588.6</v>
      </c>
      <c r="BS646" s="48" t="n">
        <f aca="false">BR646</f>
        <v>4588.6</v>
      </c>
      <c r="BT646" s="159" t="n">
        <f aca="false">BS646</f>
        <v>4588.6</v>
      </c>
      <c r="BU646" s="48" t="n">
        <f aca="false">BT646</f>
        <v>4588.6</v>
      </c>
      <c r="BV646" s="48" t="n">
        <f aca="false">BU646</f>
        <v>4588.6</v>
      </c>
      <c r="BW646" s="48" t="n">
        <f aca="false">BV646</f>
        <v>4588.6</v>
      </c>
      <c r="BX646" s="48" t="n">
        <f aca="false">BW646</f>
        <v>4588.6</v>
      </c>
      <c r="BY646" s="159" t="n">
        <f aca="false">BX646</f>
        <v>4588.6</v>
      </c>
      <c r="BZ646" s="159" t="n">
        <f aca="false">BY646</f>
        <v>4588.6</v>
      </c>
      <c r="CA646" s="159" t="n">
        <f aca="false">BZ646</f>
        <v>4588.6</v>
      </c>
      <c r="CB646" s="159" t="n">
        <f aca="false">CA646</f>
        <v>4588.6</v>
      </c>
      <c r="CC646" s="50"/>
    </row>
    <row r="647" s="51" customFormat="true" ht="15" hidden="false" customHeight="true" outlineLevel="0" collapsed="false">
      <c r="A647" s="270" t="s">
        <v>605</v>
      </c>
      <c r="B647" s="254"/>
      <c r="C647" s="255" t="n">
        <v>18.128</v>
      </c>
      <c r="D647" s="255" t="n">
        <v>13.651</v>
      </c>
      <c r="E647" s="255" t="n">
        <v>8.366</v>
      </c>
      <c r="F647" s="255" t="n">
        <v>9.943</v>
      </c>
      <c r="G647" s="255" t="n">
        <v>697.634</v>
      </c>
      <c r="H647" s="263" t="n">
        <v>688.1</v>
      </c>
      <c r="I647" s="263" t="n">
        <v>686.5</v>
      </c>
      <c r="J647" s="263" t="n">
        <v>712.7</v>
      </c>
      <c r="K647" s="50" t="n">
        <f aca="false">L647</f>
        <v>723.839</v>
      </c>
      <c r="L647" s="255" t="n">
        <v>723.839</v>
      </c>
      <c r="M647" s="263" t="n">
        <v>773.8</v>
      </c>
      <c r="N647" s="263" t="n">
        <v>751.2</v>
      </c>
      <c r="O647" s="263" t="n">
        <v>739.5</v>
      </c>
      <c r="P647" s="50" t="n">
        <f aca="false">Q647</f>
        <v>738.17</v>
      </c>
      <c r="Q647" s="255" t="n">
        <v>738.17</v>
      </c>
      <c r="R647" s="263" t="n">
        <v>706</v>
      </c>
      <c r="S647" s="263" t="n">
        <v>713.5</v>
      </c>
      <c r="T647" s="263" t="n">
        <v>694</v>
      </c>
      <c r="U647" s="50" t="n">
        <f aca="false">V647</f>
        <v>1323</v>
      </c>
      <c r="V647" s="255" t="n">
        <v>1323</v>
      </c>
      <c r="W647" s="263" t="n">
        <v>1279.5</v>
      </c>
      <c r="X647" s="263" t="n">
        <v>1230.4</v>
      </c>
      <c r="Y647" s="263" t="n">
        <v>1191.1</v>
      </c>
      <c r="Z647" s="50" t="n">
        <f aca="false">AA647</f>
        <v>1166</v>
      </c>
      <c r="AA647" s="255" t="n">
        <v>1166</v>
      </c>
      <c r="AB647" s="263" t="n">
        <v>1146.5</v>
      </c>
      <c r="AC647" s="263" t="n">
        <v>1130.2</v>
      </c>
      <c r="AD647" s="263" t="n">
        <v>1108.7</v>
      </c>
      <c r="AE647" s="50" t="n">
        <f aca="false">AF647</f>
        <v>1104</v>
      </c>
      <c r="AF647" s="255" t="n">
        <v>1104</v>
      </c>
      <c r="AG647" s="263" t="n">
        <v>1158.5</v>
      </c>
      <c r="AH647" s="263" t="n">
        <v>1140.8</v>
      </c>
      <c r="AI647" s="263" t="n">
        <v>1122.8</v>
      </c>
      <c r="AJ647" s="50" t="n">
        <f aca="false">AK647</f>
        <v>1104.4</v>
      </c>
      <c r="AK647" s="255" t="n">
        <v>1104.4</v>
      </c>
      <c r="AL647" s="263" t="n">
        <v>1082.5</v>
      </c>
      <c r="AM647" s="263" t="n">
        <v>1058.3</v>
      </c>
      <c r="AN647" s="263" t="n">
        <v>1035.4</v>
      </c>
      <c r="AO647" s="50" t="n">
        <f aca="false">AP647</f>
        <v>1049</v>
      </c>
      <c r="AP647" s="255" t="n">
        <v>1049</v>
      </c>
      <c r="AQ647" s="263" t="n">
        <v>1014.2</v>
      </c>
      <c r="AR647" s="263" t="n">
        <v>987.7</v>
      </c>
      <c r="AS647" s="263" t="n">
        <v>963.8</v>
      </c>
      <c r="AT647" s="50" t="n">
        <f aca="false">AU647</f>
        <v>952.1</v>
      </c>
      <c r="AU647" s="255" t="n">
        <v>952.1</v>
      </c>
      <c r="AV647" s="263" t="n">
        <v>923.4</v>
      </c>
      <c r="AW647" s="263" t="n">
        <v>896.1</v>
      </c>
      <c r="AX647" s="263" t="n">
        <v>870.1</v>
      </c>
      <c r="AY647" s="50" t="n">
        <f aca="false">AZ647</f>
        <v>842.4</v>
      </c>
      <c r="AZ647" s="255" t="n">
        <v>842.4</v>
      </c>
      <c r="BA647" s="263" t="n">
        <v>813.7</v>
      </c>
      <c r="BB647" s="263" t="n">
        <v>789.2</v>
      </c>
      <c r="BC647" s="263" t="n">
        <v>756.6</v>
      </c>
      <c r="BD647" s="50" t="n">
        <f aca="false">BE647</f>
        <v>741.7</v>
      </c>
      <c r="BE647" s="255" t="n">
        <v>741.7</v>
      </c>
      <c r="BF647" s="263" t="n">
        <v>711.1</v>
      </c>
      <c r="BG647" s="263" t="n">
        <v>686.4</v>
      </c>
      <c r="BH647" s="263" t="n">
        <v>652.9</v>
      </c>
      <c r="BI647" s="50" t="n">
        <f aca="false">BJ647</f>
        <v>621.3</v>
      </c>
      <c r="BJ647" s="255" t="n">
        <v>621.3</v>
      </c>
      <c r="BK647" s="263" t="n">
        <v>591.6</v>
      </c>
      <c r="BL647" s="263" t="n">
        <v>565.7</v>
      </c>
      <c r="BM647" s="263" t="n">
        <v>555.7</v>
      </c>
      <c r="BN647" s="50" t="n">
        <f aca="false">BO647</f>
        <v>540.1</v>
      </c>
      <c r="BO647" s="390" t="n">
        <v>540.1</v>
      </c>
      <c r="BP647" s="48" t="n">
        <f aca="false">BO647+BP591+BP590</f>
        <v>522.738698630137</v>
      </c>
      <c r="BQ647" s="48" t="n">
        <f aca="false">BP647+BQ591+BQ590</f>
        <v>505.804703462188</v>
      </c>
      <c r="BR647" s="48" t="n">
        <f aca="false">BQ647+BR591+BR590</f>
        <v>489.296128372385</v>
      </c>
      <c r="BS647" s="48" t="n">
        <f aca="false">BR647+BS591+BS590</f>
        <v>473.411713107895</v>
      </c>
      <c r="BT647" s="159" t="n">
        <f aca="false">BS647</f>
        <v>473.411713107895</v>
      </c>
      <c r="BU647" s="48" t="n">
        <f aca="false">BT647+BU591+BU590</f>
        <v>458.516964814863</v>
      </c>
      <c r="BV647" s="48" t="n">
        <f aca="false">BU647+BV591+BV590</f>
        <v>443.98468654165</v>
      </c>
      <c r="BW647" s="48" t="n">
        <f aca="false">BV647+BW591+BW590</f>
        <v>429.813416201171</v>
      </c>
      <c r="BX647" s="48" t="n">
        <f aca="false">BW647+BX591+BX590</f>
        <v>416.177936355757</v>
      </c>
      <c r="BY647" s="159" t="n">
        <f aca="false">BX647</f>
        <v>416.177936355757</v>
      </c>
      <c r="BZ647" s="159" t="n">
        <f aca="false">BY647+BZ591+BZ590</f>
        <v>365.751245902393</v>
      </c>
      <c r="CA647" s="159" t="n">
        <f aca="false">BZ647+CA591+CA590</f>
        <v>322.888559017034</v>
      </c>
      <c r="CB647" s="159" t="n">
        <f aca="false">CA647+CB591+CB590</f>
        <v>286.455275164479</v>
      </c>
      <c r="CC647" s="50"/>
    </row>
    <row r="648" s="51" customFormat="true" ht="15" hidden="false" customHeight="true" outlineLevel="0" collapsed="false">
      <c r="A648" s="270" t="s">
        <v>606</v>
      </c>
      <c r="B648" s="254"/>
      <c r="C648" s="255" t="n">
        <v>655.36</v>
      </c>
      <c r="D648" s="255" t="n">
        <v>745.331</v>
      </c>
      <c r="E648" s="255" t="n">
        <v>1053.61</v>
      </c>
      <c r="F648" s="255" t="n">
        <v>1029.923</v>
      </c>
      <c r="G648" s="255" t="n">
        <v>1217.84</v>
      </c>
      <c r="H648" s="263" t="n">
        <v>1231.2</v>
      </c>
      <c r="I648" s="263" t="n">
        <v>1275.1</v>
      </c>
      <c r="J648" s="263" t="n">
        <v>1372.4</v>
      </c>
      <c r="K648" s="50" t="n">
        <f aca="false">L648</f>
        <v>1447.523</v>
      </c>
      <c r="L648" s="255" t="n">
        <v>1447.523</v>
      </c>
      <c r="M648" s="263" t="n">
        <v>1523.4</v>
      </c>
      <c r="N648" s="263" t="n">
        <v>1518.9</v>
      </c>
      <c r="O648" s="263" t="n">
        <v>1532.6</v>
      </c>
      <c r="P648" s="50" t="n">
        <f aca="false">Q648</f>
        <v>1620.678</v>
      </c>
      <c r="Q648" s="255" t="n">
        <v>1620.678</v>
      </c>
      <c r="R648" s="263" t="n">
        <v>1580.3</v>
      </c>
      <c r="S648" s="263" t="n">
        <v>1608.9</v>
      </c>
      <c r="T648" s="263" t="n">
        <v>1587.4</v>
      </c>
      <c r="U648" s="50" t="n">
        <f aca="false">V648</f>
        <v>1687.2</v>
      </c>
      <c r="V648" s="255" t="n">
        <v>1687.2</v>
      </c>
      <c r="W648" s="263" t="n">
        <v>1622.4</v>
      </c>
      <c r="X648" s="263" t="n">
        <v>1567.3</v>
      </c>
      <c r="Y648" s="263" t="n">
        <v>1552</v>
      </c>
      <c r="Z648" s="50" t="n">
        <f aca="false">AA648</f>
        <v>1600.8</v>
      </c>
      <c r="AA648" s="255" t="n">
        <v>1600.8</v>
      </c>
      <c r="AB648" s="263" t="n">
        <v>1559.5</v>
      </c>
      <c r="AC648" s="263" t="n">
        <v>1584.6</v>
      </c>
      <c r="AD648" s="263" t="n">
        <v>1572.4</v>
      </c>
      <c r="AE648" s="50" t="n">
        <f aca="false">AF648</f>
        <v>1589.5</v>
      </c>
      <c r="AF648" s="255" t="n">
        <v>1589.5</v>
      </c>
      <c r="AG648" s="263" t="n">
        <v>1621.8</v>
      </c>
      <c r="AH648" s="263" t="n">
        <v>1669.8</v>
      </c>
      <c r="AI648" s="263" t="n">
        <v>1817.9</v>
      </c>
      <c r="AJ648" s="50" t="n">
        <f aca="false">AK648</f>
        <v>1999.3</v>
      </c>
      <c r="AK648" s="255" t="n">
        <v>1999.3</v>
      </c>
      <c r="AL648" s="263" t="n">
        <v>2046.9</v>
      </c>
      <c r="AM648" s="263" t="n">
        <v>2109.6</v>
      </c>
      <c r="AN648" s="263" t="n">
        <v>2198.3</v>
      </c>
      <c r="AO648" s="50" t="n">
        <f aca="false">AP648</f>
        <v>2470.3</v>
      </c>
      <c r="AP648" s="255" t="n">
        <v>2470.3</v>
      </c>
      <c r="AQ648" s="263" t="n">
        <v>2521.6</v>
      </c>
      <c r="AR648" s="263" t="n">
        <v>2609.4</v>
      </c>
      <c r="AS648" s="263" t="n">
        <v>2730.3</v>
      </c>
      <c r="AT648" s="50" t="n">
        <f aca="false">AU648</f>
        <v>2982.7</v>
      </c>
      <c r="AU648" s="255" t="n">
        <v>2982.7</v>
      </c>
      <c r="AV648" s="263" t="n">
        <v>3159.4</v>
      </c>
      <c r="AW648" s="263" t="n">
        <v>3357.7</v>
      </c>
      <c r="AX648" s="263" t="n">
        <v>3561.7</v>
      </c>
      <c r="AY648" s="50" t="n">
        <f aca="false">AZ648</f>
        <v>3944.2</v>
      </c>
      <c r="AZ648" s="255" t="n">
        <v>3944.2</v>
      </c>
      <c r="BA648" s="263" t="n">
        <v>4354.8</v>
      </c>
      <c r="BB648" s="263" t="n">
        <v>4727.9</v>
      </c>
      <c r="BC648" s="263" t="n">
        <v>5093.2</v>
      </c>
      <c r="BD648" s="50" t="n">
        <f aca="false">BE648</f>
        <v>5493.2</v>
      </c>
      <c r="BE648" s="255" t="n">
        <v>5493.2</v>
      </c>
      <c r="BF648" s="263" t="n">
        <v>5841.4</v>
      </c>
      <c r="BG648" s="263" t="n">
        <v>6084</v>
      </c>
      <c r="BH648" s="263" t="n">
        <v>6211.9</v>
      </c>
      <c r="BI648" s="50" t="n">
        <f aca="false">BJ648</f>
        <v>6846.8</v>
      </c>
      <c r="BJ648" s="255" t="n">
        <v>6846.8</v>
      </c>
      <c r="BK648" s="263" t="n">
        <v>7152.9</v>
      </c>
      <c r="BL648" s="263" t="n">
        <v>7296</v>
      </c>
      <c r="BM648" s="263" t="n">
        <v>7681.2</v>
      </c>
      <c r="BN648" s="50" t="n">
        <f aca="false">BO648</f>
        <v>7893.8</v>
      </c>
      <c r="BO648" s="390" t="n">
        <v>7893.8</v>
      </c>
      <c r="BP648" s="48" t="n">
        <f aca="false">BO648-BP558-BP559+BP585+BP584-BP112</f>
        <v>7747.93669863014</v>
      </c>
      <c r="BQ648" s="48" t="n">
        <f aca="false">BP648-BQ558-BQ559+BQ585+BQ584-BQ112</f>
        <v>7604.1368670122</v>
      </c>
      <c r="BR648" s="48" t="n">
        <f aca="false">BQ648-BR558-BR559+BR585+BR584-BR112</f>
        <v>7462.43958523928</v>
      </c>
      <c r="BS648" s="48" t="n">
        <f aca="false">BR648-BS558-BS559+BS585+BS584-BS112</f>
        <v>7325.74247056015</v>
      </c>
      <c r="BT648" s="159" t="n">
        <f aca="false">BS648</f>
        <v>7325.74247056015</v>
      </c>
      <c r="BU648" s="48" t="n">
        <f aca="false">BT648-BU558-BU559+BU585+BU584-BU112</f>
        <v>7199.48882637095</v>
      </c>
      <c r="BV648" s="48" t="n">
        <f aca="false">BU648-BV558-BV559+BV585+BV584-BV112</f>
        <v>7074.83207939022</v>
      </c>
      <c r="BW648" s="48" t="n">
        <f aca="false">BV648-BW558-BW559+BW585+BW584-BW112</f>
        <v>6951.81273094489</v>
      </c>
      <c r="BX648" s="48" t="n">
        <f aca="false">BW648-BX558-BX559+BX585+BX584-BX112</f>
        <v>6833.13444882278</v>
      </c>
      <c r="BY648" s="159" t="n">
        <f aca="false">BX648</f>
        <v>6833.13444882278</v>
      </c>
      <c r="BZ648" s="159" t="n">
        <f aca="false">BY648-BZ558-BZ559+BZ585+BZ584-BZ112</f>
        <v>6458.49562598759</v>
      </c>
      <c r="CA648" s="159" t="n">
        <f aca="false">BZ648-CA558-CA559+CA585+CA584-CA112</f>
        <v>6136.30623834933</v>
      </c>
      <c r="CB648" s="159" t="n">
        <f aca="false">CA648-CB558-CB559+CB585+CB584-CB112</f>
        <v>5859.22336498042</v>
      </c>
      <c r="CC648" s="50"/>
    </row>
    <row r="649" s="51" customFormat="true" ht="15" hidden="true" customHeight="true" outlineLevel="1" collapsed="false">
      <c r="A649" s="401" t="s">
        <v>607</v>
      </c>
      <c r="B649" s="254"/>
      <c r="C649" s="159"/>
      <c r="D649" s="159"/>
      <c r="E649" s="159"/>
      <c r="F649" s="159"/>
      <c r="G649" s="159"/>
      <c r="H649" s="48"/>
      <c r="I649" s="48"/>
      <c r="J649" s="48"/>
      <c r="K649" s="48"/>
      <c r="L649" s="159"/>
      <c r="M649" s="48"/>
      <c r="N649" s="48"/>
      <c r="O649" s="48"/>
      <c r="P649" s="48"/>
      <c r="Q649" s="159"/>
      <c r="R649" s="48"/>
      <c r="S649" s="48"/>
      <c r="T649" s="48"/>
      <c r="U649" s="48"/>
      <c r="V649" s="159"/>
      <c r="W649" s="48"/>
      <c r="X649" s="48"/>
      <c r="Y649" s="48"/>
      <c r="Z649" s="48"/>
      <c r="AA649" s="159"/>
      <c r="AB649" s="263" t="n">
        <v>124</v>
      </c>
      <c r="AC649" s="263" t="n">
        <v>127.4</v>
      </c>
      <c r="AD649" s="263" t="n">
        <v>129.5</v>
      </c>
      <c r="AE649" s="50" t="n">
        <f aca="false">AF649</f>
        <v>137.6</v>
      </c>
      <c r="AF649" s="255" t="n">
        <v>137.6</v>
      </c>
      <c r="AG649" s="263" t="n">
        <v>148.1</v>
      </c>
      <c r="AH649" s="263" t="n">
        <v>154.8</v>
      </c>
      <c r="AI649" s="263" t="n">
        <v>227.2</v>
      </c>
      <c r="AJ649" s="50" t="n">
        <f aca="false">AK649</f>
        <v>205.4</v>
      </c>
      <c r="AK649" s="255" t="n">
        <v>205.4</v>
      </c>
      <c r="AL649" s="263" t="n">
        <v>197.1</v>
      </c>
      <c r="AM649" s="263" t="n">
        <v>193</v>
      </c>
      <c r="AN649" s="263" t="n">
        <v>180.1</v>
      </c>
      <c r="AO649" s="50" t="n">
        <f aca="false">AP649</f>
        <v>180.1</v>
      </c>
      <c r="AP649" s="255" t="n">
        <v>180.1</v>
      </c>
      <c r="AQ649" s="263" t="n">
        <v>179.7</v>
      </c>
      <c r="AR649" s="263" t="n">
        <v>161.8</v>
      </c>
      <c r="AS649" s="263" t="n">
        <v>155</v>
      </c>
      <c r="AT649" s="50" t="n">
        <f aca="false">AU649</f>
        <v>159.5</v>
      </c>
      <c r="AU649" s="255" t="n">
        <v>159.5</v>
      </c>
      <c r="AV649" s="263" t="n">
        <v>172.5</v>
      </c>
      <c r="AW649" s="263" t="n">
        <v>184.6</v>
      </c>
      <c r="AX649" s="263" t="n">
        <v>203.8</v>
      </c>
      <c r="AY649" s="48"/>
      <c r="AZ649" s="159"/>
      <c r="BA649" s="48"/>
      <c r="BB649" s="48"/>
      <c r="BC649" s="48"/>
      <c r="BD649" s="48"/>
      <c r="BE649" s="159"/>
      <c r="BF649" s="48"/>
      <c r="BG649" s="48"/>
      <c r="BH649" s="48"/>
      <c r="BI649" s="48"/>
      <c r="BJ649" s="159"/>
      <c r="BK649" s="48"/>
      <c r="BL649" s="48"/>
      <c r="BM649" s="48"/>
      <c r="BN649" s="48"/>
      <c r="BO649" s="160"/>
      <c r="BP649" s="48"/>
      <c r="BQ649" s="48"/>
      <c r="BR649" s="48"/>
      <c r="BS649" s="48"/>
      <c r="BT649" s="159"/>
      <c r="BU649" s="48"/>
      <c r="BV649" s="48"/>
      <c r="BW649" s="48"/>
      <c r="BX649" s="48"/>
      <c r="BY649" s="159"/>
      <c r="BZ649" s="159"/>
      <c r="CA649" s="159"/>
      <c r="CB649" s="159"/>
      <c r="CC649" s="50"/>
    </row>
    <row r="650" s="51" customFormat="true" ht="15" hidden="true" customHeight="true" outlineLevel="1" collapsed="false">
      <c r="A650" s="402" t="s">
        <v>608</v>
      </c>
      <c r="B650" s="257"/>
      <c r="C650" s="261"/>
      <c r="D650" s="261"/>
      <c r="E650" s="261"/>
      <c r="F650" s="261"/>
      <c r="G650" s="261"/>
      <c r="H650" s="259"/>
      <c r="I650" s="259"/>
      <c r="J650" s="259"/>
      <c r="K650" s="259"/>
      <c r="L650" s="261"/>
      <c r="M650" s="259"/>
      <c r="N650" s="259"/>
      <c r="O650" s="259"/>
      <c r="P650" s="259"/>
      <c r="Q650" s="261"/>
      <c r="R650" s="259"/>
      <c r="S650" s="259"/>
      <c r="T650" s="259"/>
      <c r="U650" s="259"/>
      <c r="V650" s="261"/>
      <c r="W650" s="259"/>
      <c r="X650" s="259"/>
      <c r="Y650" s="259"/>
      <c r="Z650" s="259"/>
      <c r="AA650" s="261"/>
      <c r="AB650" s="259"/>
      <c r="AC650" s="259"/>
      <c r="AD650" s="259"/>
      <c r="AE650" s="259"/>
      <c r="AF650" s="261"/>
      <c r="AG650" s="259"/>
      <c r="AH650" s="265" t="n">
        <v>56</v>
      </c>
      <c r="AI650" s="265" t="n">
        <v>78.5</v>
      </c>
      <c r="AJ650" s="391" t="n">
        <f aca="false">AK650</f>
        <v>118.5</v>
      </c>
      <c r="AK650" s="258" t="n">
        <v>118.5</v>
      </c>
      <c r="AL650" s="265" t="n">
        <v>119.4</v>
      </c>
      <c r="AM650" s="265" t="n">
        <v>160.9</v>
      </c>
      <c r="AN650" s="265" t="n">
        <v>117.9</v>
      </c>
      <c r="AO650" s="391" t="n">
        <f aca="false">AP650</f>
        <v>164.8</v>
      </c>
      <c r="AP650" s="258" t="n">
        <v>164.8</v>
      </c>
      <c r="AQ650" s="265" t="n">
        <v>164.8</v>
      </c>
      <c r="AR650" s="265" t="n">
        <v>163.9</v>
      </c>
      <c r="AS650" s="265" t="n">
        <v>5.9</v>
      </c>
      <c r="AT650" s="391" t="n">
        <f aca="false">AU650</f>
        <v>5.3</v>
      </c>
      <c r="AU650" s="258" t="n">
        <v>5.3</v>
      </c>
      <c r="AV650" s="265" t="n">
        <v>4.5</v>
      </c>
      <c r="AW650" s="265" t="n">
        <v>3.8</v>
      </c>
      <c r="AX650" s="265" t="n">
        <v>3.1</v>
      </c>
      <c r="AY650" s="259"/>
      <c r="AZ650" s="261"/>
      <c r="BA650" s="259"/>
      <c r="BB650" s="259"/>
      <c r="BC650" s="259"/>
      <c r="BD650" s="259"/>
      <c r="BE650" s="261"/>
      <c r="BF650" s="259"/>
      <c r="BG650" s="259"/>
      <c r="BH650" s="259"/>
      <c r="BI650" s="259"/>
      <c r="BJ650" s="261"/>
      <c r="BK650" s="259"/>
      <c r="BL650" s="259"/>
      <c r="BM650" s="259"/>
      <c r="BN650" s="259"/>
      <c r="BO650" s="260"/>
      <c r="BP650" s="259"/>
      <c r="BQ650" s="259"/>
      <c r="BR650" s="259"/>
      <c r="BS650" s="259"/>
      <c r="BT650" s="261"/>
      <c r="BU650" s="259"/>
      <c r="BV650" s="259"/>
      <c r="BW650" s="259"/>
      <c r="BX650" s="259"/>
      <c r="BY650" s="261"/>
      <c r="BZ650" s="261"/>
      <c r="CA650" s="261"/>
      <c r="CB650" s="261"/>
      <c r="CC650" s="50"/>
    </row>
    <row r="651" s="51" customFormat="true" ht="15" hidden="false" customHeight="true" outlineLevel="0" collapsed="false">
      <c r="A651" s="270" t="s">
        <v>609</v>
      </c>
      <c r="B651" s="254"/>
      <c r="C651" s="159"/>
      <c r="D651" s="159"/>
      <c r="E651" s="159"/>
      <c r="F651" s="159"/>
      <c r="G651" s="159"/>
      <c r="H651" s="48"/>
      <c r="I651" s="48"/>
      <c r="J651" s="48"/>
      <c r="K651" s="48"/>
      <c r="L651" s="159"/>
      <c r="M651" s="48"/>
      <c r="N651" s="48"/>
      <c r="O651" s="48"/>
      <c r="P651" s="48"/>
      <c r="Q651" s="159"/>
      <c r="R651" s="48"/>
      <c r="S651" s="48"/>
      <c r="T651" s="48"/>
      <c r="U651" s="48"/>
      <c r="V651" s="159"/>
      <c r="W651" s="48"/>
      <c r="X651" s="48"/>
      <c r="Y651" s="48"/>
      <c r="Z651" s="48"/>
      <c r="AA651" s="159"/>
      <c r="AB651" s="48" t="n">
        <f aca="false">SUM(AB649:AB650)</f>
        <v>124</v>
      </c>
      <c r="AC651" s="48" t="n">
        <f aca="false">SUM(AC649:AC650)</f>
        <v>127.4</v>
      </c>
      <c r="AD651" s="48" t="n">
        <f aca="false">SUM(AD649:AD650)</f>
        <v>129.5</v>
      </c>
      <c r="AE651" s="48" t="n">
        <f aca="false">SUM(AE649:AE650)</f>
        <v>137.6</v>
      </c>
      <c r="AF651" s="159" t="n">
        <f aca="false">SUM(AF649:AF650)</f>
        <v>137.6</v>
      </c>
      <c r="AG651" s="48" t="n">
        <f aca="false">SUM(AG649:AG650)</f>
        <v>148.1</v>
      </c>
      <c r="AH651" s="50" t="n">
        <f aca="false">SUM(AH649:AH650)</f>
        <v>210.8</v>
      </c>
      <c r="AI651" s="50" t="n">
        <f aca="false">SUM(AI649:AI650)</f>
        <v>305.7</v>
      </c>
      <c r="AJ651" s="50" t="n">
        <f aca="false">SUM(AJ649:AJ650)</f>
        <v>323.9</v>
      </c>
      <c r="AK651" s="262" t="n">
        <f aca="false">SUM(AK649:AK650)</f>
        <v>323.9</v>
      </c>
      <c r="AL651" s="50" t="n">
        <f aca="false">SUM(AL649:AL650)</f>
        <v>316.5</v>
      </c>
      <c r="AM651" s="50" t="n">
        <f aca="false">SUM(AM649:AM650)</f>
        <v>353.9</v>
      </c>
      <c r="AN651" s="50" t="n">
        <f aca="false">SUM(AN649:AN650)</f>
        <v>298</v>
      </c>
      <c r="AO651" s="50" t="n">
        <f aca="false">SUM(AO649:AO650)</f>
        <v>344.9</v>
      </c>
      <c r="AP651" s="262" t="n">
        <f aca="false">SUM(AP649:AP650)</f>
        <v>344.9</v>
      </c>
      <c r="AQ651" s="50" t="n">
        <f aca="false">SUM(AQ649:AQ650)</f>
        <v>344.5</v>
      </c>
      <c r="AR651" s="50" t="n">
        <f aca="false">SUM(AR649:AR650)</f>
        <v>325.7</v>
      </c>
      <c r="AS651" s="50" t="n">
        <f aca="false">SUM(AS649:AS650)</f>
        <v>160.9</v>
      </c>
      <c r="AT651" s="50" t="n">
        <f aca="false">SUM(AT649:AT650)</f>
        <v>164.8</v>
      </c>
      <c r="AU651" s="262" t="n">
        <f aca="false">SUM(AU649:AU650)</f>
        <v>164.8</v>
      </c>
      <c r="AV651" s="50" t="n">
        <f aca="false">SUM(AV649:AV650)</f>
        <v>177</v>
      </c>
      <c r="AW651" s="50" t="n">
        <f aca="false">SUM(AW649:AW650)</f>
        <v>188.4</v>
      </c>
      <c r="AX651" s="50" t="n">
        <f aca="false">SUM(AX649:AX650)</f>
        <v>206.9</v>
      </c>
      <c r="AY651" s="50" t="n">
        <f aca="false">AZ651</f>
        <v>192.7</v>
      </c>
      <c r="AZ651" s="255" t="n">
        <v>192.7</v>
      </c>
      <c r="BA651" s="263" t="n">
        <v>290.2</v>
      </c>
      <c r="BB651" s="263" t="n">
        <v>305.7</v>
      </c>
      <c r="BC651" s="263" t="n">
        <v>300.4</v>
      </c>
      <c r="BD651" s="50" t="n">
        <f aca="false">BE651</f>
        <v>306.6</v>
      </c>
      <c r="BE651" s="255" t="n">
        <v>306.6</v>
      </c>
      <c r="BF651" s="263" t="n">
        <v>343.3</v>
      </c>
      <c r="BG651" s="263" t="n">
        <v>358</v>
      </c>
      <c r="BH651" s="263" t="n">
        <v>393.7</v>
      </c>
      <c r="BI651" s="50" t="n">
        <f aca="false">BJ651</f>
        <v>387.2</v>
      </c>
      <c r="BJ651" s="255" t="n">
        <v>387.2</v>
      </c>
      <c r="BK651" s="263" t="n">
        <v>365.4</v>
      </c>
      <c r="BL651" s="263" t="n">
        <v>365</v>
      </c>
      <c r="BM651" s="263" t="n">
        <v>346</v>
      </c>
      <c r="BN651" s="50" t="n">
        <f aca="false">BO651</f>
        <v>341</v>
      </c>
      <c r="BO651" s="390" t="n">
        <v>341</v>
      </c>
      <c r="BP651" s="48" t="n">
        <f aca="false">BO651</f>
        <v>341</v>
      </c>
      <c r="BQ651" s="48" t="n">
        <f aca="false">BP651</f>
        <v>341</v>
      </c>
      <c r="BR651" s="48" t="n">
        <f aca="false">BQ651</f>
        <v>341</v>
      </c>
      <c r="BS651" s="48" t="n">
        <f aca="false">BR651</f>
        <v>341</v>
      </c>
      <c r="BT651" s="159" t="n">
        <f aca="false">BS651</f>
        <v>341</v>
      </c>
      <c r="BU651" s="48" t="n">
        <f aca="false">BT651</f>
        <v>341</v>
      </c>
      <c r="BV651" s="48" t="n">
        <f aca="false">BU651</f>
        <v>341</v>
      </c>
      <c r="BW651" s="48" t="n">
        <f aca="false">BV651</f>
        <v>341</v>
      </c>
      <c r="BX651" s="48" t="n">
        <f aca="false">BW651</f>
        <v>341</v>
      </c>
      <c r="BY651" s="159" t="n">
        <f aca="false">BX651</f>
        <v>341</v>
      </c>
      <c r="BZ651" s="159" t="n">
        <f aca="false">BY651</f>
        <v>341</v>
      </c>
      <c r="CA651" s="159" t="n">
        <f aca="false">BZ651</f>
        <v>341</v>
      </c>
      <c r="CB651" s="159" t="n">
        <f aca="false">CA651</f>
        <v>341</v>
      </c>
      <c r="CC651" s="50"/>
    </row>
    <row r="652" s="157" customFormat="true" ht="15" hidden="false" customHeight="true" outlineLevel="0" collapsed="false">
      <c r="A652" s="244" t="s">
        <v>610</v>
      </c>
      <c r="B652" s="393"/>
      <c r="C652" s="357" t="n">
        <f aca="false">SUM(C640:C651)-C649-C650</f>
        <v>1015.267</v>
      </c>
      <c r="D652" s="357" t="n">
        <f aca="false">SUM(D640:D651)-D649-D650</f>
        <v>1235.893</v>
      </c>
      <c r="E652" s="357" t="n">
        <f aca="false">SUM(E640:E651)-E649-E650</f>
        <v>1554.006</v>
      </c>
      <c r="F652" s="357" t="n">
        <f aca="false">SUM(F640:F651)-F649-F650</f>
        <v>1578.636</v>
      </c>
      <c r="G652" s="357" t="n">
        <f aca="false">SUM(G640:G651)-G649-G650</f>
        <v>4488.152</v>
      </c>
      <c r="H652" s="394" t="n">
        <f aca="false">SUM(H640:H651)-H649-H650</f>
        <v>4517.5</v>
      </c>
      <c r="I652" s="394" t="n">
        <f aca="false">SUM(I640:I651)-I649-I650</f>
        <v>4598.2</v>
      </c>
      <c r="J652" s="394" t="n">
        <f aca="false">SUM(J640:J651)-J649-J650</f>
        <v>4935</v>
      </c>
      <c r="K652" s="394" t="n">
        <f aca="false">SUM(K640:K651)-K649-K650</f>
        <v>5057.739</v>
      </c>
      <c r="L652" s="357" t="n">
        <f aca="false">SUM(L640:L651)-L649-L650</f>
        <v>5057.739</v>
      </c>
      <c r="M652" s="394" t="n">
        <f aca="false">SUM(M640:M651)-M649-M650</f>
        <v>5466</v>
      </c>
      <c r="N652" s="394" t="n">
        <f aca="false">SUM(N640:N651)-N649-N650</f>
        <v>5363.5</v>
      </c>
      <c r="O652" s="394" t="n">
        <f aca="false">SUM(O640:O651)-O649-O650</f>
        <v>5358.1</v>
      </c>
      <c r="P652" s="394" t="n">
        <f aca="false">SUM(P640:P651)-P649-P650</f>
        <v>5587.33</v>
      </c>
      <c r="Q652" s="357" t="n">
        <f aca="false">SUM(Q640:Q651)-Q649-Q650</f>
        <v>5587.33</v>
      </c>
      <c r="R652" s="394" t="n">
        <f aca="false">SUM(R640:R651)-R649-R650</f>
        <v>5457.4</v>
      </c>
      <c r="S652" s="394" t="n">
        <f aca="false">SUM(S640:S651)-S649-S650</f>
        <v>5723</v>
      </c>
      <c r="T652" s="394" t="n">
        <f aca="false">SUM(T640:T651)-T649-T650</f>
        <v>5586.5</v>
      </c>
      <c r="U652" s="394" t="n">
        <f aca="false">SUM(U640:U651)-U649-U650</f>
        <v>8648.5</v>
      </c>
      <c r="V652" s="357" t="n">
        <f aca="false">SUM(V640:V651)-V649-V650</f>
        <v>8648.5</v>
      </c>
      <c r="W652" s="394" t="n">
        <f aca="false">SUM(W640:W651)-W649-W650</f>
        <v>8555.2</v>
      </c>
      <c r="X652" s="394" t="n">
        <f aca="false">SUM(X640:X651)-X649-X650</f>
        <v>9230.6</v>
      </c>
      <c r="Y652" s="394" t="n">
        <f aca="false">SUM(Y640:Y651)-Y649-Y650</f>
        <v>9202.5</v>
      </c>
      <c r="Z652" s="394" t="n">
        <f aca="false">SUM(Z640:Z651)-Z649-Z650</f>
        <v>9189.4</v>
      </c>
      <c r="AA652" s="357" t="n">
        <f aca="false">SUM(AA640:AA651)-AA649-AA650</f>
        <v>9189.4</v>
      </c>
      <c r="AB652" s="394" t="n">
        <f aca="false">SUM(AB640:AB651)-AB649-AB650</f>
        <v>9431.5</v>
      </c>
      <c r="AC652" s="394" t="n">
        <f aca="false">SUM(AC640:AC651)-AC649-AC650</f>
        <v>9524.6</v>
      </c>
      <c r="AD652" s="394" t="n">
        <f aca="false">SUM(AD640:AD651)-AD649-AD650</f>
        <v>9544.5</v>
      </c>
      <c r="AE652" s="394" t="n">
        <f aca="false">SUM(AE640:AE651)-AE649-AE650</f>
        <v>9605.5</v>
      </c>
      <c r="AF652" s="357" t="n">
        <f aca="false">SUM(AF640:AF651)-AF649-AF650</f>
        <v>9605.5</v>
      </c>
      <c r="AG652" s="394" t="n">
        <f aca="false">SUM(AG640:AG651)-AG649-AG650</f>
        <v>9964.3</v>
      </c>
      <c r="AH652" s="394" t="n">
        <f aca="false">SUM(AH640:AH651)-AH649-AH650</f>
        <v>10138.6</v>
      </c>
      <c r="AI652" s="394" t="n">
        <f aca="false">SUM(AI640:AI651)-AI649-AI650</f>
        <v>10605.1</v>
      </c>
      <c r="AJ652" s="394" t="n">
        <f aca="false">SUM(AJ640:AJ651)-AJ649-AJ650</f>
        <v>10498.5</v>
      </c>
      <c r="AK652" s="357" t="n">
        <f aca="false">SUM(AK640:AK651)-AK649-AK650</f>
        <v>10498.5</v>
      </c>
      <c r="AL652" s="394" t="n">
        <f aca="false">SUM(AL640:AL651)-AL649-AL650</f>
        <v>10577.5</v>
      </c>
      <c r="AM652" s="394" t="n">
        <f aca="false">SUM(AM640:AM651)-AM649-AM650</f>
        <v>10813.5</v>
      </c>
      <c r="AN652" s="394" t="n">
        <f aca="false">SUM(AN640:AN651)-AN649-AN650</f>
        <v>10912.6</v>
      </c>
      <c r="AO652" s="394" t="n">
        <f aca="false">SUM(AO640:AO651)-AO649-AO650</f>
        <v>11337.4</v>
      </c>
      <c r="AP652" s="357" t="n">
        <f aca="false">SUM(AP640:AP651)-AP649-AP650</f>
        <v>11337.4</v>
      </c>
      <c r="AQ652" s="394" t="n">
        <f aca="false">SUM(AQ640:AQ651)-AQ649-AQ650</f>
        <v>11359.1</v>
      </c>
      <c r="AR652" s="394" t="n">
        <f aca="false">SUM(AR640:AR651)-AR649-AR650</f>
        <v>11076.3</v>
      </c>
      <c r="AS652" s="394" t="n">
        <f aca="false">SUM(AS640:AS651)-AS649-AS650</f>
        <v>11619.7</v>
      </c>
      <c r="AT652" s="394" t="n">
        <f aca="false">SUM(AT640:AT651)-AT649-AT650</f>
        <v>12040.8</v>
      </c>
      <c r="AU652" s="357" t="n">
        <f aca="false">SUM(AU640:AU651)-AU649-AU650</f>
        <v>12040.8</v>
      </c>
      <c r="AV652" s="394" t="n">
        <f aca="false">SUM(AV640:AV651)-AV649-AV650</f>
        <v>12023</v>
      </c>
      <c r="AW652" s="394" t="n">
        <f aca="false">SUM(AW640:AW651)-AW649-AW650</f>
        <v>12077.3</v>
      </c>
      <c r="AX652" s="394" t="n">
        <f aca="false">SUM(AX640:AX651)-AX649-AX650</f>
        <v>13077.1</v>
      </c>
      <c r="AY652" s="394" t="n">
        <f aca="false">SUM(AY640:AY651)-AY649-AY650</f>
        <v>13235.5</v>
      </c>
      <c r="AZ652" s="357" t="n">
        <f aca="false">SUM(AZ640:AZ651)-AZ649-AZ650</f>
        <v>13235.5</v>
      </c>
      <c r="BA652" s="394" t="n">
        <f aca="false">SUM(BA640:BA651)-BA649-BA650</f>
        <v>14086.8</v>
      </c>
      <c r="BB652" s="394" t="n">
        <f aca="false">SUM(BB640:BB651)-BB649-BB650</f>
        <v>14530.3</v>
      </c>
      <c r="BC652" s="394" t="n">
        <f aca="false">SUM(BC640:BC651)-BC649-BC650</f>
        <v>15857.8</v>
      </c>
      <c r="BD652" s="394" t="n">
        <f aca="false">SUM(BD640:BD651)-BD649-BD650</f>
        <v>15563.6</v>
      </c>
      <c r="BE652" s="357" t="n">
        <f aca="false">SUM(BE640:BE651)-BE649-BE650</f>
        <v>15563.6</v>
      </c>
      <c r="BF652" s="394" t="n">
        <f aca="false">SUM(BF640:BF651)-BF649-BF650</f>
        <v>15902.9</v>
      </c>
      <c r="BG652" s="394" t="n">
        <f aca="false">SUM(BG640:BG651)-BG649-BG650</f>
        <v>16287.8</v>
      </c>
      <c r="BH652" s="394" t="n">
        <f aca="false">SUM(BH640:BH651)-BH649-BH650</f>
        <v>16902.1</v>
      </c>
      <c r="BI652" s="394" t="n">
        <f aca="false">SUM(BI640:BI651)-BI649-BI650</f>
        <v>17852.2</v>
      </c>
      <c r="BJ652" s="357" t="n">
        <f aca="false">SUM(BJ640:BJ651)-BJ649-BJ650</f>
        <v>17852.2</v>
      </c>
      <c r="BK652" s="394" t="n">
        <f aca="false">SUM(BK640:BK651)-BK649-BK650</f>
        <v>17954.4</v>
      </c>
      <c r="BL652" s="394" t="n">
        <f aca="false">SUM(BL640:BL651)-BL649-BL650</f>
        <v>18138.6</v>
      </c>
      <c r="BM652" s="394" t="n">
        <f aca="false">SUM(BM640:BM651)-BM649-BM650</f>
        <v>19950.8</v>
      </c>
      <c r="BN652" s="394" t="n">
        <f aca="false">SUM(BN640:BN651)-BN649-BN650</f>
        <v>19950.5</v>
      </c>
      <c r="BO652" s="395" t="n">
        <f aca="false">SUM(BO640:BO651)-BO649-BO650</f>
        <v>19950.5</v>
      </c>
      <c r="BP652" s="163" t="n">
        <f aca="false">SUM(BP640:BP651)-BP649-BP650</f>
        <v>19787.2753972603</v>
      </c>
      <c r="BQ652" s="163" t="n">
        <f aca="false">SUM(BQ640:BQ651)-BQ649-BQ650</f>
        <v>19626.5415704744</v>
      </c>
      <c r="BR652" s="163" t="n">
        <f aca="false">SUM(BR640:BR651)-BR649-BR650</f>
        <v>19468.3357136117</v>
      </c>
      <c r="BS652" s="163" t="n">
        <f aca="false">SUM(BS640:BS651)-BS649-BS650</f>
        <v>19315.754183668</v>
      </c>
      <c r="BT652" s="162" t="n">
        <f aca="false">SUM(BT640:BT651)-BT649-BT650</f>
        <v>19315.754183668</v>
      </c>
      <c r="BU652" s="163" t="n">
        <f aca="false">SUM(BU640:BU651)-BU649-BU650</f>
        <v>19174.6057911858</v>
      </c>
      <c r="BV652" s="163" t="n">
        <f aca="false">SUM(BV640:BV651)-BV649-BV650</f>
        <v>19035.4167659319</v>
      </c>
      <c r="BW652" s="163" t="n">
        <f aca="false">SUM(BW640:BW651)-BW649-BW650</f>
        <v>18898.2261471461</v>
      </c>
      <c r="BX652" s="163" t="n">
        <f aca="false">SUM(BX640:BX651)-BX649-BX650</f>
        <v>18765.9123851785</v>
      </c>
      <c r="BY652" s="162" t="n">
        <f aca="false">SUM(BY640:BY651)-BY649-BY650</f>
        <v>18765.9123851785</v>
      </c>
      <c r="BZ652" s="162" t="n">
        <f aca="false">SUM(BZ640:BZ651)-BZ649-BZ650</f>
        <v>18340.84687189</v>
      </c>
      <c r="CA652" s="162" t="n">
        <f aca="false">SUM(CA640:CA651)-CA649-CA650</f>
        <v>17975.7947973664</v>
      </c>
      <c r="CB652" s="162" t="n">
        <f aca="false">SUM(CB640:CB651)-CB649-CB650</f>
        <v>17662.2786401449</v>
      </c>
      <c r="CC652" s="156"/>
    </row>
    <row r="653" s="157" customFormat="true" ht="15" hidden="false" customHeight="true" outlineLevel="0" collapsed="false">
      <c r="A653" s="221" t="s">
        <v>611</v>
      </c>
      <c r="B653" s="266"/>
      <c r="C653" s="399" t="n">
        <f aca="false">C637+C652</f>
        <v>3764.151</v>
      </c>
      <c r="D653" s="399" t="n">
        <f aca="false">D637+D652</f>
        <v>6180.358</v>
      </c>
      <c r="E653" s="399" t="n">
        <f aca="false">E637+E652</f>
        <v>7260.815</v>
      </c>
      <c r="F653" s="399" t="n">
        <f aca="false">F637+F652</f>
        <v>7410.478</v>
      </c>
      <c r="G653" s="399" t="n">
        <f aca="false">G637+G652</f>
        <v>11513.73</v>
      </c>
      <c r="H653" s="156" t="n">
        <f aca="false">H637+H652</f>
        <v>11758.3</v>
      </c>
      <c r="I653" s="156" t="n">
        <f aca="false">I637+I652</f>
        <v>11888.5</v>
      </c>
      <c r="J653" s="156" t="n">
        <f aca="false">J637+J652</f>
        <v>12096.6</v>
      </c>
      <c r="K653" s="156" t="n">
        <f aca="false">K637+K652</f>
        <v>12203.945</v>
      </c>
      <c r="L653" s="399" t="n">
        <f aca="false">L637+L652</f>
        <v>12203.945</v>
      </c>
      <c r="M653" s="156" t="n">
        <f aca="false">M637+M652</f>
        <v>13091.1</v>
      </c>
      <c r="N653" s="156" t="n">
        <f aca="false">N637+N652</f>
        <v>12675.3</v>
      </c>
      <c r="O653" s="156" t="n">
        <f aca="false">O637+O652</f>
        <v>12705.6</v>
      </c>
      <c r="P653" s="156" t="n">
        <f aca="false">P637+P652</f>
        <v>13295.031</v>
      </c>
      <c r="Q653" s="399" t="n">
        <f aca="false">Q637+Q652</f>
        <v>13295.031</v>
      </c>
      <c r="R653" s="156" t="n">
        <f aca="false">R637+R652</f>
        <v>13143.6</v>
      </c>
      <c r="S653" s="156" t="n">
        <f aca="false">S637+S652</f>
        <v>13303.5</v>
      </c>
      <c r="T653" s="156" t="n">
        <f aca="false">T637+T652</f>
        <v>14802.2</v>
      </c>
      <c r="U653" s="156" t="n">
        <f aca="false">U637+U652</f>
        <v>17205.9</v>
      </c>
      <c r="V653" s="399" t="n">
        <f aca="false">V637+V652</f>
        <v>17205.9</v>
      </c>
      <c r="W653" s="156" t="n">
        <f aca="false">W637+W652</f>
        <v>17324.8</v>
      </c>
      <c r="X653" s="156" t="n">
        <f aca="false">X637+X652</f>
        <v>17272.1</v>
      </c>
      <c r="Y653" s="156" t="n">
        <f aca="false">Y637+Y652</f>
        <v>17496.4</v>
      </c>
      <c r="Z653" s="156" t="n">
        <f aca="false">Z637+Z652</f>
        <v>18196.4</v>
      </c>
      <c r="AA653" s="399" t="n">
        <f aca="false">AA637+AA652</f>
        <v>18196.4</v>
      </c>
      <c r="AB653" s="156" t="n">
        <f aca="false">AB637+AB652</f>
        <v>18644.2</v>
      </c>
      <c r="AC653" s="156" t="n">
        <f aca="false">AC637+AC652</f>
        <v>18738.8</v>
      </c>
      <c r="AD653" s="156" t="n">
        <f aca="false">AD637+AD652</f>
        <v>19457.6</v>
      </c>
      <c r="AE653" s="156" t="n">
        <f aca="false">AE637+AE652</f>
        <v>20136.9</v>
      </c>
      <c r="AF653" s="399" t="n">
        <f aca="false">AF637+AF652</f>
        <v>20136.9</v>
      </c>
      <c r="AG653" s="156" t="n">
        <f aca="false">AG637+AG652</f>
        <v>20360.6</v>
      </c>
      <c r="AH653" s="156" t="n">
        <f aca="false">AH637+AH652</f>
        <v>20033.9</v>
      </c>
      <c r="AI653" s="156" t="n">
        <f aca="false">AI637+AI652</f>
        <v>20699.2</v>
      </c>
      <c r="AJ653" s="156" t="n">
        <f aca="false">AJ637+AJ652</f>
        <v>22629.6</v>
      </c>
      <c r="AK653" s="399" t="n">
        <f aca="false">AK637+AK652</f>
        <v>22629.6</v>
      </c>
      <c r="AL653" s="156" t="n">
        <f aca="false">AL637+AL652</f>
        <v>23277.6</v>
      </c>
      <c r="AM653" s="156" t="n">
        <f aca="false">AM637+AM652</f>
        <v>24306.1</v>
      </c>
      <c r="AN653" s="156" t="n">
        <f aca="false">AN637+AN652</f>
        <v>25463.4</v>
      </c>
      <c r="AO653" s="156" t="n">
        <f aca="false">AO637+AO652</f>
        <v>27267.4</v>
      </c>
      <c r="AP653" s="399" t="n">
        <f aca="false">AP637+AP652</f>
        <v>27267.4</v>
      </c>
      <c r="AQ653" s="156" t="n">
        <f aca="false">AQ637+AQ652</f>
        <v>27218.7</v>
      </c>
      <c r="AR653" s="156" t="n">
        <f aca="false">AR637+AR652</f>
        <v>27815.5</v>
      </c>
      <c r="AS653" s="156" t="n">
        <f aca="false">AS637+AS652</f>
        <v>27298</v>
      </c>
      <c r="AT653" s="156" t="n">
        <f aca="false">AT637+AT652</f>
        <v>30231</v>
      </c>
      <c r="AU653" s="399" t="n">
        <f aca="false">AU637+AU652</f>
        <v>30231</v>
      </c>
      <c r="AV653" s="156" t="n">
        <f aca="false">AV637+AV652</f>
        <v>30231.8</v>
      </c>
      <c r="AW653" s="156" t="n">
        <f aca="false">AW637+AW652</f>
        <v>31912.6</v>
      </c>
      <c r="AX653" s="156" t="n">
        <f aca="false">AX637+AX652</f>
        <v>32803.5</v>
      </c>
      <c r="AY653" s="156" t="n">
        <f aca="false">AY637+AY652</f>
        <v>36300.4</v>
      </c>
      <c r="AZ653" s="399" t="n">
        <f aca="false">AZ637+AZ652</f>
        <v>36300.4</v>
      </c>
      <c r="BA653" s="156" t="n">
        <f aca="false">BA637+BA652</f>
        <v>35147.6</v>
      </c>
      <c r="BB653" s="156" t="n">
        <f aca="false">BB637+BB652</f>
        <v>36928.5</v>
      </c>
      <c r="BC653" s="156" t="n">
        <f aca="false">BC637+BC652</f>
        <v>37513.5</v>
      </c>
      <c r="BD653" s="156" t="n">
        <f aca="false">BD637+BD652</f>
        <v>39957.5</v>
      </c>
      <c r="BE653" s="399" t="n">
        <f aca="false">BE637+BE652</f>
        <v>39957.5</v>
      </c>
      <c r="BF653" s="156" t="n">
        <f aca="false">BF637+BF652</f>
        <v>39042.6</v>
      </c>
      <c r="BG653" s="156" t="n">
        <f aca="false">BG637+BG652</f>
        <v>40741</v>
      </c>
      <c r="BH653" s="156" t="n">
        <f aca="false">BH637+BH652</f>
        <v>41766.1</v>
      </c>
      <c r="BI653" s="156" t="n">
        <f aca="false">BI637+BI652</f>
        <v>48589.6</v>
      </c>
      <c r="BJ653" s="399" t="n">
        <f aca="false">BJ637+BJ652</f>
        <v>48589.6</v>
      </c>
      <c r="BK653" s="156" t="n">
        <f aca="false">BK637+BK652</f>
        <v>45478.8</v>
      </c>
      <c r="BL653" s="156" t="n">
        <f aca="false">BL637+BL652</f>
        <v>44849.1</v>
      </c>
      <c r="BM653" s="156" t="n">
        <f aca="false">BM637+BM652</f>
        <v>45097.1</v>
      </c>
      <c r="BN653" s="156" t="n">
        <f aca="false">BN637+BN652</f>
        <v>50566.6</v>
      </c>
      <c r="BO653" s="400" t="n">
        <f aca="false">BO637+BO652</f>
        <v>50566.6</v>
      </c>
      <c r="BP653" s="268" t="n">
        <f aca="false">BP637+BP652</f>
        <v>57365.2458924848</v>
      </c>
      <c r="BQ653" s="268" t="n">
        <f aca="false">BQ637+BQ652</f>
        <v>60379.7409140709</v>
      </c>
      <c r="BR653" s="268" t="n">
        <f aca="false">BR637+BR652</f>
        <v>63896.65884374</v>
      </c>
      <c r="BS653" s="268" t="n">
        <f aca="false">BS637+BS652</f>
        <v>61538.4980202658</v>
      </c>
      <c r="BT653" s="267" t="n">
        <f aca="false">BT637+BT652</f>
        <v>61538.4980202658</v>
      </c>
      <c r="BU653" s="268" t="n">
        <f aca="false">BU637+BU652</f>
        <v>68588.1114807584</v>
      </c>
      <c r="BV653" s="268" t="n">
        <f aca="false">BV637+BV652</f>
        <v>71351.064436923</v>
      </c>
      <c r="BW653" s="268" t="n">
        <f aca="false">BW637+BW652</f>
        <v>74317.0215656357</v>
      </c>
      <c r="BX653" s="268" t="n">
        <f aca="false">BX637+BX652</f>
        <v>72306.7649397959</v>
      </c>
      <c r="BY653" s="267" t="n">
        <f aca="false">BY637+BY652</f>
        <v>72306.7649397959</v>
      </c>
      <c r="BZ653" s="267" t="n">
        <f aca="false">BZ637+BZ652</f>
        <v>89829.7138069717</v>
      </c>
      <c r="CA653" s="267" t="n">
        <f aca="false">CA637+CA652</f>
        <v>104542.46767549</v>
      </c>
      <c r="CB653" s="267" t="n">
        <f aca="false">CB637+CB652</f>
        <v>120403.408426845</v>
      </c>
      <c r="CC653" s="156"/>
    </row>
    <row r="654" s="157" customFormat="true" ht="15" hidden="false" customHeight="true" outlineLevel="0" collapsed="false">
      <c r="A654" s="252"/>
      <c r="B654" s="266"/>
      <c r="C654" s="267"/>
      <c r="D654" s="267"/>
      <c r="E654" s="267"/>
      <c r="F654" s="267"/>
      <c r="G654" s="267"/>
      <c r="H654" s="268"/>
      <c r="I654" s="268"/>
      <c r="J654" s="268"/>
      <c r="K654" s="268"/>
      <c r="L654" s="267"/>
      <c r="M654" s="268"/>
      <c r="N654" s="268"/>
      <c r="O654" s="268"/>
      <c r="P654" s="268"/>
      <c r="Q654" s="267"/>
      <c r="R654" s="268"/>
      <c r="S654" s="268"/>
      <c r="T654" s="268"/>
      <c r="U654" s="268"/>
      <c r="V654" s="267"/>
      <c r="W654" s="268"/>
      <c r="X654" s="268"/>
      <c r="Y654" s="268"/>
      <c r="Z654" s="268"/>
      <c r="AA654" s="267"/>
      <c r="AB654" s="268"/>
      <c r="AC654" s="268"/>
      <c r="AD654" s="268"/>
      <c r="AE654" s="268"/>
      <c r="AF654" s="267"/>
      <c r="AG654" s="268"/>
      <c r="AH654" s="268"/>
      <c r="AI654" s="268"/>
      <c r="AJ654" s="268"/>
      <c r="AK654" s="267"/>
      <c r="AL654" s="268"/>
      <c r="AM654" s="268"/>
      <c r="AN654" s="268"/>
      <c r="AO654" s="268"/>
      <c r="AP654" s="267"/>
      <c r="AQ654" s="268"/>
      <c r="AR654" s="268"/>
      <c r="AS654" s="268"/>
      <c r="AT654" s="268"/>
      <c r="AU654" s="267"/>
      <c r="AV654" s="268"/>
      <c r="AW654" s="268"/>
      <c r="AX654" s="268"/>
      <c r="AY654" s="268"/>
      <c r="AZ654" s="267"/>
      <c r="BA654" s="268"/>
      <c r="BB654" s="268"/>
      <c r="BC654" s="268"/>
      <c r="BD654" s="268"/>
      <c r="BE654" s="267"/>
      <c r="BF654" s="268"/>
      <c r="BG654" s="268"/>
      <c r="BH654" s="268"/>
      <c r="BI654" s="268"/>
      <c r="BJ654" s="267"/>
      <c r="BK654" s="268"/>
      <c r="BL654" s="268"/>
      <c r="BM654" s="268"/>
      <c r="BN654" s="268"/>
      <c r="BO654" s="269"/>
      <c r="BP654" s="268"/>
      <c r="BQ654" s="268"/>
      <c r="BR654" s="268"/>
      <c r="BS654" s="268"/>
      <c r="BT654" s="267"/>
      <c r="BU654" s="268"/>
      <c r="BV654" s="268"/>
      <c r="BW654" s="268"/>
      <c r="BX654" s="268"/>
      <c r="BY654" s="267"/>
      <c r="BZ654" s="267"/>
      <c r="CA654" s="267"/>
      <c r="CB654" s="267"/>
      <c r="CC654" s="156"/>
    </row>
    <row r="655" s="51" customFormat="true" ht="15" hidden="false" customHeight="true" outlineLevel="0" collapsed="false">
      <c r="A655" s="221" t="s">
        <v>612</v>
      </c>
      <c r="B655" s="254"/>
      <c r="C655" s="159"/>
      <c r="D655" s="159"/>
      <c r="E655" s="159"/>
      <c r="F655" s="159"/>
      <c r="G655" s="159"/>
      <c r="H655" s="48"/>
      <c r="I655" s="48"/>
      <c r="J655" s="48"/>
      <c r="K655" s="48"/>
      <c r="L655" s="159"/>
      <c r="M655" s="48"/>
      <c r="N655" s="48"/>
      <c r="O655" s="48"/>
      <c r="P655" s="48"/>
      <c r="Q655" s="159"/>
      <c r="R655" s="48"/>
      <c r="S655" s="48"/>
      <c r="T655" s="48"/>
      <c r="U655" s="48"/>
      <c r="V655" s="159"/>
      <c r="W655" s="48"/>
      <c r="X655" s="48"/>
      <c r="Y655" s="48"/>
      <c r="Z655" s="48"/>
      <c r="AA655" s="159"/>
      <c r="AB655" s="48"/>
      <c r="AC655" s="48"/>
      <c r="AD655" s="48"/>
      <c r="AE655" s="48"/>
      <c r="AF655" s="159"/>
      <c r="AG655" s="48"/>
      <c r="AH655" s="48"/>
      <c r="AI655" s="48"/>
      <c r="AJ655" s="48"/>
      <c r="AK655" s="159"/>
      <c r="AL655" s="48"/>
      <c r="AM655" s="48"/>
      <c r="AN655" s="48"/>
      <c r="AO655" s="48"/>
      <c r="AP655" s="159"/>
      <c r="AQ655" s="48"/>
      <c r="AR655" s="48"/>
      <c r="AS655" s="48"/>
      <c r="AT655" s="48"/>
      <c r="AU655" s="159"/>
      <c r="AV655" s="48"/>
      <c r="AW655" s="48"/>
      <c r="AX655" s="48"/>
      <c r="AY655" s="48"/>
      <c r="AZ655" s="159"/>
      <c r="BA655" s="48"/>
      <c r="BB655" s="48"/>
      <c r="BC655" s="48"/>
      <c r="BD655" s="48"/>
      <c r="BE655" s="159"/>
      <c r="BF655" s="48"/>
      <c r="BG655" s="48"/>
      <c r="BH655" s="48"/>
      <c r="BI655" s="48"/>
      <c r="BJ655" s="159"/>
      <c r="BK655" s="48"/>
      <c r="BL655" s="48"/>
      <c r="BM655" s="48"/>
      <c r="BN655" s="48"/>
      <c r="BO655" s="160"/>
      <c r="BP655" s="48"/>
      <c r="BQ655" s="48"/>
      <c r="BR655" s="48"/>
      <c r="BS655" s="48"/>
      <c r="BT655" s="159"/>
      <c r="BU655" s="48"/>
      <c r="BV655" s="48"/>
      <c r="BW655" s="48"/>
      <c r="BX655" s="48"/>
      <c r="BY655" s="159"/>
      <c r="BZ655" s="159"/>
      <c r="CA655" s="159"/>
      <c r="CB655" s="159"/>
      <c r="CC655" s="50"/>
    </row>
    <row r="656" s="51" customFormat="true" ht="15" hidden="false" customHeight="true" outlineLevel="0" collapsed="false">
      <c r="A656" s="270" t="s">
        <v>518</v>
      </c>
      <c r="B656" s="254"/>
      <c r="C656" s="255" t="n">
        <v>206.226</v>
      </c>
      <c r="D656" s="255" t="n">
        <v>555.397</v>
      </c>
      <c r="E656" s="255" t="n">
        <v>444.269</v>
      </c>
      <c r="F656" s="255" t="n">
        <v>188.961</v>
      </c>
      <c r="G656" s="255" t="n">
        <v>625.87</v>
      </c>
      <c r="H656" s="48"/>
      <c r="I656" s="48"/>
      <c r="J656" s="48"/>
      <c r="K656" s="48"/>
      <c r="L656" s="255" t="n">
        <v>496.236</v>
      </c>
      <c r="M656" s="48"/>
      <c r="N656" s="48"/>
      <c r="O656" s="48"/>
      <c r="P656" s="48"/>
      <c r="Q656" s="255" t="n">
        <v>527.894</v>
      </c>
      <c r="R656" s="48"/>
      <c r="S656" s="48"/>
      <c r="T656" s="48"/>
      <c r="U656" s="48"/>
      <c r="V656" s="255" t="n">
        <v>593.2</v>
      </c>
      <c r="W656" s="48"/>
      <c r="X656" s="48"/>
      <c r="Y656" s="48"/>
      <c r="Z656" s="48"/>
      <c r="AA656" s="255" t="n">
        <v>837.3</v>
      </c>
      <c r="AB656" s="48"/>
      <c r="AC656" s="48"/>
      <c r="AD656" s="48"/>
      <c r="AE656" s="48"/>
      <c r="AF656" s="255" t="n">
        <v>964</v>
      </c>
      <c r="AG656" s="48"/>
      <c r="AH656" s="48"/>
      <c r="AI656" s="48"/>
      <c r="AJ656" s="48"/>
      <c r="AK656" s="255" t="n">
        <v>1062.2</v>
      </c>
      <c r="AL656" s="48"/>
      <c r="AM656" s="48"/>
      <c r="AN656" s="48"/>
      <c r="AO656" s="48"/>
      <c r="AP656" s="255" t="n">
        <v>1377.9</v>
      </c>
      <c r="AQ656" s="48"/>
      <c r="AR656" s="48"/>
      <c r="AS656" s="48"/>
      <c r="AT656" s="48"/>
      <c r="AU656" s="255" t="n">
        <v>2116.3</v>
      </c>
      <c r="AV656" s="48"/>
      <c r="AW656" s="48"/>
      <c r="AX656" s="48"/>
      <c r="AY656" s="48"/>
      <c r="AZ656" s="255" t="n">
        <v>2565.2</v>
      </c>
      <c r="BA656" s="48"/>
      <c r="BB656" s="48"/>
      <c r="BC656" s="48"/>
      <c r="BD656" s="48"/>
      <c r="BE656" s="255" t="n">
        <v>2347.3</v>
      </c>
      <c r="BF656" s="48"/>
      <c r="BG656" s="48"/>
      <c r="BH656" s="48"/>
      <c r="BI656" s="48" t="n">
        <f aca="false">BJ656</f>
        <v>3500.4</v>
      </c>
      <c r="BJ656" s="255" t="n">
        <v>3500.4</v>
      </c>
      <c r="BK656" s="48"/>
      <c r="BL656" s="48"/>
      <c r="BM656" s="48"/>
      <c r="BN656" s="48"/>
      <c r="BO656" s="264" t="n">
        <f aca="false">SUM(BN329,BM329,BL329,BK329)*BO610</f>
        <v>4083.4125</v>
      </c>
      <c r="BP656" s="48" t="n">
        <f aca="false">SUM(BP329,BN329,BM329,BL329)*BP610</f>
        <v>4055.35493918359</v>
      </c>
      <c r="BQ656" s="48" t="n">
        <f aca="false">SUM(BQ329,BP329,BN329,BM329)*BQ610</f>
        <v>4197.13746943505</v>
      </c>
      <c r="BR656" s="48" t="n">
        <f aca="false">SUM(BR329,BQ329,BP329,BN329)*BR610</f>
        <v>4422.57006415996</v>
      </c>
      <c r="BS656" s="48" t="n">
        <f aca="false">SUM(BS329,BR329,BQ329,BP329)*BS610</f>
        <v>4614.32215976605</v>
      </c>
      <c r="BT656" s="159" t="n">
        <f aca="false">+BS656</f>
        <v>4614.32215976605</v>
      </c>
      <c r="BU656" s="48" t="n">
        <f aca="false">SUM(BU329,BS329,BR329,BQ329)*BU610</f>
        <v>4503.34603504841</v>
      </c>
      <c r="BV656" s="48" t="n">
        <f aca="false">SUM(BV329,BU329,BS329,BR329)*BV610</f>
        <v>4524.32608459198</v>
      </c>
      <c r="BW656" s="48" t="n">
        <f aca="false">SUM(BW329,BV329,BU329,BS329)*BW610</f>
        <v>4594.09295329117</v>
      </c>
      <c r="BX656" s="48" t="n">
        <f aca="false">SUM(BX329,BW329,BV329,BU329)*BX610</f>
        <v>4825.52413193929</v>
      </c>
      <c r="BY656" s="159" t="n">
        <f aca="false">+BX656</f>
        <v>4825.52413193929</v>
      </c>
      <c r="BZ656" s="159" t="n">
        <f aca="false">BZ329*BZ610</f>
        <v>5817.9945630827</v>
      </c>
      <c r="CA656" s="159" t="n">
        <f aca="false">CA329*CA610</f>
        <v>6113.62931395769</v>
      </c>
      <c r="CB656" s="159" t="n">
        <f aca="false">CB329*CB610</f>
        <v>6427.29364113449</v>
      </c>
      <c r="CC656" s="50"/>
    </row>
    <row r="657" s="51" customFormat="true" ht="15" hidden="false" customHeight="true" outlineLevel="0" collapsed="false">
      <c r="A657" s="270" t="s">
        <v>517</v>
      </c>
      <c r="B657" s="254"/>
      <c r="C657" s="255" t="n">
        <v>817.361</v>
      </c>
      <c r="D657" s="255" t="n">
        <v>1518.749</v>
      </c>
      <c r="E657" s="255" t="n">
        <v>1768.647</v>
      </c>
      <c r="F657" s="255" t="n">
        <v>1880.37</v>
      </c>
      <c r="G657" s="255" t="n">
        <v>2216.882</v>
      </c>
      <c r="H657" s="48"/>
      <c r="I657" s="48"/>
      <c r="J657" s="48"/>
      <c r="K657" s="48"/>
      <c r="L657" s="255" t="n">
        <v>2347.799</v>
      </c>
      <c r="M657" s="48"/>
      <c r="N657" s="48"/>
      <c r="O657" s="48"/>
      <c r="P657" s="48"/>
      <c r="Q657" s="255" t="n">
        <v>2566.593</v>
      </c>
      <c r="R657" s="48"/>
      <c r="S657" s="48"/>
      <c r="T657" s="48"/>
      <c r="U657" s="48"/>
      <c r="V657" s="255" t="n">
        <v>2236</v>
      </c>
      <c r="W657" s="48"/>
      <c r="X657" s="48"/>
      <c r="Y657" s="48"/>
      <c r="Z657" s="48"/>
      <c r="AA657" s="255" t="n">
        <v>2327.4</v>
      </c>
      <c r="AB657" s="48"/>
      <c r="AC657" s="48"/>
      <c r="AD657" s="48"/>
      <c r="AE657" s="48"/>
      <c r="AF657" s="255" t="n">
        <v>911.4</v>
      </c>
      <c r="AG657" s="48"/>
      <c r="AH657" s="48"/>
      <c r="AI657" s="48"/>
      <c r="AJ657" s="48"/>
      <c r="AK657" s="255" t="n">
        <v>1039.9</v>
      </c>
      <c r="AL657" s="48"/>
      <c r="AM657" s="48"/>
      <c r="AN657" s="48"/>
      <c r="AO657" s="48"/>
      <c r="AP657" s="255" t="n">
        <v>1146</v>
      </c>
      <c r="AQ657" s="48"/>
      <c r="AR657" s="48"/>
      <c r="AS657" s="48"/>
      <c r="AT657" s="48"/>
      <c r="AU657" s="255" t="n">
        <v>1435.5</v>
      </c>
      <c r="AV657" s="48"/>
      <c r="AW657" s="48"/>
      <c r="AX657" s="48"/>
      <c r="AY657" s="48"/>
      <c r="AZ657" s="255" t="n">
        <v>1875.9</v>
      </c>
      <c r="BA657" s="48"/>
      <c r="BB657" s="48"/>
      <c r="BC657" s="48"/>
      <c r="BD657" s="48"/>
      <c r="BE657" s="255" t="n">
        <v>2177.4</v>
      </c>
      <c r="BF657" s="48"/>
      <c r="BG657" s="48"/>
      <c r="BH657" s="48"/>
      <c r="BI657" s="48" t="n">
        <f aca="false">BJ657</f>
        <v>2686.6</v>
      </c>
      <c r="BJ657" s="255" t="n">
        <v>2686.6</v>
      </c>
      <c r="BK657" s="48"/>
      <c r="BL657" s="48"/>
      <c r="BM657" s="48"/>
      <c r="BN657" s="48"/>
      <c r="BO657" s="264" t="n">
        <f aca="false">SUM(BN329,BM329,BL329,BK329)*BO609</f>
        <v>3103.3935</v>
      </c>
      <c r="BP657" s="48" t="n">
        <f aca="false">SUM(BP329,BN329,BM329,BL329)*BP609</f>
        <v>2982.86437675487</v>
      </c>
      <c r="BQ657" s="48" t="n">
        <f aca="false">SUM(BQ329,BP329,BN329,BM329)*BQ609</f>
        <v>3087.15070065884</v>
      </c>
      <c r="BR657" s="48" t="n">
        <f aca="false">SUM(BR329,BQ329,BP329,BN329)*BR609</f>
        <v>3252.96475793584</v>
      </c>
      <c r="BS657" s="48" t="n">
        <f aca="false">SUM(BS329,BR329,BQ329,BP329)*BS609</f>
        <v>3506.8848414222</v>
      </c>
      <c r="BT657" s="159" t="n">
        <f aca="false">+BS657</f>
        <v>3506.8848414222</v>
      </c>
      <c r="BU657" s="48" t="n">
        <f aca="false">SUM(BU329,BS329,BR329,BQ329)*BU609</f>
        <v>3312.37848858933</v>
      </c>
      <c r="BV657" s="48" t="n">
        <f aca="false">SUM(BV329,BU329,BS329,BR329)*BV609</f>
        <v>3327.8100952784</v>
      </c>
      <c r="BW657" s="48" t="n">
        <f aca="false">SUM(BW329,BV329,BU329,BS329)*BW609</f>
        <v>3379.12622184227</v>
      </c>
      <c r="BX657" s="48" t="n">
        <f aca="false">SUM(BX329,BW329,BV329,BU329)*BX609</f>
        <v>3667.39834027386</v>
      </c>
      <c r="BY657" s="159" t="n">
        <f aca="false">+BX657</f>
        <v>3667.39834027386</v>
      </c>
      <c r="BZ657" s="159" t="n">
        <f aca="false">BZ329*BZ609</f>
        <v>4421.67586794285</v>
      </c>
      <c r="CA657" s="159" t="n">
        <f aca="false">CA329*CA609</f>
        <v>4646.35827860785</v>
      </c>
      <c r="CB657" s="159" t="n">
        <f aca="false">CB329*CB609</f>
        <v>4884.74316726221</v>
      </c>
      <c r="CC657" s="50"/>
    </row>
    <row r="658" s="51" customFormat="true" ht="15" hidden="false" customHeight="true" outlineLevel="0" collapsed="false">
      <c r="A658" s="270" t="s">
        <v>613</v>
      </c>
      <c r="B658" s="254"/>
      <c r="C658" s="255" t="n">
        <v>15.032</v>
      </c>
      <c r="D658" s="255" t="n">
        <v>61.197</v>
      </c>
      <c r="E658" s="255" t="n">
        <v>14.999</v>
      </c>
      <c r="F658" s="255" t="n">
        <v>10.791</v>
      </c>
      <c r="G658" s="255" t="n">
        <v>15.803</v>
      </c>
      <c r="H658" s="48"/>
      <c r="I658" s="48"/>
      <c r="J658" s="48"/>
      <c r="K658" s="48"/>
      <c r="L658" s="255" t="n">
        <v>36.293</v>
      </c>
      <c r="M658" s="48"/>
      <c r="N658" s="48"/>
      <c r="O658" s="48"/>
      <c r="P658" s="48"/>
      <c r="Q658" s="255" t="n">
        <v>3.654</v>
      </c>
      <c r="R658" s="48"/>
      <c r="S658" s="48"/>
      <c r="T658" s="48"/>
      <c r="U658" s="48"/>
      <c r="V658" s="255" t="n">
        <v>201.9</v>
      </c>
      <c r="W658" s="48"/>
      <c r="X658" s="48"/>
      <c r="Y658" s="48"/>
      <c r="Z658" s="48"/>
      <c r="AA658" s="255" t="n">
        <v>152</v>
      </c>
      <c r="AB658" s="48"/>
      <c r="AC658" s="48"/>
      <c r="AD658" s="48"/>
      <c r="AE658" s="48"/>
      <c r="AF658" s="255" t="n">
        <v>187.9</v>
      </c>
      <c r="AG658" s="48"/>
      <c r="AH658" s="48"/>
      <c r="AI658" s="48"/>
      <c r="AJ658" s="48"/>
      <c r="AK658" s="255" t="n">
        <v>65.6</v>
      </c>
      <c r="AL658" s="48"/>
      <c r="AM658" s="48"/>
      <c r="AN658" s="48"/>
      <c r="AO658" s="48"/>
      <c r="AP658" s="255" t="n">
        <v>110</v>
      </c>
      <c r="AQ658" s="48"/>
      <c r="AR658" s="48"/>
      <c r="AS658" s="48"/>
      <c r="AT658" s="48"/>
      <c r="AU658" s="255" t="n">
        <v>301.9</v>
      </c>
      <c r="AV658" s="48"/>
      <c r="AW658" s="48"/>
      <c r="AX658" s="48"/>
      <c r="AY658" s="48"/>
      <c r="AZ658" s="255" t="n">
        <v>315.3</v>
      </c>
      <c r="BA658" s="48"/>
      <c r="BB658" s="48"/>
      <c r="BC658" s="48"/>
      <c r="BD658" s="48"/>
      <c r="BE658" s="255" t="n">
        <v>308.9</v>
      </c>
      <c r="BF658" s="48"/>
      <c r="BG658" s="48"/>
      <c r="BH658" s="48"/>
      <c r="BI658" s="48" t="n">
        <f aca="false">BJ658</f>
        <v>283.3</v>
      </c>
      <c r="BJ658" s="255" t="n">
        <v>283.3</v>
      </c>
      <c r="BK658" s="48"/>
      <c r="BL658" s="48"/>
      <c r="BM658" s="48"/>
      <c r="BN658" s="48"/>
      <c r="BO658" s="264" t="n">
        <f aca="false">SUM(BN329,BM329,BL329,BK329)*BO612</f>
        <v>326.673</v>
      </c>
      <c r="BP658" s="48" t="n">
        <f aca="false">SUM(BP329,BN329,BM329,BL329)*BP612</f>
        <v>502.729951138462</v>
      </c>
      <c r="BQ658" s="48" t="n">
        <f aca="false">SUM(BQ329,BP329,BN329,BM329)*BQ612</f>
        <v>520.306297863849</v>
      </c>
      <c r="BR658" s="48" t="n">
        <f aca="false">SUM(BR329,BQ329,BP329,BN329)*BR612</f>
        <v>548.252487292557</v>
      </c>
      <c r="BS658" s="48" t="n">
        <f aca="false">SUM(BS329,BR329,BQ329,BP329)*BS612</f>
        <v>369.145772781284</v>
      </c>
      <c r="BT658" s="159" t="n">
        <f aca="false">+BS658</f>
        <v>369.145772781284</v>
      </c>
      <c r="BU658" s="48" t="n">
        <f aca="false">SUM(BU329,BS329,BR329,BQ329)*BU612</f>
        <v>558.266037402696</v>
      </c>
      <c r="BV658" s="48" t="n">
        <f aca="false">SUM(BV329,BU329,BS329,BR329)*BV612</f>
        <v>560.866869990741</v>
      </c>
      <c r="BW658" s="48" t="n">
        <f aca="false">SUM(BW329,BV329,BU329,BS329)*BW612</f>
        <v>569.515655366674</v>
      </c>
      <c r="BX658" s="48" t="n">
        <f aca="false">SUM(BX329,BW329,BV329,BU329)*BX612</f>
        <v>386.041930555143</v>
      </c>
      <c r="BY658" s="159" t="n">
        <f aca="false">+BX658</f>
        <v>386.041930555143</v>
      </c>
      <c r="BZ658" s="159" t="n">
        <f aca="false">BZ329*BZ612</f>
        <v>465.439565046616</v>
      </c>
      <c r="CA658" s="159" t="n">
        <f aca="false">CA329*CA612</f>
        <v>489.090345116615</v>
      </c>
      <c r="CB658" s="159" t="n">
        <f aca="false">CB329*CB612</f>
        <v>514.183491290759</v>
      </c>
      <c r="CC658" s="50"/>
    </row>
    <row r="659" s="51" customFormat="true" ht="15" hidden="false" customHeight="true" outlineLevel="0" collapsed="false">
      <c r="A659" s="270" t="s">
        <v>614</v>
      </c>
      <c r="B659" s="254"/>
      <c r="C659" s="159"/>
      <c r="D659" s="255" t="n">
        <v>1.429</v>
      </c>
      <c r="E659" s="255" t="n">
        <v>2.587</v>
      </c>
      <c r="F659" s="255" t="n">
        <v>3.61</v>
      </c>
      <c r="G659" s="255" t="n">
        <v>4.385</v>
      </c>
      <c r="H659" s="48" t="n">
        <f aca="false">G659</f>
        <v>4.385</v>
      </c>
      <c r="I659" s="48" t="n">
        <f aca="false">H659</f>
        <v>4.385</v>
      </c>
      <c r="J659" s="48" t="n">
        <f aca="false">I659</f>
        <v>4.385</v>
      </c>
      <c r="K659" s="48" t="n">
        <f aca="false">L659</f>
        <v>4.261</v>
      </c>
      <c r="L659" s="255" t="n">
        <v>4.261</v>
      </c>
      <c r="M659" s="48" t="n">
        <f aca="false">L659</f>
        <v>4.261</v>
      </c>
      <c r="N659" s="48" t="n">
        <f aca="false">M659</f>
        <v>4.261</v>
      </c>
      <c r="O659" s="48" t="n">
        <f aca="false">N659</f>
        <v>4.261</v>
      </c>
      <c r="P659" s="48" t="n">
        <f aca="false">Q659</f>
        <v>4.211</v>
      </c>
      <c r="Q659" s="255" t="n">
        <v>4.211</v>
      </c>
      <c r="R659" s="48" t="n">
        <f aca="false">Q659</f>
        <v>4.211</v>
      </c>
      <c r="S659" s="48" t="n">
        <f aca="false">R659</f>
        <v>4.211</v>
      </c>
      <c r="T659" s="48" t="n">
        <f aca="false">S659</f>
        <v>4.211</v>
      </c>
      <c r="U659" s="48" t="n">
        <f aca="false">V659</f>
        <v>247.7</v>
      </c>
      <c r="V659" s="255" t="n">
        <v>247.7</v>
      </c>
      <c r="W659" s="48" t="n">
        <f aca="false">V659</f>
        <v>247.7</v>
      </c>
      <c r="X659" s="48" t="n">
        <f aca="false">W659</f>
        <v>247.7</v>
      </c>
      <c r="Y659" s="48" t="n">
        <f aca="false">X659</f>
        <v>247.7</v>
      </c>
      <c r="Z659" s="48" t="n">
        <f aca="false">AA659</f>
        <v>25.2</v>
      </c>
      <c r="AA659" s="255" t="n">
        <v>25.2</v>
      </c>
      <c r="AB659" s="48" t="n">
        <f aca="false">AA659</f>
        <v>25.2</v>
      </c>
      <c r="AC659" s="48" t="n">
        <f aca="false">AB659</f>
        <v>25.2</v>
      </c>
      <c r="AD659" s="48" t="n">
        <f aca="false">AC659</f>
        <v>25.2</v>
      </c>
      <c r="AE659" s="48" t="n">
        <f aca="false">AF659</f>
        <v>0</v>
      </c>
      <c r="AF659" s="159"/>
      <c r="AG659" s="48" t="n">
        <f aca="false">AF659</f>
        <v>0</v>
      </c>
      <c r="AH659" s="48" t="n">
        <f aca="false">AG659</f>
        <v>0</v>
      </c>
      <c r="AI659" s="48" t="n">
        <f aca="false">AH659</f>
        <v>0</v>
      </c>
      <c r="AJ659" s="48" t="n">
        <f aca="false">AK659</f>
        <v>0</v>
      </c>
      <c r="AK659" s="159"/>
      <c r="AL659" s="48" t="n">
        <f aca="false">AK659</f>
        <v>0</v>
      </c>
      <c r="AM659" s="48" t="n">
        <f aca="false">AL659</f>
        <v>0</v>
      </c>
      <c r="AN659" s="48" t="n">
        <f aca="false">AM659</f>
        <v>0</v>
      </c>
      <c r="AO659" s="48" t="n">
        <f aca="false">AP659</f>
        <v>15.4</v>
      </c>
      <c r="AP659" s="255" t="n">
        <v>15.4</v>
      </c>
      <c r="AQ659" s="48" t="n">
        <f aca="false">AP659</f>
        <v>15.4</v>
      </c>
      <c r="AR659" s="48" t="n">
        <f aca="false">AQ659</f>
        <v>15.4</v>
      </c>
      <c r="AS659" s="48" t="n">
        <f aca="false">AR659</f>
        <v>15.4</v>
      </c>
      <c r="AT659" s="48" t="n">
        <f aca="false">AU659</f>
        <v>509.1</v>
      </c>
      <c r="AU659" s="255" t="n">
        <v>509.1</v>
      </c>
      <c r="AV659" s="48" t="n">
        <f aca="false">AU659</f>
        <v>509.1</v>
      </c>
      <c r="AW659" s="48" t="n">
        <f aca="false">AV659</f>
        <v>509.1</v>
      </c>
      <c r="AX659" s="48" t="n">
        <f aca="false">AW659</f>
        <v>509.1</v>
      </c>
      <c r="AY659" s="48" t="n">
        <f aca="false">AZ659</f>
        <v>746.2</v>
      </c>
      <c r="AZ659" s="255" t="n">
        <v>746.2</v>
      </c>
      <c r="BA659" s="48" t="n">
        <f aca="false">AZ659</f>
        <v>746.2</v>
      </c>
      <c r="BB659" s="48" t="n">
        <f aca="false">BA659</f>
        <v>746.2</v>
      </c>
      <c r="BC659" s="48" t="n">
        <f aca="false">BB659</f>
        <v>746.2</v>
      </c>
      <c r="BD659" s="48" t="n">
        <f aca="false">BE659</f>
        <v>0.1</v>
      </c>
      <c r="BE659" s="255" t="n">
        <v>0.1</v>
      </c>
      <c r="BF659" s="48" t="n">
        <f aca="false">BE659</f>
        <v>0.1</v>
      </c>
      <c r="BG659" s="48" t="n">
        <f aca="false">BF659</f>
        <v>0.1</v>
      </c>
      <c r="BH659" s="48" t="n">
        <f aca="false">BG659</f>
        <v>0.1</v>
      </c>
      <c r="BI659" s="48" t="n">
        <f aca="false">BJ659</f>
        <v>1010.3</v>
      </c>
      <c r="BJ659" s="255" t="n">
        <v>1010.3</v>
      </c>
      <c r="BK659" s="48" t="n">
        <f aca="false">BJ659</f>
        <v>1010.3</v>
      </c>
      <c r="BL659" s="48" t="n">
        <f aca="false">BK659</f>
        <v>1010.3</v>
      </c>
      <c r="BM659" s="48" t="n">
        <f aca="false">BL659</f>
        <v>1010.3</v>
      </c>
      <c r="BN659" s="48" t="n">
        <f aca="false">BO659</f>
        <v>2050.136</v>
      </c>
      <c r="BO659" s="264" t="n">
        <f aca="false">BO664-BO660-BO656-BO657-BO658</f>
        <v>2050.136</v>
      </c>
      <c r="BP659" s="48" t="n">
        <f aca="false">BP428</f>
        <v>2050.136</v>
      </c>
      <c r="BQ659" s="48" t="n">
        <f aca="false">BQ428</f>
        <v>2050.136</v>
      </c>
      <c r="BR659" s="48" t="n">
        <f aca="false">BR428</f>
        <v>2050.136</v>
      </c>
      <c r="BS659" s="48" t="n">
        <f aca="false">BS428</f>
        <v>2050.136</v>
      </c>
      <c r="BT659" s="159" t="n">
        <f aca="false">+BS659</f>
        <v>2050.136</v>
      </c>
      <c r="BU659" s="48" t="n">
        <f aca="false">BU428</f>
        <v>2050.136</v>
      </c>
      <c r="BV659" s="48" t="n">
        <f aca="false">BV428</f>
        <v>2050.136</v>
      </c>
      <c r="BW659" s="48" t="n">
        <f aca="false">BW428</f>
        <v>2050.136</v>
      </c>
      <c r="BX659" s="48" t="n">
        <f aca="false">BX428</f>
        <v>2050.136</v>
      </c>
      <c r="BY659" s="159" t="n">
        <f aca="false">+BX659</f>
        <v>2050.136</v>
      </c>
      <c r="BZ659" s="159" t="n">
        <f aca="false">BZ428</f>
        <v>2050.136</v>
      </c>
      <c r="CA659" s="159" t="n">
        <f aca="false">CA428</f>
        <v>2050.136</v>
      </c>
      <c r="CB659" s="159" t="n">
        <f aca="false">CB428</f>
        <v>2050.136</v>
      </c>
      <c r="CC659" s="50"/>
    </row>
    <row r="660" s="51" customFormat="true" ht="15" hidden="false" customHeight="true" outlineLevel="0" collapsed="false">
      <c r="A660" s="270" t="s">
        <v>615</v>
      </c>
      <c r="B660" s="254"/>
      <c r="C660" s="159"/>
      <c r="D660" s="159"/>
      <c r="E660" s="159"/>
      <c r="F660" s="159"/>
      <c r="G660" s="159"/>
      <c r="H660" s="48"/>
      <c r="I660" s="48"/>
      <c r="J660" s="48"/>
      <c r="K660" s="48"/>
      <c r="L660" s="159"/>
      <c r="M660" s="48"/>
      <c r="N660" s="48"/>
      <c r="O660" s="48"/>
      <c r="P660" s="48"/>
      <c r="Q660" s="159"/>
      <c r="R660" s="48"/>
      <c r="S660" s="48"/>
      <c r="T660" s="48"/>
      <c r="U660" s="48"/>
      <c r="V660" s="159"/>
      <c r="W660" s="48"/>
      <c r="X660" s="48"/>
      <c r="Y660" s="48"/>
      <c r="Z660" s="48"/>
      <c r="AA660" s="159"/>
      <c r="AB660" s="48"/>
      <c r="AC660" s="48"/>
      <c r="AD660" s="48"/>
      <c r="AE660" s="48"/>
      <c r="AF660" s="255" t="n">
        <v>1728.6</v>
      </c>
      <c r="AG660" s="48"/>
      <c r="AH660" s="48"/>
      <c r="AI660" s="48"/>
      <c r="AJ660" s="48"/>
      <c r="AK660" s="255" t="n">
        <v>2526.4</v>
      </c>
      <c r="AL660" s="48"/>
      <c r="AM660" s="48"/>
      <c r="AN660" s="48"/>
      <c r="AO660" s="48"/>
      <c r="AP660" s="255" t="n">
        <v>3954.2</v>
      </c>
      <c r="AQ660" s="48"/>
      <c r="AR660" s="48"/>
      <c r="AS660" s="48"/>
      <c r="AT660" s="48"/>
      <c r="AU660" s="255" t="n">
        <v>7935.2</v>
      </c>
      <c r="AV660" s="48"/>
      <c r="AW660" s="48"/>
      <c r="AX660" s="48"/>
      <c r="AY660" s="48"/>
      <c r="AZ660" s="255" t="n">
        <v>12481</v>
      </c>
      <c r="BA660" s="48"/>
      <c r="BB660" s="48"/>
      <c r="BC660" s="48"/>
      <c r="BD660" s="48"/>
      <c r="BE660" s="255" t="n">
        <v>11441</v>
      </c>
      <c r="BF660" s="48" t="n">
        <f aca="false">BF664-BF659</f>
        <v>15048.6</v>
      </c>
      <c r="BG660" s="48" t="n">
        <f aca="false">BG664-BG659</f>
        <v>16132.2</v>
      </c>
      <c r="BH660" s="48" t="n">
        <f aca="false">BH664-BH659</f>
        <v>16025.7</v>
      </c>
      <c r="BI660" s="48" t="n">
        <f aca="false">BJ660</f>
        <v>12570.8</v>
      </c>
      <c r="BJ660" s="255" t="n">
        <v>12570.8</v>
      </c>
      <c r="BK660" s="48" t="n">
        <f aca="false">BK664-BK659</f>
        <v>17113.6</v>
      </c>
      <c r="BL660" s="48" t="n">
        <f aca="false">BL664-BL659</f>
        <v>17605.7</v>
      </c>
      <c r="BM660" s="48" t="n">
        <f aca="false">BM664-BM659</f>
        <v>18214.6</v>
      </c>
      <c r="BN660" s="48" t="n">
        <f aca="false">BO660</f>
        <v>14700.285</v>
      </c>
      <c r="BO660" s="264" t="n">
        <f aca="false">SUM(BN329,BM329,BL329,BK329)*BO611</f>
        <v>14700.285</v>
      </c>
      <c r="BP660" s="48" t="n">
        <f aca="false">SUM(BP329,BN329,BM329,BL329)*BP611</f>
        <v>19740.5294147036</v>
      </c>
      <c r="BQ660" s="48" t="n">
        <f aca="false">SUM(BQ329,BP329,BN329,BM329)*BQ611</f>
        <v>20430.6939627871</v>
      </c>
      <c r="BR660" s="48" t="n">
        <f aca="false">SUM(BR329,BQ329,BP329,BN329)*BR611</f>
        <v>21528.0476676877</v>
      </c>
      <c r="BS660" s="48" t="n">
        <f aca="false">SUM(BS329,BR329,BQ329,BP329)*BS611</f>
        <v>16611.5597751578</v>
      </c>
      <c r="BT660" s="159" t="n">
        <f aca="false">+BS660</f>
        <v>16611.5597751578</v>
      </c>
      <c r="BU660" s="48" t="n">
        <f aca="false">SUM(BU329,BS329,BR329,BQ329)*BU611</f>
        <v>21921.2464020125</v>
      </c>
      <c r="BV660" s="48" t="n">
        <f aca="false">SUM(BV329,BU329,BS329,BR329)*BV611</f>
        <v>22023.3724283031</v>
      </c>
      <c r="BW660" s="48" t="n">
        <f aca="false">SUM(BW329,BV329,BU329,BS329)*BW611</f>
        <v>22362.9814007314</v>
      </c>
      <c r="BX660" s="48" t="n">
        <f aca="false">SUM(BX329,BW329,BV329,BU329)*BX611</f>
        <v>17371.8868749814</v>
      </c>
      <c r="BY660" s="159" t="n">
        <f aca="false">+BX660</f>
        <v>17371.8868749814</v>
      </c>
      <c r="BZ660" s="159" t="n">
        <f aca="false">BZ329*BZ611</f>
        <v>20944.7804270977</v>
      </c>
      <c r="CA660" s="159" t="n">
        <f aca="false">CA329*CA611</f>
        <v>22009.0655302477</v>
      </c>
      <c r="CB660" s="159" t="n">
        <f aca="false">CB329*CB611</f>
        <v>23138.2571080842</v>
      </c>
      <c r="CC660" s="50"/>
    </row>
    <row r="661" s="51" customFormat="true" ht="15" hidden="false" customHeight="true" outlineLevel="0" collapsed="false">
      <c r="A661" s="270" t="s">
        <v>616</v>
      </c>
      <c r="B661" s="254"/>
      <c r="C661" s="255" t="n">
        <v>2.504</v>
      </c>
      <c r="D661" s="255" t="n">
        <v>2.25</v>
      </c>
      <c r="E661" s="255" t="n">
        <v>2.326</v>
      </c>
      <c r="F661" s="255" t="n">
        <v>2.28</v>
      </c>
      <c r="G661" s="255" t="n">
        <v>2.227</v>
      </c>
      <c r="H661" s="48"/>
      <c r="I661" s="48"/>
      <c r="J661" s="48"/>
      <c r="K661" s="48"/>
      <c r="L661" s="255" t="n">
        <v>2.354</v>
      </c>
      <c r="M661" s="48"/>
      <c r="N661" s="48"/>
      <c r="O661" s="48"/>
      <c r="P661" s="48"/>
      <c r="Q661" s="255" t="n">
        <v>2.441</v>
      </c>
      <c r="R661" s="48"/>
      <c r="S661" s="48"/>
      <c r="T661" s="48"/>
      <c r="U661" s="48"/>
      <c r="V661" s="255" t="n">
        <v>1.8</v>
      </c>
      <c r="W661" s="48"/>
      <c r="X661" s="48"/>
      <c r="Y661" s="48"/>
      <c r="Z661" s="48"/>
      <c r="AA661" s="159"/>
      <c r="AB661" s="48"/>
      <c r="AC661" s="48"/>
      <c r="AD661" s="48"/>
      <c r="AE661" s="48"/>
      <c r="AF661" s="159"/>
      <c r="AG661" s="48"/>
      <c r="AH661" s="48"/>
      <c r="AI661" s="48"/>
      <c r="AJ661" s="48"/>
      <c r="AK661" s="159"/>
      <c r="AL661" s="48"/>
      <c r="AM661" s="48"/>
      <c r="AN661" s="48"/>
      <c r="AO661" s="48"/>
      <c r="AP661" s="159"/>
      <c r="AQ661" s="48"/>
      <c r="AR661" s="48"/>
      <c r="AS661" s="48"/>
      <c r="AT661" s="48"/>
      <c r="AU661" s="159"/>
      <c r="AV661" s="48"/>
      <c r="AW661" s="48"/>
      <c r="AX661" s="48"/>
      <c r="AY661" s="48"/>
      <c r="AZ661" s="159"/>
      <c r="BA661" s="48"/>
      <c r="BB661" s="48"/>
      <c r="BC661" s="48"/>
      <c r="BD661" s="48"/>
      <c r="BE661" s="159"/>
      <c r="BF661" s="48"/>
      <c r="BG661" s="48"/>
      <c r="BH661" s="48"/>
      <c r="BI661" s="48"/>
      <c r="BJ661" s="159"/>
      <c r="BK661" s="48"/>
      <c r="BL661" s="48"/>
      <c r="BM661" s="48"/>
      <c r="BN661" s="48"/>
      <c r="BO661" s="160"/>
      <c r="BP661" s="48"/>
      <c r="BQ661" s="48"/>
      <c r="BR661" s="48"/>
      <c r="BS661" s="48"/>
      <c r="BT661" s="159" t="n">
        <f aca="false">+BS661</f>
        <v>0</v>
      </c>
      <c r="BU661" s="48"/>
      <c r="BV661" s="48"/>
      <c r="BW661" s="48"/>
      <c r="BX661" s="48"/>
      <c r="BY661" s="159" t="n">
        <f aca="false">+BX661</f>
        <v>0</v>
      </c>
      <c r="BZ661" s="159"/>
      <c r="CA661" s="159"/>
      <c r="CB661" s="159"/>
      <c r="CC661" s="50"/>
    </row>
    <row r="662" s="51" customFormat="true" ht="15" hidden="false" customHeight="true" outlineLevel="0" collapsed="false">
      <c r="A662" s="270" t="s">
        <v>617</v>
      </c>
      <c r="B662" s="254"/>
      <c r="C662" s="255" t="n">
        <v>3.047</v>
      </c>
      <c r="D662" s="255" t="n">
        <v>18.223</v>
      </c>
      <c r="E662" s="255" t="n">
        <v>0.214</v>
      </c>
      <c r="F662" s="255" t="n">
        <v>0.271</v>
      </c>
      <c r="G662" s="255" t="n">
        <v>3.494</v>
      </c>
      <c r="H662" s="48"/>
      <c r="I662" s="48"/>
      <c r="J662" s="48"/>
      <c r="K662" s="48"/>
      <c r="L662" s="255" t="n">
        <v>1.928</v>
      </c>
      <c r="M662" s="48"/>
      <c r="N662" s="48"/>
      <c r="O662" s="48"/>
      <c r="P662" s="48"/>
      <c r="Q662" s="255" t="n">
        <v>2.379</v>
      </c>
      <c r="R662" s="48"/>
      <c r="S662" s="48"/>
      <c r="T662" s="48"/>
      <c r="U662" s="48"/>
      <c r="V662" s="159"/>
      <c r="W662" s="48"/>
      <c r="X662" s="48"/>
      <c r="Y662" s="48"/>
      <c r="Z662" s="48"/>
      <c r="AA662" s="159"/>
      <c r="AB662" s="48"/>
      <c r="AC662" s="48"/>
      <c r="AD662" s="48"/>
      <c r="AE662" s="48"/>
      <c r="AF662" s="159"/>
      <c r="AG662" s="48"/>
      <c r="AH662" s="48"/>
      <c r="AI662" s="48"/>
      <c r="AJ662" s="48"/>
      <c r="AK662" s="159"/>
      <c r="AL662" s="48"/>
      <c r="AM662" s="48"/>
      <c r="AN662" s="48"/>
      <c r="AO662" s="48"/>
      <c r="AP662" s="159"/>
      <c r="AQ662" s="48"/>
      <c r="AR662" s="48"/>
      <c r="AS662" s="48"/>
      <c r="AT662" s="48"/>
      <c r="AU662" s="159"/>
      <c r="AV662" s="48"/>
      <c r="AW662" s="48"/>
      <c r="AX662" s="48"/>
      <c r="AY662" s="48"/>
      <c r="AZ662" s="159"/>
      <c r="BA662" s="48"/>
      <c r="BB662" s="48"/>
      <c r="BC662" s="48"/>
      <c r="BD662" s="48"/>
      <c r="BE662" s="159"/>
      <c r="BF662" s="48"/>
      <c r="BG662" s="48"/>
      <c r="BH662" s="48"/>
      <c r="BI662" s="48"/>
      <c r="BJ662" s="159"/>
      <c r="BK662" s="48"/>
      <c r="BL662" s="48"/>
      <c r="BM662" s="48"/>
      <c r="BN662" s="48"/>
      <c r="BO662" s="160"/>
      <c r="BP662" s="48"/>
      <c r="BQ662" s="48"/>
      <c r="BR662" s="48"/>
      <c r="BS662" s="48"/>
      <c r="BT662" s="159" t="n">
        <f aca="false">+BS662</f>
        <v>0</v>
      </c>
      <c r="BU662" s="48"/>
      <c r="BV662" s="48"/>
      <c r="BW662" s="48"/>
      <c r="BX662" s="48"/>
      <c r="BY662" s="159" t="n">
        <f aca="false">+BX662</f>
        <v>0</v>
      </c>
      <c r="BZ662" s="159"/>
      <c r="CA662" s="159"/>
      <c r="CB662" s="159"/>
      <c r="CC662" s="50"/>
    </row>
    <row r="663" s="51" customFormat="true" ht="15" hidden="false" customHeight="true" outlineLevel="0" collapsed="false">
      <c r="A663" s="270" t="s">
        <v>618</v>
      </c>
      <c r="B663" s="254"/>
      <c r="C663" s="159"/>
      <c r="D663" s="159"/>
      <c r="E663" s="159"/>
      <c r="F663" s="159"/>
      <c r="G663" s="159"/>
      <c r="H663" s="48"/>
      <c r="I663" s="48"/>
      <c r="J663" s="48"/>
      <c r="K663" s="48"/>
      <c r="L663" s="159"/>
      <c r="M663" s="48"/>
      <c r="N663" s="48"/>
      <c r="O663" s="48"/>
      <c r="P663" s="48"/>
      <c r="Q663" s="159"/>
      <c r="R663" s="48"/>
      <c r="S663" s="48"/>
      <c r="T663" s="48"/>
      <c r="U663" s="48"/>
      <c r="V663" s="159"/>
      <c r="W663" s="48"/>
      <c r="X663" s="48"/>
      <c r="Y663" s="48"/>
      <c r="Z663" s="48"/>
      <c r="AA663" s="159"/>
      <c r="AB663" s="48"/>
      <c r="AC663" s="48"/>
      <c r="AD663" s="48"/>
      <c r="AE663" s="48"/>
      <c r="AF663" s="159"/>
      <c r="AG663" s="48"/>
      <c r="AH663" s="48"/>
      <c r="AI663" s="48"/>
      <c r="AJ663" s="48"/>
      <c r="AK663" s="159"/>
      <c r="AL663" s="48"/>
      <c r="AM663" s="48"/>
      <c r="AN663" s="48"/>
      <c r="AO663" s="48"/>
      <c r="AP663" s="159"/>
      <c r="AQ663" s="48"/>
      <c r="AR663" s="48"/>
      <c r="AS663" s="48"/>
      <c r="AT663" s="48"/>
      <c r="AU663" s="159"/>
      <c r="AV663" s="48"/>
      <c r="AW663" s="48"/>
      <c r="AX663" s="48"/>
      <c r="AY663" s="48"/>
      <c r="AZ663" s="159"/>
      <c r="BA663" s="48"/>
      <c r="BB663" s="48"/>
      <c r="BC663" s="48"/>
      <c r="BD663" s="48" t="n">
        <f aca="false">BE663</f>
        <v>0</v>
      </c>
      <c r="BE663" s="159"/>
      <c r="BF663" s="48"/>
      <c r="BG663" s="48"/>
      <c r="BH663" s="48"/>
      <c r="BI663" s="48" t="n">
        <f aca="false">BJ663</f>
        <v>0</v>
      </c>
      <c r="BJ663" s="159"/>
      <c r="BK663" s="48"/>
      <c r="BL663" s="48"/>
      <c r="BM663" s="48"/>
      <c r="BN663" s="48" t="n">
        <f aca="false">BO663</f>
        <v>0</v>
      </c>
      <c r="BO663" s="160"/>
      <c r="BP663" s="48"/>
      <c r="BQ663" s="48"/>
      <c r="BR663" s="48"/>
      <c r="BS663" s="48"/>
      <c r="BT663" s="159" t="n">
        <f aca="false">+BS663</f>
        <v>0</v>
      </c>
      <c r="BU663" s="48"/>
      <c r="BV663" s="48"/>
      <c r="BW663" s="48"/>
      <c r="BX663" s="48"/>
      <c r="BY663" s="159" t="n">
        <f aca="false">+BX663</f>
        <v>0</v>
      </c>
      <c r="BZ663" s="159"/>
      <c r="CA663" s="159"/>
      <c r="CB663" s="159"/>
      <c r="CC663" s="50"/>
    </row>
    <row r="664" s="157" customFormat="true" ht="15" hidden="false" customHeight="true" outlineLevel="0" collapsed="false">
      <c r="A664" s="244" t="s">
        <v>619</v>
      </c>
      <c r="B664" s="393"/>
      <c r="C664" s="357" t="n">
        <f aca="false">SUM(C656:C663)</f>
        <v>1044.17</v>
      </c>
      <c r="D664" s="357" t="n">
        <f aca="false">SUM(D656:D663)</f>
        <v>2157.245</v>
      </c>
      <c r="E664" s="357" t="n">
        <f aca="false">SUM(E656:E663)</f>
        <v>2233.042</v>
      </c>
      <c r="F664" s="357" t="n">
        <f aca="false">SUM(F656:F663)</f>
        <v>2086.283</v>
      </c>
      <c r="G664" s="357" t="n">
        <f aca="false">SUM(G656:G663)</f>
        <v>2868.661</v>
      </c>
      <c r="H664" s="396" t="n">
        <v>2957.5</v>
      </c>
      <c r="I664" s="396" t="n">
        <v>3065.2</v>
      </c>
      <c r="J664" s="396" t="n">
        <v>2926</v>
      </c>
      <c r="K664" s="394" t="n">
        <f aca="false">L664</f>
        <v>2888.871</v>
      </c>
      <c r="L664" s="357" t="n">
        <f aca="false">SUM(L656:L663)</f>
        <v>2888.871</v>
      </c>
      <c r="M664" s="396" t="n">
        <v>3194.3</v>
      </c>
      <c r="N664" s="396" t="n">
        <v>2853.9</v>
      </c>
      <c r="O664" s="396" t="n">
        <v>2711.3</v>
      </c>
      <c r="P664" s="394" t="n">
        <f aca="false">Q664</f>
        <v>3107.172</v>
      </c>
      <c r="Q664" s="357" t="n">
        <f aca="false">SUM(Q656:Q663)</f>
        <v>3107.172</v>
      </c>
      <c r="R664" s="396" t="n">
        <v>3246.8</v>
      </c>
      <c r="S664" s="396" t="n">
        <v>3720.1</v>
      </c>
      <c r="T664" s="396" t="n">
        <v>3272.2</v>
      </c>
      <c r="U664" s="394" t="n">
        <f aca="false">V664</f>
        <v>3280.6</v>
      </c>
      <c r="V664" s="357" t="n">
        <f aca="false">SUM(V656:V663)</f>
        <v>3280.6</v>
      </c>
      <c r="W664" s="396" t="n">
        <v>2875.4</v>
      </c>
      <c r="X664" s="396" t="n">
        <v>3125</v>
      </c>
      <c r="Y664" s="396" t="n">
        <v>2974.2</v>
      </c>
      <c r="Z664" s="394" t="n">
        <f aca="false">AA664</f>
        <v>3341.9</v>
      </c>
      <c r="AA664" s="357" t="n">
        <f aca="false">SUM(AA656:AA663)</f>
        <v>3341.9</v>
      </c>
      <c r="AB664" s="396" t="n">
        <v>3132.2</v>
      </c>
      <c r="AC664" s="396" t="n">
        <v>3380.8</v>
      </c>
      <c r="AD664" s="396" t="n">
        <v>3546.1</v>
      </c>
      <c r="AE664" s="394" t="n">
        <f aca="false">AF664</f>
        <v>3791.9</v>
      </c>
      <c r="AF664" s="357" t="n">
        <f aca="false">SUM(AF656:AF663)</f>
        <v>3791.9</v>
      </c>
      <c r="AG664" s="396" t="n">
        <v>3721.2</v>
      </c>
      <c r="AH664" s="396" t="n">
        <v>3692.5</v>
      </c>
      <c r="AI664" s="396" t="n">
        <v>3712.5</v>
      </c>
      <c r="AJ664" s="394" t="n">
        <f aca="false">AK664</f>
        <v>4694.1</v>
      </c>
      <c r="AK664" s="357" t="n">
        <f aca="false">SUM(AK656:AK663)</f>
        <v>4694.1</v>
      </c>
      <c r="AL664" s="396" t="n">
        <v>4677.4</v>
      </c>
      <c r="AM664" s="396" t="n">
        <v>4631.3</v>
      </c>
      <c r="AN664" s="396" t="n">
        <v>4990.9</v>
      </c>
      <c r="AO664" s="394" t="n">
        <f aca="false">AP664</f>
        <v>6603.5</v>
      </c>
      <c r="AP664" s="357" t="n">
        <f aca="false">SUM(AP656:AP663)</f>
        <v>6603.5</v>
      </c>
      <c r="AQ664" s="396" t="n">
        <v>6876.3</v>
      </c>
      <c r="AR664" s="396" t="n">
        <f aca="false">8707.5+46.6</f>
        <v>8754.1</v>
      </c>
      <c r="AS664" s="396" t="n">
        <v>9162.6</v>
      </c>
      <c r="AT664" s="394" t="n">
        <f aca="false">AU664</f>
        <v>12298</v>
      </c>
      <c r="AU664" s="357" t="n">
        <f aca="false">SUM(AU656:AU663)</f>
        <v>12298</v>
      </c>
      <c r="AV664" s="396" t="n">
        <v>13612.8</v>
      </c>
      <c r="AW664" s="396" t="n">
        <v>14637</v>
      </c>
      <c r="AX664" s="396" t="n">
        <v>15668.6</v>
      </c>
      <c r="AY664" s="394" t="n">
        <f aca="false">AZ664</f>
        <v>17983.6</v>
      </c>
      <c r="AZ664" s="357" t="n">
        <f aca="false">SUM(AZ656:AZ663)</f>
        <v>17983.6</v>
      </c>
      <c r="BA664" s="396" t="n">
        <v>16948.1</v>
      </c>
      <c r="BB664" s="396" t="n">
        <v>16754.3</v>
      </c>
      <c r="BC664" s="396" t="n">
        <v>16309.5</v>
      </c>
      <c r="BD664" s="394" t="n">
        <f aca="false">BE664</f>
        <v>16274.7</v>
      </c>
      <c r="BE664" s="162" t="n">
        <f aca="false">SUM(BE656:BE663)</f>
        <v>16274.7</v>
      </c>
      <c r="BF664" s="396" t="n">
        <v>15048.7</v>
      </c>
      <c r="BG664" s="396" t="n">
        <v>16132.3</v>
      </c>
      <c r="BH664" s="396" t="n">
        <v>16025.8</v>
      </c>
      <c r="BI664" s="394" t="n">
        <f aca="false">BJ664</f>
        <v>20051.4</v>
      </c>
      <c r="BJ664" s="357" t="n">
        <f aca="false">SUM(BJ656:BJ663)</f>
        <v>20051.4</v>
      </c>
      <c r="BK664" s="396" t="n">
        <v>18123.9</v>
      </c>
      <c r="BL664" s="396" t="n">
        <v>18616</v>
      </c>
      <c r="BM664" s="396" t="n">
        <v>19224.9</v>
      </c>
      <c r="BN664" s="394" t="n">
        <f aca="false">BO664</f>
        <v>24263.9</v>
      </c>
      <c r="BO664" s="398" t="n">
        <v>24263.9</v>
      </c>
      <c r="BP664" s="163" t="n">
        <f aca="false">SUM(BP656:BP663)</f>
        <v>29331.6146817805</v>
      </c>
      <c r="BQ664" s="163" t="n">
        <f aca="false">SUM(BQ656:BQ663)</f>
        <v>30285.4244307449</v>
      </c>
      <c r="BR664" s="163" t="n">
        <f aca="false">SUM(BR656:BR663)</f>
        <v>31801.9709770761</v>
      </c>
      <c r="BS664" s="163" t="n">
        <f aca="false">SUM(BS656:BS663)</f>
        <v>27152.0485491273</v>
      </c>
      <c r="BT664" s="162" t="n">
        <f aca="false">SUM(BT656:BT663)</f>
        <v>27152.0485491273</v>
      </c>
      <c r="BU664" s="163" t="n">
        <f aca="false">SUM(BU656:BU663)</f>
        <v>32345.3729630529</v>
      </c>
      <c r="BV664" s="163" t="n">
        <f aca="false">SUM(BV656:BV663)</f>
        <v>32486.5114781642</v>
      </c>
      <c r="BW664" s="163" t="n">
        <f aca="false">SUM(BW656:BW663)</f>
        <v>32955.8522312315</v>
      </c>
      <c r="BX664" s="163" t="n">
        <f aca="false">SUM(BX656:BX663)</f>
        <v>28300.9872777497</v>
      </c>
      <c r="BY664" s="162" t="n">
        <f aca="false">SUM(BY656:BY663)</f>
        <v>28300.9872777497</v>
      </c>
      <c r="BZ664" s="162" t="n">
        <f aca="false">SUM(BZ656:BZ663)</f>
        <v>33700.0264231699</v>
      </c>
      <c r="CA664" s="162" t="n">
        <f aca="false">SUM(CA656:CA663)</f>
        <v>35308.2794679298</v>
      </c>
      <c r="CB664" s="162" t="n">
        <f aca="false">SUM(CB656:CB663)</f>
        <v>37014.6134077716</v>
      </c>
      <c r="CC664" s="156"/>
    </row>
    <row r="665" s="157" customFormat="true" ht="15" hidden="false" customHeight="true" outlineLevel="0" collapsed="false">
      <c r="A665" s="252"/>
      <c r="B665" s="266"/>
      <c r="C665" s="267"/>
      <c r="D665" s="267"/>
      <c r="E665" s="267"/>
      <c r="F665" s="267"/>
      <c r="G665" s="267"/>
      <c r="H665" s="268"/>
      <c r="I665" s="268"/>
      <c r="J665" s="268"/>
      <c r="K665" s="268"/>
      <c r="L665" s="267"/>
      <c r="M665" s="268"/>
      <c r="N665" s="268"/>
      <c r="O665" s="268"/>
      <c r="P665" s="268"/>
      <c r="Q665" s="267"/>
      <c r="R665" s="268"/>
      <c r="S665" s="268"/>
      <c r="T665" s="268"/>
      <c r="U665" s="268"/>
      <c r="V665" s="267"/>
      <c r="W665" s="268"/>
      <c r="X665" s="268"/>
      <c r="Y665" s="268"/>
      <c r="Z665" s="268"/>
      <c r="AA665" s="267"/>
      <c r="AB665" s="268"/>
      <c r="AC665" s="268"/>
      <c r="AD665" s="268"/>
      <c r="AE665" s="268"/>
      <c r="AF665" s="267"/>
      <c r="AG665" s="268"/>
      <c r="AH665" s="268"/>
      <c r="AI665" s="268"/>
      <c r="AJ665" s="268"/>
      <c r="AK665" s="267"/>
      <c r="AL665" s="268"/>
      <c r="AM665" s="268"/>
      <c r="AN665" s="268"/>
      <c r="AO665" s="268"/>
      <c r="AP665" s="267"/>
      <c r="AQ665" s="268"/>
      <c r="AR665" s="268"/>
      <c r="AS665" s="268"/>
      <c r="AT665" s="268"/>
      <c r="AU665" s="267"/>
      <c r="AV665" s="268"/>
      <c r="AW665" s="268"/>
      <c r="AX665" s="268"/>
      <c r="AY665" s="268"/>
      <c r="AZ665" s="267"/>
      <c r="BA665" s="268"/>
      <c r="BB665" s="268"/>
      <c r="BC665" s="268"/>
      <c r="BD665" s="268"/>
      <c r="BE665" s="267"/>
      <c r="BF665" s="268"/>
      <c r="BG665" s="268"/>
      <c r="BH665" s="268"/>
      <c r="BI665" s="268"/>
      <c r="BJ665" s="267"/>
      <c r="BK665" s="268"/>
      <c r="BL665" s="268"/>
      <c r="BM665" s="268"/>
      <c r="BN665" s="268"/>
      <c r="BO665" s="269"/>
      <c r="BP665" s="268"/>
      <c r="BQ665" s="268"/>
      <c r="BR665" s="268"/>
      <c r="BS665" s="268"/>
      <c r="BT665" s="267"/>
      <c r="BU665" s="268"/>
      <c r="BV665" s="268"/>
      <c r="BW665" s="268"/>
      <c r="BX665" s="268"/>
      <c r="BY665" s="267"/>
      <c r="BZ665" s="267"/>
      <c r="CA665" s="267"/>
      <c r="CB665" s="267"/>
      <c r="CC665" s="156"/>
    </row>
    <row r="666" s="157" customFormat="true" ht="15" hidden="false" customHeight="true" outlineLevel="0" collapsed="false">
      <c r="A666" s="582" t="s">
        <v>620</v>
      </c>
      <c r="B666" s="266"/>
      <c r="C666" s="267"/>
      <c r="D666" s="267"/>
      <c r="E666" s="267"/>
      <c r="F666" s="267"/>
      <c r="G666" s="267"/>
      <c r="H666" s="268"/>
      <c r="I666" s="268"/>
      <c r="J666" s="268"/>
      <c r="K666" s="268"/>
      <c r="L666" s="267"/>
      <c r="M666" s="268"/>
      <c r="N666" s="268"/>
      <c r="O666" s="268"/>
      <c r="P666" s="268"/>
      <c r="Q666" s="267"/>
      <c r="R666" s="268"/>
      <c r="S666" s="268"/>
      <c r="T666" s="268"/>
      <c r="U666" s="268"/>
      <c r="V666" s="267"/>
      <c r="W666" s="268"/>
      <c r="X666" s="268"/>
      <c r="Y666" s="268"/>
      <c r="Z666" s="268"/>
      <c r="AA666" s="267"/>
      <c r="AB666" s="268"/>
      <c r="AC666" s="268"/>
      <c r="AD666" s="268"/>
      <c r="AE666" s="268"/>
      <c r="AF666" s="267"/>
      <c r="AG666" s="268"/>
      <c r="AH666" s="268"/>
      <c r="AI666" s="268"/>
      <c r="AJ666" s="268"/>
      <c r="AK666" s="267"/>
      <c r="AL666" s="268"/>
      <c r="AM666" s="268"/>
      <c r="AN666" s="268"/>
      <c r="AO666" s="268"/>
      <c r="AP666" s="267"/>
      <c r="AQ666" s="268"/>
      <c r="AR666" s="268"/>
      <c r="AS666" s="268"/>
      <c r="AT666" s="268"/>
      <c r="AU666" s="267"/>
      <c r="AV666" s="268"/>
      <c r="AW666" s="268"/>
      <c r="AX666" s="268"/>
      <c r="AY666" s="268"/>
      <c r="AZ666" s="267"/>
      <c r="BA666" s="268"/>
      <c r="BB666" s="268"/>
      <c r="BC666" s="268"/>
      <c r="BD666" s="268"/>
      <c r="BE666" s="267"/>
      <c r="BF666" s="268"/>
      <c r="BG666" s="268"/>
      <c r="BH666" s="268"/>
      <c r="BI666" s="268"/>
      <c r="BJ666" s="267"/>
      <c r="BK666" s="268"/>
      <c r="BL666" s="268"/>
      <c r="BM666" s="268"/>
      <c r="BN666" s="268"/>
      <c r="BO666" s="269"/>
      <c r="BP666" s="268"/>
      <c r="BQ666" s="268"/>
      <c r="BR666" s="268"/>
      <c r="BS666" s="268"/>
      <c r="BT666" s="267"/>
      <c r="BU666" s="268"/>
      <c r="BV666" s="268"/>
      <c r="BW666" s="268"/>
      <c r="BX666" s="268"/>
      <c r="BY666" s="267"/>
      <c r="BZ666" s="267"/>
      <c r="CA666" s="267"/>
      <c r="CB666" s="267"/>
      <c r="CC666" s="156"/>
    </row>
    <row r="667" s="51" customFormat="true" ht="15" hidden="false" customHeight="true" outlineLevel="0" collapsed="false">
      <c r="A667" s="270" t="s">
        <v>621</v>
      </c>
      <c r="B667" s="254"/>
      <c r="C667" s="255" t="n">
        <v>699.756</v>
      </c>
      <c r="D667" s="255" t="n">
        <v>708.631</v>
      </c>
      <c r="E667" s="255" t="n">
        <v>733.781</v>
      </c>
      <c r="F667" s="255" t="n">
        <v>755.88</v>
      </c>
      <c r="G667" s="255" t="n">
        <v>1070.185</v>
      </c>
      <c r="H667" s="263" t="n">
        <v>1097.3</v>
      </c>
      <c r="I667" s="263" t="n">
        <v>1118.4</v>
      </c>
      <c r="J667" s="263" t="n">
        <v>1137.4</v>
      </c>
      <c r="K667" s="50" t="n">
        <f aca="false">L667</f>
        <v>1149.876</v>
      </c>
      <c r="L667" s="255" t="n">
        <v>1149.876</v>
      </c>
      <c r="M667" s="263" t="n">
        <v>1155.5</v>
      </c>
      <c r="N667" s="263" t="n">
        <v>1115.8</v>
      </c>
      <c r="O667" s="263" t="n">
        <v>1125.3</v>
      </c>
      <c r="P667" s="50" t="n">
        <f aca="false">Q667</f>
        <v>1125.474</v>
      </c>
      <c r="Q667" s="255" t="n">
        <v>1125.474</v>
      </c>
      <c r="R667" s="263" t="n">
        <v>1144.3</v>
      </c>
      <c r="S667" s="263" t="n">
        <v>901.9</v>
      </c>
      <c r="T667" s="263" t="n">
        <v>2390.6</v>
      </c>
      <c r="U667" s="50" t="n">
        <f aca="false">V667</f>
        <v>3071.8</v>
      </c>
      <c r="V667" s="255" t="n">
        <v>3071.8</v>
      </c>
      <c r="W667" s="263" t="n">
        <v>3040.3</v>
      </c>
      <c r="X667" s="263" t="n">
        <v>2995.5</v>
      </c>
      <c r="Y667" s="263" t="n">
        <v>2996.7</v>
      </c>
      <c r="Z667" s="50" t="n">
        <f aca="false">AA667</f>
        <v>3000.1</v>
      </c>
      <c r="AA667" s="255" t="n">
        <v>3000.1</v>
      </c>
      <c r="AB667" s="263" t="n">
        <v>2978.6</v>
      </c>
      <c r="AC667" s="263" t="n">
        <v>3007.7</v>
      </c>
      <c r="AD667" s="263" t="n">
        <v>2985.9</v>
      </c>
      <c r="AE667" s="50" t="n">
        <f aca="false">AF667</f>
        <v>3026.5</v>
      </c>
      <c r="AF667" s="255" t="n">
        <v>3026.5</v>
      </c>
      <c r="AG667" s="263" t="n">
        <v>3082.5</v>
      </c>
      <c r="AH667" s="263" t="n">
        <v>3132.4</v>
      </c>
      <c r="AI667" s="263" t="n">
        <v>3170</v>
      </c>
      <c r="AJ667" s="50" t="n">
        <f aca="false">AK667</f>
        <v>3108.3</v>
      </c>
      <c r="AK667" s="255" t="n">
        <v>3108.3</v>
      </c>
      <c r="AL667" s="263" t="n">
        <v>3868.2</v>
      </c>
      <c r="AM667" s="263" t="n">
        <v>4625</v>
      </c>
      <c r="AN667" s="263" t="n">
        <v>4626.7</v>
      </c>
      <c r="AO667" s="50" t="n">
        <f aca="false">AP667</f>
        <v>4662.8</v>
      </c>
      <c r="AP667" s="255" t="n">
        <v>4662.8</v>
      </c>
      <c r="AQ667" s="263" t="n">
        <v>4634.2</v>
      </c>
      <c r="AR667" s="263" t="n">
        <v>4619.9</v>
      </c>
      <c r="AS667" s="263" t="n">
        <v>4105.8</v>
      </c>
      <c r="AT667" s="50" t="n">
        <f aca="false">AU667</f>
        <v>4075</v>
      </c>
      <c r="AU667" s="255" t="n">
        <v>4075</v>
      </c>
      <c r="AV667" s="263" t="n">
        <v>3951.7</v>
      </c>
      <c r="AW667" s="263" t="n">
        <v>4385.3</v>
      </c>
      <c r="AX667" s="263" t="n">
        <v>3503.1</v>
      </c>
      <c r="AY667" s="50" t="n">
        <f aca="false">AZ667</f>
        <v>3514.2</v>
      </c>
      <c r="AZ667" s="255" t="n">
        <v>3514.2</v>
      </c>
      <c r="BA667" s="263" t="n">
        <v>3536</v>
      </c>
      <c r="BB667" s="263" t="n">
        <v>4517.8</v>
      </c>
      <c r="BC667" s="263" t="n">
        <v>4522.3</v>
      </c>
      <c r="BD667" s="50" t="n">
        <f aca="false">BE667</f>
        <v>4631.5</v>
      </c>
      <c r="BE667" s="255" t="n">
        <v>4631.5</v>
      </c>
      <c r="BF667" s="263" t="n">
        <v>4612</v>
      </c>
      <c r="BG667" s="263" t="n">
        <v>4608.2</v>
      </c>
      <c r="BH667" s="263" t="n">
        <v>4692.2</v>
      </c>
      <c r="BI667" s="50" t="n">
        <f aca="false">BJ667</f>
        <v>3677.3</v>
      </c>
      <c r="BJ667" s="255" t="n">
        <v>3677.3</v>
      </c>
      <c r="BK667" s="263" t="n">
        <v>3681</v>
      </c>
      <c r="BL667" s="263" t="n">
        <v>3698.9</v>
      </c>
      <c r="BM667" s="263" t="n">
        <v>2704.7</v>
      </c>
      <c r="BN667" s="50" t="n">
        <f aca="false">BO667</f>
        <v>2709</v>
      </c>
      <c r="BO667" s="390" t="n">
        <v>2709</v>
      </c>
      <c r="BP667" s="48" t="n">
        <f aca="false">BP429</f>
        <v>2709</v>
      </c>
      <c r="BQ667" s="48" t="n">
        <f aca="false">BQ429</f>
        <v>2709</v>
      </c>
      <c r="BR667" s="48" t="n">
        <f aca="false">BR429</f>
        <v>2709</v>
      </c>
      <c r="BS667" s="48" t="n">
        <f aca="false">BS429</f>
        <v>2709</v>
      </c>
      <c r="BT667" s="159" t="n">
        <f aca="false">BS667</f>
        <v>2709</v>
      </c>
      <c r="BU667" s="48" t="n">
        <f aca="false">BU429</f>
        <v>2709</v>
      </c>
      <c r="BV667" s="48" t="n">
        <f aca="false">BV429</f>
        <v>2709</v>
      </c>
      <c r="BW667" s="48" t="n">
        <f aca="false">BW429</f>
        <v>2709</v>
      </c>
      <c r="BX667" s="48" t="n">
        <f aca="false">BX429</f>
        <v>2709</v>
      </c>
      <c r="BY667" s="159" t="n">
        <f aca="false">BX667</f>
        <v>2709</v>
      </c>
      <c r="BZ667" s="159" t="n">
        <f aca="false">BZ429</f>
        <v>2709</v>
      </c>
      <c r="CA667" s="159" t="n">
        <f aca="false">CA429</f>
        <v>2709</v>
      </c>
      <c r="CB667" s="159" t="n">
        <f aca="false">CB429</f>
        <v>2709</v>
      </c>
      <c r="CC667" s="50"/>
    </row>
    <row r="668" s="51" customFormat="true" ht="15" hidden="false" customHeight="true" outlineLevel="0" collapsed="false">
      <c r="A668" s="270" t="s">
        <v>622</v>
      </c>
      <c r="B668" s="254"/>
      <c r="C668" s="255" t="n">
        <v>188.404</v>
      </c>
      <c r="D668" s="255" t="n">
        <v>155.693</v>
      </c>
      <c r="E668" s="255" t="n">
        <v>176.727</v>
      </c>
      <c r="F668" s="255" t="n">
        <v>88.307</v>
      </c>
      <c r="G668" s="255" t="n">
        <v>364.695</v>
      </c>
      <c r="H668" s="263" t="n">
        <v>318.8</v>
      </c>
      <c r="I668" s="263" t="n">
        <v>318</v>
      </c>
      <c r="J668" s="263" t="n">
        <v>304.7</v>
      </c>
      <c r="K668" s="50" t="n">
        <f aca="false">L668</f>
        <v>237.315</v>
      </c>
      <c r="L668" s="255" t="n">
        <v>237.315</v>
      </c>
      <c r="M668" s="263" t="n">
        <v>269.3</v>
      </c>
      <c r="N668" s="263" t="n">
        <v>269.5</v>
      </c>
      <c r="O668" s="263" t="n">
        <v>259.2</v>
      </c>
      <c r="P668" s="50" t="n">
        <f aca="false">Q668</f>
        <v>256.74</v>
      </c>
      <c r="Q668" s="255" t="n">
        <v>256.74</v>
      </c>
      <c r="R668" s="263" t="n">
        <v>138</v>
      </c>
      <c r="S668" s="263" t="n">
        <v>196.4</v>
      </c>
      <c r="T668" s="263" t="n">
        <v>222.1</v>
      </c>
      <c r="U668" s="50" t="n">
        <f aca="false">V668</f>
        <v>396.9</v>
      </c>
      <c r="V668" s="255" t="n">
        <v>396.9</v>
      </c>
      <c r="W668" s="263" t="n">
        <v>410.1</v>
      </c>
      <c r="X668" s="263" t="n">
        <v>337.9</v>
      </c>
      <c r="Y668" s="263" t="n">
        <v>320</v>
      </c>
      <c r="Z668" s="50" t="n">
        <f aca="false">AA668</f>
        <v>327.9</v>
      </c>
      <c r="AA668" s="255" t="n">
        <v>327.9</v>
      </c>
      <c r="AB668" s="263" t="n">
        <v>354.7</v>
      </c>
      <c r="AC668" s="263" t="n">
        <v>390.9</v>
      </c>
      <c r="AD668" s="263" t="n">
        <v>363.1</v>
      </c>
      <c r="AE668" s="50" t="n">
        <f aca="false">AF668</f>
        <v>251.2</v>
      </c>
      <c r="AF668" s="255" t="n">
        <v>251.2</v>
      </c>
      <c r="AG668" s="263" t="n">
        <v>218.6</v>
      </c>
      <c r="AH668" s="263" t="n">
        <v>199.6</v>
      </c>
      <c r="AI668" s="263" t="n">
        <v>203.6</v>
      </c>
      <c r="AJ668" s="50" t="n">
        <f aca="false">AK668</f>
        <v>234.4</v>
      </c>
      <c r="AK668" s="255" t="n">
        <v>234.4</v>
      </c>
      <c r="AL668" s="263" t="n">
        <v>262.7</v>
      </c>
      <c r="AM668" s="263" t="n">
        <v>191.3</v>
      </c>
      <c r="AN668" s="263" t="n">
        <v>209.1</v>
      </c>
      <c r="AO668" s="50" t="n">
        <f aca="false">AP668</f>
        <v>238.3</v>
      </c>
      <c r="AP668" s="255" t="n">
        <v>238.3</v>
      </c>
      <c r="AQ668" s="263" t="n">
        <v>245.2</v>
      </c>
      <c r="AR668" s="263" t="n">
        <v>247.7</v>
      </c>
      <c r="AS668" s="263" t="n">
        <v>282.6</v>
      </c>
      <c r="AT668" s="50" t="n">
        <f aca="false">AU668</f>
        <v>240.6</v>
      </c>
      <c r="AU668" s="255" t="n">
        <v>240.6</v>
      </c>
      <c r="AV668" s="263" t="n">
        <v>262.2</v>
      </c>
      <c r="AW668" s="263" t="n">
        <v>252.4</v>
      </c>
      <c r="AX668" s="263" t="n">
        <v>283</v>
      </c>
      <c r="AY668" s="50" t="n">
        <f aca="false">AZ668</f>
        <v>267</v>
      </c>
      <c r="AZ668" s="255" t="n">
        <v>267</v>
      </c>
      <c r="BA668" s="263" t="n">
        <v>293</v>
      </c>
      <c r="BB668" s="263" t="n">
        <v>372.8</v>
      </c>
      <c r="BC668" s="263" t="n">
        <v>380.4</v>
      </c>
      <c r="BD668" s="50" t="n">
        <f aca="false">BE668</f>
        <v>372.2</v>
      </c>
      <c r="BE668" s="255" t="n">
        <v>372.2</v>
      </c>
      <c r="BF668" s="263" t="n">
        <v>400.4</v>
      </c>
      <c r="BG668" s="263" t="n">
        <v>351.9</v>
      </c>
      <c r="BH668" s="263" t="n">
        <v>346.9</v>
      </c>
      <c r="BI668" s="50" t="n">
        <f aca="false">BJ668</f>
        <v>299.2</v>
      </c>
      <c r="BJ668" s="255" t="n">
        <v>299.2</v>
      </c>
      <c r="BK668" s="263" t="n">
        <v>335.9</v>
      </c>
      <c r="BL668" s="263" t="n">
        <v>294.8</v>
      </c>
      <c r="BM668" s="263" t="n">
        <v>187.2</v>
      </c>
      <c r="BN668" s="50" t="n">
        <f aca="false">BO668</f>
        <v>183</v>
      </c>
      <c r="BO668" s="390" t="n">
        <v>183</v>
      </c>
      <c r="BP668" s="48" t="n">
        <f aca="false">BO668+BP534</f>
        <v>65.1876607353629</v>
      </c>
      <c r="BQ668" s="48" t="n">
        <f aca="false">BP668+BQ534</f>
        <v>-74.0043459912625</v>
      </c>
      <c r="BR668" s="48" t="n">
        <f aca="false">BQ668+BR534</f>
        <v>-203.703823885488</v>
      </c>
      <c r="BS668" s="48" t="n">
        <f aca="false">BR668+BS534</f>
        <v>-293.807938200245</v>
      </c>
      <c r="BT668" s="159" t="n">
        <f aca="false">BS668</f>
        <v>-293.807938200245</v>
      </c>
      <c r="BU668" s="48" t="n">
        <f aca="false">BT668+BU534</f>
        <v>-448.965580632236</v>
      </c>
      <c r="BV668" s="48" t="n">
        <f aca="false">BU668+BV534</f>
        <v>-658.45527408517</v>
      </c>
      <c r="BW668" s="48" t="n">
        <f aca="false">BV668+BW534</f>
        <v>-851.502369872017</v>
      </c>
      <c r="BX668" s="48" t="n">
        <f aca="false">BW668+BX534</f>
        <v>-1046.35283357643</v>
      </c>
      <c r="BY668" s="159" t="n">
        <f aca="false">BX668</f>
        <v>-1046.35283357643</v>
      </c>
      <c r="BZ668" s="159" t="n">
        <f aca="false">BY668+BZ534</f>
        <v>-1968.28312646075</v>
      </c>
      <c r="CA668" s="159" t="n">
        <f aca="false">BZ668+CA534</f>
        <v>-2951.89245455342</v>
      </c>
      <c r="CB668" s="159" t="n">
        <f aca="false">CA668+CB534</f>
        <v>-4001.55313361871</v>
      </c>
      <c r="CC668" s="50"/>
    </row>
    <row r="669" s="51" customFormat="true" ht="15" hidden="false" customHeight="true" outlineLevel="0" collapsed="false">
      <c r="A669" s="270" t="s">
        <v>616</v>
      </c>
      <c r="B669" s="254"/>
      <c r="C669" s="255" t="n">
        <v>12.694</v>
      </c>
      <c r="D669" s="255" t="n">
        <v>11.811</v>
      </c>
      <c r="E669" s="255" t="n">
        <v>10.012</v>
      </c>
      <c r="F669" s="255" t="n">
        <v>7.974</v>
      </c>
      <c r="G669" s="255" t="n">
        <v>4.62</v>
      </c>
      <c r="H669" s="263" t="n">
        <v>4.4</v>
      </c>
      <c r="I669" s="263" t="n">
        <v>4.1</v>
      </c>
      <c r="J669" s="263" t="n">
        <v>4</v>
      </c>
      <c r="K669" s="50" t="n">
        <f aca="false">L669</f>
        <v>3.638</v>
      </c>
      <c r="L669" s="255" t="n">
        <v>3.638</v>
      </c>
      <c r="M669" s="263" t="n">
        <v>3.7</v>
      </c>
      <c r="N669" s="263" t="n">
        <v>3.2</v>
      </c>
      <c r="O669" s="263" t="n">
        <v>2.8</v>
      </c>
      <c r="P669" s="50" t="n">
        <f aca="false">Q669</f>
        <v>2.445</v>
      </c>
      <c r="Q669" s="255" t="n">
        <v>2.445</v>
      </c>
      <c r="R669" s="48"/>
      <c r="S669" s="263" t="n">
        <v>12.6</v>
      </c>
      <c r="T669" s="263" t="n">
        <v>16.5</v>
      </c>
      <c r="U669" s="50" t="n">
        <f aca="false">V669</f>
        <v>20.5</v>
      </c>
      <c r="V669" s="255" t="n">
        <v>20.5</v>
      </c>
      <c r="W669" s="263" t="n">
        <v>20.5</v>
      </c>
      <c r="X669" s="263" t="n">
        <v>20.5</v>
      </c>
      <c r="Y669" s="263" t="n">
        <v>21.2</v>
      </c>
      <c r="Z669" s="50" t="n">
        <f aca="false">AA669</f>
        <v>21.2</v>
      </c>
      <c r="AA669" s="255" t="n">
        <v>21.2</v>
      </c>
      <c r="AB669" s="263" t="n">
        <v>22.3</v>
      </c>
      <c r="AC669" s="263" t="n">
        <v>23.5</v>
      </c>
      <c r="AD669" s="263" t="n">
        <v>28.1</v>
      </c>
      <c r="AE669" s="50" t="n">
        <f aca="false">AF669</f>
        <v>29.3</v>
      </c>
      <c r="AF669" s="255" t="n">
        <v>29.3</v>
      </c>
      <c r="AG669" s="263" t="n">
        <v>29.3</v>
      </c>
      <c r="AH669" s="48"/>
      <c r="AI669" s="48"/>
      <c r="AJ669" s="50" t="n">
        <f aca="false">AK669</f>
        <v>0</v>
      </c>
      <c r="AK669" s="159"/>
      <c r="AL669" s="48"/>
      <c r="AM669" s="48"/>
      <c r="AN669" s="48"/>
      <c r="AO669" s="50" t="n">
        <f aca="false">AP669</f>
        <v>0</v>
      </c>
      <c r="AP669" s="159"/>
      <c r="AQ669" s="48"/>
      <c r="AR669" s="48"/>
      <c r="AS669" s="48"/>
      <c r="AT669" s="50" t="n">
        <f aca="false">AU669</f>
        <v>0</v>
      </c>
      <c r="AU669" s="159"/>
      <c r="AV669" s="48"/>
      <c r="AW669" s="48"/>
      <c r="AX669" s="48"/>
      <c r="AY669" s="50" t="n">
        <f aca="false">AZ669</f>
        <v>0</v>
      </c>
      <c r="AZ669" s="159"/>
      <c r="BA669" s="48"/>
      <c r="BB669" s="48"/>
      <c r="BC669" s="48"/>
      <c r="BD669" s="50" t="n">
        <f aca="false">BE669</f>
        <v>0</v>
      </c>
      <c r="BE669" s="159"/>
      <c r="BF669" s="48"/>
      <c r="BG669" s="48"/>
      <c r="BH669" s="48"/>
      <c r="BI669" s="50" t="n">
        <f aca="false">BJ669</f>
        <v>0</v>
      </c>
      <c r="BJ669" s="159"/>
      <c r="BK669" s="48"/>
      <c r="BL669" s="48"/>
      <c r="BM669" s="48"/>
      <c r="BN669" s="50" t="n">
        <f aca="false">BO669</f>
        <v>0</v>
      </c>
      <c r="BO669" s="160"/>
      <c r="BP669" s="48" t="n">
        <f aca="false">BO669</f>
        <v>0</v>
      </c>
      <c r="BQ669" s="48" t="n">
        <f aca="false">BP669</f>
        <v>0</v>
      </c>
      <c r="BR669" s="48" t="n">
        <f aca="false">BQ669</f>
        <v>0</v>
      </c>
      <c r="BS669" s="48" t="n">
        <f aca="false">BR669</f>
        <v>0</v>
      </c>
      <c r="BT669" s="159" t="n">
        <f aca="false">BS669</f>
        <v>0</v>
      </c>
      <c r="BU669" s="48" t="n">
        <f aca="false">BT669</f>
        <v>0</v>
      </c>
      <c r="BV669" s="48" t="n">
        <f aca="false">BU669</f>
        <v>0</v>
      </c>
      <c r="BW669" s="48" t="n">
        <f aca="false">BV669</f>
        <v>0</v>
      </c>
      <c r="BX669" s="48" t="n">
        <f aca="false">BW669</f>
        <v>0</v>
      </c>
      <c r="BY669" s="159" t="n">
        <f aca="false">BX669</f>
        <v>0</v>
      </c>
      <c r="BZ669" s="159" t="n">
        <f aca="false">BY669</f>
        <v>0</v>
      </c>
      <c r="CA669" s="159" t="n">
        <f aca="false">BZ669</f>
        <v>0</v>
      </c>
      <c r="CB669" s="159" t="n">
        <f aca="false">CA669</f>
        <v>0</v>
      </c>
      <c r="CC669" s="50"/>
    </row>
    <row r="670" s="51" customFormat="true" ht="15" hidden="false" customHeight="true" outlineLevel="0" collapsed="false">
      <c r="A670" s="270" t="s">
        <v>623</v>
      </c>
      <c r="B670" s="254"/>
      <c r="C670" s="159"/>
      <c r="D670" s="159"/>
      <c r="E670" s="159"/>
      <c r="F670" s="159"/>
      <c r="G670" s="159"/>
      <c r="H670" s="48"/>
      <c r="I670" s="48"/>
      <c r="J670" s="48"/>
      <c r="K670" s="48"/>
      <c r="L670" s="159"/>
      <c r="M670" s="48"/>
      <c r="N670" s="48"/>
      <c r="O670" s="48"/>
      <c r="P670" s="48"/>
      <c r="Q670" s="159"/>
      <c r="R670" s="48"/>
      <c r="S670" s="48"/>
      <c r="T670" s="48"/>
      <c r="U670" s="48"/>
      <c r="V670" s="159"/>
      <c r="W670" s="48"/>
      <c r="X670" s="48"/>
      <c r="Y670" s="48"/>
      <c r="Z670" s="48"/>
      <c r="AA670" s="159"/>
      <c r="AB670" s="263" t="n">
        <v>819.4</v>
      </c>
      <c r="AC670" s="263" t="n">
        <v>854.8</v>
      </c>
      <c r="AD670" s="263" t="n">
        <v>1140.7</v>
      </c>
      <c r="AE670" s="50" t="n">
        <f aca="false">AF670</f>
        <v>1224.6</v>
      </c>
      <c r="AF670" s="255" t="n">
        <v>1224.6</v>
      </c>
      <c r="AG670" s="263" t="n">
        <v>1190</v>
      </c>
      <c r="AH670" s="263" t="n">
        <v>1280.2</v>
      </c>
      <c r="AI670" s="263" t="n">
        <v>1276.5</v>
      </c>
      <c r="AJ670" s="50" t="n">
        <f aca="false">AK670</f>
        <v>1759.6</v>
      </c>
      <c r="AK670" s="255" t="n">
        <v>1759.6</v>
      </c>
      <c r="AL670" s="263" t="n">
        <v>1702.6</v>
      </c>
      <c r="AM670" s="263" t="n">
        <v>1918.1</v>
      </c>
      <c r="AN670" s="263" t="n">
        <v>1652.8</v>
      </c>
      <c r="AO670" s="50" t="n">
        <f aca="false">AP670</f>
        <v>1639.9</v>
      </c>
      <c r="AP670" s="255" t="n">
        <v>1639.9</v>
      </c>
      <c r="AQ670" s="263" t="n">
        <v>1583.2</v>
      </c>
      <c r="AR670" s="263" t="n">
        <v>1860.2</v>
      </c>
      <c r="AS670" s="263" t="n">
        <v>2001.7</v>
      </c>
      <c r="AT670" s="50" t="n">
        <f aca="false">AU670</f>
        <v>3225.7</v>
      </c>
      <c r="AU670" s="255" t="n">
        <v>3225.7</v>
      </c>
      <c r="AV670" s="263" t="n">
        <v>3292.2</v>
      </c>
      <c r="AW670" s="263" t="n">
        <v>4630.6</v>
      </c>
      <c r="AX670" s="263" t="n">
        <v>4918.6</v>
      </c>
      <c r="AY670" s="50" t="n">
        <f aca="false">AZ670</f>
        <v>5269.9</v>
      </c>
      <c r="AZ670" s="255" t="n">
        <v>5269.9</v>
      </c>
      <c r="BA670" s="263" t="n">
        <v>4147.4</v>
      </c>
      <c r="BB670" s="263" t="n">
        <v>4205.3</v>
      </c>
      <c r="BC670" s="263" t="n">
        <v>3826</v>
      </c>
      <c r="BD670" s="50" t="n">
        <f aca="false">BE670</f>
        <v>4825.5</v>
      </c>
      <c r="BE670" s="255" t="n">
        <v>4825.5</v>
      </c>
      <c r="BF670" s="263" t="n">
        <v>4744.7</v>
      </c>
      <c r="BG670" s="263" t="n">
        <v>4463</v>
      </c>
      <c r="BH670" s="263" t="n">
        <v>4103.9</v>
      </c>
      <c r="BI670" s="50" t="n">
        <f aca="false">BJ670</f>
        <v>5625.4</v>
      </c>
      <c r="BJ670" s="255" t="n">
        <v>5625.4</v>
      </c>
      <c r="BK670" s="263" t="n">
        <v>5400.6</v>
      </c>
      <c r="BL670" s="263" t="n">
        <v>4187.1</v>
      </c>
      <c r="BM670" s="263" t="n">
        <v>3572.3</v>
      </c>
      <c r="BN670" s="50" t="n">
        <f aca="false">BO670</f>
        <v>3366.3</v>
      </c>
      <c r="BO670" s="390" t="n">
        <v>3366.3</v>
      </c>
      <c r="BP670" s="48" t="n">
        <f aca="false">BO670</f>
        <v>3366.3</v>
      </c>
      <c r="BQ670" s="48" t="n">
        <f aca="false">BP670</f>
        <v>3366.3</v>
      </c>
      <c r="BR670" s="48" t="n">
        <f aca="false">BQ670</f>
        <v>3366.3</v>
      </c>
      <c r="BS670" s="48" t="n">
        <f aca="false">BR670</f>
        <v>3366.3</v>
      </c>
      <c r="BT670" s="159" t="n">
        <f aca="false">BS670</f>
        <v>3366.3</v>
      </c>
      <c r="BU670" s="48" t="n">
        <f aca="false">BT670</f>
        <v>3366.3</v>
      </c>
      <c r="BV670" s="48" t="n">
        <f aca="false">BU670</f>
        <v>3366.3</v>
      </c>
      <c r="BW670" s="48" t="n">
        <f aca="false">BV670</f>
        <v>3366.3</v>
      </c>
      <c r="BX670" s="48" t="n">
        <f aca="false">BW670</f>
        <v>3366.3</v>
      </c>
      <c r="BY670" s="159" t="n">
        <f aca="false">BX670</f>
        <v>3366.3</v>
      </c>
      <c r="BZ670" s="159" t="n">
        <f aca="false">BY670</f>
        <v>3366.3</v>
      </c>
      <c r="CA670" s="159" t="n">
        <f aca="false">BZ670</f>
        <v>3366.3</v>
      </c>
      <c r="CB670" s="159" t="n">
        <f aca="false">CA670</f>
        <v>3366.3</v>
      </c>
      <c r="CC670" s="50"/>
    </row>
    <row r="671" s="51" customFormat="true" ht="15" hidden="false" customHeight="true" outlineLevel="0" collapsed="false">
      <c r="A671" s="226" t="s">
        <v>517</v>
      </c>
      <c r="B671" s="257"/>
      <c r="C671" s="258" t="n">
        <v>44.359</v>
      </c>
      <c r="D671" s="258" t="n">
        <v>373.07</v>
      </c>
      <c r="E671" s="258" t="n">
        <v>663.099</v>
      </c>
      <c r="F671" s="258" t="n">
        <v>405.141</v>
      </c>
      <c r="G671" s="258" t="n">
        <v>283.142</v>
      </c>
      <c r="H671" s="265" t="n">
        <v>323.4</v>
      </c>
      <c r="I671" s="265" t="n">
        <v>302.4</v>
      </c>
      <c r="J671" s="265" t="n">
        <v>400.4</v>
      </c>
      <c r="K671" s="391" t="n">
        <f aca="false">L671</f>
        <v>411.655</v>
      </c>
      <c r="L671" s="258" t="n">
        <v>411.655</v>
      </c>
      <c r="M671" s="265" t="n">
        <v>391.5</v>
      </c>
      <c r="N671" s="265" t="n">
        <v>470.3</v>
      </c>
      <c r="O671" s="265" t="n">
        <v>462.1</v>
      </c>
      <c r="P671" s="391" t="n">
        <f aca="false">Q671</f>
        <v>414.369</v>
      </c>
      <c r="Q671" s="258" t="n">
        <v>414.369</v>
      </c>
      <c r="R671" s="265" t="n">
        <v>311.1</v>
      </c>
      <c r="S671" s="265" t="n">
        <v>323.3</v>
      </c>
      <c r="T671" s="265" t="n">
        <v>387.6</v>
      </c>
      <c r="U671" s="391" t="n">
        <f aca="false">V671</f>
        <v>615.7</v>
      </c>
      <c r="V671" s="258" t="n">
        <v>615.7</v>
      </c>
      <c r="W671" s="265" t="n">
        <v>735.5</v>
      </c>
      <c r="X671" s="265" t="n">
        <v>760.6</v>
      </c>
      <c r="Y671" s="265" t="n">
        <v>837.5</v>
      </c>
      <c r="Z671" s="391" t="n">
        <f aca="false">AA671</f>
        <v>829.1</v>
      </c>
      <c r="AA671" s="258" t="n">
        <v>829.1</v>
      </c>
      <c r="AB671" s="265" t="n">
        <v>275.3</v>
      </c>
      <c r="AC671" s="265" t="n">
        <v>258.9</v>
      </c>
      <c r="AD671" s="265" t="n">
        <v>239.7</v>
      </c>
      <c r="AE671" s="391" t="n">
        <f aca="false">AF671</f>
        <v>172.4</v>
      </c>
      <c r="AF671" s="258" t="n">
        <v>172.4</v>
      </c>
      <c r="AG671" s="265" t="n">
        <v>153.3</v>
      </c>
      <c r="AH671" s="265" t="n">
        <v>183.9</v>
      </c>
      <c r="AI671" s="265" t="n">
        <v>265.5</v>
      </c>
      <c r="AJ671" s="391" t="n">
        <f aca="false">AK671</f>
        <v>241</v>
      </c>
      <c r="AK671" s="258" t="n">
        <v>241</v>
      </c>
      <c r="AL671" s="265" t="n">
        <v>241.5</v>
      </c>
      <c r="AM671" s="265" t="n">
        <v>240.6</v>
      </c>
      <c r="AN671" s="265" t="n">
        <v>241.4</v>
      </c>
      <c r="AO671" s="391" t="n">
        <f aca="false">AP671</f>
        <v>257.5</v>
      </c>
      <c r="AP671" s="258" t="n">
        <v>257.5</v>
      </c>
      <c r="AQ671" s="265" t="n">
        <v>250.9</v>
      </c>
      <c r="AR671" s="265" t="n">
        <v>240.3</v>
      </c>
      <c r="AS671" s="265" t="n">
        <v>242.9</v>
      </c>
      <c r="AT671" s="391" t="n">
        <f aca="false">AU671</f>
        <v>251.1</v>
      </c>
      <c r="AU671" s="258" t="n">
        <v>251.1</v>
      </c>
      <c r="AV671" s="265" t="n">
        <v>302.5</v>
      </c>
      <c r="AW671" s="265" t="n">
        <v>358.7</v>
      </c>
      <c r="AX671" s="265" t="n">
        <v>475.1</v>
      </c>
      <c r="AY671" s="391" t="n">
        <f aca="false">AZ671</f>
        <v>454.9</v>
      </c>
      <c r="AZ671" s="258" t="n">
        <v>454.9</v>
      </c>
      <c r="BA671" s="265" t="n">
        <v>436.8</v>
      </c>
      <c r="BB671" s="265" t="n">
        <v>473.4</v>
      </c>
      <c r="BC671" s="265" t="n">
        <v>480.4</v>
      </c>
      <c r="BD671" s="391" t="n">
        <f aca="false">BE671</f>
        <v>401.2</v>
      </c>
      <c r="BE671" s="258" t="n">
        <v>401.2</v>
      </c>
      <c r="BF671" s="265" t="n">
        <v>442.7</v>
      </c>
      <c r="BG671" s="265" t="n">
        <v>474.4</v>
      </c>
      <c r="BH671" s="265" t="n">
        <v>445.7</v>
      </c>
      <c r="BI671" s="391" t="n">
        <f aca="false">BJ671</f>
        <v>459.5</v>
      </c>
      <c r="BJ671" s="258" t="n">
        <v>459.5</v>
      </c>
      <c r="BK671" s="265" t="n">
        <v>436.7</v>
      </c>
      <c r="BL671" s="265" t="n">
        <v>434.1</v>
      </c>
      <c r="BM671" s="265" t="n">
        <v>414.5</v>
      </c>
      <c r="BN671" s="391" t="n">
        <f aca="false">BO671</f>
        <v>432.2</v>
      </c>
      <c r="BO671" s="392" t="n">
        <v>432.2</v>
      </c>
      <c r="BP671" s="259" t="n">
        <f aca="false">BO671</f>
        <v>432.2</v>
      </c>
      <c r="BQ671" s="259" t="n">
        <f aca="false">BP671</f>
        <v>432.2</v>
      </c>
      <c r="BR671" s="259" t="n">
        <f aca="false">BQ671</f>
        <v>432.2</v>
      </c>
      <c r="BS671" s="259" t="n">
        <f aca="false">BR671</f>
        <v>432.2</v>
      </c>
      <c r="BT671" s="261" t="n">
        <f aca="false">BS671</f>
        <v>432.2</v>
      </c>
      <c r="BU671" s="259" t="n">
        <f aca="false">BT671</f>
        <v>432.2</v>
      </c>
      <c r="BV671" s="259" t="n">
        <f aca="false">BU671</f>
        <v>432.2</v>
      </c>
      <c r="BW671" s="259" t="n">
        <f aca="false">BV671</f>
        <v>432.2</v>
      </c>
      <c r="BX671" s="259" t="n">
        <f aca="false">BW671</f>
        <v>432.2</v>
      </c>
      <c r="BY671" s="261" t="n">
        <f aca="false">BX671</f>
        <v>432.2</v>
      </c>
      <c r="BZ671" s="261" t="n">
        <f aca="false">BY671</f>
        <v>432.2</v>
      </c>
      <c r="CA671" s="261" t="n">
        <f aca="false">BZ671</f>
        <v>432.2</v>
      </c>
      <c r="CB671" s="261" t="n">
        <f aca="false">CA671</f>
        <v>432.2</v>
      </c>
      <c r="CC671" s="50"/>
    </row>
    <row r="672" s="157" customFormat="true" ht="15" hidden="false" customHeight="true" outlineLevel="0" collapsed="false">
      <c r="A672" s="244" t="s">
        <v>624</v>
      </c>
      <c r="B672" s="393"/>
      <c r="C672" s="357" t="n">
        <f aca="false">SUM(C667:C671)</f>
        <v>945.213</v>
      </c>
      <c r="D672" s="357" t="n">
        <f aca="false">SUM(D667:D671)</f>
        <v>1249.205</v>
      </c>
      <c r="E672" s="357" t="n">
        <f aca="false">SUM(E667:E671)</f>
        <v>1583.619</v>
      </c>
      <c r="F672" s="357" t="n">
        <f aca="false">SUM(F667:F671)</f>
        <v>1257.302</v>
      </c>
      <c r="G672" s="357" t="n">
        <f aca="false">SUM(G667:G671)</f>
        <v>1722.642</v>
      </c>
      <c r="H672" s="394" t="n">
        <f aca="false">SUM(H667:H671)</f>
        <v>1743.9</v>
      </c>
      <c r="I672" s="394" t="n">
        <f aca="false">SUM(I667:I671)</f>
        <v>1742.9</v>
      </c>
      <c r="J672" s="394" t="n">
        <f aca="false">SUM(J667:J671)</f>
        <v>1846.5</v>
      </c>
      <c r="K672" s="394" t="n">
        <f aca="false">SUM(K667:K671)</f>
        <v>1802.484</v>
      </c>
      <c r="L672" s="357" t="n">
        <f aca="false">SUM(L667:L671)</f>
        <v>1802.484</v>
      </c>
      <c r="M672" s="394" t="n">
        <f aca="false">SUM(M667:M671)</f>
        <v>1820</v>
      </c>
      <c r="N672" s="394" t="n">
        <f aca="false">SUM(N667:N671)</f>
        <v>1858.8</v>
      </c>
      <c r="O672" s="394" t="n">
        <f aca="false">SUM(O667:O671)</f>
        <v>1849.4</v>
      </c>
      <c r="P672" s="394" t="n">
        <f aca="false">SUM(P667:P671)</f>
        <v>1799.028</v>
      </c>
      <c r="Q672" s="357" t="n">
        <f aca="false">SUM(Q667:Q671)</f>
        <v>1799.028</v>
      </c>
      <c r="R672" s="394" t="n">
        <f aca="false">SUM(R667:R671)</f>
        <v>1593.4</v>
      </c>
      <c r="S672" s="394" t="n">
        <f aca="false">SUM(S667:S671)</f>
        <v>1434.2</v>
      </c>
      <c r="T672" s="394" t="n">
        <f aca="false">SUM(T667:T671)</f>
        <v>3016.8</v>
      </c>
      <c r="U672" s="394" t="n">
        <f aca="false">SUM(U667:U671)</f>
        <v>4104.9</v>
      </c>
      <c r="V672" s="357" t="n">
        <f aca="false">SUM(V667:V671)</f>
        <v>4104.9</v>
      </c>
      <c r="W672" s="394" t="n">
        <f aca="false">SUM(W667:W671)</f>
        <v>4206.4</v>
      </c>
      <c r="X672" s="394" t="n">
        <f aca="false">SUM(X667:X671)</f>
        <v>4114.5</v>
      </c>
      <c r="Y672" s="394" t="n">
        <f aca="false">SUM(Y667:Y671)</f>
        <v>4175.4</v>
      </c>
      <c r="Z672" s="394" t="n">
        <f aca="false">SUM(Z667:Z671)</f>
        <v>4178.3</v>
      </c>
      <c r="AA672" s="357" t="n">
        <f aca="false">SUM(AA667:AA671)</f>
        <v>4178.3</v>
      </c>
      <c r="AB672" s="394" t="n">
        <f aca="false">SUM(AB667:AB671)</f>
        <v>4450.3</v>
      </c>
      <c r="AC672" s="394" t="n">
        <f aca="false">SUM(AC667:AC671)</f>
        <v>4535.8</v>
      </c>
      <c r="AD672" s="394" t="n">
        <f aca="false">SUM(AD667:AD671)</f>
        <v>4757.5</v>
      </c>
      <c r="AE672" s="394" t="n">
        <f aca="false">SUM(AE667:AE671)</f>
        <v>4704</v>
      </c>
      <c r="AF672" s="357" t="n">
        <f aca="false">SUM(AF667:AF671)</f>
        <v>4704</v>
      </c>
      <c r="AG672" s="394" t="n">
        <f aca="false">SUM(AG667:AG671)</f>
        <v>4673.7</v>
      </c>
      <c r="AH672" s="394" t="n">
        <f aca="false">SUM(AH667:AH671)</f>
        <v>4796.1</v>
      </c>
      <c r="AI672" s="394" t="n">
        <f aca="false">SUM(AI667:AI671)</f>
        <v>4915.6</v>
      </c>
      <c r="AJ672" s="394" t="n">
        <f aca="false">SUM(AJ667:AJ671)</f>
        <v>5343.3</v>
      </c>
      <c r="AK672" s="357" t="n">
        <f aca="false">SUM(AK667:AK671)</f>
        <v>5343.3</v>
      </c>
      <c r="AL672" s="394" t="n">
        <f aca="false">SUM(AL667:AL671)</f>
        <v>6075</v>
      </c>
      <c r="AM672" s="394" t="n">
        <f aca="false">SUM(AM667:AM671)</f>
        <v>6975</v>
      </c>
      <c r="AN672" s="394" t="n">
        <f aca="false">SUM(AN667:AN671)</f>
        <v>6730</v>
      </c>
      <c r="AO672" s="394" t="n">
        <f aca="false">SUM(AO667:AO671)</f>
        <v>6798.5</v>
      </c>
      <c r="AP672" s="357" t="n">
        <f aca="false">SUM(AP667:AP671)</f>
        <v>6798.5</v>
      </c>
      <c r="AQ672" s="394" t="n">
        <f aca="false">SUM(AQ667:AQ671)</f>
        <v>6713.5</v>
      </c>
      <c r="AR672" s="394" t="n">
        <f aca="false">SUM(AR667:AR671)</f>
        <v>6968.1</v>
      </c>
      <c r="AS672" s="394" t="n">
        <f aca="false">SUM(AS667:AS671)</f>
        <v>6633</v>
      </c>
      <c r="AT672" s="394" t="n">
        <f aca="false">SUM(AT667:AT671)</f>
        <v>7792.4</v>
      </c>
      <c r="AU672" s="357" t="n">
        <f aca="false">SUM(AU667:AU671)</f>
        <v>7792.4</v>
      </c>
      <c r="AV672" s="394" t="n">
        <f aca="false">SUM(AV667:AV671)</f>
        <v>7808.6</v>
      </c>
      <c r="AW672" s="394" t="n">
        <f aca="false">SUM(AW667:AW671)</f>
        <v>9627</v>
      </c>
      <c r="AX672" s="394" t="n">
        <f aca="false">SUM(AX667:AX671)</f>
        <v>9179.8</v>
      </c>
      <c r="AY672" s="394" t="n">
        <f aca="false">SUM(AY667:AY671)</f>
        <v>9506</v>
      </c>
      <c r="AZ672" s="357" t="n">
        <f aca="false">SUM(AZ667:AZ671)</f>
        <v>9506</v>
      </c>
      <c r="BA672" s="394" t="n">
        <f aca="false">SUM(BA667:BA671)</f>
        <v>8413.2</v>
      </c>
      <c r="BB672" s="394" t="n">
        <f aca="false">SUM(BB667:BB671)</f>
        <v>9569.3</v>
      </c>
      <c r="BC672" s="394" t="n">
        <f aca="false">SUM(BC667:BC671)</f>
        <v>9209.1</v>
      </c>
      <c r="BD672" s="394" t="n">
        <f aca="false">SUM(BD667:BD671)</f>
        <v>10230.4</v>
      </c>
      <c r="BE672" s="357" t="n">
        <f aca="false">SUM(BE667:BE671)</f>
        <v>10230.4</v>
      </c>
      <c r="BF672" s="394" t="n">
        <f aca="false">SUM(BF667:BF671)</f>
        <v>10199.8</v>
      </c>
      <c r="BG672" s="394" t="n">
        <f aca="false">SUM(BG667:BG671)</f>
        <v>9897.5</v>
      </c>
      <c r="BH672" s="394" t="n">
        <f aca="false">SUM(BH667:BH671)</f>
        <v>9588.7</v>
      </c>
      <c r="BI672" s="394" t="n">
        <f aca="false">SUM(BI667:BI671)</f>
        <v>10061.4</v>
      </c>
      <c r="BJ672" s="357" t="n">
        <f aca="false">SUM(BJ667:BJ671)</f>
        <v>10061.4</v>
      </c>
      <c r="BK672" s="394" t="n">
        <f aca="false">SUM(BK667:BK671)</f>
        <v>9854.2</v>
      </c>
      <c r="BL672" s="394" t="n">
        <f aca="false">SUM(BL667:BL671)</f>
        <v>8614.9</v>
      </c>
      <c r="BM672" s="394" t="n">
        <f aca="false">SUM(BM667:BM671)</f>
        <v>6878.7</v>
      </c>
      <c r="BN672" s="394" t="n">
        <f aca="false">SUM(BN667:BN671)</f>
        <v>6690.5</v>
      </c>
      <c r="BO672" s="395" t="n">
        <f aca="false">SUM(BO667:BO671)</f>
        <v>6690.5</v>
      </c>
      <c r="BP672" s="163" t="n">
        <f aca="false">SUM(BP667:BP671)</f>
        <v>6572.68766073536</v>
      </c>
      <c r="BQ672" s="163" t="n">
        <f aca="false">SUM(BQ667:BQ671)</f>
        <v>6433.49565400874</v>
      </c>
      <c r="BR672" s="163" t="n">
        <f aca="false">SUM(BR667:BR671)</f>
        <v>6303.79617611451</v>
      </c>
      <c r="BS672" s="163" t="n">
        <f aca="false">SUM(BS667:BS671)</f>
        <v>6213.69206179976</v>
      </c>
      <c r="BT672" s="162" t="n">
        <f aca="false">SUM(BT667:BT671)</f>
        <v>6213.69206179976</v>
      </c>
      <c r="BU672" s="163" t="n">
        <f aca="false">SUM(BU667:BU671)</f>
        <v>6058.53441936776</v>
      </c>
      <c r="BV672" s="163" t="n">
        <f aca="false">SUM(BV667:BV671)</f>
        <v>5849.04472591483</v>
      </c>
      <c r="BW672" s="163" t="n">
        <f aca="false">SUM(BW667:BW671)</f>
        <v>5655.99763012798</v>
      </c>
      <c r="BX672" s="163" t="n">
        <f aca="false">SUM(BX667:BX671)</f>
        <v>5461.14716642357</v>
      </c>
      <c r="BY672" s="162" t="n">
        <f aca="false">SUM(BY667:BY671)</f>
        <v>5461.14716642357</v>
      </c>
      <c r="BZ672" s="162" t="n">
        <f aca="false">SUM(BZ667:BZ671)</f>
        <v>4539.21687353925</v>
      </c>
      <c r="CA672" s="162" t="n">
        <f aca="false">SUM(CA667:CA671)</f>
        <v>3555.60754544658</v>
      </c>
      <c r="CB672" s="162" t="n">
        <f aca="false">SUM(CB667:CB671)</f>
        <v>2505.94686638129</v>
      </c>
      <c r="CC672" s="156"/>
    </row>
    <row r="673" s="157" customFormat="true" ht="15" hidden="false" customHeight="true" outlineLevel="0" collapsed="false">
      <c r="A673" s="221" t="s">
        <v>625</v>
      </c>
      <c r="B673" s="266"/>
      <c r="C673" s="399" t="n">
        <f aca="false">C664+C672</f>
        <v>1989.383</v>
      </c>
      <c r="D673" s="399" t="n">
        <f aca="false">D664+D672</f>
        <v>3406.45</v>
      </c>
      <c r="E673" s="399" t="n">
        <f aca="false">E664+E672</f>
        <v>3816.661</v>
      </c>
      <c r="F673" s="399" t="n">
        <f aca="false">F664+F672</f>
        <v>3343.585</v>
      </c>
      <c r="G673" s="399" t="n">
        <f aca="false">G664+G672</f>
        <v>4591.303</v>
      </c>
      <c r="H673" s="156" t="n">
        <f aca="false">H664+H672</f>
        <v>4701.4</v>
      </c>
      <c r="I673" s="156" t="n">
        <f aca="false">I664+I672</f>
        <v>4808.1</v>
      </c>
      <c r="J673" s="156" t="n">
        <f aca="false">J664+J672</f>
        <v>4772.5</v>
      </c>
      <c r="K673" s="156" t="n">
        <f aca="false">K664+K672</f>
        <v>4691.355</v>
      </c>
      <c r="L673" s="399" t="n">
        <f aca="false">L664+L672</f>
        <v>4691.355</v>
      </c>
      <c r="M673" s="156" t="n">
        <f aca="false">M664+M672</f>
        <v>5014.3</v>
      </c>
      <c r="N673" s="156" t="n">
        <f aca="false">N664+N672</f>
        <v>4712.7</v>
      </c>
      <c r="O673" s="156" t="n">
        <f aca="false">O664+O672</f>
        <v>4560.7</v>
      </c>
      <c r="P673" s="156" t="n">
        <f aca="false">P664+P672</f>
        <v>4906.2</v>
      </c>
      <c r="Q673" s="399" t="n">
        <f aca="false">Q664+Q672</f>
        <v>4906.2</v>
      </c>
      <c r="R673" s="156" t="n">
        <f aca="false">R664+R672</f>
        <v>4840.2</v>
      </c>
      <c r="S673" s="156" t="n">
        <f aca="false">S664+S672</f>
        <v>5154.3</v>
      </c>
      <c r="T673" s="156" t="n">
        <f aca="false">T664+T672</f>
        <v>6289</v>
      </c>
      <c r="U673" s="156" t="n">
        <f aca="false">U664+U672</f>
        <v>7385.5</v>
      </c>
      <c r="V673" s="399" t="n">
        <f aca="false">V664+V672</f>
        <v>7385.5</v>
      </c>
      <c r="W673" s="156" t="n">
        <f aca="false">W664+W672</f>
        <v>7081.8</v>
      </c>
      <c r="X673" s="156" t="n">
        <f aca="false">X664+X672</f>
        <v>7239.5</v>
      </c>
      <c r="Y673" s="156" t="n">
        <f aca="false">Y664+Y672</f>
        <v>7149.6</v>
      </c>
      <c r="Z673" s="156" t="n">
        <f aca="false">Z664+Z672</f>
        <v>7520.2</v>
      </c>
      <c r="AA673" s="399" t="n">
        <f aca="false">AA664+AA672</f>
        <v>7520.2</v>
      </c>
      <c r="AB673" s="156" t="n">
        <f aca="false">AB664+AB672</f>
        <v>7582.5</v>
      </c>
      <c r="AC673" s="156" t="n">
        <f aca="false">AC664+AC672</f>
        <v>7916.6</v>
      </c>
      <c r="AD673" s="156" t="n">
        <f aca="false">AD664+AD672</f>
        <v>8303.6</v>
      </c>
      <c r="AE673" s="156" t="n">
        <f aca="false">AE664+AE672</f>
        <v>8495.9</v>
      </c>
      <c r="AF673" s="399" t="n">
        <f aca="false">AF664+AF672</f>
        <v>8495.9</v>
      </c>
      <c r="AG673" s="156" t="n">
        <f aca="false">AG664+AG672</f>
        <v>8394.9</v>
      </c>
      <c r="AH673" s="156" t="n">
        <f aca="false">AH664+AH672</f>
        <v>8488.6</v>
      </c>
      <c r="AI673" s="156" t="n">
        <f aca="false">AI664+AI672</f>
        <v>8628.1</v>
      </c>
      <c r="AJ673" s="156" t="n">
        <f aca="false">AJ664+AJ672</f>
        <v>10037.4</v>
      </c>
      <c r="AK673" s="399" t="n">
        <f aca="false">AK664+AK672</f>
        <v>10037.4</v>
      </c>
      <c r="AL673" s="156" t="n">
        <f aca="false">AL664+AL672</f>
        <v>10752.4</v>
      </c>
      <c r="AM673" s="156" t="n">
        <f aca="false">AM664+AM672</f>
        <v>11606.3</v>
      </c>
      <c r="AN673" s="156" t="n">
        <f aca="false">AN664+AN672</f>
        <v>11720.9</v>
      </c>
      <c r="AO673" s="156" t="n">
        <f aca="false">AO664+AO672</f>
        <v>13402</v>
      </c>
      <c r="AP673" s="399" t="n">
        <f aca="false">AP664+AP672</f>
        <v>13402</v>
      </c>
      <c r="AQ673" s="156" t="n">
        <f aca="false">AQ664+AQ672</f>
        <v>13589.8</v>
      </c>
      <c r="AR673" s="156" t="n">
        <f aca="false">AR664+AR672</f>
        <v>15722.2</v>
      </c>
      <c r="AS673" s="156" t="n">
        <f aca="false">AS664+AS672</f>
        <v>15795.6</v>
      </c>
      <c r="AT673" s="156" t="n">
        <f aca="false">AT664+AT672</f>
        <v>20090.4</v>
      </c>
      <c r="AU673" s="399" t="n">
        <f aca="false">AU664+AU672</f>
        <v>20090.4</v>
      </c>
      <c r="AV673" s="156" t="n">
        <f aca="false">AV664+AV672</f>
        <v>21421.4</v>
      </c>
      <c r="AW673" s="156" t="n">
        <f aca="false">AW664+AW672</f>
        <v>24264</v>
      </c>
      <c r="AX673" s="156" t="n">
        <f aca="false">AX664+AX672</f>
        <v>24848.4</v>
      </c>
      <c r="AY673" s="156" t="n">
        <f aca="false">AY664+AY672</f>
        <v>27489.6</v>
      </c>
      <c r="AZ673" s="399" t="n">
        <f aca="false">AZ664+AZ672</f>
        <v>27489.6</v>
      </c>
      <c r="BA673" s="156" t="n">
        <f aca="false">BA664+BA672</f>
        <v>25361.3</v>
      </c>
      <c r="BB673" s="156" t="n">
        <f aca="false">BB664+BB672</f>
        <v>26323.6</v>
      </c>
      <c r="BC673" s="156" t="n">
        <f aca="false">BC664+BC672</f>
        <v>25518.6</v>
      </c>
      <c r="BD673" s="156" t="n">
        <f aca="false">BD664+BD672</f>
        <v>26505.1</v>
      </c>
      <c r="BE673" s="399" t="n">
        <f aca="false">BE664+BE672</f>
        <v>26505.1</v>
      </c>
      <c r="BF673" s="156" t="n">
        <f aca="false">BF664+BF672</f>
        <v>25248.5</v>
      </c>
      <c r="BG673" s="156" t="n">
        <f aca="false">BG664+BG672</f>
        <v>26029.8</v>
      </c>
      <c r="BH673" s="156" t="n">
        <f aca="false">BH664+BH672</f>
        <v>25614.5</v>
      </c>
      <c r="BI673" s="156" t="n">
        <f aca="false">BI664+BI672</f>
        <v>30112.8</v>
      </c>
      <c r="BJ673" s="399" t="n">
        <f aca="false">BJ664+BJ672</f>
        <v>30112.8</v>
      </c>
      <c r="BK673" s="156" t="n">
        <f aca="false">BK664+BK672</f>
        <v>27978.1</v>
      </c>
      <c r="BL673" s="156" t="n">
        <f aca="false">BL664+BL672</f>
        <v>27230.9</v>
      </c>
      <c r="BM673" s="156" t="n">
        <f aca="false">BM664+BM672</f>
        <v>26103.6</v>
      </c>
      <c r="BN673" s="156" t="n">
        <f aca="false">BN664+BN672</f>
        <v>30954.4</v>
      </c>
      <c r="BO673" s="400" t="n">
        <f aca="false">BO664+BO672</f>
        <v>30954.4</v>
      </c>
      <c r="BP673" s="268" t="n">
        <f aca="false">BP664+BP672</f>
        <v>35904.3023425159</v>
      </c>
      <c r="BQ673" s="268" t="n">
        <f aca="false">BQ664+BQ672</f>
        <v>36718.9200847536</v>
      </c>
      <c r="BR673" s="268" t="n">
        <f aca="false">BR664+BR672</f>
        <v>38105.7671531906</v>
      </c>
      <c r="BS673" s="268" t="n">
        <f aca="false">BS664+BS672</f>
        <v>33365.7406109271</v>
      </c>
      <c r="BT673" s="267" t="n">
        <f aca="false">BT664+BT672</f>
        <v>33365.7406109271</v>
      </c>
      <c r="BU673" s="268" t="n">
        <f aca="false">BU664+BU672</f>
        <v>38403.9073824207</v>
      </c>
      <c r="BV673" s="268" t="n">
        <f aca="false">BV664+BV672</f>
        <v>38335.5562040791</v>
      </c>
      <c r="BW673" s="268" t="n">
        <f aca="false">BW664+BW672</f>
        <v>38611.8498613595</v>
      </c>
      <c r="BX673" s="268" t="n">
        <f aca="false">BX664+BX672</f>
        <v>33762.1344441733</v>
      </c>
      <c r="BY673" s="267" t="n">
        <f aca="false">BY664+BY672</f>
        <v>33762.1344441733</v>
      </c>
      <c r="BZ673" s="267" t="n">
        <f aca="false">BZ664+BZ672</f>
        <v>38239.2432967091</v>
      </c>
      <c r="CA673" s="267" t="n">
        <f aca="false">CA664+CA672</f>
        <v>38863.8870133764</v>
      </c>
      <c r="CB673" s="267" t="n">
        <f aca="false">CB664+CB672</f>
        <v>39520.5602741529</v>
      </c>
      <c r="CC673" s="156"/>
    </row>
    <row r="674" s="51" customFormat="true" ht="15" hidden="false" customHeight="true" outlineLevel="0" collapsed="false">
      <c r="A674" s="252"/>
      <c r="B674" s="254"/>
      <c r="C674" s="159"/>
      <c r="D674" s="159"/>
      <c r="E674" s="159"/>
      <c r="F674" s="159"/>
      <c r="G674" s="159"/>
      <c r="H674" s="48"/>
      <c r="I674" s="48"/>
      <c r="J674" s="48"/>
      <c r="K674" s="48"/>
      <c r="L674" s="159"/>
      <c r="M674" s="48"/>
      <c r="N674" s="48"/>
      <c r="O674" s="48"/>
      <c r="P674" s="48"/>
      <c r="Q674" s="159"/>
      <c r="R674" s="48"/>
      <c r="S674" s="48"/>
      <c r="T674" s="48"/>
      <c r="U674" s="48"/>
      <c r="V674" s="159"/>
      <c r="W674" s="48"/>
      <c r="X674" s="48"/>
      <c r="Y674" s="48"/>
      <c r="Z674" s="48"/>
      <c r="AA674" s="159"/>
      <c r="AB674" s="48"/>
      <c r="AC674" s="48"/>
      <c r="AD674" s="48"/>
      <c r="AE674" s="48"/>
      <c r="AF674" s="159"/>
      <c r="AG674" s="48"/>
      <c r="AH674" s="48"/>
      <c r="AI674" s="48"/>
      <c r="AJ674" s="48"/>
      <c r="AK674" s="159"/>
      <c r="AL674" s="48"/>
      <c r="AM674" s="48"/>
      <c r="AN674" s="48"/>
      <c r="AO674" s="48"/>
      <c r="AP674" s="159"/>
      <c r="AQ674" s="48"/>
      <c r="AR674" s="48"/>
      <c r="AS674" s="48"/>
      <c r="AT674" s="48"/>
      <c r="AU674" s="159"/>
      <c r="AV674" s="48"/>
      <c r="AW674" s="48"/>
      <c r="AX674" s="48"/>
      <c r="AY674" s="48"/>
      <c r="AZ674" s="159"/>
      <c r="BA674" s="48"/>
      <c r="BB674" s="48"/>
      <c r="BC674" s="48"/>
      <c r="BD674" s="48"/>
      <c r="BE674" s="159"/>
      <c r="BF674" s="48"/>
      <c r="BG674" s="48"/>
      <c r="BH674" s="48"/>
      <c r="BI674" s="48"/>
      <c r="BJ674" s="159"/>
      <c r="BK674" s="48"/>
      <c r="BL674" s="48"/>
      <c r="BM674" s="48"/>
      <c r="BN674" s="48"/>
      <c r="BO674" s="160"/>
      <c r="BP674" s="48"/>
      <c r="BQ674" s="48"/>
      <c r="BR674" s="48"/>
      <c r="BS674" s="48"/>
      <c r="BT674" s="159"/>
      <c r="BU674" s="48"/>
      <c r="BV674" s="48"/>
      <c r="BW674" s="48"/>
      <c r="BX674" s="48"/>
      <c r="BY674" s="159"/>
      <c r="BZ674" s="159"/>
      <c r="CA674" s="159"/>
      <c r="CB674" s="159"/>
      <c r="CC674" s="50"/>
    </row>
    <row r="675" s="51" customFormat="true" ht="15" hidden="false" customHeight="true" outlineLevel="0" collapsed="false">
      <c r="A675" s="582" t="s">
        <v>626</v>
      </c>
      <c r="B675" s="254"/>
      <c r="C675" s="159"/>
      <c r="D675" s="159"/>
      <c r="E675" s="159"/>
      <c r="F675" s="159"/>
      <c r="G675" s="159"/>
      <c r="H675" s="48"/>
      <c r="I675" s="48"/>
      <c r="J675" s="48"/>
      <c r="K675" s="48"/>
      <c r="L675" s="159"/>
      <c r="M675" s="48"/>
      <c r="N675" s="48"/>
      <c r="O675" s="48"/>
      <c r="P675" s="48"/>
      <c r="Q675" s="159"/>
      <c r="R675" s="48"/>
      <c r="S675" s="48"/>
      <c r="T675" s="48"/>
      <c r="U675" s="48"/>
      <c r="V675" s="159"/>
      <c r="W675" s="48"/>
      <c r="X675" s="48"/>
      <c r="Y675" s="48"/>
      <c r="Z675" s="48"/>
      <c r="AA675" s="159"/>
      <c r="AB675" s="48"/>
      <c r="AC675" s="48"/>
      <c r="AD675" s="48"/>
      <c r="AE675" s="48"/>
      <c r="AF675" s="159"/>
      <c r="AG675" s="48"/>
      <c r="AH675" s="48"/>
      <c r="AI675" s="48"/>
      <c r="AJ675" s="48"/>
      <c r="AK675" s="159"/>
      <c r="AL675" s="48"/>
      <c r="AM675" s="48"/>
      <c r="AN675" s="48"/>
      <c r="AO675" s="48"/>
      <c r="AP675" s="159"/>
      <c r="AQ675" s="48"/>
      <c r="AR675" s="48"/>
      <c r="AS675" s="48"/>
      <c r="AT675" s="48"/>
      <c r="AU675" s="159"/>
      <c r="AV675" s="48"/>
      <c r="AW675" s="48"/>
      <c r="AX675" s="48"/>
      <c r="AY675" s="48"/>
      <c r="AZ675" s="159"/>
      <c r="BA675" s="48"/>
      <c r="BB675" s="48"/>
      <c r="BC675" s="48"/>
      <c r="BD675" s="48"/>
      <c r="BE675" s="159"/>
      <c r="BF675" s="48"/>
      <c r="BG675" s="48"/>
      <c r="BH675" s="48"/>
      <c r="BI675" s="48"/>
      <c r="BJ675" s="159"/>
      <c r="BK675" s="48"/>
      <c r="BL675" s="48"/>
      <c r="BM675" s="48"/>
      <c r="BN675" s="48"/>
      <c r="BO675" s="160"/>
      <c r="BP675" s="48"/>
      <c r="BQ675" s="48"/>
      <c r="BR675" s="48"/>
      <c r="BS675" s="48"/>
      <c r="BT675" s="159"/>
      <c r="BU675" s="48"/>
      <c r="BV675" s="48"/>
      <c r="BW675" s="48"/>
      <c r="BX675" s="48"/>
      <c r="BY675" s="159"/>
      <c r="BZ675" s="159"/>
      <c r="CA675" s="159"/>
      <c r="CB675" s="159"/>
      <c r="CC675" s="50"/>
    </row>
    <row r="676" s="51" customFormat="true" ht="15" hidden="false" customHeight="true" outlineLevel="0" collapsed="false">
      <c r="A676" s="270" t="s">
        <v>627</v>
      </c>
      <c r="B676" s="254"/>
      <c r="C676" s="255" t="n">
        <v>39.028</v>
      </c>
      <c r="D676" s="255" t="n">
        <v>39.293</v>
      </c>
      <c r="E676" s="255" t="n">
        <v>38.354</v>
      </c>
      <c r="F676" s="255" t="n">
        <v>37.47</v>
      </c>
      <c r="G676" s="255" t="n">
        <v>40.092</v>
      </c>
      <c r="H676" s="48"/>
      <c r="I676" s="48"/>
      <c r="J676" s="48"/>
      <c r="K676" s="48"/>
      <c r="L676" s="255" t="n">
        <v>39.426</v>
      </c>
      <c r="M676" s="48"/>
      <c r="N676" s="48"/>
      <c r="O676" s="48"/>
      <c r="P676" s="48"/>
      <c r="Q676" s="255" t="n">
        <v>38.786</v>
      </c>
      <c r="R676" s="48"/>
      <c r="S676" s="48"/>
      <c r="T676" s="48"/>
      <c r="U676" s="48"/>
      <c r="V676" s="255" t="n">
        <v>39.4</v>
      </c>
      <c r="W676" s="48"/>
      <c r="X676" s="48"/>
      <c r="Y676" s="48"/>
      <c r="Z676" s="48"/>
      <c r="AA676" s="255" t="n">
        <v>38.8</v>
      </c>
      <c r="AB676" s="48"/>
      <c r="AC676" s="48"/>
      <c r="AD676" s="48"/>
      <c r="AE676" s="48"/>
      <c r="AF676" s="255" t="n">
        <v>38.6</v>
      </c>
      <c r="AG676" s="48"/>
      <c r="AH676" s="48"/>
      <c r="AI676" s="48"/>
      <c r="AJ676" s="48"/>
      <c r="AK676" s="255" t="n">
        <v>38.2</v>
      </c>
      <c r="AL676" s="48"/>
      <c r="AM676" s="48"/>
      <c r="AN676" s="48"/>
      <c r="AO676" s="48"/>
      <c r="AP676" s="255" t="n">
        <v>37.6</v>
      </c>
      <c r="AQ676" s="48"/>
      <c r="AR676" s="48"/>
      <c r="AS676" s="48"/>
      <c r="AT676" s="48"/>
      <c r="AU676" s="255" t="n">
        <v>36.5</v>
      </c>
      <c r="AV676" s="48"/>
      <c r="AW676" s="48"/>
      <c r="AX676" s="48"/>
      <c r="AY676" s="48"/>
      <c r="AZ676" s="255" t="n">
        <v>36.3</v>
      </c>
      <c r="BA676" s="48"/>
      <c r="BB676" s="48"/>
      <c r="BC676" s="48"/>
      <c r="BD676" s="48"/>
      <c r="BE676" s="255" t="n">
        <v>36</v>
      </c>
      <c r="BF676" s="48"/>
      <c r="BG676" s="48"/>
      <c r="BH676" s="48"/>
      <c r="BI676" s="48"/>
      <c r="BJ676" s="255" t="n">
        <v>35.4</v>
      </c>
      <c r="BK676" s="48"/>
      <c r="BL676" s="48"/>
      <c r="BM676" s="48"/>
      <c r="BN676" s="48"/>
      <c r="BO676" s="160"/>
      <c r="BP676" s="48"/>
      <c r="BQ676" s="48"/>
      <c r="BR676" s="48"/>
      <c r="BS676" s="48"/>
      <c r="BT676" s="159"/>
      <c r="BU676" s="48"/>
      <c r="BV676" s="48"/>
      <c r="BW676" s="48"/>
      <c r="BX676" s="48"/>
      <c r="BY676" s="159"/>
      <c r="BZ676" s="159"/>
      <c r="CA676" s="159"/>
      <c r="CB676" s="159"/>
      <c r="CC676" s="50"/>
    </row>
    <row r="677" s="51" customFormat="true" ht="15" hidden="false" customHeight="true" outlineLevel="0" collapsed="false">
      <c r="A677" s="270" t="s">
        <v>628</v>
      </c>
      <c r="B677" s="254"/>
      <c r="C677" s="255" t="n">
        <v>476.261</v>
      </c>
      <c r="D677" s="255" t="n">
        <v>471.253</v>
      </c>
      <c r="E677" s="255" t="n">
        <v>473.043</v>
      </c>
      <c r="F677" s="255" t="n">
        <v>483.651</v>
      </c>
      <c r="G677" s="255" t="n">
        <v>2912.862</v>
      </c>
      <c r="H677" s="48"/>
      <c r="I677" s="48"/>
      <c r="J677" s="48"/>
      <c r="K677" s="48"/>
      <c r="L677" s="255" t="n">
        <v>3002.05</v>
      </c>
      <c r="M677" s="48"/>
      <c r="N677" s="48"/>
      <c r="O677" s="48"/>
      <c r="P677" s="48"/>
      <c r="Q677" s="255" t="n">
        <v>3070.332</v>
      </c>
      <c r="R677" s="48"/>
      <c r="S677" s="48"/>
      <c r="T677" s="48"/>
      <c r="U677" s="48"/>
      <c r="V677" s="255" t="n">
        <v>3693.5</v>
      </c>
      <c r="W677" s="48"/>
      <c r="X677" s="48"/>
      <c r="Y677" s="48"/>
      <c r="Z677" s="48"/>
      <c r="AA677" s="255" t="n">
        <v>3732.5</v>
      </c>
      <c r="AB677" s="48"/>
      <c r="AC677" s="48"/>
      <c r="AD677" s="48"/>
      <c r="AE677" s="48"/>
      <c r="AF677" s="255" t="n">
        <v>3741.3</v>
      </c>
      <c r="AG677" s="48"/>
      <c r="AH677" s="48"/>
      <c r="AI677" s="48"/>
      <c r="AJ677" s="48"/>
      <c r="AK677" s="255" t="n">
        <v>3772</v>
      </c>
      <c r="AL677" s="48"/>
      <c r="AM677" s="48"/>
      <c r="AN677" s="48"/>
      <c r="AO677" s="48"/>
      <c r="AP677" s="255" t="n">
        <v>3780.1</v>
      </c>
      <c r="AQ677" s="48"/>
      <c r="AR677" s="48"/>
      <c r="AS677" s="48"/>
      <c r="AT677" s="48"/>
      <c r="AU677" s="255" t="n">
        <v>3876.1</v>
      </c>
      <c r="AV677" s="48"/>
      <c r="AW677" s="48"/>
      <c r="AX677" s="48"/>
      <c r="AY677" s="48"/>
      <c r="AZ677" s="255" t="n">
        <v>3940.8</v>
      </c>
      <c r="BA677" s="48"/>
      <c r="BB677" s="48"/>
      <c r="BC677" s="48"/>
      <c r="BD677" s="48"/>
      <c r="BE677" s="255" t="n">
        <v>3998.1</v>
      </c>
      <c r="BF677" s="48"/>
      <c r="BG677" s="48"/>
      <c r="BH677" s="48"/>
      <c r="BI677" s="48"/>
      <c r="BJ677" s="255" t="n">
        <v>4049</v>
      </c>
      <c r="BK677" s="48"/>
      <c r="BL677" s="48"/>
      <c r="BM677" s="48"/>
      <c r="BN677" s="48"/>
      <c r="BO677" s="160"/>
      <c r="BP677" s="48"/>
      <c r="BQ677" s="48"/>
      <c r="BR677" s="48"/>
      <c r="BS677" s="48"/>
      <c r="BT677" s="159"/>
      <c r="BU677" s="48"/>
      <c r="BV677" s="48"/>
      <c r="BW677" s="48"/>
      <c r="BX677" s="48"/>
      <c r="BY677" s="159"/>
      <c r="BZ677" s="159"/>
      <c r="CA677" s="159"/>
      <c r="CB677" s="159"/>
      <c r="CC677" s="50"/>
    </row>
    <row r="678" s="51" customFormat="true" ht="15" hidden="false" customHeight="true" outlineLevel="0" collapsed="false">
      <c r="A678" s="270" t="s">
        <v>629</v>
      </c>
      <c r="B678" s="254"/>
      <c r="C678" s="255" t="n">
        <v>-218.203</v>
      </c>
      <c r="D678" s="255" t="n">
        <v>-151.672</v>
      </c>
      <c r="E678" s="255" t="n">
        <v>-416.417</v>
      </c>
      <c r="F678" s="255" t="n">
        <v>-464.574</v>
      </c>
      <c r="G678" s="255" t="n">
        <v>-364.702</v>
      </c>
      <c r="H678" s="48"/>
      <c r="I678" s="48"/>
      <c r="J678" s="48"/>
      <c r="K678" s="48"/>
      <c r="L678" s="255" t="n">
        <v>-389.443</v>
      </c>
      <c r="M678" s="48"/>
      <c r="N678" s="48"/>
      <c r="O678" s="48"/>
      <c r="P678" s="48"/>
      <c r="Q678" s="255" t="n">
        <v>-476.922</v>
      </c>
      <c r="R678" s="48"/>
      <c r="S678" s="48"/>
      <c r="T678" s="48"/>
      <c r="U678" s="48"/>
      <c r="V678" s="255" t="n">
        <v>-796.2</v>
      </c>
      <c r="W678" s="48"/>
      <c r="X678" s="48"/>
      <c r="Y678" s="48"/>
      <c r="Z678" s="48"/>
      <c r="AA678" s="255" t="n">
        <v>-557.9</v>
      </c>
      <c r="AB678" s="48"/>
      <c r="AC678" s="48"/>
      <c r="AD678" s="48"/>
      <c r="AE678" s="48"/>
      <c r="AF678" s="255" t="n">
        <v>-1621.8</v>
      </c>
      <c r="AG678" s="48"/>
      <c r="AH678" s="48"/>
      <c r="AI678" s="48"/>
      <c r="AJ678" s="48"/>
      <c r="AK678" s="255" t="n">
        <v>-1019.6</v>
      </c>
      <c r="AL678" s="48"/>
      <c r="AM678" s="48"/>
      <c r="AN678" s="48"/>
      <c r="AO678" s="48"/>
      <c r="AP678" s="255" t="n">
        <v>-863.2</v>
      </c>
      <c r="AQ678" s="48"/>
      <c r="AR678" s="48"/>
      <c r="AS678" s="48"/>
      <c r="AT678" s="48"/>
      <c r="AU678" s="255" t="n">
        <v>-2422.8</v>
      </c>
      <c r="AV678" s="48"/>
      <c r="AW678" s="48"/>
      <c r="AX678" s="48"/>
      <c r="AY678" s="48"/>
      <c r="AZ678" s="255" t="n">
        <v>-4641.3</v>
      </c>
      <c r="BA678" s="48"/>
      <c r="BB678" s="48"/>
      <c r="BC678" s="48"/>
      <c r="BD678" s="48"/>
      <c r="BE678" s="255" t="n">
        <v>-3306.2</v>
      </c>
      <c r="BF678" s="48"/>
      <c r="BG678" s="48"/>
      <c r="BH678" s="48"/>
      <c r="BI678" s="48"/>
      <c r="BJ678" s="255" t="n">
        <v>-476</v>
      </c>
      <c r="BK678" s="48"/>
      <c r="BL678" s="48"/>
      <c r="BM678" s="48"/>
      <c r="BN678" s="48"/>
      <c r="BO678" s="160"/>
      <c r="BP678" s="48"/>
      <c r="BQ678" s="48"/>
      <c r="BR678" s="48"/>
      <c r="BS678" s="48"/>
      <c r="BT678" s="159"/>
      <c r="BU678" s="48"/>
      <c r="BV678" s="48"/>
      <c r="BW678" s="48"/>
      <c r="BX678" s="48"/>
      <c r="BY678" s="159"/>
      <c r="BZ678" s="159"/>
      <c r="CA678" s="159"/>
      <c r="CB678" s="159"/>
      <c r="CC678" s="50"/>
    </row>
    <row r="679" s="51" customFormat="true" ht="15" hidden="false" customHeight="true" outlineLevel="0" collapsed="false">
      <c r="A679" s="270" t="s">
        <v>630</v>
      </c>
      <c r="B679" s="254"/>
      <c r="C679" s="255" t="n">
        <v>1450.156</v>
      </c>
      <c r="D679" s="255" t="n">
        <v>2366.443</v>
      </c>
      <c r="E679" s="255" t="n">
        <v>3270.703</v>
      </c>
      <c r="F679" s="255" t="n">
        <v>3931.359</v>
      </c>
      <c r="G679" s="255" t="n">
        <v>4376.613</v>
      </c>
      <c r="H679" s="48"/>
      <c r="I679" s="48"/>
      <c r="J679" s="48"/>
      <c r="K679" s="48"/>
      <c r="L679" s="255" t="n">
        <v>4648.541</v>
      </c>
      <c r="M679" s="48"/>
      <c r="N679" s="48"/>
      <c r="O679" s="48"/>
      <c r="P679" s="48"/>
      <c r="Q679" s="255" t="n">
        <v>5284.315</v>
      </c>
      <c r="R679" s="48"/>
      <c r="S679" s="48"/>
      <c r="T679" s="48"/>
      <c r="U679" s="48"/>
      <c r="V679" s="255" t="n">
        <v>6282.5</v>
      </c>
      <c r="W679" s="48"/>
      <c r="X679" s="48"/>
      <c r="Y679" s="48"/>
      <c r="Z679" s="48"/>
      <c r="AA679" s="255" t="n">
        <v>7211.3</v>
      </c>
      <c r="AB679" s="48"/>
      <c r="AC679" s="48"/>
      <c r="AD679" s="48"/>
      <c r="AE679" s="48"/>
      <c r="AF679" s="255" t="n">
        <v>9197.9</v>
      </c>
      <c r="AG679" s="48"/>
      <c r="AH679" s="48"/>
      <c r="AI679" s="48"/>
      <c r="AJ679" s="48"/>
      <c r="AK679" s="255" t="n">
        <v>9523.8</v>
      </c>
      <c r="AL679" s="48"/>
      <c r="AM679" s="48"/>
      <c r="AN679" s="48"/>
      <c r="AO679" s="48"/>
      <c r="AP679" s="255" t="n">
        <v>10731.5</v>
      </c>
      <c r="AQ679" s="48"/>
      <c r="AR679" s="48"/>
      <c r="AS679" s="48"/>
      <c r="AT679" s="48"/>
      <c r="AU679" s="255" t="n">
        <v>8317.3</v>
      </c>
      <c r="AV679" s="48"/>
      <c r="AW679" s="48"/>
      <c r="AX679" s="48"/>
      <c r="AY679" s="48"/>
      <c r="AZ679" s="255" t="n">
        <v>9046.7</v>
      </c>
      <c r="BA679" s="48"/>
      <c r="BB679" s="48"/>
      <c r="BC679" s="48"/>
      <c r="BD679" s="48"/>
      <c r="BE679" s="255" t="n">
        <v>12379.5</v>
      </c>
      <c r="BF679" s="48"/>
      <c r="BG679" s="48"/>
      <c r="BH679" s="48"/>
      <c r="BI679" s="48"/>
      <c r="BJ679" s="255" t="n">
        <v>14414.3</v>
      </c>
      <c r="BK679" s="48"/>
      <c r="BL679" s="48"/>
      <c r="BM679" s="48"/>
      <c r="BN679" s="48"/>
      <c r="BO679" s="160"/>
      <c r="BP679" s="48"/>
      <c r="BQ679" s="48"/>
      <c r="BR679" s="48"/>
      <c r="BS679" s="48"/>
      <c r="BT679" s="159"/>
      <c r="BU679" s="48"/>
      <c r="BV679" s="48"/>
      <c r="BW679" s="48"/>
      <c r="BX679" s="48"/>
      <c r="BY679" s="159"/>
      <c r="BZ679" s="159"/>
      <c r="CA679" s="159"/>
      <c r="CB679" s="159"/>
      <c r="CC679" s="50"/>
    </row>
    <row r="680" s="51" customFormat="true" ht="15" hidden="false" customHeight="true" outlineLevel="0" collapsed="false">
      <c r="A680" s="226" t="s">
        <v>631</v>
      </c>
      <c r="B680" s="257"/>
      <c r="C680" s="258" t="n">
        <v>27.526</v>
      </c>
      <c r="D680" s="258" t="n">
        <v>48.591</v>
      </c>
      <c r="E680" s="258" t="n">
        <v>78.471</v>
      </c>
      <c r="F680" s="258" t="n">
        <v>78.987</v>
      </c>
      <c r="G680" s="258" t="n">
        <v>-42.438</v>
      </c>
      <c r="H680" s="259"/>
      <c r="I680" s="259"/>
      <c r="J680" s="259"/>
      <c r="K680" s="259"/>
      <c r="L680" s="258" t="n">
        <v>212.016</v>
      </c>
      <c r="M680" s="259"/>
      <c r="N680" s="259"/>
      <c r="O680" s="259"/>
      <c r="P680" s="259"/>
      <c r="Q680" s="258" t="n">
        <v>472.32</v>
      </c>
      <c r="R680" s="259"/>
      <c r="S680" s="259"/>
      <c r="T680" s="259"/>
      <c r="U680" s="259"/>
      <c r="V680" s="258" t="n">
        <v>601.2</v>
      </c>
      <c r="W680" s="259"/>
      <c r="X680" s="259"/>
      <c r="Y680" s="259"/>
      <c r="Z680" s="259"/>
      <c r="AA680" s="258" t="n">
        <v>251.5</v>
      </c>
      <c r="AB680" s="259"/>
      <c r="AC680" s="259"/>
      <c r="AD680" s="259"/>
      <c r="AE680" s="259"/>
      <c r="AF680" s="258" t="n">
        <v>285</v>
      </c>
      <c r="AG680" s="259"/>
      <c r="AH680" s="259"/>
      <c r="AI680" s="259"/>
      <c r="AJ680" s="259"/>
      <c r="AK680" s="258" t="n">
        <v>277.8</v>
      </c>
      <c r="AL680" s="259"/>
      <c r="AM680" s="259"/>
      <c r="AN680" s="259"/>
      <c r="AO680" s="259"/>
      <c r="AP680" s="258" t="n">
        <v>179.4</v>
      </c>
      <c r="AQ680" s="259"/>
      <c r="AR680" s="259"/>
      <c r="AS680" s="259"/>
      <c r="AT680" s="259"/>
      <c r="AU680" s="258" t="n">
        <v>333.5</v>
      </c>
      <c r="AV680" s="259"/>
      <c r="AW680" s="259"/>
      <c r="AX680" s="259"/>
      <c r="AY680" s="259"/>
      <c r="AZ680" s="258" t="n">
        <v>428.3</v>
      </c>
      <c r="BA680" s="259"/>
      <c r="BB680" s="259"/>
      <c r="BC680" s="259"/>
      <c r="BD680" s="259"/>
      <c r="BE680" s="258" t="n">
        <v>345</v>
      </c>
      <c r="BF680" s="259"/>
      <c r="BG680" s="259"/>
      <c r="BH680" s="259"/>
      <c r="BI680" s="259"/>
      <c r="BJ680" s="258" t="n">
        <v>454.1</v>
      </c>
      <c r="BK680" s="259"/>
      <c r="BL680" s="259"/>
      <c r="BM680" s="259"/>
      <c r="BN680" s="259"/>
      <c r="BO680" s="260"/>
      <c r="BP680" s="259"/>
      <c r="BQ680" s="259"/>
      <c r="BR680" s="259"/>
      <c r="BS680" s="259"/>
      <c r="BT680" s="261"/>
      <c r="BU680" s="259"/>
      <c r="BV680" s="259"/>
      <c r="BW680" s="259"/>
      <c r="BX680" s="259"/>
      <c r="BY680" s="261"/>
      <c r="BZ680" s="261"/>
      <c r="CA680" s="261"/>
      <c r="CB680" s="261"/>
      <c r="CC680" s="50"/>
    </row>
    <row r="681" s="157" customFormat="true" ht="15" hidden="false" customHeight="true" outlineLevel="0" collapsed="false">
      <c r="A681" s="244" t="s">
        <v>632</v>
      </c>
      <c r="B681" s="393"/>
      <c r="C681" s="357" t="n">
        <f aca="false">SUM(C676:C680)</f>
        <v>1774.768</v>
      </c>
      <c r="D681" s="357" t="n">
        <f aca="false">SUM(D676:D680)</f>
        <v>2773.908</v>
      </c>
      <c r="E681" s="357" t="n">
        <f aca="false">SUM(E676:E680)</f>
        <v>3444.154</v>
      </c>
      <c r="F681" s="357" t="n">
        <f aca="false">SUM(F676:F680)</f>
        <v>4066.893</v>
      </c>
      <c r="G681" s="357" t="n">
        <f aca="false">SUM(G676:G680)</f>
        <v>6922.427</v>
      </c>
      <c r="H681" s="396" t="n">
        <v>7056.9</v>
      </c>
      <c r="I681" s="396" t="n">
        <v>7080.4</v>
      </c>
      <c r="J681" s="396" t="n">
        <v>7324.1</v>
      </c>
      <c r="K681" s="394" t="n">
        <f aca="false">L681</f>
        <v>7512.59</v>
      </c>
      <c r="L681" s="357" t="n">
        <f aca="false">SUM(L676:L680)</f>
        <v>7512.59</v>
      </c>
      <c r="M681" s="396" t="n">
        <v>8076.8</v>
      </c>
      <c r="N681" s="396" t="n">
        <v>7962.6</v>
      </c>
      <c r="O681" s="396" t="n">
        <v>8144.9</v>
      </c>
      <c r="P681" s="394" t="n">
        <f aca="false">Q681</f>
        <v>8388.831</v>
      </c>
      <c r="Q681" s="357" t="n">
        <f aca="false">SUM(Q676:Q680)</f>
        <v>8388.831</v>
      </c>
      <c r="R681" s="396" t="n">
        <v>8303.4</v>
      </c>
      <c r="S681" s="396" t="n">
        <v>8149.2</v>
      </c>
      <c r="T681" s="396" t="n">
        <v>8513.2</v>
      </c>
      <c r="U681" s="394" t="n">
        <f aca="false">V681</f>
        <v>9820.4</v>
      </c>
      <c r="V681" s="357" t="n">
        <f aca="false">SUM(V676:V680)</f>
        <v>9820.4</v>
      </c>
      <c r="W681" s="396" t="n">
        <v>10243</v>
      </c>
      <c r="X681" s="396" t="n">
        <v>10032.6</v>
      </c>
      <c r="Y681" s="396" t="n">
        <v>10346.8</v>
      </c>
      <c r="Z681" s="394" t="n">
        <f aca="false">AA681</f>
        <v>10676.2</v>
      </c>
      <c r="AA681" s="357" t="n">
        <f aca="false">SUM(AA676:AA680)</f>
        <v>10676.2</v>
      </c>
      <c r="AB681" s="396" t="n">
        <v>11061.7</v>
      </c>
      <c r="AC681" s="396" t="n">
        <v>10822.2</v>
      </c>
      <c r="AD681" s="396" t="n">
        <v>11154</v>
      </c>
      <c r="AE681" s="394" t="n">
        <f aca="false">AF681</f>
        <v>11641</v>
      </c>
      <c r="AF681" s="357" t="n">
        <f aca="false">SUM(AF676:AF680)</f>
        <v>11641</v>
      </c>
      <c r="AG681" s="396" t="n">
        <v>11965.7</v>
      </c>
      <c r="AH681" s="396" t="n">
        <v>11545.3</v>
      </c>
      <c r="AI681" s="396" t="n">
        <v>12071.1</v>
      </c>
      <c r="AJ681" s="394" t="n">
        <f aca="false">AK681</f>
        <v>12592.2</v>
      </c>
      <c r="AK681" s="357" t="n">
        <f aca="false">SUM(AK676:AK680)</f>
        <v>12592.2</v>
      </c>
      <c r="AL681" s="396" t="n">
        <v>12525.2</v>
      </c>
      <c r="AM681" s="396" t="n">
        <v>12699.8</v>
      </c>
      <c r="AN681" s="396" t="n">
        <v>13742.5</v>
      </c>
      <c r="AO681" s="394" t="n">
        <f aca="false">AP681</f>
        <v>13865.4</v>
      </c>
      <c r="AP681" s="357" t="n">
        <f aca="false">SUM(AP676:AP680)</f>
        <v>13865.4</v>
      </c>
      <c r="AQ681" s="396" t="n">
        <v>13628.9</v>
      </c>
      <c r="AR681" s="396" t="n">
        <v>12093.3</v>
      </c>
      <c r="AS681" s="396" t="n">
        <v>11502.4</v>
      </c>
      <c r="AT681" s="394" t="n">
        <f aca="false">AU681</f>
        <v>10140.6</v>
      </c>
      <c r="AU681" s="357" t="n">
        <f aca="false">SUM(AU676:AU680)</f>
        <v>10140.6</v>
      </c>
      <c r="AV681" s="396" t="n">
        <v>8810.4</v>
      </c>
      <c r="AW681" s="396" t="n">
        <v>7648.6</v>
      </c>
      <c r="AX681" s="396" t="n">
        <v>7955.1</v>
      </c>
      <c r="AY681" s="394" t="n">
        <f aca="false">AZ681</f>
        <v>8810.8</v>
      </c>
      <c r="AZ681" s="357" t="n">
        <f aca="false">SUM(AZ676:AZ680)</f>
        <v>8810.8</v>
      </c>
      <c r="BA681" s="396" t="n">
        <v>9786.3</v>
      </c>
      <c r="BB681" s="396" t="n">
        <v>10604.9</v>
      </c>
      <c r="BC681" s="396" t="n">
        <v>11994.9</v>
      </c>
      <c r="BD681" s="394" t="n">
        <f aca="false">BE681</f>
        <v>13452.4</v>
      </c>
      <c r="BE681" s="162" t="n">
        <f aca="false">SUM(BE676:BE680)</f>
        <v>13452.4</v>
      </c>
      <c r="BF681" s="396" t="n">
        <v>13794.1</v>
      </c>
      <c r="BG681" s="396" t="n">
        <v>14711.2</v>
      </c>
      <c r="BH681" s="396" t="n">
        <v>16151.6</v>
      </c>
      <c r="BI681" s="394" t="n">
        <f aca="false">BJ681</f>
        <v>18476.8</v>
      </c>
      <c r="BJ681" s="162" t="n">
        <f aca="false">SUM(BJ676:BJ680)</f>
        <v>18476.8</v>
      </c>
      <c r="BK681" s="396" t="n">
        <v>17500.7</v>
      </c>
      <c r="BL681" s="396" t="n">
        <v>17618.2</v>
      </c>
      <c r="BM681" s="396" t="n">
        <v>18993.5</v>
      </c>
      <c r="BN681" s="394" t="n">
        <f aca="false">BO681</f>
        <v>19612.2</v>
      </c>
      <c r="BO681" s="398" t="n">
        <v>19612.2</v>
      </c>
      <c r="BP681" s="163" t="n">
        <f aca="false">BO681+BP530+BP564+BP563+BP526</f>
        <v>21460.9435499689</v>
      </c>
      <c r="BQ681" s="163" t="n">
        <f aca="false">BP681+BQ530+BQ564+BQ563+BQ526</f>
        <v>23660.8208293173</v>
      </c>
      <c r="BR681" s="163" t="n">
        <f aca="false">BQ681+BR530+BR564+BR563+BR526</f>
        <v>25790.8916905494</v>
      </c>
      <c r="BS681" s="163" t="n">
        <f aca="false">BR681+BS530+BS564+BS563+BS526</f>
        <v>28172.7574093387</v>
      </c>
      <c r="BT681" s="162" t="n">
        <f aca="false">BS681</f>
        <v>28172.7574093387</v>
      </c>
      <c r="BU681" s="163" t="n">
        <f aca="false">BT681+BU530+BU564+BU563+BU526</f>
        <v>30184.2040983377</v>
      </c>
      <c r="BV681" s="163" t="n">
        <f aca="false">BU681+BV530+BV564+BV563+BV526</f>
        <v>33015.5082328439</v>
      </c>
      <c r="BW681" s="163" t="n">
        <f aca="false">BV681+BW530+BW564+BW563+BW526</f>
        <v>35705.1717042762</v>
      </c>
      <c r="BX681" s="163" t="n">
        <f aca="false">BW681+BX530+BX564+BX563+BX526</f>
        <v>38544.6304956226</v>
      </c>
      <c r="BY681" s="162" t="n">
        <f aca="false">BX681</f>
        <v>38544.6304956226</v>
      </c>
      <c r="BZ681" s="162" t="n">
        <f aca="false">BY681+BZ530+BZ564+BZ563+BZ526</f>
        <v>51590.4705102626</v>
      </c>
      <c r="CA681" s="162" t="n">
        <f aca="false">BZ681+CA530+CA564+CA563+CA526</f>
        <v>65678.5806621139</v>
      </c>
      <c r="CB681" s="162" t="n">
        <f aca="false">CA681+CB530+CB564+CB563+CB526</f>
        <v>80882.8481526917</v>
      </c>
      <c r="CC681" s="156"/>
    </row>
    <row r="682" s="51" customFormat="true" ht="15" hidden="false" customHeight="true" outlineLevel="0" collapsed="false">
      <c r="A682" s="270" t="s">
        <v>633</v>
      </c>
      <c r="B682" s="254"/>
      <c r="C682" s="159"/>
      <c r="D682" s="159"/>
      <c r="E682" s="159"/>
      <c r="F682" s="159"/>
      <c r="G682" s="159"/>
      <c r="H682" s="48"/>
      <c r="I682" s="48"/>
      <c r="J682" s="48"/>
      <c r="K682" s="50" t="n">
        <f aca="false">L682</f>
        <v>0</v>
      </c>
      <c r="L682" s="159"/>
      <c r="M682" s="48"/>
      <c r="N682" s="48"/>
      <c r="O682" s="48"/>
      <c r="P682" s="50" t="n">
        <f aca="false">Q682</f>
        <v>0</v>
      </c>
      <c r="Q682" s="159"/>
      <c r="R682" s="48"/>
      <c r="S682" s="48"/>
      <c r="T682" s="48"/>
      <c r="U682" s="50" t="n">
        <f aca="false">V682</f>
        <v>0</v>
      </c>
      <c r="V682" s="159"/>
      <c r="W682" s="48"/>
      <c r="X682" s="48"/>
      <c r="Y682" s="48"/>
      <c r="Z682" s="50" t="n">
        <f aca="false">AA682</f>
        <v>0</v>
      </c>
      <c r="AA682" s="159"/>
      <c r="AB682" s="48"/>
      <c r="AC682" s="48"/>
      <c r="AD682" s="48"/>
      <c r="AE682" s="50" t="n">
        <f aca="false">AF682</f>
        <v>0</v>
      </c>
      <c r="AF682" s="159"/>
      <c r="AG682" s="48"/>
      <c r="AH682" s="48"/>
      <c r="AI682" s="48"/>
      <c r="AJ682" s="50" t="n">
        <f aca="false">AK682</f>
        <v>0</v>
      </c>
      <c r="AK682" s="159"/>
      <c r="AL682" s="48"/>
      <c r="AM682" s="48"/>
      <c r="AN682" s="48"/>
      <c r="AO682" s="50" t="n">
        <f aca="false">AP682</f>
        <v>0</v>
      </c>
      <c r="AP682" s="159"/>
      <c r="AQ682" s="48"/>
      <c r="AR682" s="48"/>
      <c r="AS682" s="48"/>
      <c r="AT682" s="50" t="n">
        <f aca="false">AU682</f>
        <v>0</v>
      </c>
      <c r="AU682" s="159"/>
      <c r="AV682" s="48"/>
      <c r="AW682" s="48"/>
      <c r="AX682" s="48"/>
      <c r="AY682" s="50" t="n">
        <f aca="false">AZ682</f>
        <v>0</v>
      </c>
      <c r="AZ682" s="159"/>
      <c r="BA682" s="48"/>
      <c r="BB682" s="48"/>
      <c r="BC682" s="48"/>
      <c r="BD682" s="50" t="n">
        <f aca="false">BE682</f>
        <v>0</v>
      </c>
      <c r="BE682" s="159"/>
      <c r="BF682" s="48"/>
      <c r="BG682" s="48"/>
      <c r="BH682" s="48"/>
      <c r="BI682" s="50" t="n">
        <f aca="false">BJ682</f>
        <v>0</v>
      </c>
      <c r="BJ682" s="159"/>
      <c r="BK682" s="48"/>
      <c r="BL682" s="48"/>
      <c r="BM682" s="48"/>
      <c r="BN682" s="50" t="n">
        <f aca="false">BO682</f>
        <v>0</v>
      </c>
      <c r="BO682" s="160"/>
      <c r="BP682" s="48" t="n">
        <f aca="false">BO682+BP358</f>
        <v>0</v>
      </c>
      <c r="BQ682" s="48" t="n">
        <f aca="false">BP682+BQ358</f>
        <v>0</v>
      </c>
      <c r="BR682" s="48" t="n">
        <f aca="false">BQ682+BR358</f>
        <v>0</v>
      </c>
      <c r="BS682" s="48" t="n">
        <f aca="false">BR682+BS358</f>
        <v>0</v>
      </c>
      <c r="BT682" s="159" t="n">
        <f aca="false">BO682+BT358</f>
        <v>0</v>
      </c>
      <c r="BU682" s="48" t="n">
        <f aca="false">BT682+BU358</f>
        <v>0</v>
      </c>
      <c r="BV682" s="48" t="n">
        <f aca="false">BU682+BV358</f>
        <v>0</v>
      </c>
      <c r="BW682" s="48" t="n">
        <f aca="false">BV682+BW358</f>
        <v>0</v>
      </c>
      <c r="BX682" s="48" t="n">
        <f aca="false">BW682+BX358</f>
        <v>0</v>
      </c>
      <c r="BY682" s="159" t="n">
        <f aca="false">BT682+BY358</f>
        <v>0</v>
      </c>
      <c r="BZ682" s="159" t="n">
        <f aca="false">BY682+BZ358</f>
        <v>0</v>
      </c>
      <c r="CA682" s="159" t="n">
        <f aca="false">BZ682+CA358</f>
        <v>0</v>
      </c>
      <c r="CB682" s="159" t="n">
        <f aca="false">CA682+CB358</f>
        <v>0</v>
      </c>
      <c r="CC682" s="50"/>
    </row>
    <row r="683" s="157" customFormat="true" ht="15" hidden="false" customHeight="true" outlineLevel="0" collapsed="false">
      <c r="A683" s="221" t="s">
        <v>634</v>
      </c>
      <c r="B683" s="266"/>
      <c r="C683" s="399" t="n">
        <f aca="false">C681+C673+C682</f>
        <v>3764.151</v>
      </c>
      <c r="D683" s="399" t="n">
        <f aca="false">D681+D673+D682</f>
        <v>6180.358</v>
      </c>
      <c r="E683" s="399" t="n">
        <f aca="false">E681+E673+E682</f>
        <v>7260.815</v>
      </c>
      <c r="F683" s="399" t="n">
        <f aca="false">F681+F673+F682</f>
        <v>7410.478</v>
      </c>
      <c r="G683" s="399" t="n">
        <f aca="false">G681+G673+G682</f>
        <v>11513.73</v>
      </c>
      <c r="H683" s="156" t="n">
        <f aca="false">H681+H673+H682</f>
        <v>11758.3</v>
      </c>
      <c r="I683" s="156" t="n">
        <f aca="false">I681+I673+I682</f>
        <v>11888.5</v>
      </c>
      <c r="J683" s="156" t="n">
        <f aca="false">J681+J673+J682</f>
        <v>12096.6</v>
      </c>
      <c r="K683" s="156" t="n">
        <f aca="false">K681+K673+K682</f>
        <v>12203.945</v>
      </c>
      <c r="L683" s="399" t="n">
        <f aca="false">L681+L673+L682</f>
        <v>12203.945</v>
      </c>
      <c r="M683" s="156" t="n">
        <f aca="false">M681+M673+M682</f>
        <v>13091.1</v>
      </c>
      <c r="N683" s="156" t="n">
        <f aca="false">N681+N673+N682</f>
        <v>12675.3</v>
      </c>
      <c r="O683" s="156" t="n">
        <f aca="false">O681+O673+O682</f>
        <v>12705.6</v>
      </c>
      <c r="P683" s="156" t="n">
        <f aca="false">P681+P673+P682</f>
        <v>13295.031</v>
      </c>
      <c r="Q683" s="399" t="n">
        <f aca="false">Q681+Q673+Q682</f>
        <v>13295.031</v>
      </c>
      <c r="R683" s="156" t="n">
        <f aca="false">R681+R673+R682</f>
        <v>13143.6</v>
      </c>
      <c r="S683" s="156" t="n">
        <f aca="false">S681+S673+S682</f>
        <v>13303.5</v>
      </c>
      <c r="T683" s="156" t="n">
        <f aca="false">T681+T673+T682</f>
        <v>14802.2</v>
      </c>
      <c r="U683" s="156" t="n">
        <f aca="false">U681+U673+U682</f>
        <v>17205.9</v>
      </c>
      <c r="V683" s="399" t="n">
        <f aca="false">V681+V673+V682</f>
        <v>17205.9</v>
      </c>
      <c r="W683" s="156" t="n">
        <f aca="false">W681+W673+W682</f>
        <v>17324.8</v>
      </c>
      <c r="X683" s="156" t="n">
        <f aca="false">X681+X673+X682</f>
        <v>17272.1</v>
      </c>
      <c r="Y683" s="156" t="n">
        <f aca="false">Y681+Y673+Y682</f>
        <v>17496.4</v>
      </c>
      <c r="Z683" s="156" t="n">
        <f aca="false">Z681+Z673+Z682</f>
        <v>18196.4</v>
      </c>
      <c r="AA683" s="399" t="n">
        <f aca="false">AA681+AA673+AA682</f>
        <v>18196.4</v>
      </c>
      <c r="AB683" s="156" t="n">
        <f aca="false">AB681+AB673+AB682</f>
        <v>18644.2</v>
      </c>
      <c r="AC683" s="156" t="n">
        <f aca="false">AC681+AC673+AC682</f>
        <v>18738.8</v>
      </c>
      <c r="AD683" s="156" t="n">
        <f aca="false">AD681+AD673+AD682</f>
        <v>19457.6</v>
      </c>
      <c r="AE683" s="156" t="n">
        <f aca="false">AE681+AE673+AE682</f>
        <v>20136.9</v>
      </c>
      <c r="AF683" s="399" t="n">
        <f aca="false">AF681+AF673+AF682</f>
        <v>20136.9</v>
      </c>
      <c r="AG683" s="156" t="n">
        <f aca="false">AG681+AG673+AG682</f>
        <v>20360.6</v>
      </c>
      <c r="AH683" s="156" t="n">
        <f aca="false">AH681+AH673+AH682</f>
        <v>20033.9</v>
      </c>
      <c r="AI683" s="156" t="n">
        <f aca="false">AI681+AI673+AI682</f>
        <v>20699.2</v>
      </c>
      <c r="AJ683" s="156" t="n">
        <f aca="false">AJ681+AJ673+AJ682</f>
        <v>22629.6</v>
      </c>
      <c r="AK683" s="399" t="n">
        <f aca="false">AK681+AK673+AK682</f>
        <v>22629.6</v>
      </c>
      <c r="AL683" s="156" t="n">
        <f aca="false">AL681+AL673+AL682</f>
        <v>23277.6</v>
      </c>
      <c r="AM683" s="156" t="n">
        <f aca="false">AM681+AM673+AM682</f>
        <v>24306.1</v>
      </c>
      <c r="AN683" s="156" t="n">
        <f aca="false">AN681+AN673+AN682</f>
        <v>25463.4</v>
      </c>
      <c r="AO683" s="156" t="n">
        <f aca="false">AO681+AO673+AO682</f>
        <v>27267.4</v>
      </c>
      <c r="AP683" s="399" t="n">
        <f aca="false">AP681+AP673+AP682</f>
        <v>27267.4</v>
      </c>
      <c r="AQ683" s="156" t="n">
        <f aca="false">AQ681+AQ673+AQ682</f>
        <v>27218.7</v>
      </c>
      <c r="AR683" s="156" t="n">
        <f aca="false">AR681+AR673+AR682</f>
        <v>27815.5</v>
      </c>
      <c r="AS683" s="156" t="n">
        <f aca="false">AS681+AS673+AS682</f>
        <v>27298</v>
      </c>
      <c r="AT683" s="156" t="n">
        <f aca="false">AT681+AT673+AT682</f>
        <v>30231</v>
      </c>
      <c r="AU683" s="399" t="n">
        <f aca="false">AU681+AU673+AU682</f>
        <v>30231</v>
      </c>
      <c r="AV683" s="156" t="n">
        <f aca="false">AV681+AV673+AV682</f>
        <v>30231.8</v>
      </c>
      <c r="AW683" s="156" t="n">
        <f aca="false">AW681+AW673+AW682</f>
        <v>31912.6</v>
      </c>
      <c r="AX683" s="156" t="n">
        <f aca="false">AX681+AX673+AX682</f>
        <v>32803.5</v>
      </c>
      <c r="AY683" s="156" t="n">
        <f aca="false">AY681+AY673+AY682</f>
        <v>36300.4</v>
      </c>
      <c r="AZ683" s="399" t="n">
        <f aca="false">AZ681+AZ673+AZ682</f>
        <v>36300.4</v>
      </c>
      <c r="BA683" s="156" t="n">
        <f aca="false">BA681+BA673+BA682</f>
        <v>35147.6</v>
      </c>
      <c r="BB683" s="156" t="n">
        <f aca="false">BB681+BB673+BB682</f>
        <v>36928.5</v>
      </c>
      <c r="BC683" s="156" t="n">
        <f aca="false">BC681+BC673+BC682</f>
        <v>37513.5</v>
      </c>
      <c r="BD683" s="156" t="n">
        <f aca="false">BD681+BD673+BD682</f>
        <v>39957.5</v>
      </c>
      <c r="BE683" s="399" t="n">
        <f aca="false">BE681+BE673+BE682</f>
        <v>39957.5</v>
      </c>
      <c r="BF683" s="156" t="n">
        <f aca="false">BF681+BF673+BF682</f>
        <v>39042.6</v>
      </c>
      <c r="BG683" s="156" t="n">
        <f aca="false">BG681+BG673+BG682</f>
        <v>40741</v>
      </c>
      <c r="BH683" s="156" t="n">
        <f aca="false">BH681+BH673+BH682</f>
        <v>41766.1</v>
      </c>
      <c r="BI683" s="156" t="n">
        <f aca="false">BI681+BI673+BI682</f>
        <v>48589.6</v>
      </c>
      <c r="BJ683" s="399" t="n">
        <f aca="false">BJ681+BJ673+BJ682</f>
        <v>48589.6</v>
      </c>
      <c r="BK683" s="156" t="n">
        <f aca="false">BK681+BK673+BK682</f>
        <v>45478.8</v>
      </c>
      <c r="BL683" s="156" t="n">
        <f aca="false">BL681+BL673+BL682</f>
        <v>44849.1</v>
      </c>
      <c r="BM683" s="156" t="n">
        <f aca="false">BM681+BM673+BM682</f>
        <v>45097.1</v>
      </c>
      <c r="BN683" s="156" t="n">
        <f aca="false">BN681+BN673+BN682</f>
        <v>50566.6</v>
      </c>
      <c r="BO683" s="400" t="n">
        <f aca="false">BO681+BO673+BO682</f>
        <v>50566.6</v>
      </c>
      <c r="BP683" s="268" t="n">
        <f aca="false">BP681+BP673+BP682</f>
        <v>57365.2458924848</v>
      </c>
      <c r="BQ683" s="268" t="n">
        <f aca="false">BQ681+BQ673+BQ682</f>
        <v>60379.7409140709</v>
      </c>
      <c r="BR683" s="268" t="n">
        <f aca="false">BR681+BR673+BR682</f>
        <v>63896.65884374</v>
      </c>
      <c r="BS683" s="268" t="n">
        <f aca="false">BS681+BS673+BS682</f>
        <v>61538.4980202658</v>
      </c>
      <c r="BT683" s="267" t="n">
        <f aca="false">BT681+BT673+BT682</f>
        <v>61538.4980202658</v>
      </c>
      <c r="BU683" s="268" t="n">
        <f aca="false">BU681+BU673+BU682</f>
        <v>68588.1114807584</v>
      </c>
      <c r="BV683" s="268" t="n">
        <f aca="false">BV681+BV673+BV682</f>
        <v>71351.064436923</v>
      </c>
      <c r="BW683" s="268" t="n">
        <f aca="false">BW681+BW673+BW682</f>
        <v>74317.0215656357</v>
      </c>
      <c r="BX683" s="268" t="n">
        <f aca="false">BX681+BX673+BX682</f>
        <v>72306.7649397959</v>
      </c>
      <c r="BY683" s="267" t="n">
        <f aca="false">BY681+BY673+BY682</f>
        <v>72306.7649397959</v>
      </c>
      <c r="BZ683" s="267" t="n">
        <f aca="false">BZ681+BZ673+BZ682</f>
        <v>89829.7138069717</v>
      </c>
      <c r="CA683" s="267" t="n">
        <f aca="false">CA681+CA673+CA682</f>
        <v>104542.46767549</v>
      </c>
      <c r="CB683" s="267" t="n">
        <f aca="false">CB681+CB673+CB682</f>
        <v>120403.408426845</v>
      </c>
      <c r="CC683" s="156"/>
    </row>
    <row r="684" s="51" customFormat="true" ht="15" hidden="false" customHeight="true" outlineLevel="0" collapsed="false">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9"/>
      <c r="BP684" s="48"/>
      <c r="BQ684" s="48"/>
      <c r="BR684" s="48"/>
      <c r="BS684" s="48"/>
      <c r="BT684" s="48"/>
      <c r="BU684" s="48"/>
      <c r="BV684" s="48"/>
      <c r="BW684" s="48"/>
      <c r="BX684" s="48"/>
      <c r="BY684" s="48"/>
      <c r="BZ684" s="48"/>
      <c r="CA684" s="48"/>
      <c r="CB684" s="48"/>
      <c r="CC684" s="50"/>
    </row>
    <row r="685" s="51" customFormat="true" ht="15" hidden="false" customHeight="true" outlineLevel="0" collapsed="false">
      <c r="A685" s="416" t="s">
        <v>635</v>
      </c>
      <c r="B685" s="416"/>
      <c r="C685" s="417" t="n">
        <f aca="false">ROUND(C653-C683,6)</f>
        <v>0</v>
      </c>
      <c r="D685" s="417" t="n">
        <f aca="false">ROUND(D653-D683,6)</f>
        <v>0</v>
      </c>
      <c r="E685" s="417" t="n">
        <f aca="false">ROUND(E653-E683,6)</f>
        <v>0</v>
      </c>
      <c r="F685" s="417" t="n">
        <f aca="false">ROUND(F653-F683,6)</f>
        <v>0</v>
      </c>
      <c r="G685" s="417" t="n">
        <f aca="false">ROUND(G653-G683,6)</f>
        <v>0</v>
      </c>
      <c r="H685" s="417" t="n">
        <f aca="false">ROUND(H653-H683,6)</f>
        <v>0</v>
      </c>
      <c r="I685" s="417" t="n">
        <f aca="false">ROUND(I653-I683,6)</f>
        <v>0</v>
      </c>
      <c r="J685" s="417" t="n">
        <f aca="false">ROUND(J653-J683,6)</f>
        <v>0</v>
      </c>
      <c r="K685" s="417" t="n">
        <f aca="false">ROUND(K653-K683,6)</f>
        <v>0</v>
      </c>
      <c r="L685" s="417" t="n">
        <f aca="false">ROUND(L653-L683,6)</f>
        <v>0</v>
      </c>
      <c r="M685" s="417" t="n">
        <f aca="false">ROUND(M653-M683,6)</f>
        <v>0</v>
      </c>
      <c r="N685" s="417" t="n">
        <f aca="false">ROUND(N653-N683,6)</f>
        <v>0</v>
      </c>
      <c r="O685" s="417" t="n">
        <f aca="false">ROUND(O653-O683,6)</f>
        <v>0</v>
      </c>
      <c r="P685" s="417" t="n">
        <f aca="false">ROUND(P653-P683,6)</f>
        <v>0</v>
      </c>
      <c r="Q685" s="417" t="n">
        <f aca="false">ROUND(Q653-Q683,6)</f>
        <v>0</v>
      </c>
      <c r="R685" s="417" t="n">
        <f aca="false">ROUND(R653-R683,6)</f>
        <v>0</v>
      </c>
      <c r="S685" s="417" t="n">
        <f aca="false">ROUND(S653-S683,6)</f>
        <v>0</v>
      </c>
      <c r="T685" s="417" t="n">
        <f aca="false">ROUND(T653-T683,6)</f>
        <v>0</v>
      </c>
      <c r="U685" s="417" t="n">
        <f aca="false">ROUND(U653-U683,6)</f>
        <v>0</v>
      </c>
      <c r="V685" s="417" t="n">
        <f aca="false">ROUND(V653-V683,6)</f>
        <v>0</v>
      </c>
      <c r="W685" s="417" t="n">
        <f aca="false">ROUND(W653-W683,6)</f>
        <v>0</v>
      </c>
      <c r="X685" s="417" t="n">
        <f aca="false">ROUND(X653-X683,6)</f>
        <v>0</v>
      </c>
      <c r="Y685" s="417" t="n">
        <f aca="false">ROUND(Y653-Y683,6)</f>
        <v>0</v>
      </c>
      <c r="Z685" s="417" t="n">
        <f aca="false">ROUND(Z653-Z683,6)</f>
        <v>0</v>
      </c>
      <c r="AA685" s="417" t="n">
        <f aca="false">ROUND(AA653-AA683,6)</f>
        <v>0</v>
      </c>
      <c r="AB685" s="417" t="n">
        <f aca="false">ROUND(AB653-AB683,6)</f>
        <v>0</v>
      </c>
      <c r="AC685" s="417" t="n">
        <f aca="false">ROUND(AC653-AC683,6)</f>
        <v>0</v>
      </c>
      <c r="AD685" s="417" t="n">
        <f aca="false">ROUND(AD653-AD683,6)</f>
        <v>0</v>
      </c>
      <c r="AE685" s="417" t="n">
        <f aca="false">ROUND(AE653-AE683,6)</f>
        <v>0</v>
      </c>
      <c r="AF685" s="417" t="n">
        <f aca="false">ROUND(AF653-AF683,6)</f>
        <v>0</v>
      </c>
      <c r="AG685" s="417" t="n">
        <f aca="false">ROUND(AG653-AG683,6)</f>
        <v>0</v>
      </c>
      <c r="AH685" s="417" t="n">
        <f aca="false">ROUND(AH653-AH683,6)</f>
        <v>0</v>
      </c>
      <c r="AI685" s="417" t="n">
        <f aca="false">ROUND(AI653-AI683,6)</f>
        <v>0</v>
      </c>
      <c r="AJ685" s="417" t="n">
        <f aca="false">ROUND(AJ653-AJ683,6)</f>
        <v>0</v>
      </c>
      <c r="AK685" s="417" t="n">
        <f aca="false">ROUND(AK653-AK683,6)</f>
        <v>0</v>
      </c>
      <c r="AL685" s="417" t="n">
        <f aca="false">ROUND(AL653-AL683,6)</f>
        <v>0</v>
      </c>
      <c r="AM685" s="417" t="n">
        <f aca="false">ROUND(AM653-AM683,6)</f>
        <v>0</v>
      </c>
      <c r="AN685" s="417" t="n">
        <f aca="false">ROUND(AN653-AN683,6)</f>
        <v>0</v>
      </c>
      <c r="AO685" s="417" t="n">
        <f aca="false">ROUND(AO653-AO683,6)</f>
        <v>0</v>
      </c>
      <c r="AP685" s="417" t="n">
        <f aca="false">ROUND(AP653-AP683,6)</f>
        <v>0</v>
      </c>
      <c r="AQ685" s="417" t="n">
        <f aca="false">ROUND(AQ653-AQ683,6)</f>
        <v>0</v>
      </c>
      <c r="AR685" s="417" t="n">
        <f aca="false">ROUND(AR653-AR683,6)</f>
        <v>0</v>
      </c>
      <c r="AS685" s="417" t="n">
        <f aca="false">ROUND(AS653-AS683,6)</f>
        <v>0</v>
      </c>
      <c r="AT685" s="417" t="n">
        <f aca="false">ROUND(AT653-AT683,6)</f>
        <v>0</v>
      </c>
      <c r="AU685" s="417" t="n">
        <f aca="false">ROUND(AU653-AU683,6)</f>
        <v>0</v>
      </c>
      <c r="AV685" s="417" t="n">
        <f aca="false">ROUND(AV653-AV683,6)</f>
        <v>0</v>
      </c>
      <c r="AW685" s="417" t="n">
        <f aca="false">ROUND(AW653-AW683,6)</f>
        <v>0</v>
      </c>
      <c r="AX685" s="417" t="n">
        <f aca="false">ROUND(AX653-AX683,6)</f>
        <v>0</v>
      </c>
      <c r="AY685" s="417" t="n">
        <f aca="false">ROUND(AY653-AY683,6)</f>
        <v>0</v>
      </c>
      <c r="AZ685" s="417" t="n">
        <f aca="false">ROUND(AZ653-AZ683,6)</f>
        <v>0</v>
      </c>
      <c r="BA685" s="417" t="n">
        <f aca="false">ROUND(BA653-BA683,6)</f>
        <v>0</v>
      </c>
      <c r="BB685" s="417" t="n">
        <f aca="false">ROUND(BB653-BB683,6)</f>
        <v>0</v>
      </c>
      <c r="BC685" s="417" t="n">
        <f aca="false">ROUND(BC653-BC683,6)</f>
        <v>0</v>
      </c>
      <c r="BD685" s="417" t="n">
        <f aca="false">ROUND(BD653-BD683,6)</f>
        <v>0</v>
      </c>
      <c r="BE685" s="417" t="n">
        <f aca="false">ROUND(BE653-BE683,6)</f>
        <v>0</v>
      </c>
      <c r="BF685" s="417" t="n">
        <f aca="false">ROUND(BF653-BF683,6)</f>
        <v>0</v>
      </c>
      <c r="BG685" s="417" t="n">
        <f aca="false">ROUND(BG653-BG683,6)</f>
        <v>0</v>
      </c>
      <c r="BH685" s="417" t="n">
        <f aca="false">ROUND(BH653-BH683,6)</f>
        <v>0</v>
      </c>
      <c r="BI685" s="417" t="n">
        <f aca="false">ROUND(BI653-BI683,6)</f>
        <v>0</v>
      </c>
      <c r="BJ685" s="417" t="n">
        <f aca="false">ROUND(BJ653-BJ683,6)</f>
        <v>0</v>
      </c>
      <c r="BK685" s="417" t="n">
        <f aca="false">ROUND(BK653-BK683,6)</f>
        <v>0</v>
      </c>
      <c r="BL685" s="417" t="n">
        <f aca="false">ROUND(BL653-BL683,6)</f>
        <v>0</v>
      </c>
      <c r="BM685" s="417" t="n">
        <f aca="false">ROUND(BM653-BM683,6)</f>
        <v>0</v>
      </c>
      <c r="BN685" s="417" t="n">
        <f aca="false">ROUND(BN653-BN683,6)</f>
        <v>0</v>
      </c>
      <c r="BO685" s="418" t="n">
        <f aca="false">ROUND(BO653-BO683,6)</f>
        <v>0</v>
      </c>
      <c r="BP685" s="417" t="n">
        <f aca="false">ROUND(BP653-BP683,6)</f>
        <v>0</v>
      </c>
      <c r="BQ685" s="417" t="n">
        <f aca="false">ROUND(BQ653-BQ683,6)</f>
        <v>0</v>
      </c>
      <c r="BR685" s="417" t="n">
        <f aca="false">ROUND(BR653-BR683,6)</f>
        <v>0</v>
      </c>
      <c r="BS685" s="417" t="n">
        <f aca="false">ROUND(BS653-BS683,6)</f>
        <v>0</v>
      </c>
      <c r="BT685" s="417" t="n">
        <f aca="false">ROUND(BT653-BT683,6)</f>
        <v>0</v>
      </c>
      <c r="BU685" s="417" t="n">
        <f aca="false">ROUND(BU653-BU683,6)</f>
        <v>0</v>
      </c>
      <c r="BV685" s="417" t="n">
        <f aca="false">ROUND(BV653-BV683,6)</f>
        <v>0</v>
      </c>
      <c r="BW685" s="417" t="n">
        <f aca="false">ROUND(BW653-BW683,6)</f>
        <v>0</v>
      </c>
      <c r="BX685" s="417" t="n">
        <f aca="false">ROUND(BX653-BX683,6)</f>
        <v>0</v>
      </c>
      <c r="BY685" s="417" t="n">
        <f aca="false">ROUND(BY653-BY683,6)</f>
        <v>0</v>
      </c>
      <c r="BZ685" s="417" t="n">
        <f aca="false">ROUND(BZ653-BZ683,6)</f>
        <v>0</v>
      </c>
      <c r="CA685" s="417" t="n">
        <f aca="false">ROUND(CA653-CA683,6)</f>
        <v>0</v>
      </c>
      <c r="CB685" s="417" t="n">
        <f aca="false">ROUND(CB653-CB683,6)</f>
        <v>0</v>
      </c>
      <c r="CC685" s="50"/>
    </row>
    <row r="686" s="51" customFormat="true" ht="15" hidden="false" customHeight="true" outlineLevel="0" collapsed="false">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9"/>
      <c r="BP686" s="48"/>
      <c r="BQ686" s="48"/>
      <c r="BR686" s="48"/>
      <c r="BS686" s="48"/>
      <c r="BT686" s="48"/>
      <c r="BU686" s="48"/>
      <c r="BV686" s="48"/>
      <c r="BW686" s="48"/>
      <c r="BX686" s="48"/>
      <c r="BY686" s="48"/>
      <c r="BZ686" s="48"/>
      <c r="CA686" s="48"/>
      <c r="CB686" s="48"/>
      <c r="CC686" s="50"/>
    </row>
    <row r="687" s="157" customFormat="true" ht="15" hidden="false" customHeight="true" outlineLevel="0" collapsed="false">
      <c r="A687" s="219" t="s">
        <v>636</v>
      </c>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c r="AA687" s="219"/>
      <c r="AB687" s="219"/>
      <c r="AC687" s="219"/>
      <c r="AD687" s="219"/>
      <c r="AE687" s="219"/>
      <c r="AF687" s="219"/>
      <c r="AG687" s="219"/>
      <c r="AH687" s="219"/>
      <c r="AI687" s="219"/>
      <c r="AJ687" s="219"/>
      <c r="AK687" s="219"/>
      <c r="AL687" s="219"/>
      <c r="AM687" s="219"/>
      <c r="AN687" s="219"/>
      <c r="AO687" s="219"/>
      <c r="AP687" s="219"/>
      <c r="AQ687" s="219"/>
      <c r="AR687" s="219"/>
      <c r="AS687" s="219"/>
      <c r="AT687" s="219"/>
      <c r="AU687" s="219"/>
      <c r="AV687" s="219"/>
      <c r="AW687" s="219"/>
      <c r="AX687" s="219"/>
      <c r="AY687" s="219"/>
      <c r="AZ687" s="219"/>
      <c r="BA687" s="219"/>
      <c r="BB687" s="219"/>
      <c r="BC687" s="219"/>
      <c r="BD687" s="219"/>
      <c r="BE687" s="219"/>
      <c r="BF687" s="219"/>
      <c r="BG687" s="219"/>
      <c r="BH687" s="219"/>
      <c r="BI687" s="219"/>
      <c r="BJ687" s="219"/>
      <c r="BK687" s="219"/>
      <c r="BL687" s="219"/>
      <c r="BM687" s="219"/>
      <c r="BN687" s="219"/>
      <c r="BO687" s="220"/>
      <c r="BP687" s="219"/>
      <c r="BQ687" s="219"/>
      <c r="BR687" s="219"/>
      <c r="BS687" s="219"/>
      <c r="BT687" s="219"/>
      <c r="BU687" s="219"/>
      <c r="BV687" s="219"/>
      <c r="BW687" s="219"/>
      <c r="BX687" s="219"/>
      <c r="BY687" s="219"/>
      <c r="BZ687" s="219"/>
      <c r="CA687" s="219"/>
      <c r="CB687" s="219"/>
      <c r="CC687" s="156"/>
    </row>
    <row r="688" s="51" customFormat="true" ht="15" hidden="false" customHeight="true" outlineLevel="0" collapsed="false">
      <c r="A688" s="50" t="s">
        <v>637</v>
      </c>
      <c r="B688" s="149"/>
      <c r="C688" s="417" t="n">
        <f aca="false">IF(ISBLANK(INDEX(MO_IS_FirstRow,0,COLUMN())),0,ROUND(C526-C356,6))</f>
        <v>0</v>
      </c>
      <c r="D688" s="417" t="n">
        <f aca="false">IF(ISBLANK(INDEX(MO_IS_FirstRow,0,COLUMN())),0,ROUND(D526-D356,6))</f>
        <v>0</v>
      </c>
      <c r="E688" s="417" t="n">
        <f aca="false">IF(ISBLANK(INDEX(MO_IS_FirstRow,0,COLUMN())),0,ROUND(E526-E356,6))</f>
        <v>0</v>
      </c>
      <c r="F688" s="417" t="n">
        <f aca="false">IF(ISBLANK(INDEX(MO_IS_FirstRow,0,COLUMN())),0,ROUND(F526-F356,6))</f>
        <v>0</v>
      </c>
      <c r="G688" s="417" t="n">
        <f aca="false">IF(ISBLANK(INDEX(MO_IS_FirstRow,0,COLUMN())),0,ROUND(G526-G356,6))</f>
        <v>0</v>
      </c>
      <c r="H688" s="417" t="n">
        <f aca="false">IF(ISBLANK(INDEX(MO_IS_FirstRow,0,COLUMN())),0,ROUND(H526-H356,6))</f>
        <v>0</v>
      </c>
      <c r="I688" s="417" t="n">
        <f aca="false">IF(ISBLANK(INDEX(MO_IS_FirstRow,0,COLUMN())),0,ROUND(I526-I356,6))</f>
        <v>0</v>
      </c>
      <c r="J688" s="417" t="n">
        <f aca="false">IF(ISBLANK(INDEX(MO_IS_FirstRow,0,COLUMN())),0,ROUND(J526-J356,6))</f>
        <v>0</v>
      </c>
      <c r="K688" s="417" t="n">
        <f aca="false">IF(ISBLANK(INDEX(MO_IS_FirstRow,0,COLUMN())),0,ROUND(K526-K356,6))</f>
        <v>0.04</v>
      </c>
      <c r="L688" s="417" t="n">
        <f aca="false">IF(ISBLANK(INDEX(MO_IS_FirstRow,0,COLUMN())),0,ROUND(L526-L356,6))</f>
        <v>0</v>
      </c>
      <c r="M688" s="417" t="n">
        <f aca="false">IF(ISBLANK(INDEX(MO_IS_FirstRow,0,COLUMN())),0,ROUND(M526-M356,6))</f>
        <v>0</v>
      </c>
      <c r="N688" s="417" t="n">
        <f aca="false">IF(ISBLANK(INDEX(MO_IS_FirstRow,0,COLUMN())),0,ROUND(N526-N356,6))</f>
        <v>0</v>
      </c>
      <c r="O688" s="417" t="n">
        <f aca="false">IF(ISBLANK(INDEX(MO_IS_FirstRow,0,COLUMN())),0,ROUND(O526-O356,6))</f>
        <v>0</v>
      </c>
      <c r="P688" s="417" t="n">
        <f aca="false">IF(ISBLANK(INDEX(MO_IS_FirstRow,0,COLUMN())),0,ROUND(P526-P356,6))</f>
        <v>-0.026</v>
      </c>
      <c r="Q688" s="417" t="n">
        <f aca="false">IF(ISBLANK(INDEX(MO_IS_FirstRow,0,COLUMN())),0,ROUND(Q526-Q356,6))</f>
        <v>0</v>
      </c>
      <c r="R688" s="417" t="n">
        <f aca="false">IF(ISBLANK(INDEX(MO_IS_FirstRow,0,COLUMN())),0,ROUND(R526-R356,6))</f>
        <v>0</v>
      </c>
      <c r="S688" s="417" t="n">
        <f aca="false">IF(ISBLANK(INDEX(MO_IS_FirstRow,0,COLUMN())),0,ROUND(S526-S356,6))</f>
        <v>0</v>
      </c>
      <c r="T688" s="417" t="n">
        <f aca="false">IF(ISBLANK(INDEX(MO_IS_FirstRow,0,COLUMN())),0,ROUND(T526-T356,6))</f>
        <v>0</v>
      </c>
      <c r="U688" s="417" t="n">
        <f aca="false">IF(ISBLANK(INDEX(MO_IS_FirstRow,0,COLUMN())),0,ROUND(U526-U356,6))</f>
        <v>0</v>
      </c>
      <c r="V688" s="417" t="n">
        <f aca="false">IF(ISBLANK(INDEX(MO_IS_FirstRow,0,COLUMN())),0,ROUND(V526-V356,6))</f>
        <v>0</v>
      </c>
      <c r="W688" s="417" t="n">
        <f aca="false">IF(ISBLANK(INDEX(MO_IS_FirstRow,0,COLUMN())),0,ROUND(W526-W356,6))</f>
        <v>0</v>
      </c>
      <c r="X688" s="417" t="n">
        <f aca="false">IF(ISBLANK(INDEX(MO_IS_FirstRow,0,COLUMN())),0,ROUND(X526-X356,6))</f>
        <v>0</v>
      </c>
      <c r="Y688" s="417" t="n">
        <f aca="false">IF(ISBLANK(INDEX(MO_IS_FirstRow,0,COLUMN())),0,ROUND(Y526-Y356,6))</f>
        <v>0</v>
      </c>
      <c r="Z688" s="417" t="n">
        <f aca="false">IF(ISBLANK(INDEX(MO_IS_FirstRow,0,COLUMN())),0,ROUND(Z526-Z356,6))</f>
        <v>0</v>
      </c>
      <c r="AA688" s="417" t="n">
        <f aca="false">IF(ISBLANK(INDEX(MO_IS_FirstRow,0,COLUMN())),0,ROUND(AA526-AA356,6))</f>
        <v>0</v>
      </c>
      <c r="AB688" s="417" t="n">
        <f aca="false">IF(ISBLANK(INDEX(MO_IS_FirstRow,0,COLUMN())),0,ROUND(AB526-AB356,6))</f>
        <v>0</v>
      </c>
      <c r="AC688" s="417" t="n">
        <f aca="false">IF(ISBLANK(INDEX(MO_IS_FirstRow,0,COLUMN())),0,ROUND(AC526-AC356,6))</f>
        <v>0</v>
      </c>
      <c r="AD688" s="417" t="n">
        <f aca="false">IF(ISBLANK(INDEX(MO_IS_FirstRow,0,COLUMN())),0,ROUND(AD526-AD356,6))</f>
        <v>0</v>
      </c>
      <c r="AE688" s="417" t="n">
        <f aca="false">IF(ISBLANK(INDEX(MO_IS_FirstRow,0,COLUMN())),0,ROUND(AE526-AE356,6))</f>
        <v>0</v>
      </c>
      <c r="AF688" s="417" t="n">
        <f aca="false">IF(ISBLANK(INDEX(MO_IS_FirstRow,0,COLUMN())),0,ROUND(AF526-AF356,6))</f>
        <v>0</v>
      </c>
      <c r="AG688" s="417" t="n">
        <f aca="false">IF(ISBLANK(INDEX(MO_IS_FirstRow,0,COLUMN())),0,ROUND(AG526-AG356,6))</f>
        <v>0</v>
      </c>
      <c r="AH688" s="417" t="n">
        <f aca="false">IF(ISBLANK(INDEX(MO_IS_FirstRow,0,COLUMN())),0,ROUND(AH526-AH356,6))</f>
        <v>0</v>
      </c>
      <c r="AI688" s="417" t="n">
        <f aca="false">IF(ISBLANK(INDEX(MO_IS_FirstRow,0,COLUMN())),0,ROUND(AI526-AI356,6))</f>
        <v>0</v>
      </c>
      <c r="AJ688" s="417" t="n">
        <f aca="false">IF(ISBLANK(INDEX(MO_IS_FirstRow,0,COLUMN())),0,ROUND(AJ526-AJ356,6))</f>
        <v>0</v>
      </c>
      <c r="AK688" s="417" t="n">
        <f aca="false">IF(ISBLANK(INDEX(MO_IS_FirstRow,0,COLUMN())),0,ROUND(AK526-AK356,6))</f>
        <v>0</v>
      </c>
      <c r="AL688" s="417" t="n">
        <f aca="false">IF(ISBLANK(INDEX(MO_IS_FirstRow,0,COLUMN())),0,ROUND(AL526-AL356,6))</f>
        <v>0</v>
      </c>
      <c r="AM688" s="417" t="n">
        <f aca="false">IF(ISBLANK(INDEX(MO_IS_FirstRow,0,COLUMN())),0,ROUND(AM526-AM356,6))</f>
        <v>0</v>
      </c>
      <c r="AN688" s="417" t="n">
        <f aca="false">IF(ISBLANK(INDEX(MO_IS_FirstRow,0,COLUMN())),0,ROUND(AN526-AN356,6))</f>
        <v>0</v>
      </c>
      <c r="AO688" s="417" t="n">
        <f aca="false">IF(ISBLANK(INDEX(MO_IS_FirstRow,0,COLUMN())),0,ROUND(AO526-AO356,6))</f>
        <v>0</v>
      </c>
      <c r="AP688" s="417" t="n">
        <f aca="false">IF(ISBLANK(INDEX(MO_IS_FirstRow,0,COLUMN())),0,ROUND(AP526-AP356,6))</f>
        <v>0</v>
      </c>
      <c r="AQ688" s="417" t="n">
        <f aca="false">IF(ISBLANK(INDEX(MO_IS_FirstRow,0,COLUMN())),0,ROUND(AQ526-AQ356,6))</f>
        <v>0</v>
      </c>
      <c r="AR688" s="417" t="n">
        <f aca="false">IF(ISBLANK(INDEX(MO_IS_FirstRow,0,COLUMN())),0,ROUND(AR526-AR356,6))</f>
        <v>0</v>
      </c>
      <c r="AS688" s="417" t="n">
        <f aca="false">IF(ISBLANK(INDEX(MO_IS_FirstRow,0,COLUMN())),0,ROUND(AS526-AS356,6))</f>
        <v>0</v>
      </c>
      <c r="AT688" s="417" t="n">
        <f aca="false">IF(ISBLANK(INDEX(MO_IS_FirstRow,0,COLUMN())),0,ROUND(AT526-AT356,6))</f>
        <v>0</v>
      </c>
      <c r="AU688" s="417" t="n">
        <f aca="false">IF(ISBLANK(INDEX(MO_IS_FirstRow,0,COLUMN())),0,ROUND(AU526-AU356,6))</f>
        <v>0</v>
      </c>
      <c r="AV688" s="417" t="n">
        <f aca="false">IF(ISBLANK(INDEX(MO_IS_FirstRow,0,COLUMN())),0,ROUND(AV526-AV356,6))</f>
        <v>0</v>
      </c>
      <c r="AW688" s="417" t="n">
        <f aca="false">IF(ISBLANK(INDEX(MO_IS_FirstRow,0,COLUMN())),0,ROUND(AW526-AW356,6))</f>
        <v>0</v>
      </c>
      <c r="AX688" s="417" t="n">
        <f aca="false">IF(ISBLANK(INDEX(MO_IS_FirstRow,0,COLUMN())),0,ROUND(AX526-AX356,6))</f>
        <v>0</v>
      </c>
      <c r="AY688" s="417" t="n">
        <f aca="false">IF(ISBLANK(INDEX(MO_IS_FirstRow,0,COLUMN())),0,ROUND(AY526-AY356,6))</f>
        <v>0</v>
      </c>
      <c r="AZ688" s="417" t="n">
        <f aca="false">IF(ISBLANK(INDEX(MO_IS_FirstRow,0,COLUMN())),0,ROUND(AZ526-AZ356,6))</f>
        <v>0</v>
      </c>
      <c r="BA688" s="417" t="n">
        <f aca="false">IF(ISBLANK(INDEX(MO_IS_FirstRow,0,COLUMN())),0,ROUND(BA526-BA356,6))</f>
        <v>0</v>
      </c>
      <c r="BB688" s="417" t="n">
        <f aca="false">IF(ISBLANK(INDEX(MO_IS_FirstRow,0,COLUMN())),0,ROUND(BB526-BB356,6))</f>
        <v>0</v>
      </c>
      <c r="BC688" s="417" t="n">
        <f aca="false">IF(ISBLANK(INDEX(MO_IS_FirstRow,0,COLUMN())),0,ROUND(BC526-BC356,6))</f>
        <v>0</v>
      </c>
      <c r="BD688" s="417" t="n">
        <f aca="false">IF(ISBLANK(INDEX(MO_IS_FirstRow,0,COLUMN())),0,ROUND(BD526-BD356,6))</f>
        <v>0</v>
      </c>
      <c r="BE688" s="417" t="n">
        <f aca="false">IF(ISBLANK(INDEX(MO_IS_FirstRow,0,COLUMN())),0,ROUND(BE526-BE356,6))</f>
        <v>0</v>
      </c>
      <c r="BF688" s="417" t="n">
        <f aca="false">IF(ISBLANK(INDEX(MO_IS_FirstRow,0,COLUMN())),0,ROUND(BF526-BF356,6))</f>
        <v>0</v>
      </c>
      <c r="BG688" s="417" t="n">
        <f aca="false">IF(ISBLANK(INDEX(MO_IS_FirstRow,0,COLUMN())),0,ROUND(BG526-BG356,6))</f>
        <v>0</v>
      </c>
      <c r="BH688" s="417" t="n">
        <f aca="false">IF(ISBLANK(INDEX(MO_IS_FirstRow,0,COLUMN())),0,ROUND(BH526-BH356,6))</f>
        <v>0</v>
      </c>
      <c r="BI688" s="417" t="n">
        <f aca="false">IF(ISBLANK(INDEX(MO_IS_FirstRow,0,COLUMN())),0,ROUND(BI526-BI356,6))</f>
        <v>0</v>
      </c>
      <c r="BJ688" s="417" t="n">
        <f aca="false">IF(ISBLANK(INDEX(MO_IS_FirstRow,0,COLUMN())),0,ROUND(BJ526-BJ356,6))</f>
        <v>0</v>
      </c>
      <c r="BK688" s="417" t="n">
        <f aca="false">IF(ISBLANK(INDEX(MO_IS_FirstRow,0,COLUMN())),0,ROUND(BK526-BK356,6))</f>
        <v>0</v>
      </c>
      <c r="BL688" s="417" t="n">
        <f aca="false">IF(ISBLANK(INDEX(MO_IS_FirstRow,0,COLUMN())),0,ROUND(BL526-BL356,6))</f>
        <v>0</v>
      </c>
      <c r="BM688" s="417" t="n">
        <f aca="false">IF(ISBLANK(INDEX(MO_IS_FirstRow,0,COLUMN())),0,ROUND(BM526-BM356,6))</f>
        <v>0</v>
      </c>
      <c r="BN688" s="417" t="n">
        <f aca="false">IF(ISBLANK(INDEX(MO_IS_FirstRow,0,COLUMN())),0,ROUND(BN526-BN356,6))</f>
        <v>0</v>
      </c>
      <c r="BO688" s="418" t="n">
        <f aca="false">IF(ISBLANK(INDEX(MO_IS_FirstRow,0,COLUMN())),0,ROUND(BO526-BO356,6))</f>
        <v>0</v>
      </c>
      <c r="BP688" s="417" t="n">
        <f aca="false">IF(ISBLANK(INDEX(MO_IS_FirstRow,0,COLUMN())),0,ROUND(BP526-BP356,6))</f>
        <v>0</v>
      </c>
      <c r="BQ688" s="417" t="n">
        <f aca="false">IF(ISBLANK(INDEX(MO_IS_FirstRow,0,COLUMN())),0,ROUND(BQ526-BQ356,6))</f>
        <v>0</v>
      </c>
      <c r="BR688" s="417" t="n">
        <f aca="false">IF(ISBLANK(INDEX(MO_IS_FirstRow,0,COLUMN())),0,ROUND(BR526-BR356,6))</f>
        <v>0</v>
      </c>
      <c r="BS688" s="417" t="n">
        <f aca="false">IF(ISBLANK(INDEX(MO_IS_FirstRow,0,COLUMN())),0,ROUND(BS526-BS356,6))</f>
        <v>0</v>
      </c>
      <c r="BT688" s="417" t="n">
        <f aca="false">IF(ISBLANK(INDEX(MO_IS_FirstRow,0,COLUMN())),0,ROUND(BT526-BT356,6))</f>
        <v>0</v>
      </c>
      <c r="BU688" s="417" t="n">
        <f aca="false">IF(ISBLANK(INDEX(MO_IS_FirstRow,0,COLUMN())),0,ROUND(BU526-BU356,6))</f>
        <v>0</v>
      </c>
      <c r="BV688" s="417" t="n">
        <f aca="false">IF(ISBLANK(INDEX(MO_IS_FirstRow,0,COLUMN())),0,ROUND(BV526-BV356,6))</f>
        <v>0</v>
      </c>
      <c r="BW688" s="417" t="n">
        <f aca="false">IF(ISBLANK(INDEX(MO_IS_FirstRow,0,COLUMN())),0,ROUND(BW526-BW356,6))</f>
        <v>0</v>
      </c>
      <c r="BX688" s="417" t="n">
        <f aca="false">IF(ISBLANK(INDEX(MO_IS_FirstRow,0,COLUMN())),0,ROUND(BX526-BX356,6))</f>
        <v>0</v>
      </c>
      <c r="BY688" s="417" t="n">
        <f aca="false">IF(ISBLANK(INDEX(MO_IS_FirstRow,0,COLUMN())),0,ROUND(BY526-BY356,6))</f>
        <v>0</v>
      </c>
      <c r="BZ688" s="417" t="n">
        <f aca="false">IF(ISBLANK(INDEX(MO_IS_FirstRow,0,COLUMN())),0,ROUND(BZ526-BZ356,6))</f>
        <v>0</v>
      </c>
      <c r="CA688" s="417" t="n">
        <f aca="false">IF(ISBLANK(INDEX(MO_IS_FirstRow,0,COLUMN())),0,ROUND(CA526-CA356,6))</f>
        <v>0</v>
      </c>
      <c r="CB688" s="417" t="n">
        <f aca="false">IF(ISBLANK(INDEX(MO_IS_FirstRow,0,COLUMN())),0,ROUND(CB526-CB356,6))</f>
        <v>0</v>
      </c>
      <c r="CC688" s="50"/>
    </row>
    <row r="689" s="51" customFormat="true" ht="15" hidden="false" customHeight="true" outlineLevel="0" collapsed="false">
      <c r="A689" s="50" t="s">
        <v>638</v>
      </c>
      <c r="B689" s="149"/>
      <c r="C689" s="417" t="n">
        <f aca="false">IF(ISBLANK(INDEX(MO_IS_FirstRow,0,COLUMN())),0,ROUND(C318-C356,6))</f>
        <v>0</v>
      </c>
      <c r="D689" s="417" t="n">
        <f aca="false">IF(ISBLANK(INDEX(MO_IS_FirstRow,0,COLUMN())),0,ROUND(D318-D356,6))</f>
        <v>0</v>
      </c>
      <c r="E689" s="417" t="n">
        <f aca="false">IF(ISBLANK(INDEX(MO_IS_FirstRow,0,COLUMN())),0,ROUND(E318-E356,6))</f>
        <v>0</v>
      </c>
      <c r="F689" s="417" t="n">
        <f aca="false">IF(ISBLANK(INDEX(MO_IS_FirstRow,0,COLUMN())),0,ROUND(F318-F356,6))</f>
        <v>0</v>
      </c>
      <c r="G689" s="417" t="n">
        <f aca="false">IF(ISBLANK(INDEX(MO_IS_FirstRow,0,COLUMN())),0,ROUND(G318-G356,6))</f>
        <v>0</v>
      </c>
      <c r="H689" s="417" t="n">
        <f aca="false">IF(ISBLANK(INDEX(MO_IS_FirstRow,0,COLUMN())),0,ROUND(H318-H356,6))</f>
        <v>0</v>
      </c>
      <c r="I689" s="417" t="n">
        <f aca="false">IF(ISBLANK(INDEX(MO_IS_FirstRow,0,COLUMN())),0,ROUND(I318-I356,6))</f>
        <v>0</v>
      </c>
      <c r="J689" s="417" t="n">
        <f aca="false">IF(ISBLANK(INDEX(MO_IS_FirstRow,0,COLUMN())),0,ROUND(J318-J356,6))</f>
        <v>0</v>
      </c>
      <c r="K689" s="417" t="n">
        <f aca="false">IF(ISBLANK(INDEX(MO_IS_FirstRow,0,COLUMN())),0,ROUND(K318-K356,6))</f>
        <v>0</v>
      </c>
      <c r="L689" s="417" t="n">
        <f aca="false">IF(ISBLANK(INDEX(MO_IS_FirstRow,0,COLUMN())),0,ROUND(L318-L356,6))</f>
        <v>0</v>
      </c>
      <c r="M689" s="417" t="n">
        <f aca="false">IF(ISBLANK(INDEX(MO_IS_FirstRow,0,COLUMN())),0,ROUND(M318-M356,6))</f>
        <v>0</v>
      </c>
      <c r="N689" s="417" t="n">
        <f aca="false">IF(ISBLANK(INDEX(MO_IS_FirstRow,0,COLUMN())),0,ROUND(N318-N356,6))</f>
        <v>0</v>
      </c>
      <c r="O689" s="417" t="n">
        <f aca="false">IF(ISBLANK(INDEX(MO_IS_FirstRow,0,COLUMN())),0,ROUND(O318-O356,6))</f>
        <v>0</v>
      </c>
      <c r="P689" s="417" t="n">
        <f aca="false">IF(ISBLANK(INDEX(MO_IS_FirstRow,0,COLUMN())),0,ROUND(P318-P356,6))</f>
        <v>0</v>
      </c>
      <c r="Q689" s="417" t="n">
        <f aca="false">IF(ISBLANK(INDEX(MO_IS_FirstRow,0,COLUMN())),0,ROUND(Q318-Q356,6))</f>
        <v>0</v>
      </c>
      <c r="R689" s="417" t="n">
        <f aca="false">IF(ISBLANK(INDEX(MO_IS_FirstRow,0,COLUMN())),0,ROUND(R318-R356,6))</f>
        <v>0</v>
      </c>
      <c r="S689" s="417" t="n">
        <f aca="false">IF(ISBLANK(INDEX(MO_IS_FirstRow,0,COLUMN())),0,ROUND(S318-S356,6))</f>
        <v>0</v>
      </c>
      <c r="T689" s="417" t="n">
        <f aca="false">IF(ISBLANK(INDEX(MO_IS_FirstRow,0,COLUMN())),0,ROUND(T318-T356,6))</f>
        <v>0</v>
      </c>
      <c r="U689" s="417" t="n">
        <f aca="false">IF(ISBLANK(INDEX(MO_IS_FirstRow,0,COLUMN())),0,ROUND(U318-U356,6))</f>
        <v>0</v>
      </c>
      <c r="V689" s="417" t="n">
        <f aca="false">IF(ISBLANK(INDEX(MO_IS_FirstRow,0,COLUMN())),0,ROUND(V318-V356,6))</f>
        <v>0</v>
      </c>
      <c r="W689" s="417" t="n">
        <f aca="false">IF(ISBLANK(INDEX(MO_IS_FirstRow,0,COLUMN())),0,ROUND(W318-W356,6))</f>
        <v>0</v>
      </c>
      <c r="X689" s="417" t="n">
        <f aca="false">IF(ISBLANK(INDEX(MO_IS_FirstRow,0,COLUMN())),0,ROUND(X318-X356,6))</f>
        <v>0</v>
      </c>
      <c r="Y689" s="417" t="n">
        <f aca="false">IF(ISBLANK(INDEX(MO_IS_FirstRow,0,COLUMN())),0,ROUND(Y318-Y356,6))</f>
        <v>0</v>
      </c>
      <c r="Z689" s="417" t="n">
        <f aca="false">IF(ISBLANK(INDEX(MO_IS_FirstRow,0,COLUMN())),0,ROUND(Z318-Z356,6))</f>
        <v>0</v>
      </c>
      <c r="AA689" s="417" t="n">
        <f aca="false">IF(ISBLANK(INDEX(MO_IS_FirstRow,0,COLUMN())),0,ROUND(AA318-AA356,6))</f>
        <v>0</v>
      </c>
      <c r="AB689" s="417" t="n">
        <f aca="false">IF(ISBLANK(INDEX(MO_IS_FirstRow,0,COLUMN())),0,ROUND(AB318-AB356,6))</f>
        <v>0</v>
      </c>
      <c r="AC689" s="417" t="n">
        <f aca="false">IF(ISBLANK(INDEX(MO_IS_FirstRow,0,COLUMN())),0,ROUND(AC318-AC356,6))</f>
        <v>0</v>
      </c>
      <c r="AD689" s="417" t="n">
        <f aca="false">IF(ISBLANK(INDEX(MO_IS_FirstRow,0,COLUMN())),0,ROUND(AD318-AD356,6))</f>
        <v>0</v>
      </c>
      <c r="AE689" s="417" t="n">
        <f aca="false">IF(ISBLANK(INDEX(MO_IS_FirstRow,0,COLUMN())),0,ROUND(AE318-AE356,6))</f>
        <v>0</v>
      </c>
      <c r="AF689" s="417" t="n">
        <f aca="false">IF(ISBLANK(INDEX(MO_IS_FirstRow,0,COLUMN())),0,ROUND(AF318-AF356,6))</f>
        <v>0</v>
      </c>
      <c r="AG689" s="417" t="n">
        <f aca="false">IF(ISBLANK(INDEX(MO_IS_FirstRow,0,COLUMN())),0,ROUND(AG318-AG356,6))</f>
        <v>0</v>
      </c>
      <c r="AH689" s="417" t="n">
        <f aca="false">IF(ISBLANK(INDEX(MO_IS_FirstRow,0,COLUMN())),0,ROUND(AH318-AH356,6))</f>
        <v>0</v>
      </c>
      <c r="AI689" s="417" t="n">
        <f aca="false">IF(ISBLANK(INDEX(MO_IS_FirstRow,0,COLUMN())),0,ROUND(AI318-AI356,6))</f>
        <v>0</v>
      </c>
      <c r="AJ689" s="417" t="n">
        <f aca="false">IF(ISBLANK(INDEX(MO_IS_FirstRow,0,COLUMN())),0,ROUND(AJ318-AJ356,6))</f>
        <v>0</v>
      </c>
      <c r="AK689" s="417" t="n">
        <f aca="false">IF(ISBLANK(INDEX(MO_IS_FirstRow,0,COLUMN())),0,ROUND(AK318-AK356,6))</f>
        <v>0</v>
      </c>
      <c r="AL689" s="417" t="n">
        <f aca="false">IF(ISBLANK(INDEX(MO_IS_FirstRow,0,COLUMN())),0,ROUND(AL318-AL356,6))</f>
        <v>0</v>
      </c>
      <c r="AM689" s="417" t="n">
        <f aca="false">IF(ISBLANK(INDEX(MO_IS_FirstRow,0,COLUMN())),0,ROUND(AM318-AM356,6))</f>
        <v>0</v>
      </c>
      <c r="AN689" s="417" t="n">
        <f aca="false">IF(ISBLANK(INDEX(MO_IS_FirstRow,0,COLUMN())),0,ROUND(AN318-AN356,6))</f>
        <v>0</v>
      </c>
      <c r="AO689" s="417" t="n">
        <f aca="false">IF(ISBLANK(INDEX(MO_IS_FirstRow,0,COLUMN())),0,ROUND(AO318-AO356,6))</f>
        <v>0</v>
      </c>
      <c r="AP689" s="417" t="n">
        <f aca="false">IF(ISBLANK(INDEX(MO_IS_FirstRow,0,COLUMN())),0,ROUND(AP318-AP356,6))</f>
        <v>0</v>
      </c>
      <c r="AQ689" s="417" t="n">
        <f aca="false">IF(ISBLANK(INDEX(MO_IS_FirstRow,0,COLUMN())),0,ROUND(AQ318-AQ356,6))</f>
        <v>0</v>
      </c>
      <c r="AR689" s="417" t="n">
        <f aca="false">IF(ISBLANK(INDEX(MO_IS_FirstRow,0,COLUMN())),0,ROUND(AR318-AR356,6))</f>
        <v>0</v>
      </c>
      <c r="AS689" s="417" t="n">
        <f aca="false">IF(ISBLANK(INDEX(MO_IS_FirstRow,0,COLUMN())),0,ROUND(AS318-AS356,6))</f>
        <v>0</v>
      </c>
      <c r="AT689" s="417" t="n">
        <f aca="false">IF(ISBLANK(INDEX(MO_IS_FirstRow,0,COLUMN())),0,ROUND(AT318-AT356,6))</f>
        <v>0</v>
      </c>
      <c r="AU689" s="417" t="n">
        <f aca="false">IF(ISBLANK(INDEX(MO_IS_FirstRow,0,COLUMN())),0,ROUND(AU318-AU356,6))</f>
        <v>0</v>
      </c>
      <c r="AV689" s="417" t="n">
        <f aca="false">IF(ISBLANK(INDEX(MO_IS_FirstRow,0,COLUMN())),0,ROUND(AV318-AV356,6))</f>
        <v>0</v>
      </c>
      <c r="AW689" s="417" t="n">
        <f aca="false">IF(ISBLANK(INDEX(MO_IS_FirstRow,0,COLUMN())),0,ROUND(AW318-AW356,6))</f>
        <v>0</v>
      </c>
      <c r="AX689" s="417" t="n">
        <f aca="false">IF(ISBLANK(INDEX(MO_IS_FirstRow,0,COLUMN())),0,ROUND(AX318-AX356,6))</f>
        <v>0</v>
      </c>
      <c r="AY689" s="417" t="n">
        <f aca="false">IF(ISBLANK(INDEX(MO_IS_FirstRow,0,COLUMN())),0,ROUND(AY318-AY356,6))</f>
        <v>0</v>
      </c>
      <c r="AZ689" s="417" t="n">
        <f aca="false">IF(ISBLANK(INDEX(MO_IS_FirstRow,0,COLUMN())),0,ROUND(AZ318-AZ356,6))</f>
        <v>0</v>
      </c>
      <c r="BA689" s="417" t="n">
        <f aca="false">IF(ISBLANK(INDEX(MO_IS_FirstRow,0,COLUMN())),0,ROUND(BA318-BA356,6))</f>
        <v>0</v>
      </c>
      <c r="BB689" s="417" t="n">
        <f aca="false">IF(ISBLANK(INDEX(MO_IS_FirstRow,0,COLUMN())),0,ROUND(BB318-BB356,6))</f>
        <v>0</v>
      </c>
      <c r="BC689" s="417" t="n">
        <f aca="false">IF(ISBLANK(INDEX(MO_IS_FirstRow,0,COLUMN())),0,ROUND(BC318-BC356,6))</f>
        <v>0</v>
      </c>
      <c r="BD689" s="417" t="n">
        <f aca="false">IF(ISBLANK(INDEX(MO_IS_FirstRow,0,COLUMN())),0,ROUND(BD318-BD356,6))</f>
        <v>0</v>
      </c>
      <c r="BE689" s="417" t="n">
        <f aca="false">IF(ISBLANK(INDEX(MO_IS_FirstRow,0,COLUMN())),0,ROUND(BE318-BE356,6))</f>
        <v>0</v>
      </c>
      <c r="BF689" s="417" t="n">
        <f aca="false">IF(ISBLANK(INDEX(MO_IS_FirstRow,0,COLUMN())),0,ROUND(BF318-BF356,6))</f>
        <v>0</v>
      </c>
      <c r="BG689" s="417" t="n">
        <f aca="false">IF(ISBLANK(INDEX(MO_IS_FirstRow,0,COLUMN())),0,ROUND(BG318-BG356,6))</f>
        <v>0</v>
      </c>
      <c r="BH689" s="417" t="n">
        <f aca="false">IF(ISBLANK(INDEX(MO_IS_FirstRow,0,COLUMN())),0,ROUND(BH318-BH356,6))</f>
        <v>0</v>
      </c>
      <c r="BI689" s="417" t="n">
        <f aca="false">IF(ISBLANK(INDEX(MO_IS_FirstRow,0,COLUMN())),0,ROUND(BI318-BI356,6))</f>
        <v>0</v>
      </c>
      <c r="BJ689" s="417" t="n">
        <f aca="false">IF(ISBLANK(INDEX(MO_IS_FirstRow,0,COLUMN())),0,ROUND(BJ318-BJ356,6))</f>
        <v>0</v>
      </c>
      <c r="BK689" s="417" t="n">
        <f aca="false">IF(ISBLANK(INDEX(MO_IS_FirstRow,0,COLUMN())),0,ROUND(BK318-BK356,6))</f>
        <v>0</v>
      </c>
      <c r="BL689" s="417" t="n">
        <f aca="false">IF(ISBLANK(INDEX(MO_IS_FirstRow,0,COLUMN())),0,ROUND(BL318-BL356,6))</f>
        <v>0</v>
      </c>
      <c r="BM689" s="417" t="n">
        <f aca="false">IF(ISBLANK(INDEX(MO_IS_FirstRow,0,COLUMN())),0,ROUND(BM318-BM356,6))</f>
        <v>0</v>
      </c>
      <c r="BN689" s="417" t="n">
        <f aca="false">IF(ISBLANK(INDEX(MO_IS_FirstRow,0,COLUMN())),0,ROUND(BN318-BN356,6))</f>
        <v>0</v>
      </c>
      <c r="BO689" s="418" t="n">
        <f aca="false">IF(ISBLANK(INDEX(MO_IS_FirstRow,0,COLUMN())),0,ROUND(BO318-BO356,6))</f>
        <v>0</v>
      </c>
      <c r="BP689" s="417" t="n">
        <f aca="false">IF(ISBLANK(INDEX(MO_IS_FirstRow,0,COLUMN())),0,ROUND(BP318-BP356,6))</f>
        <v>0</v>
      </c>
      <c r="BQ689" s="417" t="n">
        <f aca="false">IF(ISBLANK(INDEX(MO_IS_FirstRow,0,COLUMN())),0,ROUND(BQ318-BQ356,6))</f>
        <v>0</v>
      </c>
      <c r="BR689" s="417" t="n">
        <f aca="false">IF(ISBLANK(INDEX(MO_IS_FirstRow,0,COLUMN())),0,ROUND(BR318-BR356,6))</f>
        <v>0</v>
      </c>
      <c r="BS689" s="417" t="n">
        <f aca="false">IF(ISBLANK(INDEX(MO_IS_FirstRow,0,COLUMN())),0,ROUND(BS318-BS356,6))</f>
        <v>0</v>
      </c>
      <c r="BT689" s="417" t="n">
        <f aca="false">IF(ISBLANK(INDEX(MO_IS_FirstRow,0,COLUMN())),0,ROUND(BT318-BT356,6))</f>
        <v>0</v>
      </c>
      <c r="BU689" s="417" t="n">
        <f aca="false">IF(ISBLANK(INDEX(MO_IS_FirstRow,0,COLUMN())),0,ROUND(BU318-BU356,6))</f>
        <v>0</v>
      </c>
      <c r="BV689" s="417" t="n">
        <f aca="false">IF(ISBLANK(INDEX(MO_IS_FirstRow,0,COLUMN())),0,ROUND(BV318-BV356,6))</f>
        <v>0</v>
      </c>
      <c r="BW689" s="417" t="n">
        <f aca="false">IF(ISBLANK(INDEX(MO_IS_FirstRow,0,COLUMN())),0,ROUND(BW318-BW356,6))</f>
        <v>0</v>
      </c>
      <c r="BX689" s="417" t="n">
        <f aca="false">IF(ISBLANK(INDEX(MO_IS_FirstRow,0,COLUMN())),0,ROUND(BX318-BX356,6))</f>
        <v>0</v>
      </c>
      <c r="BY689" s="417" t="n">
        <f aca="false">IF(ISBLANK(INDEX(MO_IS_FirstRow,0,COLUMN())),0,ROUND(BY318-BY356,6))</f>
        <v>0</v>
      </c>
      <c r="BZ689" s="417" t="n">
        <f aca="false">IF(ISBLANK(INDEX(MO_IS_FirstRow,0,COLUMN())),0,ROUND(BZ318-BZ356,6))</f>
        <v>0</v>
      </c>
      <c r="CA689" s="417" t="n">
        <f aca="false">IF(ISBLANK(INDEX(MO_IS_FirstRow,0,COLUMN())),0,ROUND(CA318-CA356,6))</f>
        <v>0</v>
      </c>
      <c r="CB689" s="417" t="n">
        <f aca="false">IF(ISBLANK(INDEX(MO_IS_FirstRow,0,COLUMN())),0,ROUND(CB318-CB356,6))</f>
        <v>0</v>
      </c>
      <c r="CC689" s="50"/>
    </row>
    <row r="690" s="51" customFormat="true" ht="15" hidden="false" customHeight="true" outlineLevel="0" collapsed="false">
      <c r="A690" s="50" t="s">
        <v>639</v>
      </c>
      <c r="B690" s="149"/>
      <c r="C690" s="417" t="n">
        <f aca="false">IF(C427&lt;0,C427,0)</f>
        <v>0</v>
      </c>
      <c r="D690" s="417" t="n">
        <f aca="false">IF(D427&lt;0,D427,0)</f>
        <v>0</v>
      </c>
      <c r="E690" s="417" t="n">
        <f aca="false">IF(E427&lt;0,E427,0)</f>
        <v>0</v>
      </c>
      <c r="F690" s="417" t="n">
        <f aca="false">IF(F427&lt;0,F427,0)</f>
        <v>0</v>
      </c>
      <c r="G690" s="417" t="n">
        <f aca="false">IF(G427&lt;0,G427,0)</f>
        <v>0</v>
      </c>
      <c r="H690" s="417" t="n">
        <f aca="false">IF(H427&lt;0,H427,0)</f>
        <v>0</v>
      </c>
      <c r="I690" s="417" t="n">
        <f aca="false">IF(I427&lt;0,I427,0)</f>
        <v>0</v>
      </c>
      <c r="J690" s="417" t="n">
        <f aca="false">IF(J427&lt;0,J427,0)</f>
        <v>0</v>
      </c>
      <c r="K690" s="417" t="n">
        <f aca="false">IF(K427&lt;0,K427,0)</f>
        <v>0</v>
      </c>
      <c r="L690" s="417" t="n">
        <f aca="false">IF(L427&lt;0,L427,0)</f>
        <v>0</v>
      </c>
      <c r="M690" s="417" t="n">
        <f aca="false">IF(M427&lt;0,M427,0)</f>
        <v>0</v>
      </c>
      <c r="N690" s="417" t="n">
        <f aca="false">IF(N427&lt;0,N427,0)</f>
        <v>0</v>
      </c>
      <c r="O690" s="417" t="n">
        <f aca="false">IF(O427&lt;0,O427,0)</f>
        <v>0</v>
      </c>
      <c r="P690" s="417" t="n">
        <f aca="false">IF(P427&lt;0,P427,0)</f>
        <v>0</v>
      </c>
      <c r="Q690" s="417" t="n">
        <f aca="false">IF(Q427&lt;0,Q427,0)</f>
        <v>0</v>
      </c>
      <c r="R690" s="417" t="n">
        <f aca="false">IF(R427&lt;0,R427,0)</f>
        <v>0</v>
      </c>
      <c r="S690" s="417" t="n">
        <f aca="false">IF(S427&lt;0,S427,0)</f>
        <v>0</v>
      </c>
      <c r="T690" s="417" t="n">
        <f aca="false">IF(T427&lt;0,T427,0)</f>
        <v>0</v>
      </c>
      <c r="U690" s="417" t="n">
        <f aca="false">IF(U427&lt;0,U427,0)</f>
        <v>0</v>
      </c>
      <c r="V690" s="417" t="n">
        <f aca="false">IF(V427&lt;0,V427,0)</f>
        <v>0</v>
      </c>
      <c r="W690" s="417" t="n">
        <f aca="false">IF(W427&lt;0,W427,0)</f>
        <v>0</v>
      </c>
      <c r="X690" s="417" t="n">
        <f aca="false">IF(X427&lt;0,X427,0)</f>
        <v>0</v>
      </c>
      <c r="Y690" s="417" t="n">
        <f aca="false">IF(Y427&lt;0,Y427,0)</f>
        <v>0</v>
      </c>
      <c r="Z690" s="417" t="n">
        <f aca="false">IF(Z427&lt;0,Z427,0)</f>
        <v>0</v>
      </c>
      <c r="AA690" s="417" t="n">
        <f aca="false">IF(AA427&lt;0,AA427,0)</f>
        <v>0</v>
      </c>
      <c r="AB690" s="417" t="n">
        <f aca="false">IF(AB427&lt;0,AB427,0)</f>
        <v>0</v>
      </c>
      <c r="AC690" s="417" t="n">
        <f aca="false">IF(AC427&lt;0,AC427,0)</f>
        <v>0</v>
      </c>
      <c r="AD690" s="417" t="n">
        <f aca="false">IF(AD427&lt;0,AD427,0)</f>
        <v>0</v>
      </c>
      <c r="AE690" s="417" t="n">
        <f aca="false">IF(AE427&lt;0,AE427,0)</f>
        <v>0</v>
      </c>
      <c r="AF690" s="417" t="n">
        <f aca="false">IF(AF427&lt;0,AF427,0)</f>
        <v>0</v>
      </c>
      <c r="AG690" s="417" t="n">
        <f aca="false">IF(AG427&lt;0,AG427,0)</f>
        <v>0</v>
      </c>
      <c r="AH690" s="417" t="n">
        <f aca="false">IF(AH427&lt;0,AH427,0)</f>
        <v>0</v>
      </c>
      <c r="AI690" s="417" t="n">
        <f aca="false">IF(AI427&lt;0,AI427,0)</f>
        <v>0</v>
      </c>
      <c r="AJ690" s="417" t="n">
        <f aca="false">IF(AJ427&lt;0,AJ427,0)</f>
        <v>0</v>
      </c>
      <c r="AK690" s="417" t="n">
        <f aca="false">IF(AK427&lt;0,AK427,0)</f>
        <v>0</v>
      </c>
      <c r="AL690" s="417" t="n">
        <f aca="false">IF(AL427&lt;0,AL427,0)</f>
        <v>0</v>
      </c>
      <c r="AM690" s="417" t="n">
        <f aca="false">IF(AM427&lt;0,AM427,0)</f>
        <v>0</v>
      </c>
      <c r="AN690" s="417" t="n">
        <f aca="false">IF(AN427&lt;0,AN427,0)</f>
        <v>0</v>
      </c>
      <c r="AO690" s="417" t="n">
        <f aca="false">IF(AO427&lt;0,AO427,0)</f>
        <v>0</v>
      </c>
      <c r="AP690" s="417" t="n">
        <f aca="false">IF(AP427&lt;0,AP427,0)</f>
        <v>0</v>
      </c>
      <c r="AQ690" s="417" t="n">
        <f aca="false">IF(AQ427&lt;0,AQ427,0)</f>
        <v>0</v>
      </c>
      <c r="AR690" s="417" t="n">
        <f aca="false">IF(AR427&lt;0,AR427,0)</f>
        <v>0</v>
      </c>
      <c r="AS690" s="417" t="n">
        <f aca="false">IF(AS427&lt;0,AS427,0)</f>
        <v>0</v>
      </c>
      <c r="AT690" s="417" t="n">
        <f aca="false">IF(AT427&lt;0,AT427,0)</f>
        <v>0</v>
      </c>
      <c r="AU690" s="417" t="n">
        <f aca="false">IF(AU427&lt;0,AU427,0)</f>
        <v>0</v>
      </c>
      <c r="AV690" s="417" t="n">
        <f aca="false">IF(AV427&lt;0,AV427,0)</f>
        <v>0</v>
      </c>
      <c r="AW690" s="417" t="n">
        <f aca="false">IF(AW427&lt;0,AW427,0)</f>
        <v>0</v>
      </c>
      <c r="AX690" s="417" t="n">
        <f aca="false">IF(AX427&lt;0,AX427,0)</f>
        <v>0</v>
      </c>
      <c r="AY690" s="417" t="n">
        <f aca="false">IF(AY427&lt;0,AY427,0)</f>
        <v>0</v>
      </c>
      <c r="AZ690" s="417" t="n">
        <f aca="false">IF(AZ427&lt;0,AZ427,0)</f>
        <v>0</v>
      </c>
      <c r="BA690" s="417" t="n">
        <f aca="false">IF(BA427&lt;0,BA427,0)</f>
        <v>0</v>
      </c>
      <c r="BB690" s="417" t="n">
        <f aca="false">IF(BB427&lt;0,BB427,0)</f>
        <v>0</v>
      </c>
      <c r="BC690" s="417" t="n">
        <f aca="false">IF(BC427&lt;0,BC427,0)</f>
        <v>0</v>
      </c>
      <c r="BD690" s="417" t="n">
        <f aca="false">IF(BD427&lt;0,BD427,0)</f>
        <v>0</v>
      </c>
      <c r="BE690" s="417" t="n">
        <f aca="false">IF(BE427&lt;0,BE427,0)</f>
        <v>0</v>
      </c>
      <c r="BF690" s="417" t="n">
        <f aca="false">IF(BF427&lt;0,BF427,0)</f>
        <v>0</v>
      </c>
      <c r="BG690" s="417" t="n">
        <f aca="false">IF(BG427&lt;0,BG427,0)</f>
        <v>0</v>
      </c>
      <c r="BH690" s="417" t="n">
        <f aca="false">IF(BH427&lt;0,BH427,0)</f>
        <v>0</v>
      </c>
      <c r="BI690" s="417" t="n">
        <f aca="false">IF(BI427&lt;0,BI427,0)</f>
        <v>0</v>
      </c>
      <c r="BJ690" s="417" t="n">
        <f aca="false">IF(BJ427&lt;0,BJ427,0)</f>
        <v>0</v>
      </c>
      <c r="BK690" s="417" t="n">
        <f aca="false">IF(BK427&lt;0,BK427,0)</f>
        <v>0</v>
      </c>
      <c r="BL690" s="417" t="n">
        <f aca="false">IF(BL427&lt;0,BL427,0)</f>
        <v>0</v>
      </c>
      <c r="BM690" s="417" t="n">
        <f aca="false">IF(BM427&lt;0,BM427,0)</f>
        <v>0</v>
      </c>
      <c r="BN690" s="417" t="n">
        <f aca="false">IF(BN427&lt;0,BN427,0)</f>
        <v>0</v>
      </c>
      <c r="BO690" s="418" t="n">
        <f aca="false">IF(BO427&lt;0,BO427,0)</f>
        <v>0</v>
      </c>
      <c r="BP690" s="417" t="n">
        <f aca="false">IF(BP427&lt;0,BP427,0)</f>
        <v>0</v>
      </c>
      <c r="BQ690" s="417" t="n">
        <f aca="false">IF(BQ427&lt;0,BQ427,0)</f>
        <v>0</v>
      </c>
      <c r="BR690" s="417" t="n">
        <f aca="false">IF(BR427&lt;0,BR427,0)</f>
        <v>0</v>
      </c>
      <c r="BS690" s="417" t="n">
        <f aca="false">IF(BS427&lt;0,BS427,0)</f>
        <v>0</v>
      </c>
      <c r="BT690" s="417" t="n">
        <f aca="false">IF(BT427&lt;0,BT427,0)</f>
        <v>0</v>
      </c>
      <c r="BU690" s="417" t="n">
        <f aca="false">IF(BU427&lt;0,BU427,0)</f>
        <v>0</v>
      </c>
      <c r="BV690" s="417" t="n">
        <f aca="false">IF(BV427&lt;0,BV427,0)</f>
        <v>0</v>
      </c>
      <c r="BW690" s="417" t="n">
        <f aca="false">IF(BW427&lt;0,BW427,0)</f>
        <v>0</v>
      </c>
      <c r="BX690" s="417" t="n">
        <f aca="false">IF(BX427&lt;0,BX427,0)</f>
        <v>0</v>
      </c>
      <c r="BY690" s="417" t="n">
        <f aca="false">IF(BY427&lt;0,BY427,0)</f>
        <v>0</v>
      </c>
      <c r="BZ690" s="417" t="n">
        <f aca="false">IF(BZ427&lt;0,BZ427,0)</f>
        <v>0</v>
      </c>
      <c r="CA690" s="417" t="n">
        <f aca="false">IF(CA427&lt;0,CA427,0)</f>
        <v>0</v>
      </c>
      <c r="CB690" s="417" t="n">
        <f aca="false">IF(CB427&lt;0,CB427,0)</f>
        <v>0</v>
      </c>
      <c r="CC690" s="50"/>
    </row>
    <row r="691" s="51" customFormat="true" ht="15" hidden="false" customHeight="true" outlineLevel="0" collapsed="false">
      <c r="A691" s="50" t="s">
        <v>640</v>
      </c>
      <c r="B691" s="149"/>
      <c r="C691" s="417" t="n">
        <f aca="false">IF(C430&lt;0,C430,0)</f>
        <v>0</v>
      </c>
      <c r="D691" s="417" t="n">
        <f aca="false">IF(D430&lt;0,D430,0)</f>
        <v>0</v>
      </c>
      <c r="E691" s="417" t="n">
        <f aca="false">IF(E430&lt;0,E430,0)</f>
        <v>0</v>
      </c>
      <c r="F691" s="417" t="n">
        <f aca="false">IF(F430&lt;0,F430,0)</f>
        <v>0</v>
      </c>
      <c r="G691" s="417" t="n">
        <f aca="false">IF(G430&lt;0,G430,0)</f>
        <v>0</v>
      </c>
      <c r="H691" s="417" t="n">
        <f aca="false">IF(H430&lt;0,H430,0)</f>
        <v>0</v>
      </c>
      <c r="I691" s="417" t="n">
        <f aca="false">IF(I430&lt;0,I430,0)</f>
        <v>0</v>
      </c>
      <c r="J691" s="417" t="n">
        <f aca="false">IF(J430&lt;0,J430,0)</f>
        <v>0</v>
      </c>
      <c r="K691" s="417" t="n">
        <f aca="false">IF(K430&lt;0,K430,0)</f>
        <v>0</v>
      </c>
      <c r="L691" s="417" t="n">
        <f aca="false">IF(L430&lt;0,L430,0)</f>
        <v>0</v>
      </c>
      <c r="M691" s="417" t="n">
        <f aca="false">IF(M430&lt;0,M430,0)</f>
        <v>0</v>
      </c>
      <c r="N691" s="417" t="n">
        <f aca="false">IF(N430&lt;0,N430,0)</f>
        <v>0</v>
      </c>
      <c r="O691" s="417" t="n">
        <f aca="false">IF(O430&lt;0,O430,0)</f>
        <v>0</v>
      </c>
      <c r="P691" s="417" t="n">
        <f aca="false">IF(P430&lt;0,P430,0)</f>
        <v>0</v>
      </c>
      <c r="Q691" s="417" t="n">
        <f aca="false">IF(Q430&lt;0,Q430,0)</f>
        <v>0</v>
      </c>
      <c r="R691" s="417" t="n">
        <f aca="false">IF(R430&lt;0,R430,0)</f>
        <v>0</v>
      </c>
      <c r="S691" s="417" t="n">
        <f aca="false">IF(S430&lt;0,S430,0)</f>
        <v>0</v>
      </c>
      <c r="T691" s="417" t="n">
        <f aca="false">IF(T430&lt;0,T430,0)</f>
        <v>0</v>
      </c>
      <c r="U691" s="417" t="n">
        <f aca="false">IF(U430&lt;0,U430,0)</f>
        <v>0</v>
      </c>
      <c r="V691" s="417" t="n">
        <f aca="false">IF(V430&lt;0,V430,0)</f>
        <v>0</v>
      </c>
      <c r="W691" s="417" t="n">
        <f aca="false">IF(W430&lt;0,W430,0)</f>
        <v>0</v>
      </c>
      <c r="X691" s="417" t="n">
        <f aca="false">IF(X430&lt;0,X430,0)</f>
        <v>0</v>
      </c>
      <c r="Y691" s="417" t="n">
        <f aca="false">IF(Y430&lt;0,Y430,0)</f>
        <v>0</v>
      </c>
      <c r="Z691" s="417" t="n">
        <f aca="false">IF(Z430&lt;0,Z430,0)</f>
        <v>0</v>
      </c>
      <c r="AA691" s="417" t="n">
        <f aca="false">IF(AA430&lt;0,AA430,0)</f>
        <v>0</v>
      </c>
      <c r="AB691" s="417" t="n">
        <f aca="false">IF(AB430&lt;0,AB430,0)</f>
        <v>0</v>
      </c>
      <c r="AC691" s="417" t="n">
        <f aca="false">IF(AC430&lt;0,AC430,0)</f>
        <v>0</v>
      </c>
      <c r="AD691" s="417" t="n">
        <f aca="false">IF(AD430&lt;0,AD430,0)</f>
        <v>0</v>
      </c>
      <c r="AE691" s="417" t="n">
        <f aca="false">IF(AE430&lt;0,AE430,0)</f>
        <v>0</v>
      </c>
      <c r="AF691" s="417" t="n">
        <f aca="false">IF(AF430&lt;0,AF430,0)</f>
        <v>0</v>
      </c>
      <c r="AG691" s="417" t="n">
        <f aca="false">IF(AG430&lt;0,AG430,0)</f>
        <v>0</v>
      </c>
      <c r="AH691" s="417" t="n">
        <f aca="false">IF(AH430&lt;0,AH430,0)</f>
        <v>0</v>
      </c>
      <c r="AI691" s="417" t="n">
        <f aca="false">IF(AI430&lt;0,AI430,0)</f>
        <v>0</v>
      </c>
      <c r="AJ691" s="417" t="n">
        <f aca="false">IF(AJ430&lt;0,AJ430,0)</f>
        <v>0</v>
      </c>
      <c r="AK691" s="417" t="n">
        <f aca="false">IF(AK430&lt;0,AK430,0)</f>
        <v>0</v>
      </c>
      <c r="AL691" s="417" t="n">
        <f aca="false">IF(AL430&lt;0,AL430,0)</f>
        <v>0</v>
      </c>
      <c r="AM691" s="417" t="n">
        <f aca="false">IF(AM430&lt;0,AM430,0)</f>
        <v>0</v>
      </c>
      <c r="AN691" s="417" t="n">
        <f aca="false">IF(AN430&lt;0,AN430,0)</f>
        <v>0</v>
      </c>
      <c r="AO691" s="417" t="n">
        <f aca="false">IF(AO430&lt;0,AO430,0)</f>
        <v>0</v>
      </c>
      <c r="AP691" s="417" t="n">
        <f aca="false">IF(AP430&lt;0,AP430,0)</f>
        <v>0</v>
      </c>
      <c r="AQ691" s="417" t="n">
        <f aca="false">IF(AQ430&lt;0,AQ430,0)</f>
        <v>0</v>
      </c>
      <c r="AR691" s="417" t="n">
        <f aca="false">IF(AR430&lt;0,AR430,0)</f>
        <v>0</v>
      </c>
      <c r="AS691" s="417" t="n">
        <f aca="false">IF(AS430&lt;0,AS430,0)</f>
        <v>0</v>
      </c>
      <c r="AT691" s="417" t="n">
        <f aca="false">IF(AT430&lt;0,AT430,0)</f>
        <v>0</v>
      </c>
      <c r="AU691" s="417" t="n">
        <f aca="false">IF(AU430&lt;0,AU430,0)</f>
        <v>0</v>
      </c>
      <c r="AV691" s="417" t="n">
        <f aca="false">IF(AV430&lt;0,AV430,0)</f>
        <v>0</v>
      </c>
      <c r="AW691" s="417" t="n">
        <f aca="false">IF(AW430&lt;0,AW430,0)</f>
        <v>0</v>
      </c>
      <c r="AX691" s="417" t="n">
        <f aca="false">IF(AX430&lt;0,AX430,0)</f>
        <v>0</v>
      </c>
      <c r="AY691" s="417" t="n">
        <f aca="false">IF(AY430&lt;0,AY430,0)</f>
        <v>0</v>
      </c>
      <c r="AZ691" s="417" t="n">
        <f aca="false">IF(AZ430&lt;0,AZ430,0)</f>
        <v>0</v>
      </c>
      <c r="BA691" s="417" t="n">
        <f aca="false">IF(BA430&lt;0,BA430,0)</f>
        <v>0</v>
      </c>
      <c r="BB691" s="417" t="n">
        <f aca="false">IF(BB430&lt;0,BB430,0)</f>
        <v>0</v>
      </c>
      <c r="BC691" s="417" t="n">
        <f aca="false">IF(BC430&lt;0,BC430,0)</f>
        <v>0</v>
      </c>
      <c r="BD691" s="417" t="n">
        <f aca="false">IF(BD430&lt;0,BD430,0)</f>
        <v>0</v>
      </c>
      <c r="BE691" s="417" t="n">
        <f aca="false">IF(BE430&lt;0,BE430,0)</f>
        <v>0</v>
      </c>
      <c r="BF691" s="417" t="n">
        <f aca="false">IF(BF430&lt;0,BF430,0)</f>
        <v>0</v>
      </c>
      <c r="BG691" s="417" t="n">
        <f aca="false">IF(BG430&lt;0,BG430,0)</f>
        <v>0</v>
      </c>
      <c r="BH691" s="417" t="n">
        <f aca="false">IF(BH430&lt;0,BH430,0)</f>
        <v>0</v>
      </c>
      <c r="BI691" s="417" t="n">
        <f aca="false">IF(BI430&lt;0,BI430,0)</f>
        <v>0</v>
      </c>
      <c r="BJ691" s="417" t="n">
        <f aca="false">IF(BJ430&lt;0,BJ430,0)</f>
        <v>0</v>
      </c>
      <c r="BK691" s="417" t="n">
        <f aca="false">IF(BK430&lt;0,BK430,0)</f>
        <v>0</v>
      </c>
      <c r="BL691" s="417" t="n">
        <f aca="false">IF(BL430&lt;0,BL430,0)</f>
        <v>0</v>
      </c>
      <c r="BM691" s="417" t="n">
        <f aca="false">IF(BM430&lt;0,BM430,0)</f>
        <v>0</v>
      </c>
      <c r="BN691" s="417" t="n">
        <f aca="false">IF(BN430&lt;0,BN430,0)</f>
        <v>0</v>
      </c>
      <c r="BO691" s="418" t="n">
        <f aca="false">IF(BO430&lt;0,BO430,0)</f>
        <v>0</v>
      </c>
      <c r="BP691" s="417" t="n">
        <f aca="false">IF(BP430&lt;0,BP430,0)</f>
        <v>0</v>
      </c>
      <c r="BQ691" s="417" t="n">
        <f aca="false">IF(BQ430&lt;0,BQ430,0)</f>
        <v>0</v>
      </c>
      <c r="BR691" s="417" t="n">
        <f aca="false">IF(BR430&lt;0,BR430,0)</f>
        <v>0</v>
      </c>
      <c r="BS691" s="417" t="n">
        <f aca="false">IF(BS430&lt;0,BS430,0)</f>
        <v>0</v>
      </c>
      <c r="BT691" s="417" t="n">
        <f aca="false">IF(BT430&lt;0,BT430,0)</f>
        <v>0</v>
      </c>
      <c r="BU691" s="417" t="n">
        <f aca="false">IF(BU430&lt;0,BU430,0)</f>
        <v>0</v>
      </c>
      <c r="BV691" s="417" t="n">
        <f aca="false">IF(BV430&lt;0,BV430,0)</f>
        <v>0</v>
      </c>
      <c r="BW691" s="417" t="n">
        <f aca="false">IF(BW430&lt;0,BW430,0)</f>
        <v>0</v>
      </c>
      <c r="BX691" s="417" t="n">
        <f aca="false">IF(BX430&lt;0,BX430,0)</f>
        <v>0</v>
      </c>
      <c r="BY691" s="417" t="n">
        <f aca="false">IF(BY430&lt;0,BY430,0)</f>
        <v>0</v>
      </c>
      <c r="BZ691" s="417" t="n">
        <f aca="false">IF(BZ430&lt;0,BZ430,0)</f>
        <v>0</v>
      </c>
      <c r="CA691" s="417" t="n">
        <f aca="false">IF(CA430&lt;0,CA430,0)</f>
        <v>0</v>
      </c>
      <c r="CB691" s="417" t="n">
        <f aca="false">IF(CB430&lt;0,CB430,0)</f>
        <v>0</v>
      </c>
      <c r="CC691" s="50"/>
    </row>
    <row r="692" s="51" customFormat="true" ht="15" hidden="false" customHeight="true" outlineLevel="0" collapsed="false">
      <c r="A692" s="50" t="s">
        <v>641</v>
      </c>
      <c r="B692" s="149"/>
      <c r="C692" s="417" t="n">
        <f aca="false">IF(AND(ISBLANK(C41)),0,ROUND(C329-C41,6))</f>
        <v>0</v>
      </c>
      <c r="D692" s="417" t="n">
        <f aca="false">IF(AND(ISBLANK(D41)),0,ROUND(D329-D41,6))</f>
        <v>0</v>
      </c>
      <c r="E692" s="417" t="n">
        <f aca="false">IF(AND(ISBLANK(E41)),0,ROUND(E329-E41,6))</f>
        <v>0</v>
      </c>
      <c r="F692" s="417" t="n">
        <f aca="false">IF(AND(ISBLANK(F41)),0,ROUND(F329-F41,6))</f>
        <v>0</v>
      </c>
      <c r="G692" s="417" t="n">
        <f aca="false">IF(AND(ISBLANK(G41)),0,ROUND(G329-G41,6))</f>
        <v>0</v>
      </c>
      <c r="H692" s="417" t="n">
        <f aca="false">IF(AND(ISBLANK(H41)),0,ROUND(H329-H41,6))</f>
        <v>0</v>
      </c>
      <c r="I692" s="417" t="n">
        <f aca="false">IF(AND(ISBLANK(I41)),0,ROUND(I329-I41,6))</f>
        <v>0</v>
      </c>
      <c r="J692" s="417" t="n">
        <f aca="false">IF(AND(ISBLANK(J41)),0,ROUND(J329-J41,6))</f>
        <v>0</v>
      </c>
      <c r="K692" s="417" t="n">
        <f aca="false">IF(AND(ISBLANK(K41)),0,ROUND(K329-K41,6))</f>
        <v>0</v>
      </c>
      <c r="L692" s="417" t="n">
        <f aca="false">IF(AND(ISBLANK(L41)),0,ROUND(L329-L41,6))</f>
        <v>0</v>
      </c>
      <c r="M692" s="417" t="n">
        <f aca="false">IF(AND(ISBLANK(M41)),0,ROUND(M329-M41,6))</f>
        <v>0</v>
      </c>
      <c r="N692" s="417" t="n">
        <f aca="false">IF(AND(ISBLANK(N41)),0,ROUND(N329-N41,6))</f>
        <v>0</v>
      </c>
      <c r="O692" s="417" t="n">
        <f aca="false">IF(AND(ISBLANK(O41)),0,ROUND(O329-O41,6))</f>
        <v>0</v>
      </c>
      <c r="P692" s="417" t="n">
        <f aca="false">IF(AND(ISBLANK(P41)),0,ROUND(P329-P41,6))</f>
        <v>0</v>
      </c>
      <c r="Q692" s="417" t="n">
        <f aca="false">IF(AND(ISBLANK(Q41)),0,ROUND(Q329-Q41,6))</f>
        <v>0</v>
      </c>
      <c r="R692" s="417" t="n">
        <f aca="false">IF(AND(ISBLANK(R41)),0,ROUND(R329-R41,6))</f>
        <v>0</v>
      </c>
      <c r="S692" s="417" t="n">
        <f aca="false">IF(AND(ISBLANK(S41)),0,ROUND(S329-S41,6))</f>
        <v>0</v>
      </c>
      <c r="T692" s="417" t="n">
        <f aca="false">IF(AND(ISBLANK(T41)),0,ROUND(T329-T41,6))</f>
        <v>0</v>
      </c>
      <c r="U692" s="417" t="n">
        <f aca="false">IF(AND(ISBLANK(U41)),0,ROUND(U329-U41,6))</f>
        <v>0</v>
      </c>
      <c r="V692" s="417" t="n">
        <f aca="false">IF(AND(ISBLANK(V41)),0,ROUND(V329-V41,6))</f>
        <v>0</v>
      </c>
      <c r="W692" s="417" t="n">
        <f aca="false">IF(AND(ISBLANK(W41)),0,ROUND(W329-W41,6))</f>
        <v>0</v>
      </c>
      <c r="X692" s="417" t="n">
        <f aca="false">IF(AND(ISBLANK(X41)),0,ROUND(X329-X41,6))</f>
        <v>0</v>
      </c>
      <c r="Y692" s="417" t="n">
        <f aca="false">IF(AND(ISBLANK(Y41)),0,ROUND(Y329-Y41,6))</f>
        <v>0</v>
      </c>
      <c r="Z692" s="417" t="n">
        <f aca="false">IF(AND(ISBLANK(Z41)),0,ROUND(Z329-Z41,6))</f>
        <v>0</v>
      </c>
      <c r="AA692" s="417" t="n">
        <f aca="false">IF(AND(ISBLANK(AA41)),0,ROUND(AA329-AA41,6))</f>
        <v>0</v>
      </c>
      <c r="AB692" s="417" t="n">
        <f aca="false">IF(AND(ISBLANK(AB41)),0,ROUND(AB329-AB41,6))</f>
        <v>0</v>
      </c>
      <c r="AC692" s="417" t="n">
        <f aca="false">IF(AND(ISBLANK(AC41)),0,ROUND(AC329-AC41,6))</f>
        <v>0</v>
      </c>
      <c r="AD692" s="417" t="n">
        <f aca="false">IF(AND(ISBLANK(AD41)),0,ROUND(AD329-AD41,6))</f>
        <v>0</v>
      </c>
      <c r="AE692" s="417" t="n">
        <f aca="false">IF(AND(ISBLANK(AE41)),0,ROUND(AE329-AE41,6))</f>
        <v>0</v>
      </c>
      <c r="AF692" s="417" t="n">
        <f aca="false">IF(AND(ISBLANK(AF41)),0,ROUND(AF329-AF41,6))</f>
        <v>0</v>
      </c>
      <c r="AG692" s="417" t="n">
        <f aca="false">IF(AND(ISBLANK(AG41)),0,ROUND(AG329-AG41,6))</f>
        <v>0</v>
      </c>
      <c r="AH692" s="417" t="n">
        <f aca="false">IF(AND(ISBLANK(AH41)),0,ROUND(AH329-AH41,6))</f>
        <v>0</v>
      </c>
      <c r="AI692" s="417" t="n">
        <f aca="false">IF(AND(ISBLANK(AI41)),0,ROUND(AI329-AI41,6))</f>
        <v>0</v>
      </c>
      <c r="AJ692" s="417" t="n">
        <f aca="false">IF(AND(ISBLANK(AJ41)),0,ROUND(AJ329-AJ41,6))</f>
        <v>0</v>
      </c>
      <c r="AK692" s="417" t="n">
        <f aca="false">IF(AND(ISBLANK(AK41)),0,ROUND(AK329-AK41,6))</f>
        <v>0</v>
      </c>
      <c r="AL692" s="417" t="n">
        <f aca="false">IF(AND(ISBLANK(AL41)),0,ROUND(AL329-AL41,6))</f>
        <v>0</v>
      </c>
      <c r="AM692" s="417" t="n">
        <f aca="false">IF(AND(ISBLANK(AM41)),0,ROUND(AM329-AM41,6))</f>
        <v>0</v>
      </c>
      <c r="AN692" s="417" t="n">
        <f aca="false">IF(AND(ISBLANK(AN41)),0,ROUND(AN329-AN41,6))</f>
        <v>0</v>
      </c>
      <c r="AO692" s="417" t="n">
        <f aca="false">IF(AND(ISBLANK(AO41)),0,ROUND(AO329-AO41,6))</f>
        <v>0</v>
      </c>
      <c r="AP692" s="417" t="n">
        <f aca="false">IF(AND(ISBLANK(AP41)),0,ROUND(AP329-AP41,6))</f>
        <v>0</v>
      </c>
      <c r="AQ692" s="417" t="n">
        <f aca="false">IF(AND(ISBLANK(AQ41)),0,ROUND(AQ329-AQ41,6))</f>
        <v>0</v>
      </c>
      <c r="AR692" s="417" t="n">
        <f aca="false">IF(AND(ISBLANK(AR41)),0,ROUND(AR329-AR41,6))</f>
        <v>0</v>
      </c>
      <c r="AS692" s="417" t="n">
        <f aca="false">IF(AND(ISBLANK(AS41)),0,ROUND(AS329-AS41,6))</f>
        <v>0</v>
      </c>
      <c r="AT692" s="417" t="n">
        <f aca="false">IF(AND(ISBLANK(AT41)),0,ROUND(AT329-AT41,6))</f>
        <v>0</v>
      </c>
      <c r="AU692" s="417" t="n">
        <f aca="false">IF(AND(ISBLANK(AU41)),0,ROUND(AU329-AU41,6))</f>
        <v>0</v>
      </c>
      <c r="AV692" s="417" t="n">
        <f aca="false">IF(AND(ISBLANK(AV41)),0,ROUND(AV329-AV41,6))</f>
        <v>0</v>
      </c>
      <c r="AW692" s="417" t="n">
        <f aca="false">IF(AND(ISBLANK(AW41)),0,ROUND(AW329-AW41,6))</f>
        <v>0</v>
      </c>
      <c r="AX692" s="417" t="n">
        <f aca="false">IF(AND(ISBLANK(AX41)),0,ROUND(AX329-AX41,6))</f>
        <v>0</v>
      </c>
      <c r="AY692" s="417" t="n">
        <f aca="false">IF(AND(ISBLANK(AY41)),0,ROUND(AY329-AY41,6))</f>
        <v>0</v>
      </c>
      <c r="AZ692" s="417" t="n">
        <f aca="false">IF(AND(ISBLANK(AZ41)),0,ROUND(AZ329-AZ41,6))</f>
        <v>0</v>
      </c>
      <c r="BA692" s="417" t="n">
        <f aca="false">IF(AND(ISBLANK(BA41)),0,ROUND(BA329-BA41,6))</f>
        <v>0</v>
      </c>
      <c r="BB692" s="417" t="n">
        <f aca="false">IF(AND(ISBLANK(BB41)),0,ROUND(BB329-BB41,6))</f>
        <v>0</v>
      </c>
      <c r="BC692" s="417" t="n">
        <f aca="false">IF(AND(ISBLANK(BC41)),0,ROUND(BC329-BC41,6))</f>
        <v>0</v>
      </c>
      <c r="BD692" s="417" t="n">
        <f aca="false">IF(AND(ISBLANK(BD41)),0,ROUND(BD329-BD41,6))</f>
        <v>0</v>
      </c>
      <c r="BE692" s="417" t="n">
        <f aca="false">IF(AND(ISBLANK(BE41)),0,ROUND(BE329-BE41,6))</f>
        <v>0</v>
      </c>
      <c r="BF692" s="417" t="n">
        <f aca="false">IF(AND(ISBLANK(BF41)),0,ROUND(BF329-BF41,6))</f>
        <v>0</v>
      </c>
      <c r="BG692" s="417" t="n">
        <f aca="false">IF(AND(ISBLANK(BG41)),0,ROUND(BG329-BG41,6))</f>
        <v>0</v>
      </c>
      <c r="BH692" s="417" t="n">
        <f aca="false">IF(AND(ISBLANK(BH41)),0,ROUND(BH329-BH41,6))</f>
        <v>0</v>
      </c>
      <c r="BI692" s="417" t="n">
        <f aca="false">IF(AND(ISBLANK(BI41)),0,ROUND(BI329-BI41,6))</f>
        <v>0</v>
      </c>
      <c r="BJ692" s="417" t="n">
        <f aca="false">IF(AND(ISBLANK(BJ41)),0,ROUND(BJ329-BJ41,6))</f>
        <v>0</v>
      </c>
      <c r="BK692" s="417" t="n">
        <f aca="false">IF(AND(ISBLANK(BK41)),0,ROUND(BK329-BK41,6))</f>
        <v>0</v>
      </c>
      <c r="BL692" s="417" t="n">
        <f aca="false">IF(AND(ISBLANK(BL41)),0,ROUND(BL329-BL41,6))</f>
        <v>0</v>
      </c>
      <c r="BM692" s="417" t="n">
        <f aca="false">IF(AND(ISBLANK(BM41)),0,ROUND(BM329-BM41,6))</f>
        <v>0</v>
      </c>
      <c r="BN692" s="417" t="n">
        <f aca="false">IF(AND(ISBLANK(BN41)),0,ROUND(BN329-BN41,6))</f>
        <v>0</v>
      </c>
      <c r="BO692" s="418" t="n">
        <f aca="false">IF(AND(ISBLANK(BO41)),0,ROUND(BO329-BO41,6))</f>
        <v>0</v>
      </c>
      <c r="BP692" s="417" t="n">
        <f aca="false">IF(AND(ISBLANK(BP41)),0,ROUND(BP329-BP41,6))</f>
        <v>0</v>
      </c>
      <c r="BQ692" s="417" t="n">
        <f aca="false">IF(AND(ISBLANK(BQ41)),0,ROUND(BQ329-BQ41,6))</f>
        <v>0</v>
      </c>
      <c r="BR692" s="417" t="n">
        <f aca="false">IF(AND(ISBLANK(BR41)),0,ROUND(BR329-BR41,6))</f>
        <v>0</v>
      </c>
      <c r="BS692" s="417" t="n">
        <f aca="false">IF(AND(ISBLANK(BS41)),0,ROUND(BS329-BS41,6))</f>
        <v>0</v>
      </c>
      <c r="BT692" s="417" t="n">
        <f aca="false">IF(AND(ISBLANK(BT41)),0,ROUND(BT329-BT41,6))</f>
        <v>0</v>
      </c>
      <c r="BU692" s="417" t="n">
        <f aca="false">IF(AND(ISBLANK(BU41)),0,ROUND(BU329-BU41,6))</f>
        <v>0</v>
      </c>
      <c r="BV692" s="417" t="n">
        <f aca="false">IF(AND(ISBLANK(BV41)),0,ROUND(BV329-BV41,6))</f>
        <v>0</v>
      </c>
      <c r="BW692" s="417" t="n">
        <f aca="false">IF(AND(ISBLANK(BW41)),0,ROUND(BW329-BW41,6))</f>
        <v>0</v>
      </c>
      <c r="BX692" s="417" t="n">
        <f aca="false">IF(AND(ISBLANK(BX41)),0,ROUND(BX329-BX41,6))</f>
        <v>0</v>
      </c>
      <c r="BY692" s="417" t="n">
        <f aca="false">IF(AND(ISBLANK(BY41)),0,ROUND(BY329-BY41,6))</f>
        <v>0</v>
      </c>
      <c r="BZ692" s="417" t="n">
        <f aca="false">IF(AND(ISBLANK(BZ41)),0,ROUND(BZ329-BZ41,6))</f>
        <v>0</v>
      </c>
      <c r="CA692" s="417" t="n">
        <f aca="false">IF(AND(ISBLANK(CA41)),0,ROUND(CA329-CA41,6))</f>
        <v>0</v>
      </c>
      <c r="CB692" s="417" t="n">
        <f aca="false">IF(AND(ISBLANK(CB41)),0,ROUND(CB329-CB41,6))</f>
        <v>0</v>
      </c>
      <c r="CC692" s="50"/>
    </row>
    <row r="693" s="51" customFormat="true" ht="15" hidden="false" customHeight="true" outlineLevel="0" collapsed="false">
      <c r="A693" s="50" t="s">
        <v>642</v>
      </c>
      <c r="B693" s="149"/>
      <c r="C693" s="417" t="n">
        <f aca="false">C89-C308</f>
        <v>0</v>
      </c>
      <c r="D693" s="417" t="n">
        <f aca="false">D89-D308</f>
        <v>0</v>
      </c>
      <c r="E693" s="417" t="n">
        <f aca="false">E89-E308</f>
        <v>0</v>
      </c>
      <c r="F693" s="417" t="n">
        <f aca="false">F89-F308</f>
        <v>0</v>
      </c>
      <c r="G693" s="417" t="n">
        <f aca="false">G89-G308</f>
        <v>0</v>
      </c>
      <c r="H693" s="417" t="n">
        <f aca="false">H89-H308</f>
        <v>0</v>
      </c>
      <c r="I693" s="417" t="n">
        <f aca="false">I89-I308</f>
        <v>0</v>
      </c>
      <c r="J693" s="417" t="n">
        <f aca="false">J89-J308</f>
        <v>0</v>
      </c>
      <c r="K693" s="417" t="n">
        <f aca="false">K89-K308</f>
        <v>0</v>
      </c>
      <c r="L693" s="417" t="n">
        <f aca="false">L89-L308</f>
        <v>0</v>
      </c>
      <c r="M693" s="417" t="n">
        <f aca="false">M89-M308</f>
        <v>0</v>
      </c>
      <c r="N693" s="417" t="n">
        <f aca="false">N89-N308</f>
        <v>0</v>
      </c>
      <c r="O693" s="417" t="n">
        <f aca="false">O89-O308</f>
        <v>0</v>
      </c>
      <c r="P693" s="417" t="n">
        <f aca="false">P89-P308</f>
        <v>0</v>
      </c>
      <c r="Q693" s="417" t="n">
        <f aca="false">Q89-Q308</f>
        <v>0</v>
      </c>
      <c r="R693" s="417" t="n">
        <f aca="false">R89-R308</f>
        <v>0</v>
      </c>
      <c r="S693" s="417" t="n">
        <f aca="false">S89-S308</f>
        <v>0</v>
      </c>
      <c r="T693" s="417" t="n">
        <f aca="false">T89-T308</f>
        <v>0</v>
      </c>
      <c r="U693" s="417" t="n">
        <f aca="false">U89-U308</f>
        <v>0</v>
      </c>
      <c r="V693" s="417" t="n">
        <f aca="false">V89-V308</f>
        <v>0</v>
      </c>
      <c r="W693" s="417" t="n">
        <f aca="false">W89-W308</f>
        <v>0</v>
      </c>
      <c r="X693" s="417" t="n">
        <f aca="false">X89-X308</f>
        <v>0</v>
      </c>
      <c r="Y693" s="417" t="n">
        <f aca="false">Y89-Y308</f>
        <v>0</v>
      </c>
      <c r="Z693" s="417" t="n">
        <f aca="false">Z89-Z308</f>
        <v>0</v>
      </c>
      <c r="AA693" s="417" t="n">
        <f aca="false">AA89-AA308</f>
        <v>0</v>
      </c>
      <c r="AB693" s="417" t="n">
        <f aca="false">AB89-AB308</f>
        <v>0</v>
      </c>
      <c r="AC693" s="417" t="n">
        <f aca="false">AC89-AC308</f>
        <v>0</v>
      </c>
      <c r="AD693" s="417" t="n">
        <f aca="false">AD89-AD308</f>
        <v>0</v>
      </c>
      <c r="AE693" s="417" t="n">
        <f aca="false">AE89-AE308</f>
        <v>0</v>
      </c>
      <c r="AF693" s="417" t="n">
        <f aca="false">AF89-AF308</f>
        <v>0</v>
      </c>
      <c r="AG693" s="417" t="n">
        <f aca="false">AG89-AG308</f>
        <v>0</v>
      </c>
      <c r="AH693" s="417" t="n">
        <f aca="false">AH89-AH308</f>
        <v>0</v>
      </c>
      <c r="AI693" s="417" t="n">
        <f aca="false">AI89-AI308</f>
        <v>0</v>
      </c>
      <c r="AJ693" s="417" t="n">
        <f aca="false">AJ89-AJ308</f>
        <v>0</v>
      </c>
      <c r="AK693" s="417" t="n">
        <f aca="false">AK89-AK308</f>
        <v>0</v>
      </c>
      <c r="AL693" s="417" t="n">
        <f aca="false">AL89-AL308</f>
        <v>0</v>
      </c>
      <c r="AM693" s="417" t="n">
        <f aca="false">AM89-AM308</f>
        <v>0</v>
      </c>
      <c r="AN693" s="417" t="n">
        <f aca="false">AN89-AN308</f>
        <v>0</v>
      </c>
      <c r="AO693" s="417" t="n">
        <f aca="false">AO89-AO308</f>
        <v>0</v>
      </c>
      <c r="AP693" s="417" t="n">
        <f aca="false">AP89-AP308</f>
        <v>0</v>
      </c>
      <c r="AQ693" s="417" t="n">
        <f aca="false">AQ89-AQ308</f>
        <v>0</v>
      </c>
      <c r="AR693" s="417" t="n">
        <f aca="false">AR89-AR308</f>
        <v>0</v>
      </c>
      <c r="AS693" s="417" t="n">
        <f aca="false">AS89-AS308</f>
        <v>0</v>
      </c>
      <c r="AT693" s="417" t="n">
        <f aca="false">AT89-AT308</f>
        <v>0</v>
      </c>
      <c r="AU693" s="417" t="n">
        <f aca="false">AU89-AU308</f>
        <v>0</v>
      </c>
      <c r="AV693" s="417" t="n">
        <f aca="false">AV89-AV308</f>
        <v>0</v>
      </c>
      <c r="AW693" s="417" t="n">
        <f aca="false">AW89-AW308</f>
        <v>0</v>
      </c>
      <c r="AX693" s="417" t="n">
        <f aca="false">AX89-AX308</f>
        <v>0</v>
      </c>
      <c r="AY693" s="417" t="n">
        <f aca="false">AY89-AY308</f>
        <v>0</v>
      </c>
      <c r="AZ693" s="417" t="n">
        <f aca="false">AZ89-AZ308</f>
        <v>0</v>
      </c>
      <c r="BA693" s="417" t="n">
        <f aca="false">BA89-BA308</f>
        <v>0</v>
      </c>
      <c r="BB693" s="417" t="n">
        <f aca="false">BB89-BB308</f>
        <v>0</v>
      </c>
      <c r="BC693" s="417" t="n">
        <f aca="false">BC89-BC308</f>
        <v>0</v>
      </c>
      <c r="BD693" s="417" t="n">
        <f aca="false">BD89-BD308</f>
        <v>0</v>
      </c>
      <c r="BE693" s="417" t="n">
        <f aca="false">BE89-BE308</f>
        <v>0</v>
      </c>
      <c r="BF693" s="417" t="n">
        <f aca="false">BF89-BF308</f>
        <v>0</v>
      </c>
      <c r="BG693" s="417" t="n">
        <f aca="false">BG89-BG308</f>
        <v>0</v>
      </c>
      <c r="BH693" s="417" t="n">
        <f aca="false">BH89-BH308</f>
        <v>0</v>
      </c>
      <c r="BI693" s="417" t="n">
        <f aca="false">BI89-BI308</f>
        <v>0</v>
      </c>
      <c r="BJ693" s="417" t="n">
        <f aca="false">BJ89-BJ308</f>
        <v>0</v>
      </c>
      <c r="BK693" s="417" t="n">
        <f aca="false">BK89-BK308</f>
        <v>0</v>
      </c>
      <c r="BL693" s="417" t="n">
        <f aca="false">BL89-BL308</f>
        <v>0</v>
      </c>
      <c r="BM693" s="417" t="n">
        <f aca="false">BM89-BM308</f>
        <v>0</v>
      </c>
      <c r="BN693" s="417" t="n">
        <f aca="false">BN89-BN308</f>
        <v>0</v>
      </c>
      <c r="BO693" s="418" t="n">
        <f aca="false">BO89-BO308</f>
        <v>0</v>
      </c>
      <c r="BP693" s="417"/>
      <c r="BQ693" s="417"/>
      <c r="BR693" s="417"/>
      <c r="BS693" s="417"/>
      <c r="BT693" s="417"/>
      <c r="BU693" s="417"/>
      <c r="BV693" s="417"/>
      <c r="BW693" s="417"/>
      <c r="BX693" s="417"/>
      <c r="BY693" s="417"/>
      <c r="BZ693" s="417"/>
      <c r="CA693" s="417"/>
      <c r="CB693" s="417"/>
      <c r="CC693" s="50"/>
    </row>
    <row r="694" s="51" customFormat="true" ht="15" hidden="false" customHeight="true" outlineLevel="0" collapsed="false">
      <c r="A694" s="50" t="s">
        <v>643</v>
      </c>
      <c r="B694" s="149"/>
      <c r="C694" s="417" t="n">
        <f aca="false">IF(ISBLANK(INDEX(MO_IS_FirstRow,0,COLUMN())),0,IF(OR(C575=B575,C575=D575),"CHECK",0))</f>
        <v>0</v>
      </c>
      <c r="D694" s="417" t="n">
        <f aca="false">IF(ISBLANK(INDEX(MO_IS_FirstRow,0,COLUMN())),0,IF(OR(D575=C575,D575=F575),"CHECK",0))</f>
        <v>0</v>
      </c>
      <c r="E694" s="417" t="n">
        <f aca="false">IF(ISBLANK(INDEX(MO_IS_FirstRow,0,COLUMN())),0,IF(OR(E575=D575,E575=J575),"CHECK",0))</f>
        <v>0</v>
      </c>
      <c r="F694" s="417" t="n">
        <f aca="false">IF(ISBLANK(INDEX(MO_IS_FirstRow,0,COLUMN())),0,IF(OR(F575=E575,F575=K575),"CHECK",0))</f>
        <v>0</v>
      </c>
      <c r="G694" s="417" t="n">
        <f aca="false">IF(ISBLANK(INDEX(MO_IS_FirstRow,0,COLUMN())),0,IF(OR(G575=F575,G575=L575),"CHECK",0))</f>
        <v>0</v>
      </c>
      <c r="H694" s="417" t="n">
        <f aca="false">IF(ISBLANK(INDEX(MO_IS_FirstRow,0,COLUMN())),0,IF(OR(H575=B575,H575=I575,H575=F575),"CHECK",0))</f>
        <v>0</v>
      </c>
      <c r="I694" s="417" t="n">
        <f aca="false">IF(ISBLANK(INDEX(MO_IS_FirstRow,0,COLUMN())),0,IF(OR(I575=C575,I575=J575,I575=H575),"CHECK",0))</f>
        <v>0</v>
      </c>
      <c r="J694" s="417" t="n">
        <f aca="false">IF(ISBLANK(INDEX(MO_IS_FirstRow,0,COLUMN())),0,IF(OR(J575=D575,J575=K575,J575=I575),"CHECK",0))</f>
        <v>0</v>
      </c>
      <c r="K694" s="417" t="n">
        <f aca="false">IF(ISBLANK(INDEX(MO_IS_FirstRow,0,COLUMN())),0,IF(OR(K575=F575,K575=L575,K575=J575),"CHECK",0))</f>
        <v>0</v>
      </c>
      <c r="L694" s="417" t="n">
        <f aca="false">IF(ISBLANK(INDEX(MO_IS_FirstRow,0,COLUMN())),0,IF(L575=G575,"CHECK",0))</f>
        <v>0</v>
      </c>
      <c r="M694" s="417" t="n">
        <f aca="false">IF(ISBLANK(INDEX(MO_IS_FirstRow,0,COLUMN())),0,IF(OR(M575=H575,M575=N575,M575=K575),"CHECK",0))</f>
        <v>0</v>
      </c>
      <c r="N694" s="417" t="n">
        <f aca="false">IF(ISBLANK(INDEX(MO_IS_FirstRow,0,COLUMN())),0,IF(OR(N575=I575,N575=O575,N575=M575),"CHECK",0))</f>
        <v>0</v>
      </c>
      <c r="O694" s="417" t="n">
        <f aca="false">IF(ISBLANK(INDEX(MO_IS_FirstRow,0,COLUMN())),0,IF(OR(O575=J575,O575=P575,O575=N575),"CHECK",0))</f>
        <v>0</v>
      </c>
      <c r="P694" s="417" t="n">
        <f aca="false">IF(ISBLANK(INDEX(MO_IS_FirstRow,0,COLUMN())),0,IF(OR(P575=K575,P575=Q575,P575=O575),"CHECK",0))</f>
        <v>0</v>
      </c>
      <c r="Q694" s="417" t="n">
        <f aca="false">IF(ISBLANK(INDEX(MO_IS_FirstRow,0,COLUMN())),0,IF(Q575=L575,"CHECK",0))</f>
        <v>0</v>
      </c>
      <c r="R694" s="417" t="n">
        <f aca="false">IF(ISBLANK(INDEX(MO_IS_FirstRow,0,COLUMN())),0,IF(OR(R575=M575,R575=S575,R575=P575),"CHECK",0))</f>
        <v>0</v>
      </c>
      <c r="S694" s="417" t="n">
        <f aca="false">IF(ISBLANK(INDEX(MO_IS_FirstRow,0,COLUMN())),0,IF(OR(S575=N575,S575=T575,S575=R575),"CHECK",0))</f>
        <v>0</v>
      </c>
      <c r="T694" s="417" t="n">
        <f aca="false">IF(ISBLANK(INDEX(MO_IS_FirstRow,0,COLUMN())),0,IF(OR(T575=O575,T575=U575,T575=S575),"CHECK",0))</f>
        <v>0</v>
      </c>
      <c r="U694" s="417" t="n">
        <f aca="false">IF(ISBLANK(INDEX(MO_IS_FirstRow,0,COLUMN())),0,IF(OR(U575=P575,U575=V575,U575=T575),"CHECK",0))</f>
        <v>0</v>
      </c>
      <c r="V694" s="417" t="n">
        <f aca="false">IF(ISBLANK(INDEX(MO_IS_FirstRow,0,COLUMN())),0,IF(V575=Q575,"CHECK",0))</f>
        <v>0</v>
      </c>
      <c r="W694" s="417" t="n">
        <f aca="false">IF(ISBLANK(INDEX(MO_IS_FirstRow,0,COLUMN())),0,IF(OR(W575=R575,W575=X575,W575=U575),"CHECK",0))</f>
        <v>0</v>
      </c>
      <c r="X694" s="417" t="n">
        <f aca="false">IF(ISBLANK(INDEX(MO_IS_FirstRow,0,COLUMN())),0,IF(OR(X575=S575,X575=Y575,X575=W575),"CHECK",0))</f>
        <v>0</v>
      </c>
      <c r="Y694" s="417" t="n">
        <f aca="false">IF(ISBLANK(INDEX(MO_IS_FirstRow,0,COLUMN())),0,IF(OR(Y575=T575,Y575=Z575,Y575=X575),"CHECK",0))</f>
        <v>0</v>
      </c>
      <c r="Z694" s="417" t="n">
        <f aca="false">IF(ISBLANK(INDEX(MO_IS_FirstRow,0,COLUMN())),0,IF(OR(Z575=U575,Z575=AA575,Z575=Y575),"CHECK",0))</f>
        <v>0</v>
      </c>
      <c r="AA694" s="417" t="n">
        <f aca="false">IF(ISBLANK(INDEX(MO_IS_FirstRow,0,COLUMN())),0,IF(AA575=V575,"CHECK",0))</f>
        <v>0</v>
      </c>
      <c r="AB694" s="417" t="n">
        <f aca="false">IF(ISBLANK(INDEX(MO_IS_FirstRow,0,COLUMN())),0,IF(OR(AB575=W575,AB575=AC575,AB575=Z575),"CHECK",0))</f>
        <v>0</v>
      </c>
      <c r="AC694" s="417" t="n">
        <f aca="false">IF(ISBLANK(INDEX(MO_IS_FirstRow,0,COLUMN())),0,IF(OR(AC575=X575,AC575=AD575,AC575=AB575),"CHECK",0))</f>
        <v>0</v>
      </c>
      <c r="AD694" s="417" t="n">
        <f aca="false">IF(ISBLANK(INDEX(MO_IS_FirstRow,0,COLUMN())),0,IF(OR(AD575=Y575,AD575=AE575,AD575=AC575),"CHECK",0))</f>
        <v>0</v>
      </c>
      <c r="AE694" s="417" t="n">
        <f aca="false">IF(ISBLANK(INDEX(MO_IS_FirstRow,0,COLUMN())),0,IF(OR(AE575=Z575,AE575=AF575,AE575=AD575),"CHECK",0))</f>
        <v>0</v>
      </c>
      <c r="AF694" s="417" t="n">
        <f aca="false">IF(ISBLANK(INDEX(MO_IS_FirstRow,0,COLUMN())),0,IF(AF575=AA575,"CHECK",0))</f>
        <v>0</v>
      </c>
      <c r="AG694" s="417" t="n">
        <f aca="false">IF(ISBLANK(INDEX(MO_IS_FirstRow,0,COLUMN())),0,IF(OR(AG575=AB575,AG575=AH575,AG575=AE575),"CHECK",0))</f>
        <v>0</v>
      </c>
      <c r="AH694" s="417" t="n">
        <f aca="false">IF(ISBLANK(INDEX(MO_IS_FirstRow,0,COLUMN())),0,IF(OR(AH575=AC575,AH575=AI575,AH575=AG575),"CHECK",0))</f>
        <v>0</v>
      </c>
      <c r="AI694" s="417" t="n">
        <f aca="false">IF(ISBLANK(INDEX(MO_IS_FirstRow,0,COLUMN())),0,IF(OR(AI575=AD575,AI575=AJ575,AI575=AH575),"CHECK",0))</f>
        <v>0</v>
      </c>
      <c r="AJ694" s="417" t="n">
        <f aca="false">IF(ISBLANK(INDEX(MO_IS_FirstRow,0,COLUMN())),0,IF(OR(AJ575=AE575,AJ575=AK575,AJ575=AI575),"CHECK",0))</f>
        <v>0</v>
      </c>
      <c r="AK694" s="417" t="n">
        <f aca="false">IF(ISBLANK(INDEX(MO_IS_FirstRow,0,COLUMN())),0,IF(AK575=AF575,"CHECK",0))</f>
        <v>0</v>
      </c>
      <c r="AL694" s="417" t="n">
        <f aca="false">IF(ISBLANK(INDEX(MO_IS_FirstRow,0,COLUMN())),0,IF(OR(AL575=AG575,AL575=AM575,AL575=AJ575),"CHECK",0))</f>
        <v>0</v>
      </c>
      <c r="AM694" s="417" t="n">
        <f aca="false">IF(ISBLANK(INDEX(MO_IS_FirstRow,0,COLUMN())),0,IF(OR(AM575=AH575,AM575=AN575,AM575=AL575),"CHECK",0))</f>
        <v>0</v>
      </c>
      <c r="AN694" s="417" t="n">
        <f aca="false">IF(ISBLANK(INDEX(MO_IS_FirstRow,0,COLUMN())),0,IF(OR(AN575=AI575,AN575=AO575,AN575=AM575),"CHECK",0))</f>
        <v>0</v>
      </c>
      <c r="AO694" s="417" t="n">
        <f aca="false">IF(ISBLANK(INDEX(MO_IS_FirstRow,0,COLUMN())),0,IF(OR(AO575=AJ575,AO575=AP575,AO575=AN575),"CHECK",0))</f>
        <v>0</v>
      </c>
      <c r="AP694" s="417" t="n">
        <f aca="false">IF(ISBLANK(INDEX(MO_IS_FirstRow,0,COLUMN())),0,IF(AP575=AK575,"CHECK",0))</f>
        <v>0</v>
      </c>
      <c r="AQ694" s="417" t="n">
        <f aca="false">IF(ISBLANK(INDEX(MO_IS_FirstRow,0,COLUMN())),0,IF(OR(AQ575=AL575,AQ575=AR575,AQ575=AO575),"CHECK",0))</f>
        <v>0</v>
      </c>
      <c r="AR694" s="417" t="n">
        <f aca="false">IF(ISBLANK(INDEX(MO_IS_FirstRow,0,COLUMN())),0,IF(OR(AR575=AM575,AR575=AS575,AR575=AQ575),"CHECK",0))</f>
        <v>0</v>
      </c>
      <c r="AS694" s="417" t="n">
        <f aca="false">IF(ISBLANK(INDEX(MO_IS_FirstRow,0,COLUMN())),0,IF(OR(AS575=AN575,AS575=AT575,AS575=AR575),"CHECK",0))</f>
        <v>0</v>
      </c>
      <c r="AT694" s="417" t="n">
        <f aca="false">IF(ISBLANK(INDEX(MO_IS_FirstRow,0,COLUMN())),0,IF(OR(AT575=AO575,AT575=AU575,AT575=AS575),"CHECK",0))</f>
        <v>0</v>
      </c>
      <c r="AU694" s="417" t="n">
        <f aca="false">IF(ISBLANK(INDEX(MO_IS_FirstRow,0,COLUMN())),0,IF(AU575=AP575,"CHECK",0))</f>
        <v>0</v>
      </c>
      <c r="AV694" s="417" t="n">
        <f aca="false">IF(ISBLANK(INDEX(MO_IS_FirstRow,0,COLUMN())),0,IF(OR(AV575=AQ575,AV575=AW575,AV575=AT575),"CHECK",0))</f>
        <v>0</v>
      </c>
      <c r="AW694" s="417" t="n">
        <f aca="false">IF(ISBLANK(INDEX(MO_IS_FirstRow,0,COLUMN())),0,IF(OR(AW575=AR575,AW575=AX575,AW575=AV575),"CHECK",0))</f>
        <v>0</v>
      </c>
      <c r="AX694" s="417" t="n">
        <f aca="false">IF(ISBLANK(INDEX(MO_IS_FirstRow,0,COLUMN())),0,IF(OR(AX575=AS575,AX575=AY575,AX575=AW575),"CHECK",0))</f>
        <v>0</v>
      </c>
      <c r="AY694" s="417" t="n">
        <f aca="false">IF(ISBLANK(INDEX(MO_IS_FirstRow,0,COLUMN())),0,IF(OR(AY575=AT575,AY575=AZ575,AY575=AX575),"CHECK",0))</f>
        <v>0</v>
      </c>
      <c r="AZ694" s="417" t="n">
        <f aca="false">IF(ISBLANK(INDEX(MO_IS_FirstRow,0,COLUMN())),0,IF(AZ575=AU575,"CHECK",0))</f>
        <v>0</v>
      </c>
      <c r="BA694" s="417" t="n">
        <f aca="false">IF(ISBLANK(INDEX(MO_IS_FirstRow,0,COLUMN())),0,IF(OR(BA575=AV575,BA575=BB575,BA575=AY575),"CHECK",0))</f>
        <v>0</v>
      </c>
      <c r="BB694" s="417" t="n">
        <f aca="false">IF(ISBLANK(INDEX(MO_IS_FirstRow,0,COLUMN())),0,IF(OR(BB575=AW575,BB575=BC575,BB575=BA575),"CHECK",0))</f>
        <v>0</v>
      </c>
      <c r="BC694" s="417" t="n">
        <f aca="false">IF(ISBLANK(INDEX(MO_IS_FirstRow,0,COLUMN())),0,IF(OR(BC575=AX575,BC575=BD575,BC575=BB575),"CHECK",0))</f>
        <v>0</v>
      </c>
      <c r="BD694" s="417" t="n">
        <f aca="false">IF(ISBLANK(INDEX(MO_IS_FirstRow,0,COLUMN())),0,IF(OR(BD575=AY575,BD575=BE575,BD575=BC575),"CHECK",0))</f>
        <v>0</v>
      </c>
      <c r="BE694" s="417" t="n">
        <f aca="false">IF(ISBLANK(INDEX(MO_IS_FirstRow,0,COLUMN())),0,IF(BE575=AZ575,"CHECK",0))</f>
        <v>0</v>
      </c>
      <c r="BF694" s="417" t="n">
        <f aca="false">IF(ISBLANK(INDEX(MO_IS_FirstRow,0,COLUMN())),0,IF(OR(BF575=BA575,BF575=BG575,BF575=BD575),"CHECK",0))</f>
        <v>0</v>
      </c>
      <c r="BG694" s="417" t="n">
        <f aca="false">IF(ISBLANK(INDEX(MO_IS_FirstRow,0,COLUMN())),0,IF(OR(BG575=BB575,BG575=BH575,BG575=BF575),"CHECK",0))</f>
        <v>0</v>
      </c>
      <c r="BH694" s="417" t="n">
        <f aca="false">IF(ISBLANK(INDEX(MO_IS_FirstRow,0,COLUMN())),0,IF(OR(BH575=BC575,BH575=BI575,BH575=BG575),"CHECK",0))</f>
        <v>0</v>
      </c>
      <c r="BI694" s="417" t="n">
        <f aca="false">IF(ISBLANK(INDEX(MO_IS_FirstRow,0,COLUMN())),0,IF(OR(BI575=BD575,BI575=BJ575,BI575=BH575),"CHECK",0))</f>
        <v>0</v>
      </c>
      <c r="BJ694" s="417" t="n">
        <f aca="false">IF(ISBLANK(INDEX(MO_IS_FirstRow,0,COLUMN())),0,IF(BJ575=BE575,"CHECK",0))</f>
        <v>0</v>
      </c>
      <c r="BK694" s="417" t="n">
        <f aca="false">IF(ISBLANK(INDEX(MO_IS_FirstRow,0,COLUMN())),0,IF(OR(BK575=BF575,BK575=BL575,BK575=BI575),"CHECK",0))</f>
        <v>0</v>
      </c>
      <c r="BL694" s="417" t="n">
        <f aca="false">IF(ISBLANK(INDEX(MO_IS_FirstRow,0,COLUMN())),0,IF(OR(BL575=BG575,BL575=BM575,BL575=BK575),"CHECK",0))</f>
        <v>0</v>
      </c>
      <c r="BM694" s="417" t="n">
        <f aca="false">IF(ISBLANK(INDEX(MO_IS_FirstRow,0,COLUMN())),0,IF(OR(BM575=BH575,BM575=BN575,BM575=BL575),"CHECK",0))</f>
        <v>0</v>
      </c>
      <c r="BN694" s="417" t="n">
        <f aca="false">IF(ISBLANK(INDEX(MO_IS_FirstRow,0,COLUMN())),0,IF(OR(BN575=BI575,BN575=BO575,BN575=BM575),"CHECK",0))</f>
        <v>0</v>
      </c>
      <c r="BO694" s="418" t="n">
        <f aca="false">IF(ISBLANK(INDEX(MO_IS_FirstRow,0,COLUMN())),0,IF(BO575=BJ575,"CHECK",0))</f>
        <v>0</v>
      </c>
      <c r="BP694" s="417"/>
      <c r="BQ694" s="417"/>
      <c r="BR694" s="417"/>
      <c r="BS694" s="417"/>
      <c r="BT694" s="417"/>
      <c r="BU694" s="417"/>
      <c r="BV694" s="417"/>
      <c r="BW694" s="417"/>
      <c r="BX694" s="417"/>
      <c r="BY694" s="417"/>
      <c r="BZ694" s="417"/>
      <c r="CA694" s="417"/>
      <c r="CB694" s="417"/>
      <c r="CC694" s="50"/>
    </row>
    <row r="695" s="51" customFormat="true" ht="15" hidden="false" customHeight="true" outlineLevel="0" collapsed="false">
      <c r="A695" s="50" t="s">
        <v>644</v>
      </c>
      <c r="B695" s="149"/>
      <c r="C695" s="417" t="n">
        <f aca="false">IF(ISBLANK(INDEX(MO_IS_FirstRow,0,COLUMN())),0,IF(OR(C356=B356,C356=D356),"CHECK",0))</f>
        <v>0</v>
      </c>
      <c r="D695" s="417" t="n">
        <f aca="false">IF(ISBLANK(INDEX(MO_IS_FirstRow,0,COLUMN())),0,IF(OR(D356=C356,D356=F356),"CHECK",0))</f>
        <v>0</v>
      </c>
      <c r="E695" s="417" t="n">
        <f aca="false">IF(ISBLANK(INDEX(MO_IS_FirstRow,0,COLUMN())),0,IF(OR(E356=D356,E356=J356),"CHECK",0))</f>
        <v>0</v>
      </c>
      <c r="F695" s="417" t="n">
        <f aca="false">IF(ISBLANK(INDEX(MO_IS_FirstRow,0,COLUMN())),0,IF(OR(F356=E356,F356=K356),"CHECK",0))</f>
        <v>0</v>
      </c>
      <c r="G695" s="417" t="n">
        <f aca="false">IF(ISBLANK(INDEX(MO_IS_FirstRow,0,COLUMN())),0,IF(OR(G356=F356,G356=L356),"CHECK",0))</f>
        <v>0</v>
      </c>
      <c r="H695" s="417" t="n">
        <f aca="false">IF(ISBLANK(INDEX(MO_IS_FirstRow,0,COLUMN())),0,IF(OR(H356=B356,H356=I356,H356=F356),"CHECK",0))</f>
        <v>0</v>
      </c>
      <c r="I695" s="417" t="n">
        <f aca="false">IF(ISBLANK(INDEX(MO_IS_FirstRow,0,COLUMN())),0,IF(OR(I356=C356,I356=J356,I356=H356),"CHECK",0))</f>
        <v>0</v>
      </c>
      <c r="J695" s="417" t="n">
        <f aca="false">IF(ISBLANK(INDEX(MO_IS_FirstRow,0,COLUMN())),0,IF(OR(J356=D356,J356=K356,J356=I356),"CHECK",0))</f>
        <v>0</v>
      </c>
      <c r="K695" s="417" t="n">
        <f aca="false">IF(ISBLANK(INDEX(MO_IS_FirstRow,0,COLUMN())),0,IF(OR(K356=F356,K356=L356,K356=J356),"CHECK",0))</f>
        <v>0</v>
      </c>
      <c r="L695" s="417" t="n">
        <f aca="false">IF(ISBLANK(INDEX(MO_IS_FirstRow,0,COLUMN())),0,IF(L356=G356,"CHECK",0))</f>
        <v>0</v>
      </c>
      <c r="M695" s="417" t="n">
        <f aca="false">IF(ISBLANK(INDEX(MO_IS_FirstRow,0,COLUMN())),0,IF(OR(M356=H356,M356=N356,M356=K356),"CHECK",0))</f>
        <v>0</v>
      </c>
      <c r="N695" s="417" t="n">
        <f aca="false">IF(ISBLANK(INDEX(MO_IS_FirstRow,0,COLUMN())),0,IF(OR(N356=I356,N356=O356,N356=M356),"CHECK",0))</f>
        <v>0</v>
      </c>
      <c r="O695" s="417" t="n">
        <f aca="false">IF(ISBLANK(INDEX(MO_IS_FirstRow,0,COLUMN())),0,IF(OR(O356=J356,O356=P356,O356=N356),"CHECK",0))</f>
        <v>0</v>
      </c>
      <c r="P695" s="417" t="n">
        <f aca="false">IF(ISBLANK(INDEX(MO_IS_FirstRow,0,COLUMN())),0,IF(OR(P356=K356,P356=Q356,P356=O356),"CHECK",0))</f>
        <v>0</v>
      </c>
      <c r="Q695" s="417" t="n">
        <f aca="false">IF(ISBLANK(INDEX(MO_IS_FirstRow,0,COLUMN())),0,IF(Q356=L356,"CHECK",0))</f>
        <v>0</v>
      </c>
      <c r="R695" s="417" t="n">
        <f aca="false">IF(ISBLANK(INDEX(MO_IS_FirstRow,0,COLUMN())),0,IF(OR(R356=M356,R356=S356,R356=P356),"CHECK",0))</f>
        <v>0</v>
      </c>
      <c r="S695" s="417" t="n">
        <f aca="false">IF(ISBLANK(INDEX(MO_IS_FirstRow,0,COLUMN())),0,IF(OR(S356=N356,S356=T356,S356=R356),"CHECK",0))</f>
        <v>0</v>
      </c>
      <c r="T695" s="417" t="n">
        <f aca="false">IF(ISBLANK(INDEX(MO_IS_FirstRow,0,COLUMN())),0,IF(OR(T356=O356,T356=U356,T356=S356),"CHECK",0))</f>
        <v>0</v>
      </c>
      <c r="U695" s="417" t="n">
        <f aca="false">IF(ISBLANK(INDEX(MO_IS_FirstRow,0,COLUMN())),0,IF(OR(U356=P356,U356=V356,U356=T356),"CHECK",0))</f>
        <v>0</v>
      </c>
      <c r="V695" s="417" t="n">
        <f aca="false">IF(ISBLANK(INDEX(MO_IS_FirstRow,0,COLUMN())),0,IF(V356=Q356,"CHECK",0))</f>
        <v>0</v>
      </c>
      <c r="W695" s="417" t="n">
        <f aca="false">IF(ISBLANK(INDEX(MO_IS_FirstRow,0,COLUMN())),0,IF(OR(W356=R356,W356=X356,W356=U356),"CHECK",0))</f>
        <v>0</v>
      </c>
      <c r="X695" s="417" t="n">
        <f aca="false">IF(ISBLANK(INDEX(MO_IS_FirstRow,0,COLUMN())),0,IF(OR(X356=S356,X356=Y356,X356=W356),"CHECK",0))</f>
        <v>0</v>
      </c>
      <c r="Y695" s="417" t="n">
        <f aca="false">IF(ISBLANK(INDEX(MO_IS_FirstRow,0,COLUMN())),0,IF(OR(Y356=T356,Y356=Z356,Y356=X356),"CHECK",0))</f>
        <v>0</v>
      </c>
      <c r="Z695" s="417" t="n">
        <f aca="false">IF(ISBLANK(INDEX(MO_IS_FirstRow,0,COLUMN())),0,IF(OR(Z356=U356,Z356=AA356,Z356=Y356),"CHECK",0))</f>
        <v>0</v>
      </c>
      <c r="AA695" s="417" t="n">
        <f aca="false">IF(ISBLANK(INDEX(MO_IS_FirstRow,0,COLUMN())),0,IF(AA356=V356,"CHECK",0))</f>
        <v>0</v>
      </c>
      <c r="AB695" s="417" t="n">
        <f aca="false">IF(ISBLANK(INDEX(MO_IS_FirstRow,0,COLUMN())),0,IF(OR(AB356=W356,AB356=AC356,AB356=Z356),"CHECK",0))</f>
        <v>0</v>
      </c>
      <c r="AC695" s="417" t="n">
        <f aca="false">IF(ISBLANK(INDEX(MO_IS_FirstRow,0,COLUMN())),0,IF(OR(AC356=X356,AC356=AD356,AC356=AB356),"CHECK",0))</f>
        <v>0</v>
      </c>
      <c r="AD695" s="417" t="n">
        <f aca="false">IF(ISBLANK(INDEX(MO_IS_FirstRow,0,COLUMN())),0,IF(OR(AD356=Y356,AD356=AE356,AD356=AC356),"CHECK",0))</f>
        <v>0</v>
      </c>
      <c r="AE695" s="417" t="n">
        <f aca="false">IF(ISBLANK(INDEX(MO_IS_FirstRow,0,COLUMN())),0,IF(OR(AE356=Z356,AE356=AF356,AE356=AD356),"CHECK",0))</f>
        <v>0</v>
      </c>
      <c r="AF695" s="417" t="n">
        <f aca="false">IF(ISBLANK(INDEX(MO_IS_FirstRow,0,COLUMN())),0,IF(AF356=AA356,"CHECK",0))</f>
        <v>0</v>
      </c>
      <c r="AG695" s="417" t="n">
        <f aca="false">IF(ISBLANK(INDEX(MO_IS_FirstRow,0,COLUMN())),0,IF(OR(AG356=AB356,AG356=AH356,AG356=AE356),"CHECK",0))</f>
        <v>0</v>
      </c>
      <c r="AH695" s="417" t="n">
        <f aca="false">IF(ISBLANK(INDEX(MO_IS_FirstRow,0,COLUMN())),0,IF(OR(AH356=AC356,AH356=AI356,AH356=AG356),"CHECK",0))</f>
        <v>0</v>
      </c>
      <c r="AI695" s="417" t="n">
        <f aca="false">IF(ISBLANK(INDEX(MO_IS_FirstRow,0,COLUMN())),0,IF(OR(AI356=AD356,AI356=AJ356,AI356=AH356),"CHECK",0))</f>
        <v>0</v>
      </c>
      <c r="AJ695" s="417" t="n">
        <f aca="false">IF(ISBLANK(INDEX(MO_IS_FirstRow,0,COLUMN())),0,IF(OR(AJ356=AE356,AJ356=AK356,AJ356=AI356),"CHECK",0))</f>
        <v>0</v>
      </c>
      <c r="AK695" s="417" t="n">
        <f aca="false">IF(ISBLANK(INDEX(MO_IS_FirstRow,0,COLUMN())),0,IF(AK356=AF356,"CHECK",0))</f>
        <v>0</v>
      </c>
      <c r="AL695" s="417" t="n">
        <f aca="false">IF(ISBLANK(INDEX(MO_IS_FirstRow,0,COLUMN())),0,IF(OR(AL356=AG356,AL356=AM356,AL356=AJ356),"CHECK",0))</f>
        <v>0</v>
      </c>
      <c r="AM695" s="417" t="n">
        <f aca="false">IF(ISBLANK(INDEX(MO_IS_FirstRow,0,COLUMN())),0,IF(OR(AM356=AH356,AM356=AN356,AM356=AL356),"CHECK",0))</f>
        <v>0</v>
      </c>
      <c r="AN695" s="417" t="n">
        <f aca="false">IF(ISBLANK(INDEX(MO_IS_FirstRow,0,COLUMN())),0,IF(OR(AN356=AI356,AN356=AO356,AN356=AM356),"CHECK",0))</f>
        <v>0</v>
      </c>
      <c r="AO695" s="417" t="n">
        <f aca="false">IF(ISBLANK(INDEX(MO_IS_FirstRow,0,COLUMN())),0,IF(OR(AO356=AJ356,AO356=AP356,AO356=AN356),"CHECK",0))</f>
        <v>0</v>
      </c>
      <c r="AP695" s="417" t="n">
        <f aca="false">IF(ISBLANK(INDEX(MO_IS_FirstRow,0,COLUMN())),0,IF(AP356=AK356,"CHECK",0))</f>
        <v>0</v>
      </c>
      <c r="AQ695" s="417" t="n">
        <f aca="false">IF(ISBLANK(INDEX(MO_IS_FirstRow,0,COLUMN())),0,IF(OR(AQ356=AL356,AQ356=AR356,AQ356=AO356),"CHECK",0))</f>
        <v>0</v>
      </c>
      <c r="AR695" s="417" t="n">
        <f aca="false">IF(ISBLANK(INDEX(MO_IS_FirstRow,0,COLUMN())),0,IF(OR(AR356=AM356,AR356=AS356,AR356=AQ356),"CHECK",0))</f>
        <v>0</v>
      </c>
      <c r="AS695" s="417" t="n">
        <f aca="false">IF(ISBLANK(INDEX(MO_IS_FirstRow,0,COLUMN())),0,IF(OR(AS356=AN356,AS356=AT356,AS356=AR356),"CHECK",0))</f>
        <v>0</v>
      </c>
      <c r="AT695" s="417" t="n">
        <f aca="false">IF(ISBLANK(INDEX(MO_IS_FirstRow,0,COLUMN())),0,IF(OR(AT356=AO356,AT356=AU356,AT356=AS356),"CHECK",0))</f>
        <v>0</v>
      </c>
      <c r="AU695" s="417" t="n">
        <f aca="false">IF(ISBLANK(INDEX(MO_IS_FirstRow,0,COLUMN())),0,IF(AU356=AP356,"CHECK",0))</f>
        <v>0</v>
      </c>
      <c r="AV695" s="417" t="n">
        <f aca="false">IF(ISBLANK(INDEX(MO_IS_FirstRow,0,COLUMN())),0,IF(OR(AV356=AQ356,AV356=AW356,AV356=AT356),"CHECK",0))</f>
        <v>0</v>
      </c>
      <c r="AW695" s="417" t="n">
        <f aca="false">IF(ISBLANK(INDEX(MO_IS_FirstRow,0,COLUMN())),0,IF(OR(AW356=AR356,AW356=AX356,AW356=AV356),"CHECK",0))</f>
        <v>0</v>
      </c>
      <c r="AX695" s="417" t="n">
        <f aca="false">IF(ISBLANK(INDEX(MO_IS_FirstRow,0,COLUMN())),0,IF(OR(AX356=AS356,AX356=AY356,AX356=AW356),"CHECK",0))</f>
        <v>0</v>
      </c>
      <c r="AY695" s="417" t="n">
        <f aca="false">IF(ISBLANK(INDEX(MO_IS_FirstRow,0,COLUMN())),0,IF(OR(AY356=AT356,AY356=AZ356,AY356=AX356),"CHECK",0))</f>
        <v>0</v>
      </c>
      <c r="AZ695" s="417" t="n">
        <f aca="false">IF(ISBLANK(INDEX(MO_IS_FirstRow,0,COLUMN())),0,IF(AZ356=AU356,"CHECK",0))</f>
        <v>0</v>
      </c>
      <c r="BA695" s="417" t="n">
        <f aca="false">IF(ISBLANK(INDEX(MO_IS_FirstRow,0,COLUMN())),0,IF(OR(BA356=AV356,BA356=BB356,BA356=AY356),"CHECK",0))</f>
        <v>0</v>
      </c>
      <c r="BB695" s="417" t="n">
        <f aca="false">IF(ISBLANK(INDEX(MO_IS_FirstRow,0,COLUMN())),0,IF(OR(BB356=AW356,BB356=BC356,BB356=BA356),"CHECK",0))</f>
        <v>0</v>
      </c>
      <c r="BC695" s="417" t="n">
        <f aca="false">IF(ISBLANK(INDEX(MO_IS_FirstRow,0,COLUMN())),0,IF(OR(BC356=AX356,BC356=BD356,BC356=BB356),"CHECK",0))</f>
        <v>0</v>
      </c>
      <c r="BD695" s="417" t="n">
        <f aca="false">IF(ISBLANK(INDEX(MO_IS_FirstRow,0,COLUMN())),0,IF(OR(BD356=AY356,BD356=BE356,BD356=BC356),"CHECK",0))</f>
        <v>0</v>
      </c>
      <c r="BE695" s="417" t="n">
        <f aca="false">IF(ISBLANK(INDEX(MO_IS_FirstRow,0,COLUMN())),0,IF(BE356=AZ356,"CHECK",0))</f>
        <v>0</v>
      </c>
      <c r="BF695" s="417" t="n">
        <f aca="false">IF(ISBLANK(INDEX(MO_IS_FirstRow,0,COLUMN())),0,IF(OR(BF356=BA356,BF356=BG356,BF356=BD356),"CHECK",0))</f>
        <v>0</v>
      </c>
      <c r="BG695" s="417" t="n">
        <f aca="false">IF(ISBLANK(INDEX(MO_IS_FirstRow,0,COLUMN())),0,IF(OR(BG356=BB356,BG356=BH356,BG356=BF356),"CHECK",0))</f>
        <v>0</v>
      </c>
      <c r="BH695" s="417" t="n">
        <f aca="false">IF(ISBLANK(INDEX(MO_IS_FirstRow,0,COLUMN())),0,IF(OR(BH356=BC356,BH356=BI356,BH356=BG356),"CHECK",0))</f>
        <v>0</v>
      </c>
      <c r="BI695" s="417" t="n">
        <f aca="false">IF(ISBLANK(INDEX(MO_IS_FirstRow,0,COLUMN())),0,IF(OR(BI356=BD356,BI356=BJ356,BI356=BH356),"CHECK",0))</f>
        <v>0</v>
      </c>
      <c r="BJ695" s="417" t="n">
        <f aca="false">IF(ISBLANK(INDEX(MO_IS_FirstRow,0,COLUMN())),0,IF(BJ356=BE356,"CHECK",0))</f>
        <v>0</v>
      </c>
      <c r="BK695" s="417" t="n">
        <f aca="false">IF(ISBLANK(INDEX(MO_IS_FirstRow,0,COLUMN())),0,IF(OR(BK356=BF356,BK356=BL356,BK356=BI356),"CHECK",0))</f>
        <v>0</v>
      </c>
      <c r="BL695" s="417" t="n">
        <f aca="false">IF(ISBLANK(INDEX(MO_IS_FirstRow,0,COLUMN())),0,IF(OR(BL356=BG356,BL356=BM356,BL356=BK356),"CHECK",0))</f>
        <v>0</v>
      </c>
      <c r="BM695" s="417" t="n">
        <f aca="false">IF(ISBLANK(INDEX(MO_IS_FirstRow,0,COLUMN())),0,IF(OR(BM356=BH356,BM356=BN356,BM356=BL356),"CHECK",0))</f>
        <v>0</v>
      </c>
      <c r="BN695" s="417" t="n">
        <f aca="false">IF(ISBLANK(INDEX(MO_IS_FirstRow,0,COLUMN())),0,IF(OR(BN356=BI356,BN356=BO356,BN356=BM356),"CHECK",0))</f>
        <v>0</v>
      </c>
      <c r="BO695" s="418" t="n">
        <f aca="false">IF(ISBLANK(INDEX(MO_IS_FirstRow,0,COLUMN())),0,IF(BO356=BJ356,"CHECK",0))</f>
        <v>0</v>
      </c>
      <c r="BP695" s="417"/>
      <c r="BQ695" s="417"/>
      <c r="BR695" s="417"/>
      <c r="BS695" s="417"/>
      <c r="BT695" s="417"/>
      <c r="BU695" s="417"/>
      <c r="BV695" s="417"/>
      <c r="BW695" s="417"/>
      <c r="BX695" s="417"/>
      <c r="BY695" s="417"/>
      <c r="BZ695" s="417"/>
      <c r="CA695" s="417"/>
      <c r="CB695" s="417"/>
      <c r="CC695" s="50"/>
    </row>
    <row r="696" s="51" customFormat="true" ht="15" hidden="false" customHeight="true" outlineLevel="0" collapsed="false">
      <c r="A696" s="50" t="s">
        <v>645</v>
      </c>
      <c r="B696" s="149"/>
      <c r="C696" s="417" t="n">
        <f aca="false">IF(OR(C653=B653,C653=D653),"CHECK",0)</f>
        <v>0</v>
      </c>
      <c r="D696" s="417" t="n">
        <f aca="false">IF(OR(D653=C653,D653=F653),"CHECK",0)</f>
        <v>0</v>
      </c>
      <c r="E696" s="417" t="n">
        <f aca="false">IF(OR(E653=D653,E653=J653),"CHECK",0)</f>
        <v>0</v>
      </c>
      <c r="F696" s="417" t="n">
        <f aca="false">IF(OR(F653=E653,F653=K653),"CHECK",0)</f>
        <v>0</v>
      </c>
      <c r="G696" s="417" t="n">
        <f aca="false">IF(OR(G653=F653,G653=L653),"CHECK",0)</f>
        <v>0</v>
      </c>
      <c r="H696" s="417" t="n">
        <f aca="false">IF(OR(H653=B653,H653=I653,H653=F653),"CHECK",0)</f>
        <v>0</v>
      </c>
      <c r="I696" s="417" t="n">
        <f aca="false">IF(OR(I653=C653,I653=J653,I653=H653),"CHECK",0)</f>
        <v>0</v>
      </c>
      <c r="J696" s="417" t="n">
        <f aca="false">IF(OR(J653=D653,J653=K653,J653=I653),"CHECK",0)</f>
        <v>0</v>
      </c>
      <c r="K696" s="417" t="n">
        <f aca="false">IF(OR(K653=F653,K653=J653),"CHECK",0)</f>
        <v>0</v>
      </c>
      <c r="L696" s="417" t="n">
        <f aca="false">IF(L653=G653,"CHECK",0)</f>
        <v>0</v>
      </c>
      <c r="M696" s="417" t="n">
        <f aca="false">IF(OR(M653=H653,M653=N653,M653=K653),"CHECK",0)</f>
        <v>0</v>
      </c>
      <c r="N696" s="417" t="n">
        <f aca="false">IF(OR(N653=I653,N653=O653,N653=M653),"CHECK",0)</f>
        <v>0</v>
      </c>
      <c r="O696" s="417" t="n">
        <f aca="false">IF(OR(O653=J653,O653=P653,O653=N653),"CHECK",0)</f>
        <v>0</v>
      </c>
      <c r="P696" s="417" t="n">
        <f aca="false">IF(OR(P653=K653,P653=O653),"CHECK",0)</f>
        <v>0</v>
      </c>
      <c r="Q696" s="417" t="n">
        <f aca="false">IF(Q653=L653,"CHECK",0)</f>
        <v>0</v>
      </c>
      <c r="R696" s="417" t="n">
        <f aca="false">IF(OR(R653=M653,R653=S653,R653=P653),"CHECK",0)</f>
        <v>0</v>
      </c>
      <c r="S696" s="417" t="n">
        <f aca="false">IF(OR(S653=N653,S653=T653,S653=R653),"CHECK",0)</f>
        <v>0</v>
      </c>
      <c r="T696" s="417" t="n">
        <f aca="false">IF(OR(T653=O653,T653=U653,T653=S653),"CHECK",0)</f>
        <v>0</v>
      </c>
      <c r="U696" s="417" t="n">
        <f aca="false">IF(OR(U653=P653,U653=T653),"CHECK",0)</f>
        <v>0</v>
      </c>
      <c r="V696" s="417" t="n">
        <f aca="false">IF(V653=Q653,"CHECK",0)</f>
        <v>0</v>
      </c>
      <c r="W696" s="417" t="n">
        <f aca="false">IF(OR(W653=R653,W653=X653,W653=U653),"CHECK",0)</f>
        <v>0</v>
      </c>
      <c r="X696" s="417" t="n">
        <f aca="false">IF(OR(X653=S653,X653=Y653,X653=W653),"CHECK",0)</f>
        <v>0</v>
      </c>
      <c r="Y696" s="417" t="n">
        <f aca="false">IF(OR(Y653=T653,Y653=Z653,Y653=X653),"CHECK",0)</f>
        <v>0</v>
      </c>
      <c r="Z696" s="417" t="n">
        <f aca="false">IF(OR(Z653=U653,Z653=Y653),"CHECK",0)</f>
        <v>0</v>
      </c>
      <c r="AA696" s="417" t="n">
        <f aca="false">IF(AA653=V653,"CHECK",0)</f>
        <v>0</v>
      </c>
      <c r="AB696" s="417" t="n">
        <f aca="false">IF(OR(AB653=W653,AB653=AC653,AB653=Z653),"CHECK",0)</f>
        <v>0</v>
      </c>
      <c r="AC696" s="417" t="n">
        <f aca="false">IF(OR(AC653=X653,AC653=AD653,AC653=AB653),"CHECK",0)</f>
        <v>0</v>
      </c>
      <c r="AD696" s="417" t="n">
        <f aca="false">IF(OR(AD653=Y653,AD653=AE653,AD653=AC653),"CHECK",0)</f>
        <v>0</v>
      </c>
      <c r="AE696" s="417" t="n">
        <f aca="false">IF(OR(AE653=Z653,AE653=AD653),"CHECK",0)</f>
        <v>0</v>
      </c>
      <c r="AF696" s="417" t="n">
        <f aca="false">IF(AF653=AA653,"CHECK",0)</f>
        <v>0</v>
      </c>
      <c r="AG696" s="417" t="n">
        <f aca="false">IF(OR(AG653=AB653,AG653=AH653,AG653=AE653),"CHECK",0)</f>
        <v>0</v>
      </c>
      <c r="AH696" s="417" t="n">
        <f aca="false">IF(OR(AH653=AC653,AH653=AI653,AH653=AG653),"CHECK",0)</f>
        <v>0</v>
      </c>
      <c r="AI696" s="417" t="n">
        <f aca="false">IF(OR(AI653=AD653,AI653=AJ653,AI653=AH653),"CHECK",0)</f>
        <v>0</v>
      </c>
      <c r="AJ696" s="417" t="n">
        <f aca="false">IF(OR(AJ653=AE653,AJ653=AI653),"CHECK",0)</f>
        <v>0</v>
      </c>
      <c r="AK696" s="417" t="n">
        <f aca="false">IF(AK653=AF653,"CHECK",0)</f>
        <v>0</v>
      </c>
      <c r="AL696" s="417" t="n">
        <f aca="false">IF(OR(AL653=AG653,AL653=AM653,AL653=AJ653),"CHECK",0)</f>
        <v>0</v>
      </c>
      <c r="AM696" s="417" t="n">
        <f aca="false">IF(OR(AM653=AH653,AM653=AN653,AM653=AL653),"CHECK",0)</f>
        <v>0</v>
      </c>
      <c r="AN696" s="417" t="n">
        <f aca="false">IF(OR(AN653=AI653,AN653=AO653,AN653=AM653),"CHECK",0)</f>
        <v>0</v>
      </c>
      <c r="AO696" s="417" t="n">
        <f aca="false">IF(OR(AO653=AJ653,AO653=AN653),"CHECK",0)</f>
        <v>0</v>
      </c>
      <c r="AP696" s="417" t="n">
        <f aca="false">IF(AP653=AK653,"CHECK",0)</f>
        <v>0</v>
      </c>
      <c r="AQ696" s="417" t="n">
        <f aca="false">IF(OR(AQ653=AL653,AQ653=AR653,AQ653=AO653),"CHECK",0)</f>
        <v>0</v>
      </c>
      <c r="AR696" s="417" t="n">
        <f aca="false">IF(OR(AR653=AM653,AR653=AS653,AR653=AQ653),"CHECK",0)</f>
        <v>0</v>
      </c>
      <c r="AS696" s="417" t="n">
        <f aca="false">IF(OR(AS653=AN653,AS653=AT653,AS653=AR653),"CHECK",0)</f>
        <v>0</v>
      </c>
      <c r="AT696" s="417" t="n">
        <f aca="false">IF(OR(AT653=AO653,AT653=AS653),"CHECK",0)</f>
        <v>0</v>
      </c>
      <c r="AU696" s="417" t="n">
        <f aca="false">IF(AU653=AP653,"CHECK",0)</f>
        <v>0</v>
      </c>
      <c r="AV696" s="417" t="n">
        <f aca="false">IF(OR(AV653=AQ653,AV653=AW653,AV653=AT653),"CHECK",0)</f>
        <v>0</v>
      </c>
      <c r="AW696" s="417" t="n">
        <f aca="false">IF(OR(AW653=AR653,AW653=AX653,AW653=AV653),"CHECK",0)</f>
        <v>0</v>
      </c>
      <c r="AX696" s="417" t="n">
        <f aca="false">IF(OR(AX653=AS653,AX653=AY653,AX653=AW653),"CHECK",0)</f>
        <v>0</v>
      </c>
      <c r="AY696" s="417" t="n">
        <f aca="false">IF(OR(AY653=AT653,AY653=AX653),"CHECK",0)</f>
        <v>0</v>
      </c>
      <c r="AZ696" s="417" t="n">
        <f aca="false">IF(AZ653=AU653,"CHECK",0)</f>
        <v>0</v>
      </c>
      <c r="BA696" s="417" t="n">
        <f aca="false">IF(OR(BA653=AV653,BA653=BB653,BA653=AY653),"CHECK",0)</f>
        <v>0</v>
      </c>
      <c r="BB696" s="417" t="n">
        <f aca="false">IF(OR(BB653=AW653,BB653=BC653,BB653=BA653),"CHECK",0)</f>
        <v>0</v>
      </c>
      <c r="BC696" s="417" t="n">
        <f aca="false">IF(OR(BC653=AX653,BC653=BD653,BC653=BB653),"CHECK",0)</f>
        <v>0</v>
      </c>
      <c r="BD696" s="417" t="n">
        <f aca="false">IF(OR(BD653=AY653,BD653=BC653),"CHECK",0)</f>
        <v>0</v>
      </c>
      <c r="BE696" s="417" t="n">
        <f aca="false">IF(BE653=AZ653,"CHECK",0)</f>
        <v>0</v>
      </c>
      <c r="BF696" s="417" t="n">
        <f aca="false">IF(OR(BF653=BA653,BF653=BG653,BF653=BD653),"CHECK",0)</f>
        <v>0</v>
      </c>
      <c r="BG696" s="417" t="n">
        <f aca="false">IF(OR(BG653=BB653,BG653=BH653,BG653=BF653),"CHECK",0)</f>
        <v>0</v>
      </c>
      <c r="BH696" s="417" t="n">
        <f aca="false">IF(OR(BH653=BC653,BH653=BI653,BH653=BG653),"CHECK",0)</f>
        <v>0</v>
      </c>
      <c r="BI696" s="417" t="n">
        <f aca="false">IF(OR(BI653=BD653,BI653=BH653),"CHECK",0)</f>
        <v>0</v>
      </c>
      <c r="BJ696" s="417" t="n">
        <f aca="false">IF(BJ653=BE653,"CHECK",0)</f>
        <v>0</v>
      </c>
      <c r="BK696" s="417" t="n">
        <f aca="false">IF(OR(BK653=BF653,BK653=BL653,BK653=BI653),"CHECK",0)</f>
        <v>0</v>
      </c>
      <c r="BL696" s="417" t="n">
        <f aca="false">IF(OR(BL653=BG653,BL653=BM653,BL653=BK653),"CHECK",0)</f>
        <v>0</v>
      </c>
      <c r="BM696" s="417" t="n">
        <f aca="false">IF(OR(BM653=BH653,BM653=BN653,BM653=BL653),"CHECK",0)</f>
        <v>0</v>
      </c>
      <c r="BN696" s="417" t="n">
        <f aca="false">IF(OR(BN653=BI653,BN653=BM653),"CHECK",0)</f>
        <v>0</v>
      </c>
      <c r="BO696" s="418" t="n">
        <f aca="false">IF(BO653=BJ653,"CHECK",0)</f>
        <v>0</v>
      </c>
      <c r="BP696" s="417"/>
      <c r="BQ696" s="417"/>
      <c r="BR696" s="417"/>
      <c r="BS696" s="417"/>
      <c r="BT696" s="417"/>
      <c r="BU696" s="417"/>
      <c r="BV696" s="417"/>
      <c r="BW696" s="417"/>
      <c r="BX696" s="417"/>
      <c r="BY696" s="417"/>
      <c r="BZ696" s="417"/>
      <c r="CA696" s="417"/>
      <c r="CB696" s="417"/>
      <c r="CC696" s="50"/>
    </row>
    <row r="697" s="51" customFormat="true" ht="15" hidden="false" customHeight="true" outlineLevel="0" collapsed="false">
      <c r="A697" s="50" t="s">
        <v>646</v>
      </c>
      <c r="B697" s="149"/>
      <c r="C697" s="417" t="n">
        <f aca="false">IF(ISBLANK(INDEX(MO_IS_FirstRow,0,COLUMN())),0,ROUND(C578-C522,6))</f>
        <v>0</v>
      </c>
      <c r="D697" s="417" t="n">
        <f aca="false">IF(ISBLANK(INDEX(MO_IS_FirstRow,0,COLUMN())),0,ROUND(D578-D522,6))</f>
        <v>0</v>
      </c>
      <c r="E697" s="417" t="n">
        <f aca="false">IF(ISBLANK(INDEX(MO_IS_FirstRow,0,COLUMN())),0,ROUND(E578-E522,6))</f>
        <v>0</v>
      </c>
      <c r="F697" s="417" t="n">
        <f aca="false">IF(ISBLANK(INDEX(MO_IS_FirstRow,0,COLUMN())),0,ROUND(F578-F522,6))</f>
        <v>0</v>
      </c>
      <c r="G697" s="417" t="n">
        <f aca="false">IF(ISBLANK(INDEX(MO_IS_FirstRow,0,COLUMN())),0,ROUND(G578-G522,6))</f>
        <v>0</v>
      </c>
      <c r="H697" s="417" t="n">
        <f aca="false">IF(ISBLANK(INDEX(MO_IS_FirstRow,0,COLUMN())),0,ROUND(H578-H522,6))</f>
        <v>0</v>
      </c>
      <c r="I697" s="417" t="n">
        <f aca="false">IF(ISBLANK(INDEX(MO_IS_FirstRow,0,COLUMN())),0,ROUND(I578-I522,6))</f>
        <v>0</v>
      </c>
      <c r="J697" s="417" t="n">
        <f aca="false">IF(ISBLANK(INDEX(MO_IS_FirstRow,0,COLUMN())),0,ROUND(J578-J522,6))</f>
        <v>0</v>
      </c>
      <c r="K697" s="417" t="n">
        <f aca="false">IF(ISBLANK(INDEX(MO_IS_FirstRow,0,COLUMN())),0,ROUND(K578-K522,6))</f>
        <v>0</v>
      </c>
      <c r="L697" s="417" t="n">
        <f aca="false">IF(ISBLANK(INDEX(MO_IS_FirstRow,0,COLUMN())),0,ROUND(L578-L522,6))</f>
        <v>0</v>
      </c>
      <c r="M697" s="417" t="n">
        <f aca="false">IF(ISBLANK(INDEX(MO_IS_FirstRow,0,COLUMN())),0,ROUND(M578-M522,6))</f>
        <v>0</v>
      </c>
      <c r="N697" s="417" t="n">
        <f aca="false">IF(ISBLANK(INDEX(MO_IS_FirstRow,0,COLUMN())),0,ROUND(N578-N522,6))</f>
        <v>0</v>
      </c>
      <c r="O697" s="417" t="n">
        <f aca="false">IF(ISBLANK(INDEX(MO_IS_FirstRow,0,COLUMN())),0,ROUND(O578-O522,6))</f>
        <v>0</v>
      </c>
      <c r="P697" s="417" t="n">
        <f aca="false">IF(ISBLANK(INDEX(MO_IS_FirstRow,0,COLUMN())),0,ROUND(P578-P522,6))</f>
        <v>0</v>
      </c>
      <c r="Q697" s="417" t="n">
        <f aca="false">IF(ISBLANK(INDEX(MO_IS_FirstRow,0,COLUMN())),0,ROUND(Q578-Q522,6))</f>
        <v>0</v>
      </c>
      <c r="R697" s="417" t="n">
        <f aca="false">IF(ISBLANK(INDEX(MO_IS_FirstRow,0,COLUMN())),0,ROUND(R578-R522,6))</f>
        <v>0</v>
      </c>
      <c r="S697" s="417" t="n">
        <f aca="false">IF(ISBLANK(INDEX(MO_IS_FirstRow,0,COLUMN())),0,ROUND(S578-S522,6))</f>
        <v>0</v>
      </c>
      <c r="T697" s="417" t="n">
        <f aca="false">IF(ISBLANK(INDEX(MO_IS_FirstRow,0,COLUMN())),0,ROUND(T578-T522,6))</f>
        <v>0</v>
      </c>
      <c r="U697" s="417" t="n">
        <f aca="false">IF(ISBLANK(INDEX(MO_IS_FirstRow,0,COLUMN())),0,ROUND(U578-U522,6))</f>
        <v>0</v>
      </c>
      <c r="V697" s="417" t="n">
        <f aca="false">IF(ISBLANK(INDEX(MO_IS_FirstRow,0,COLUMN())),0,ROUND(V578-V522,6))</f>
        <v>0</v>
      </c>
      <c r="W697" s="417" t="n">
        <f aca="false">IF(ISBLANK(INDEX(MO_IS_FirstRow,0,COLUMN())),0,ROUND(W578-W522,6))</f>
        <v>0</v>
      </c>
      <c r="X697" s="417" t="n">
        <f aca="false">IF(ISBLANK(INDEX(MO_IS_FirstRow,0,COLUMN())),0,ROUND(X578-X522,6))</f>
        <v>0</v>
      </c>
      <c r="Y697" s="417" t="n">
        <f aca="false">IF(ISBLANK(INDEX(MO_IS_FirstRow,0,COLUMN())),0,ROUND(Y578-Y522,6))</f>
        <v>0</v>
      </c>
      <c r="Z697" s="417" t="n">
        <f aca="false">IF(ISBLANK(INDEX(MO_IS_FirstRow,0,COLUMN())),0,ROUND(Z578-Z522,6))</f>
        <v>0</v>
      </c>
      <c r="AA697" s="417" t="n">
        <f aca="false">IF(ISBLANK(INDEX(MO_IS_FirstRow,0,COLUMN())),0,ROUND(AA578-AA522,6))</f>
        <v>0</v>
      </c>
      <c r="AB697" s="417" t="n">
        <f aca="false">IF(ISBLANK(INDEX(MO_IS_FirstRow,0,COLUMN())),0,ROUND(AB578-AB522,6))</f>
        <v>0</v>
      </c>
      <c r="AC697" s="417" t="n">
        <f aca="false">IF(ISBLANK(INDEX(MO_IS_FirstRow,0,COLUMN())),0,ROUND(AC578-AC522,6))</f>
        <v>0</v>
      </c>
      <c r="AD697" s="417" t="n">
        <f aca="false">IF(ISBLANK(INDEX(MO_IS_FirstRow,0,COLUMN())),0,ROUND(AD578-AD522,6))</f>
        <v>0</v>
      </c>
      <c r="AE697" s="417" t="n">
        <f aca="false">IF(ISBLANK(INDEX(MO_IS_FirstRow,0,COLUMN())),0,ROUND(AE578-AE522,6))</f>
        <v>0</v>
      </c>
      <c r="AF697" s="417" t="n">
        <f aca="false">IF(ISBLANK(INDEX(MO_IS_FirstRow,0,COLUMN())),0,ROUND(AF578-AF522,6))</f>
        <v>0</v>
      </c>
      <c r="AG697" s="417" t="n">
        <f aca="false">IF(ISBLANK(INDEX(MO_IS_FirstRow,0,COLUMN())),0,ROUND(AG578-AG522,6))</f>
        <v>0</v>
      </c>
      <c r="AH697" s="417" t="n">
        <f aca="false">IF(ISBLANK(INDEX(MO_IS_FirstRow,0,COLUMN())),0,ROUND(AH578-AH522,6))</f>
        <v>0</v>
      </c>
      <c r="AI697" s="417" t="n">
        <f aca="false">IF(ISBLANK(INDEX(MO_IS_FirstRow,0,COLUMN())),0,ROUND(AI578-AI522,6))</f>
        <v>0</v>
      </c>
      <c r="AJ697" s="417" t="n">
        <f aca="false">IF(ISBLANK(INDEX(MO_IS_FirstRow,0,COLUMN())),0,ROUND(AJ578-AJ522,6))</f>
        <v>0</v>
      </c>
      <c r="AK697" s="417" t="n">
        <f aca="false">IF(ISBLANK(INDEX(MO_IS_FirstRow,0,COLUMN())),0,ROUND(AK578-AK522,6))</f>
        <v>0</v>
      </c>
      <c r="AL697" s="417" t="n">
        <f aca="false">IF(ISBLANK(INDEX(MO_IS_FirstRow,0,COLUMN())),0,ROUND(AL578-AL522,6))</f>
        <v>0</v>
      </c>
      <c r="AM697" s="417" t="n">
        <f aca="false">IF(ISBLANK(INDEX(MO_IS_FirstRow,0,COLUMN())),0,ROUND(AM578-AM522,6))</f>
        <v>0</v>
      </c>
      <c r="AN697" s="417" t="n">
        <f aca="false">IF(ISBLANK(INDEX(MO_IS_FirstRow,0,COLUMN())),0,ROUND(AN578-AN522,6))</f>
        <v>0</v>
      </c>
      <c r="AO697" s="417" t="n">
        <f aca="false">IF(ISBLANK(INDEX(MO_IS_FirstRow,0,COLUMN())),0,ROUND(AO578-AO522,6))</f>
        <v>0</v>
      </c>
      <c r="AP697" s="417" t="n">
        <f aca="false">IF(ISBLANK(INDEX(MO_IS_FirstRow,0,COLUMN())),0,ROUND(AP578-AP522,6))</f>
        <v>0</v>
      </c>
      <c r="AQ697" s="417" t="n">
        <f aca="false">IF(ISBLANK(INDEX(MO_IS_FirstRow,0,COLUMN())),0,ROUND(AQ578-AQ522,6))</f>
        <v>0</v>
      </c>
      <c r="AR697" s="417" t="n">
        <f aca="false">IF(ISBLANK(INDEX(MO_IS_FirstRow,0,COLUMN())),0,ROUND(AR578-AR522,6))</f>
        <v>0</v>
      </c>
      <c r="AS697" s="417" t="n">
        <f aca="false">IF(ISBLANK(INDEX(MO_IS_FirstRow,0,COLUMN())),0,ROUND(AS578-AS522,6))</f>
        <v>0</v>
      </c>
      <c r="AT697" s="417" t="n">
        <f aca="false">IF(ISBLANK(INDEX(MO_IS_FirstRow,0,COLUMN())),0,ROUND(AT578-AT522,6))</f>
        <v>0</v>
      </c>
      <c r="AU697" s="417" t="n">
        <f aca="false">IF(ISBLANK(INDEX(MO_IS_FirstRow,0,COLUMN())),0,ROUND(AU578-AU522,6))</f>
        <v>0</v>
      </c>
      <c r="AV697" s="417" t="n">
        <f aca="false">IF(ISBLANK(INDEX(MO_IS_FirstRow,0,COLUMN())),0,ROUND(AV578-AV522,6))</f>
        <v>0</v>
      </c>
      <c r="AW697" s="417" t="n">
        <f aca="false">IF(ISBLANK(INDEX(MO_IS_FirstRow,0,COLUMN())),0,ROUND(AW578-AW522,6))</f>
        <v>0</v>
      </c>
      <c r="AX697" s="417" t="n">
        <f aca="false">IF(ISBLANK(INDEX(MO_IS_FirstRow,0,COLUMN())),0,ROUND(AX578-AX522,6))</f>
        <v>0</v>
      </c>
      <c r="AY697" s="417" t="n">
        <f aca="false">IF(ISBLANK(INDEX(MO_IS_FirstRow,0,COLUMN())),0,ROUND(AY578-AY522,6))</f>
        <v>0</v>
      </c>
      <c r="AZ697" s="417" t="n">
        <f aca="false">IF(ISBLANK(INDEX(MO_IS_FirstRow,0,COLUMN())),0,ROUND(AZ578-AZ522,6))</f>
        <v>0</v>
      </c>
      <c r="BA697" s="417" t="n">
        <f aca="false">IF(ISBLANK(INDEX(MO_IS_FirstRow,0,COLUMN())),0,ROUND(BA578-BA522,6))</f>
        <v>0</v>
      </c>
      <c r="BB697" s="417" t="n">
        <f aca="false">IF(ISBLANK(INDEX(MO_IS_FirstRow,0,COLUMN())),0,ROUND(BB578-BB522,6))</f>
        <v>0</v>
      </c>
      <c r="BC697" s="417" t="n">
        <f aca="false">IF(ISBLANK(INDEX(MO_IS_FirstRow,0,COLUMN())),0,ROUND(BC578-BC522,6))</f>
        <v>0</v>
      </c>
      <c r="BD697" s="417" t="n">
        <f aca="false">IF(ISBLANK(INDEX(MO_IS_FirstRow,0,COLUMN())),0,ROUND(BD578-BD522,6))</f>
        <v>0</v>
      </c>
      <c r="BE697" s="417" t="n">
        <f aca="false">IF(ISBLANK(INDEX(MO_IS_FirstRow,0,COLUMN())),0,ROUND(BE578-BE522,6))</f>
        <v>0</v>
      </c>
      <c r="BF697" s="417" t="n">
        <f aca="false">IF(ISBLANK(INDEX(MO_IS_FirstRow,0,COLUMN())),0,ROUND(BF578-BF522,6))</f>
        <v>0</v>
      </c>
      <c r="BG697" s="417" t="n">
        <f aca="false">IF(ISBLANK(INDEX(MO_IS_FirstRow,0,COLUMN())),0,ROUND(BG578-BG522,6))</f>
        <v>0</v>
      </c>
      <c r="BH697" s="417" t="n">
        <f aca="false">IF(ISBLANK(INDEX(MO_IS_FirstRow,0,COLUMN())),0,ROUND(BH578-BH522,6))</f>
        <v>0</v>
      </c>
      <c r="BI697" s="417" t="n">
        <f aca="false">IF(ISBLANK(INDEX(MO_IS_FirstRow,0,COLUMN())),0,ROUND(BI578-BI522,6))</f>
        <v>0</v>
      </c>
      <c r="BJ697" s="417" t="n">
        <f aca="false">IF(ISBLANK(INDEX(MO_IS_FirstRow,0,COLUMN())),0,ROUND(BJ578-BJ522,6))</f>
        <v>0</v>
      </c>
      <c r="BK697" s="417" t="n">
        <f aca="false">IF(ISBLANK(INDEX(MO_IS_FirstRow,0,COLUMN())),0,ROUND(BK578-BK522,6))</f>
        <v>0</v>
      </c>
      <c r="BL697" s="417" t="n">
        <f aca="false">IF(ISBLANK(INDEX(MO_IS_FirstRow,0,COLUMN())),0,ROUND(BL578-BL522,6))</f>
        <v>0</v>
      </c>
      <c r="BM697" s="417" t="n">
        <f aca="false">IF(ISBLANK(INDEX(MO_IS_FirstRow,0,COLUMN())),0,ROUND(BM578-BM522,6))</f>
        <v>0</v>
      </c>
      <c r="BN697" s="417" t="n">
        <f aca="false">IF(ISBLANK(INDEX(MO_IS_FirstRow,0,COLUMN())),0,ROUND(BN578-BN522,6))</f>
        <v>0</v>
      </c>
      <c r="BO697" s="418" t="n">
        <f aca="false">IF(ISBLANK(INDEX(MO_IS_FirstRow,0,COLUMN())),0,ROUND(BO578-BO522,6))</f>
        <v>0</v>
      </c>
      <c r="BP697" s="417" t="n">
        <f aca="false">IF(ISBLANK(INDEX(MO_IS_FirstRow,0,COLUMN())),0,ROUND(BP578-BP522,6))</f>
        <v>0</v>
      </c>
      <c r="BQ697" s="417" t="n">
        <f aca="false">IF(ISBLANK(INDEX(MO_IS_FirstRow,0,COLUMN())),0,ROUND(BQ578-BQ522,6))</f>
        <v>0</v>
      </c>
      <c r="BR697" s="417" t="n">
        <f aca="false">IF(ISBLANK(INDEX(MO_IS_FirstRow,0,COLUMN())),0,ROUND(BR578-BR522,6))</f>
        <v>0</v>
      </c>
      <c r="BS697" s="417" t="n">
        <f aca="false">IF(ISBLANK(INDEX(MO_IS_FirstRow,0,COLUMN())),0,ROUND(BS578-BS522,6))</f>
        <v>0</v>
      </c>
      <c r="BT697" s="417" t="n">
        <f aca="false">IF(ISBLANK(INDEX(MO_IS_FirstRow,0,COLUMN())),0,ROUND(BT578-BT522,6))</f>
        <v>0</v>
      </c>
      <c r="BU697" s="417" t="n">
        <f aca="false">IF(ISBLANK(INDEX(MO_IS_FirstRow,0,COLUMN())),0,ROUND(BU578-BU522,6))</f>
        <v>0</v>
      </c>
      <c r="BV697" s="417" t="n">
        <f aca="false">IF(ISBLANK(INDEX(MO_IS_FirstRow,0,COLUMN())),0,ROUND(BV578-BV522,6))</f>
        <v>0</v>
      </c>
      <c r="BW697" s="417" t="n">
        <f aca="false">IF(ISBLANK(INDEX(MO_IS_FirstRow,0,COLUMN())),0,ROUND(BW578-BW522,6))</f>
        <v>0</v>
      </c>
      <c r="BX697" s="417" t="n">
        <f aca="false">IF(ISBLANK(INDEX(MO_IS_FirstRow,0,COLUMN())),0,ROUND(BX578-BX522,6))</f>
        <v>0</v>
      </c>
      <c r="BY697" s="417" t="n">
        <f aca="false">IF(ISBLANK(INDEX(MO_IS_FirstRow,0,COLUMN())),0,ROUND(BY578-BY522,6))</f>
        <v>0</v>
      </c>
      <c r="BZ697" s="417" t="n">
        <f aca="false">IF(ISBLANK(INDEX(MO_IS_FirstRow,0,COLUMN())),0,ROUND(BZ578-BZ522,6))</f>
        <v>0</v>
      </c>
      <c r="CA697" s="417" t="n">
        <f aca="false">IF(ISBLANK(INDEX(MO_IS_FirstRow,0,COLUMN())),0,ROUND(CA578-CA522,6))</f>
        <v>0</v>
      </c>
      <c r="CB697" s="417" t="n">
        <f aca="false">IF(ISBLANK(INDEX(MO_IS_FirstRow,0,COLUMN())),0,ROUND(CB578-CB522,6))</f>
        <v>0</v>
      </c>
      <c r="CC697" s="50"/>
    </row>
    <row r="698" s="51" customFormat="true" ht="15" hidden="false" customHeight="true" outlineLevel="0" collapsed="false">
      <c r="A698" s="50" t="s">
        <v>647</v>
      </c>
      <c r="B698" s="149"/>
      <c r="C698" s="417" t="n">
        <f aca="false">ROUND(INDEX(MO_CFSum_Capex,0,COLUMN())-C549-C550,6)</f>
        <v>0</v>
      </c>
      <c r="D698" s="417" t="n">
        <f aca="false">ROUND(INDEX(MO_CFSum_Capex,0,COLUMN())-D549-D550,6)</f>
        <v>0</v>
      </c>
      <c r="E698" s="417" t="n">
        <f aca="false">ROUND(INDEX(MO_CFSum_Capex,0,COLUMN())-E549-E550,6)</f>
        <v>0</v>
      </c>
      <c r="F698" s="417" t="n">
        <f aca="false">ROUND(INDEX(MO_CFSum_Capex,0,COLUMN())-F549-F550,6)</f>
        <v>0</v>
      </c>
      <c r="G698" s="417" t="n">
        <f aca="false">ROUND(INDEX(MO_CFSum_Capex,0,COLUMN())-G549-G550,6)</f>
        <v>0</v>
      </c>
      <c r="H698" s="417" t="n">
        <f aca="false">ROUND(INDEX(MO_CFSum_Capex,0,COLUMN())-H549-H550,6)</f>
        <v>0</v>
      </c>
      <c r="I698" s="417" t="n">
        <f aca="false">ROUND(INDEX(MO_CFSum_Capex,0,COLUMN())-I549-I550,6)</f>
        <v>0</v>
      </c>
      <c r="J698" s="417" t="n">
        <f aca="false">ROUND(INDEX(MO_CFSum_Capex,0,COLUMN())-J549-J550,6)</f>
        <v>0</v>
      </c>
      <c r="K698" s="417" t="n">
        <f aca="false">ROUND(INDEX(MO_CFSum_Capex,0,COLUMN())-K549-K550,6)</f>
        <v>0</v>
      </c>
      <c r="L698" s="417" t="n">
        <f aca="false">ROUND(INDEX(MO_CFSum_Capex,0,COLUMN())-L549-L550,6)</f>
        <v>0</v>
      </c>
      <c r="M698" s="417" t="n">
        <f aca="false">ROUND(INDEX(MO_CFSum_Capex,0,COLUMN())-M549-M550,6)</f>
        <v>0</v>
      </c>
      <c r="N698" s="417" t="n">
        <f aca="false">ROUND(INDEX(MO_CFSum_Capex,0,COLUMN())-N549-N550,6)</f>
        <v>0</v>
      </c>
      <c r="O698" s="417" t="n">
        <f aca="false">ROUND(INDEX(MO_CFSum_Capex,0,COLUMN())-O549-O550,6)</f>
        <v>0</v>
      </c>
      <c r="P698" s="417" t="n">
        <f aca="false">ROUND(INDEX(MO_CFSum_Capex,0,COLUMN())-P549-P550,6)</f>
        <v>0</v>
      </c>
      <c r="Q698" s="417" t="n">
        <f aca="false">ROUND(INDEX(MO_CFSum_Capex,0,COLUMN())-Q549-Q550,6)</f>
        <v>-0</v>
      </c>
      <c r="R698" s="417" t="n">
        <f aca="false">ROUND(INDEX(MO_CFSum_Capex,0,COLUMN())-R549-R550,6)</f>
        <v>0</v>
      </c>
      <c r="S698" s="417" t="n">
        <f aca="false">ROUND(INDEX(MO_CFSum_Capex,0,COLUMN())-S549-S550,6)</f>
        <v>0</v>
      </c>
      <c r="T698" s="417" t="n">
        <f aca="false">ROUND(INDEX(MO_CFSum_Capex,0,COLUMN())-T549-T550,6)</f>
        <v>0</v>
      </c>
      <c r="U698" s="417" t="n">
        <f aca="false">ROUND(INDEX(MO_CFSum_Capex,0,COLUMN())-U549-U550,6)</f>
        <v>-0</v>
      </c>
      <c r="V698" s="417" t="n">
        <f aca="false">ROUND(INDEX(MO_CFSum_Capex,0,COLUMN())-V549-V550,6)</f>
        <v>0</v>
      </c>
      <c r="W698" s="417" t="n">
        <f aca="false">ROUND(INDEX(MO_CFSum_Capex,0,COLUMN())-W549-W550,6)</f>
        <v>0</v>
      </c>
      <c r="X698" s="417" t="n">
        <f aca="false">ROUND(INDEX(MO_CFSum_Capex,0,COLUMN())-X549-X550,6)</f>
        <v>0</v>
      </c>
      <c r="Y698" s="417" t="n">
        <f aca="false">ROUND(INDEX(MO_CFSum_Capex,0,COLUMN())-Y549-Y550,6)</f>
        <v>0</v>
      </c>
      <c r="Z698" s="417" t="n">
        <f aca="false">ROUND(INDEX(MO_CFSum_Capex,0,COLUMN())-Z549-Z550,6)</f>
        <v>0</v>
      </c>
      <c r="AA698" s="417" t="n">
        <f aca="false">ROUND(INDEX(MO_CFSum_Capex,0,COLUMN())-AA549-AA550,6)</f>
        <v>0</v>
      </c>
      <c r="AB698" s="417" t="n">
        <f aca="false">ROUND(INDEX(MO_CFSum_Capex,0,COLUMN())-AB549-AB550,6)</f>
        <v>0</v>
      </c>
      <c r="AC698" s="417" t="n">
        <f aca="false">ROUND(INDEX(MO_CFSum_Capex,0,COLUMN())-AC549-AC550,6)</f>
        <v>0</v>
      </c>
      <c r="AD698" s="417" t="n">
        <f aca="false">ROUND(INDEX(MO_CFSum_Capex,0,COLUMN())-AD549-AD550,6)</f>
        <v>0</v>
      </c>
      <c r="AE698" s="417" t="n">
        <f aca="false">ROUND(INDEX(MO_CFSum_Capex,0,COLUMN())-AE549-AE550,6)</f>
        <v>0</v>
      </c>
      <c r="AF698" s="417" t="n">
        <f aca="false">ROUND(INDEX(MO_CFSum_Capex,0,COLUMN())-AF549-AF550,6)</f>
        <v>0</v>
      </c>
      <c r="AG698" s="417" t="n">
        <f aca="false">ROUND(INDEX(MO_CFSum_Capex,0,COLUMN())-AG549-AG550,6)</f>
        <v>0</v>
      </c>
      <c r="AH698" s="417" t="n">
        <f aca="false">ROUND(INDEX(MO_CFSum_Capex,0,COLUMN())-AH549-AH550,6)</f>
        <v>0</v>
      </c>
      <c r="AI698" s="417" t="n">
        <f aca="false">ROUND(INDEX(MO_CFSum_Capex,0,COLUMN())-AI549-AI550,6)</f>
        <v>0</v>
      </c>
      <c r="AJ698" s="417" t="n">
        <f aca="false">ROUND(INDEX(MO_CFSum_Capex,0,COLUMN())-AJ549-AJ550,6)</f>
        <v>0</v>
      </c>
      <c r="AK698" s="417" t="n">
        <f aca="false">ROUND(INDEX(MO_CFSum_Capex,0,COLUMN())-AK549-AK550,6)</f>
        <v>0</v>
      </c>
      <c r="AL698" s="417" t="n">
        <f aca="false">ROUND(INDEX(MO_CFSum_Capex,0,COLUMN())-AL549-AL550,6)</f>
        <v>0</v>
      </c>
      <c r="AM698" s="417" t="n">
        <f aca="false">ROUND(INDEX(MO_CFSum_Capex,0,COLUMN())-AM549-AM550,6)</f>
        <v>0</v>
      </c>
      <c r="AN698" s="417" t="n">
        <f aca="false">ROUND(INDEX(MO_CFSum_Capex,0,COLUMN())-AN549-AN550,6)</f>
        <v>0</v>
      </c>
      <c r="AO698" s="417" t="n">
        <f aca="false">ROUND(INDEX(MO_CFSum_Capex,0,COLUMN())-AO549-AO550,6)</f>
        <v>0</v>
      </c>
      <c r="AP698" s="417" t="n">
        <f aca="false">ROUND(INDEX(MO_CFSum_Capex,0,COLUMN())-AP549-AP550,6)</f>
        <v>0</v>
      </c>
      <c r="AQ698" s="417" t="n">
        <f aca="false">ROUND(INDEX(MO_CFSum_Capex,0,COLUMN())-AQ549-AQ550,6)</f>
        <v>0</v>
      </c>
      <c r="AR698" s="417" t="n">
        <f aca="false">ROUND(INDEX(MO_CFSum_Capex,0,COLUMN())-AR549-AR550,6)</f>
        <v>0</v>
      </c>
      <c r="AS698" s="417" t="n">
        <f aca="false">ROUND(INDEX(MO_CFSum_Capex,0,COLUMN())-AS549-AS550,6)</f>
        <v>0</v>
      </c>
      <c r="AT698" s="417" t="n">
        <f aca="false">ROUND(INDEX(MO_CFSum_Capex,0,COLUMN())-AT549-AT550,6)</f>
        <v>0</v>
      </c>
      <c r="AU698" s="417" t="n">
        <f aca="false">ROUND(INDEX(MO_CFSum_Capex,0,COLUMN())-AU549-AU550,6)</f>
        <v>0</v>
      </c>
      <c r="AV698" s="417" t="n">
        <f aca="false">ROUND(INDEX(MO_CFSum_Capex,0,COLUMN())-AV549-AV550,6)</f>
        <v>0</v>
      </c>
      <c r="AW698" s="417" t="n">
        <f aca="false">ROUND(INDEX(MO_CFSum_Capex,0,COLUMN())-AW549-AW550,6)</f>
        <v>0</v>
      </c>
      <c r="AX698" s="417" t="n">
        <f aca="false">ROUND(INDEX(MO_CFSum_Capex,0,COLUMN())-AX549-AX550,6)</f>
        <v>0</v>
      </c>
      <c r="AY698" s="417" t="n">
        <f aca="false">ROUND(INDEX(MO_CFSum_Capex,0,COLUMN())-AY549-AY550,6)</f>
        <v>0</v>
      </c>
      <c r="AZ698" s="417" t="n">
        <f aca="false">ROUND(INDEX(MO_CFSum_Capex,0,COLUMN())-AZ549-AZ550,6)</f>
        <v>0</v>
      </c>
      <c r="BA698" s="417" t="n">
        <f aca="false">ROUND(INDEX(MO_CFSum_Capex,0,COLUMN())-BA549-BA550,6)</f>
        <v>0</v>
      </c>
      <c r="BB698" s="417" t="n">
        <f aca="false">ROUND(INDEX(MO_CFSum_Capex,0,COLUMN())-BB549-BB550,6)</f>
        <v>0</v>
      </c>
      <c r="BC698" s="417" t="n">
        <f aca="false">ROUND(INDEX(MO_CFSum_Capex,0,COLUMN())-BC549-BC550,6)</f>
        <v>0</v>
      </c>
      <c r="BD698" s="417" t="n">
        <f aca="false">ROUND(INDEX(MO_CFSum_Capex,0,COLUMN())-BD549-BD550,6)</f>
        <v>0</v>
      </c>
      <c r="BE698" s="417" t="n">
        <f aca="false">ROUND(INDEX(MO_CFSum_Capex,0,COLUMN())-BE549-BE550,6)</f>
        <v>0</v>
      </c>
      <c r="BF698" s="417" t="n">
        <f aca="false">ROUND(INDEX(MO_CFSum_Capex,0,COLUMN())-BF549-BF550,6)</f>
        <v>0</v>
      </c>
      <c r="BG698" s="417" t="n">
        <f aca="false">ROUND(INDEX(MO_CFSum_Capex,0,COLUMN())-BG549-BG550,6)</f>
        <v>0</v>
      </c>
      <c r="BH698" s="417" t="n">
        <f aca="false">ROUND(INDEX(MO_CFSum_Capex,0,COLUMN())-BH549-BH550,6)</f>
        <v>0</v>
      </c>
      <c r="BI698" s="417" t="n">
        <f aca="false">ROUND(INDEX(MO_CFSum_Capex,0,COLUMN())-BI549-BI550,6)</f>
        <v>0</v>
      </c>
      <c r="BJ698" s="417" t="n">
        <f aca="false">ROUND(INDEX(MO_CFSum_Capex,0,COLUMN())-BJ549-BJ550,6)</f>
        <v>-0</v>
      </c>
      <c r="BK698" s="417" t="n">
        <f aca="false">ROUND(INDEX(MO_CFSum_Capex,0,COLUMN())-BK549-BK550,6)</f>
        <v>0</v>
      </c>
      <c r="BL698" s="417" t="n">
        <f aca="false">ROUND(INDEX(MO_CFSum_Capex,0,COLUMN())-BL549-BL550,6)</f>
        <v>0</v>
      </c>
      <c r="BM698" s="417" t="n">
        <f aca="false">ROUND(INDEX(MO_CFSum_Capex,0,COLUMN())-BM549-BM550,6)</f>
        <v>0</v>
      </c>
      <c r="BN698" s="417" t="n">
        <f aca="false">ROUND(INDEX(MO_CFSum_Capex,0,COLUMN())-BN549-BN550,6)</f>
        <v>0</v>
      </c>
      <c r="BO698" s="418" t="n">
        <f aca="false">ROUND(INDEX(MO_CFSum_Capex,0,COLUMN())-BO549-BO550,6)</f>
        <v>0</v>
      </c>
      <c r="BP698" s="417" t="n">
        <f aca="false">ROUND(INDEX(MO_CFSum_Capex,0,COLUMN())-BP549-BP550,6)</f>
        <v>0</v>
      </c>
      <c r="BQ698" s="417" t="n">
        <f aca="false">ROUND(INDEX(MO_CFSum_Capex,0,COLUMN())-BQ549-BQ550,6)</f>
        <v>0</v>
      </c>
      <c r="BR698" s="417" t="n">
        <f aca="false">ROUND(INDEX(MO_CFSum_Capex,0,COLUMN())-BR549-BR550,6)</f>
        <v>0</v>
      </c>
      <c r="BS698" s="417" t="n">
        <f aca="false">ROUND(INDEX(MO_CFSum_Capex,0,COLUMN())-BS549-BS550,6)</f>
        <v>0</v>
      </c>
      <c r="BT698" s="417" t="n">
        <f aca="false">ROUND(INDEX(MO_CFSum_Capex,0,COLUMN())-BT549-BT550,6)</f>
        <v>0</v>
      </c>
      <c r="BU698" s="417" t="n">
        <f aca="false">ROUND(INDEX(MO_CFSum_Capex,0,COLUMN())-BU549-BU550,6)</f>
        <v>0</v>
      </c>
      <c r="BV698" s="417" t="n">
        <f aca="false">ROUND(INDEX(MO_CFSum_Capex,0,COLUMN())-BV549-BV550,6)</f>
        <v>0</v>
      </c>
      <c r="BW698" s="417" t="n">
        <f aca="false">ROUND(INDEX(MO_CFSum_Capex,0,COLUMN())-BW549-BW550,6)</f>
        <v>0</v>
      </c>
      <c r="BX698" s="417" t="n">
        <f aca="false">ROUND(INDEX(MO_CFSum_Capex,0,COLUMN())-BX549-BX550,6)</f>
        <v>0</v>
      </c>
      <c r="BY698" s="417" t="n">
        <f aca="false">ROUND(INDEX(MO_CFSum_Capex,0,COLUMN())-BY549-BY550,6)</f>
        <v>0</v>
      </c>
      <c r="BZ698" s="417" t="n">
        <f aca="false">ROUND(INDEX(MO_CFSum_Capex,0,COLUMN())-BZ549-BZ550,6)</f>
        <v>0</v>
      </c>
      <c r="CA698" s="417" t="n">
        <f aca="false">ROUND(INDEX(MO_CFSum_Capex,0,COLUMN())-CA549-CA550,6)</f>
        <v>0</v>
      </c>
      <c r="CB698" s="417" t="n">
        <f aca="false">ROUND(INDEX(MO_CFSum_Capex,0,COLUMN())-CB549-CB550,6)</f>
        <v>0</v>
      </c>
      <c r="CC698" s="50"/>
    </row>
    <row r="699" s="51" customFormat="true" ht="15" hidden="false" customHeight="true" outlineLevel="0" collapsed="false">
      <c r="A699" s="50" t="s">
        <v>648</v>
      </c>
      <c r="B699" s="149"/>
      <c r="C699" s="417" t="n">
        <f aca="false">IF(ISBLANK(INDEX(MO_IS_FirstRow,0,COLUMN())),0,IF(MOD(C285*1000000,1)=0,"Check",0))</f>
        <v>0</v>
      </c>
      <c r="D699" s="417" t="n">
        <f aca="false">IF(ISBLANK(INDEX(MO_IS_FirstRow,0,COLUMN())),0,IF(MOD(D285*1000000,1)=0,"Check",0))</f>
        <v>0</v>
      </c>
      <c r="E699" s="417" t="n">
        <f aca="false">IF(ISBLANK(INDEX(MO_IS_FirstRow,0,COLUMN())),0,IF(MOD(E285*1000000,1)=0,"Check",0))</f>
        <v>0</v>
      </c>
      <c r="F699" s="417" t="n">
        <f aca="false">IF(ISBLANK(INDEX(MO_IS_FirstRow,0,COLUMN())),0,IF(MOD(F285*1000000,1)=0,"Check",0))</f>
        <v>0</v>
      </c>
      <c r="G699" s="417" t="n">
        <f aca="false">IF(ISBLANK(INDEX(MO_IS_FirstRow,0,COLUMN())),0,IF(MOD(G285*1000000,1)=0,"Check",0))</f>
        <v>0</v>
      </c>
      <c r="H699" s="417" t="n">
        <f aca="false">IF(ISBLANK(INDEX(MO_IS_FirstRow,0,COLUMN())),0,IF(MOD(H285*1000000,1)=0,"Check",0))</f>
        <v>0</v>
      </c>
      <c r="I699" s="417" t="n">
        <f aca="false">IF(ISBLANK(INDEX(MO_IS_FirstRow,0,COLUMN())),0,IF(MOD(I285*1000000,1)=0,"Check",0))</f>
        <v>0</v>
      </c>
      <c r="J699" s="417" t="n">
        <f aca="false">IF(ISBLANK(INDEX(MO_IS_FirstRow,0,COLUMN())),0,IF(MOD(J285*1000000,1)=0,"Check",0))</f>
        <v>0</v>
      </c>
      <c r="K699" s="417" t="n">
        <f aca="false">IF(ISBLANK(INDEX(MO_IS_FirstRow,0,COLUMN())),0,IF(MOD(K285*1000000,1)=0,"Check",0))</f>
        <v>0</v>
      </c>
      <c r="L699" s="417" t="n">
        <f aca="false">IF(ISBLANK(INDEX(MO_IS_FirstRow,0,COLUMN())),0,IF(MOD(L285*1000000,1)=0,"Check",0))</f>
        <v>0</v>
      </c>
      <c r="M699" s="417" t="n">
        <f aca="false">IF(ISBLANK(INDEX(MO_IS_FirstRow,0,COLUMN())),0,IF(MOD(M285*1000000,1)=0,"Check",0))</f>
        <v>0</v>
      </c>
      <c r="N699" s="417" t="n">
        <f aca="false">IF(ISBLANK(INDEX(MO_IS_FirstRow,0,COLUMN())),0,IF(MOD(N285*1000000,1)=0,"Check",0))</f>
        <v>0</v>
      </c>
      <c r="O699" s="417" t="n">
        <f aca="false">IF(ISBLANK(INDEX(MO_IS_FirstRow,0,COLUMN())),0,IF(MOD(O285*1000000,1)=0,"Check",0))</f>
        <v>0</v>
      </c>
      <c r="P699" s="417" t="n">
        <f aca="false">IF(ISBLANK(INDEX(MO_IS_FirstRow,0,COLUMN())),0,IF(MOD(P285*1000000,1)=0,"Check",0))</f>
        <v>0</v>
      </c>
      <c r="Q699" s="417" t="n">
        <f aca="false">IF(ISBLANK(INDEX(MO_IS_FirstRow,0,COLUMN())),0,IF(MOD(Q285*1000000,1)=0,"Check",0))</f>
        <v>0</v>
      </c>
      <c r="R699" s="417" t="n">
        <f aca="false">IF(ISBLANK(INDEX(MO_IS_FirstRow,0,COLUMN())),0,IF(MOD(R285*1000000,1)=0,"Check",0))</f>
        <v>0</v>
      </c>
      <c r="S699" s="417" t="n">
        <f aca="false">IF(ISBLANK(INDEX(MO_IS_FirstRow,0,COLUMN())),0,IF(MOD(S285*1000000,1)=0,"Check",0))</f>
        <v>0</v>
      </c>
      <c r="T699" s="417" t="n">
        <f aca="false">IF(ISBLANK(INDEX(MO_IS_FirstRow,0,COLUMN())),0,IF(MOD(T285*1000000,1)=0,"Check",0))</f>
        <v>0</v>
      </c>
      <c r="U699" s="417" t="n">
        <f aca="false">IF(ISBLANK(INDEX(MO_IS_FirstRow,0,COLUMN())),0,IF(MOD(U285*1000000,1)=0,"Check",0))</f>
        <v>0</v>
      </c>
      <c r="V699" s="417" t="n">
        <f aca="false">IF(ISBLANK(INDEX(MO_IS_FirstRow,0,COLUMN())),0,IF(MOD(V285*1000000,1)=0,"Check",0))</f>
        <v>0</v>
      </c>
      <c r="W699" s="417" t="n">
        <f aca="false">IF(ISBLANK(INDEX(MO_IS_FirstRow,0,COLUMN())),0,IF(MOD(W285*1000000,1)=0,"Check",0))</f>
        <v>0</v>
      </c>
      <c r="X699" s="417" t="n">
        <f aca="false">IF(ISBLANK(INDEX(MO_IS_FirstRow,0,COLUMN())),0,IF(MOD(X285*1000000,1)=0,"Check",0))</f>
        <v>0</v>
      </c>
      <c r="Y699" s="417" t="n">
        <f aca="false">IF(ISBLANK(INDEX(MO_IS_FirstRow,0,COLUMN())),0,IF(MOD(Y285*1000000,1)=0,"Check",0))</f>
        <v>0</v>
      </c>
      <c r="Z699" s="417" t="n">
        <f aca="false">IF(ISBLANK(INDEX(MO_IS_FirstRow,0,COLUMN())),0,IF(MOD(Z285*1000000,1)=0,"Check",0))</f>
        <v>0</v>
      </c>
      <c r="AA699" s="417" t="n">
        <f aca="false">IF(ISBLANK(INDEX(MO_IS_FirstRow,0,COLUMN())),0,IF(MOD(AA285*1000000,1)=0,"Check",0))</f>
        <v>0</v>
      </c>
      <c r="AB699" s="417" t="n">
        <f aca="false">IF(ISBLANK(INDEX(MO_IS_FirstRow,0,COLUMN())),0,IF(MOD(AB285*1000000,1)=0,"Check",0))</f>
        <v>0</v>
      </c>
      <c r="AC699" s="417" t="n">
        <f aca="false">IF(ISBLANK(INDEX(MO_IS_FirstRow,0,COLUMN())),0,IF(MOD(AC285*1000000,1)=0,"Check",0))</f>
        <v>0</v>
      </c>
      <c r="AD699" s="417" t="n">
        <f aca="false">IF(ISBLANK(INDEX(MO_IS_FirstRow,0,COLUMN())),0,IF(MOD(AD285*1000000,1)=0,"Check",0))</f>
        <v>0</v>
      </c>
      <c r="AE699" s="417" t="n">
        <f aca="false">IF(ISBLANK(INDEX(MO_IS_FirstRow,0,COLUMN())),0,IF(MOD(AE285*1000000,1)=0,"Check",0))</f>
        <v>0</v>
      </c>
      <c r="AF699" s="417" t="n">
        <f aca="false">IF(ISBLANK(INDEX(MO_IS_FirstRow,0,COLUMN())),0,IF(MOD(AF285*1000000,1)=0,"Check",0))</f>
        <v>0</v>
      </c>
      <c r="AG699" s="417" t="n">
        <f aca="false">IF(ISBLANK(INDEX(MO_IS_FirstRow,0,COLUMN())),0,IF(MOD(AG285*1000000,1)=0,"Check",0))</f>
        <v>0</v>
      </c>
      <c r="AH699" s="417" t="n">
        <f aca="false">IF(ISBLANK(INDEX(MO_IS_FirstRow,0,COLUMN())),0,IF(MOD(AH285*1000000,1)=0,"Check",0))</f>
        <v>0</v>
      </c>
      <c r="AI699" s="417" t="n">
        <f aca="false">IF(ISBLANK(INDEX(MO_IS_FirstRow,0,COLUMN())),0,IF(MOD(AI285*1000000,1)=0,"Check",0))</f>
        <v>0</v>
      </c>
      <c r="AJ699" s="417" t="n">
        <f aca="false">IF(ISBLANK(INDEX(MO_IS_FirstRow,0,COLUMN())),0,IF(MOD(AJ285*1000000,1)=0,"Check",0))</f>
        <v>0</v>
      </c>
      <c r="AK699" s="417" t="n">
        <f aca="false">IF(ISBLANK(INDEX(MO_IS_FirstRow,0,COLUMN())),0,IF(MOD(AK285*1000000,1)=0,"Check",0))</f>
        <v>0</v>
      </c>
      <c r="AL699" s="417" t="n">
        <f aca="false">IF(ISBLANK(INDEX(MO_IS_FirstRow,0,COLUMN())),0,IF(MOD(AL285*1000000,1)=0,"Check",0))</f>
        <v>0</v>
      </c>
      <c r="AM699" s="417" t="n">
        <f aca="false">IF(ISBLANK(INDEX(MO_IS_FirstRow,0,COLUMN())),0,IF(MOD(AM285*1000000,1)=0,"Check",0))</f>
        <v>0</v>
      </c>
      <c r="AN699" s="417" t="n">
        <f aca="false">IF(ISBLANK(INDEX(MO_IS_FirstRow,0,COLUMN())),0,IF(MOD(AN285*1000000,1)=0,"Check",0))</f>
        <v>0</v>
      </c>
      <c r="AO699" s="417" t="n">
        <f aca="false">IF(ISBLANK(INDEX(MO_IS_FirstRow,0,COLUMN())),0,IF(MOD(AO285*1000000,1)=0,"Check",0))</f>
        <v>0</v>
      </c>
      <c r="AP699" s="417" t="n">
        <f aca="false">IF(ISBLANK(INDEX(MO_IS_FirstRow,0,COLUMN())),0,IF(MOD(AP285*1000000,1)=0,"Check",0))</f>
        <v>0</v>
      </c>
      <c r="AQ699" s="417" t="n">
        <f aca="false">IF(ISBLANK(INDEX(MO_IS_FirstRow,0,COLUMN())),0,IF(MOD(AQ285*1000000,1)=0,"Check",0))</f>
        <v>0</v>
      </c>
      <c r="AR699" s="417" t="n">
        <f aca="false">IF(ISBLANK(INDEX(MO_IS_FirstRow,0,COLUMN())),0,IF(MOD(AR285*1000000,1)=0,"Check",0))</f>
        <v>0</v>
      </c>
      <c r="AS699" s="417" t="n">
        <f aca="false">IF(ISBLANK(INDEX(MO_IS_FirstRow,0,COLUMN())),0,IF(MOD(AS285*1000000,1)=0,"Check",0))</f>
        <v>0</v>
      </c>
      <c r="AT699" s="417" t="n">
        <f aca="false">IF(ISBLANK(INDEX(MO_IS_FirstRow,0,COLUMN())),0,IF(MOD(AT285*1000000,1)=0,"Check",0))</f>
        <v>0</v>
      </c>
      <c r="AU699" s="417" t="n">
        <f aca="false">IF(ISBLANK(INDEX(MO_IS_FirstRow,0,COLUMN())),0,IF(MOD(AU285*1000000,1)=0,"Check",0))</f>
        <v>0</v>
      </c>
      <c r="AV699" s="417" t="n">
        <f aca="false">IF(ISBLANK(INDEX(MO_IS_FirstRow,0,COLUMN())),0,IF(MOD(AV285*1000000,1)=0,"Check",0))</f>
        <v>0</v>
      </c>
      <c r="AW699" s="417" t="n">
        <f aca="false">IF(ISBLANK(INDEX(MO_IS_FirstRow,0,COLUMN())),0,IF(MOD(AW285*1000000,1)=0,"Check",0))</f>
        <v>0</v>
      </c>
      <c r="AX699" s="417" t="n">
        <f aca="false">IF(ISBLANK(INDEX(MO_IS_FirstRow,0,COLUMN())),0,IF(MOD(AX285*1000000,1)=0,"Check",0))</f>
        <v>0</v>
      </c>
      <c r="AY699" s="417" t="n">
        <f aca="false">IF(ISBLANK(INDEX(MO_IS_FirstRow,0,COLUMN())),0,IF(MOD(AY285*1000000,1)=0,"Check",0))</f>
        <v>0</v>
      </c>
      <c r="AZ699" s="417" t="n">
        <f aca="false">IF(ISBLANK(INDEX(MO_IS_FirstRow,0,COLUMN())),0,IF(MOD(AZ285*1000000,1)=0,"Check",0))</f>
        <v>0</v>
      </c>
      <c r="BA699" s="417" t="n">
        <f aca="false">IF(ISBLANK(INDEX(MO_IS_FirstRow,0,COLUMN())),0,IF(MOD(BA285*1000000,1)=0,"Check",0))</f>
        <v>0</v>
      </c>
      <c r="BB699" s="417" t="n">
        <f aca="false">IF(ISBLANK(INDEX(MO_IS_FirstRow,0,COLUMN())),0,IF(MOD(BB285*1000000,1)=0,"Check",0))</f>
        <v>0</v>
      </c>
      <c r="BC699" s="417" t="n">
        <f aca="false">IF(ISBLANK(INDEX(MO_IS_FirstRow,0,COLUMN())),0,IF(MOD(BC285*1000000,1)=0,"Check",0))</f>
        <v>0</v>
      </c>
      <c r="BD699" s="417" t="n">
        <f aca="false">IF(ISBLANK(INDEX(MO_IS_FirstRow,0,COLUMN())),0,IF(MOD(BD285*1000000,1)=0,"Check",0))</f>
        <v>0</v>
      </c>
      <c r="BE699" s="417" t="n">
        <f aca="false">IF(ISBLANK(INDEX(MO_IS_FirstRow,0,COLUMN())),0,IF(MOD(BE285*1000000,1)=0,"Check",0))</f>
        <v>0</v>
      </c>
      <c r="BF699" s="417" t="n">
        <f aca="false">IF(ISBLANK(INDEX(MO_IS_FirstRow,0,COLUMN())),0,IF(MOD(BF285*1000000,1)=0,"Check",0))</f>
        <v>0</v>
      </c>
      <c r="BG699" s="417" t="n">
        <f aca="false">IF(ISBLANK(INDEX(MO_IS_FirstRow,0,COLUMN())),0,IF(MOD(BG285*1000000,1)=0,"Check",0))</f>
        <v>0</v>
      </c>
      <c r="BH699" s="417" t="n">
        <f aca="false">IF(ISBLANK(INDEX(MO_IS_FirstRow,0,COLUMN())),0,IF(MOD(BH285*1000000,1)=0,"Check",0))</f>
        <v>0</v>
      </c>
      <c r="BI699" s="417" t="n">
        <f aca="false">IF(ISBLANK(INDEX(MO_IS_FirstRow,0,COLUMN())),0,IF(MOD(BI285*1000000,1)=0,"Check",0))</f>
        <v>0</v>
      </c>
      <c r="BJ699" s="417" t="n">
        <f aca="false">IF(ISBLANK(INDEX(MO_IS_FirstRow,0,COLUMN())),0,IF(MOD(BJ285*1000000,1)=0,"Check",0))</f>
        <v>0</v>
      </c>
      <c r="BK699" s="417" t="n">
        <f aca="false">IF(ISBLANK(INDEX(MO_IS_FirstRow,0,COLUMN())),0,IF(MOD(BK285*1000000,1)=0,"Check",0))</f>
        <v>0</v>
      </c>
      <c r="BL699" s="417" t="n">
        <f aca="false">IF(ISBLANK(INDEX(MO_IS_FirstRow,0,COLUMN())),0,IF(MOD(BL285*1000000,1)=0,"Check",0))</f>
        <v>0</v>
      </c>
      <c r="BM699" s="417" t="n">
        <f aca="false">IF(ISBLANK(INDEX(MO_IS_FirstRow,0,COLUMN())),0,IF(MOD(BM285*1000000,1)=0,"Check",0))</f>
        <v>0</v>
      </c>
      <c r="BN699" s="417" t="n">
        <f aca="false">IF(ISBLANK(INDEX(MO_IS_FirstRow,0,COLUMN())),0,IF(MOD(BN285*1000000,1)=0,"Check",0))</f>
        <v>0</v>
      </c>
      <c r="BO699" s="418" t="n">
        <f aca="false">IF(ISBLANK(INDEX(MO_IS_FirstRow,0,COLUMN())),0,IF(MOD(BO285*1000000,1)=0,"Check",0))</f>
        <v>0</v>
      </c>
      <c r="BP699" s="417" t="n">
        <f aca="false">IF(ISBLANK(INDEX(MO_IS_FirstRow,0,COLUMN())),0,IF(MOD(BP285*1000000,1)=0,"Check",0))</f>
        <v>0</v>
      </c>
      <c r="BQ699" s="417" t="n">
        <f aca="false">IF(ISBLANK(INDEX(MO_IS_FirstRow,0,COLUMN())),0,IF(MOD(BQ285*1000000,1)=0,"Check",0))</f>
        <v>0</v>
      </c>
      <c r="BR699" s="417" t="n">
        <f aca="false">IF(ISBLANK(INDEX(MO_IS_FirstRow,0,COLUMN())),0,IF(MOD(BR285*1000000,1)=0,"Check",0))</f>
        <v>0</v>
      </c>
      <c r="BS699" s="417" t="n">
        <f aca="false">IF(ISBLANK(INDEX(MO_IS_FirstRow,0,COLUMN())),0,IF(MOD(BS285*1000000,1)=0,"Check",0))</f>
        <v>0</v>
      </c>
      <c r="BT699" s="417" t="n">
        <f aca="false">IF(ISBLANK(INDEX(MO_IS_FirstRow,0,COLUMN())),0,IF(MOD(BT285*1000000,1)=0,"Check",0))</f>
        <v>0</v>
      </c>
      <c r="BU699" s="417" t="n">
        <f aca="false">IF(ISBLANK(INDEX(MO_IS_FirstRow,0,COLUMN())),0,IF(MOD(BU285*1000000,1)=0,"Check",0))</f>
        <v>0</v>
      </c>
      <c r="BV699" s="417" t="n">
        <f aca="false">IF(ISBLANK(INDEX(MO_IS_FirstRow,0,COLUMN())),0,IF(MOD(BV285*1000000,1)=0,"Check",0))</f>
        <v>0</v>
      </c>
      <c r="BW699" s="417" t="n">
        <f aca="false">IF(ISBLANK(INDEX(MO_IS_FirstRow,0,COLUMN())),0,IF(MOD(BW285*1000000,1)=0,"Check",0))</f>
        <v>0</v>
      </c>
      <c r="BX699" s="417" t="n">
        <f aca="false">IF(ISBLANK(INDEX(MO_IS_FirstRow,0,COLUMN())),0,IF(MOD(BX285*1000000,1)=0,"Check",0))</f>
        <v>0</v>
      </c>
      <c r="BY699" s="417" t="n">
        <f aca="false">IF(ISBLANK(INDEX(MO_IS_FirstRow,0,COLUMN())),0,IF(MOD(BY285*1000000,1)=0,"Check",0))</f>
        <v>0</v>
      </c>
      <c r="BZ699" s="417" t="n">
        <f aca="false">IF(ISBLANK(INDEX(MO_IS_FirstRow,0,COLUMN())),0,IF(MOD(BZ285*1000000,1)=0,"Check",0))</f>
        <v>0</v>
      </c>
      <c r="CA699" s="417" t="n">
        <f aca="false">IF(ISBLANK(INDEX(MO_IS_FirstRow,0,COLUMN())),0,IF(MOD(CA285*1000000,1)=0,"Check",0))</f>
        <v>0</v>
      </c>
      <c r="CB699" s="417" t="n">
        <f aca="false">IF(ISBLANK(INDEX(MO_IS_FirstRow,0,COLUMN())),0,IF(MOD(CB285*1000000,1)=0,"Check",0))</f>
        <v>0</v>
      </c>
      <c r="CC699" s="50"/>
    </row>
    <row r="700" s="51" customFormat="true" ht="15" hidden="false" customHeight="true" outlineLevel="0" collapsed="false">
      <c r="A700" s="50" t="s">
        <v>649</v>
      </c>
      <c r="B700" s="149"/>
      <c r="C700" s="417"/>
      <c r="D700" s="417"/>
      <c r="E700" s="417"/>
      <c r="F700" s="417"/>
      <c r="G700" s="417"/>
      <c r="H700" s="417"/>
      <c r="I700" s="417"/>
      <c r="J700" s="417"/>
      <c r="K700" s="417"/>
      <c r="L700" s="417"/>
      <c r="M700" s="417"/>
      <c r="N700" s="417"/>
      <c r="O700" s="417"/>
      <c r="P700" s="417"/>
      <c r="Q700" s="417"/>
      <c r="R700" s="417"/>
      <c r="S700" s="417"/>
      <c r="T700" s="417"/>
      <c r="U700" s="417"/>
      <c r="V700" s="417"/>
      <c r="W700" s="417"/>
      <c r="X700" s="417"/>
      <c r="Y700" s="417"/>
      <c r="Z700" s="417"/>
      <c r="AA700" s="417"/>
      <c r="AB700" s="417"/>
      <c r="AC700" s="417"/>
      <c r="AD700" s="417"/>
      <c r="AE700" s="417"/>
      <c r="AF700" s="417"/>
      <c r="AG700" s="417"/>
      <c r="AH700" s="417"/>
      <c r="AI700" s="417"/>
      <c r="AJ700" s="417"/>
      <c r="AK700" s="417"/>
      <c r="AL700" s="417"/>
      <c r="AM700" s="417"/>
      <c r="AN700" s="417"/>
      <c r="AO700" s="417"/>
      <c r="AP700" s="417"/>
      <c r="AQ700" s="417"/>
      <c r="AR700" s="417"/>
      <c r="AS700" s="417"/>
      <c r="AT700" s="417"/>
      <c r="AU700" s="417"/>
      <c r="AV700" s="417"/>
      <c r="AW700" s="417"/>
      <c r="AX700" s="417"/>
      <c r="AY700" s="417"/>
      <c r="AZ700" s="417"/>
      <c r="BA700" s="417"/>
      <c r="BB700" s="417"/>
      <c r="BC700" s="417"/>
      <c r="BD700" s="417"/>
      <c r="BE700" s="417"/>
      <c r="BF700" s="417"/>
      <c r="BG700" s="417"/>
      <c r="BH700" s="417"/>
      <c r="BI700" s="417"/>
      <c r="BJ700" s="417"/>
      <c r="BK700" s="417"/>
      <c r="BL700" s="417"/>
      <c r="BM700" s="417"/>
      <c r="BN700" s="417"/>
      <c r="BO700" s="418"/>
      <c r="BP700" s="417"/>
      <c r="BQ700" s="417"/>
      <c r="BR700" s="417"/>
      <c r="BS700" s="417"/>
      <c r="BT700" s="417"/>
      <c r="BU700" s="417"/>
      <c r="BV700" s="417"/>
      <c r="BW700" s="417"/>
      <c r="BX700" s="417"/>
      <c r="BY700" s="417"/>
      <c r="BZ700" s="417"/>
      <c r="CA700" s="417"/>
      <c r="CB700" s="417"/>
      <c r="CC700" s="50"/>
    </row>
    <row r="701" s="51" customFormat="true" ht="15" hidden="false" customHeight="true" outlineLevel="0" collapsed="false">
      <c r="A701" s="50" t="s">
        <v>650</v>
      </c>
      <c r="B701" s="149"/>
      <c r="C701" s="417" t="n">
        <f aca="false">IF(OR(INDEX(MO_CFSum_Acquisition,1,COLUMN())&gt;0,INDEX(MO_CFSum_Divestiture,1,COLUMN())&lt;0,INDEX(MO_CFSum_Capex,1,COLUMN())&gt;0,INDEX(MO_CFSum_Dividend,1,COLUMN())&gt;0),"CHECK",0)</f>
        <v>0</v>
      </c>
      <c r="D701" s="417" t="n">
        <f aca="false">IF(OR(INDEX(MO_CFSum_Acquisition,1,COLUMN())&gt;0,INDEX(MO_CFSum_Divestiture,1,COLUMN())&lt;0,INDEX(MO_CFSum_Capex,1,COLUMN())&gt;0,INDEX(MO_CFSum_Dividend,1,COLUMN())&gt;0),"CHECK",0)</f>
        <v>0</v>
      </c>
      <c r="E701" s="417" t="n">
        <f aca="false">IF(OR(INDEX(MO_CFSum_Acquisition,1,COLUMN())&gt;0,INDEX(MO_CFSum_Divestiture,1,COLUMN())&lt;0,INDEX(MO_CFSum_Capex,1,COLUMN())&gt;0,INDEX(MO_CFSum_Dividend,1,COLUMN())&gt;0),"CHECK",0)</f>
        <v>0</v>
      </c>
      <c r="F701" s="417" t="n">
        <f aca="false">IF(OR(INDEX(MO_CFSum_Acquisition,1,COLUMN())&gt;0,INDEX(MO_CFSum_Divestiture,1,COLUMN())&lt;0,INDEX(MO_CFSum_Capex,1,COLUMN())&gt;0,INDEX(MO_CFSum_Dividend,1,COLUMN())&gt;0),"CHECK",0)</f>
        <v>0</v>
      </c>
      <c r="G701" s="417" t="n">
        <f aca="false">IF(OR(INDEX(MO_CFSum_Acquisition,1,COLUMN())&gt;0,INDEX(MO_CFSum_Divestiture,1,COLUMN())&lt;0,INDEX(MO_CFSum_Capex,1,COLUMN())&gt;0,INDEX(MO_CFSum_Dividend,1,COLUMN())&gt;0),"CHECK",0)</f>
        <v>0</v>
      </c>
      <c r="H701" s="417" t="n">
        <f aca="false">IF(OR(INDEX(MO_CFSum_Acquisition,1,COLUMN())&gt;0,INDEX(MO_CFSum_Divestiture,1,COLUMN())&lt;0,INDEX(MO_CFSum_Capex,1,COLUMN())&gt;0,INDEX(MO_CFSum_Dividend,1,COLUMN())&gt;0),"CHECK",0)</f>
        <v>0</v>
      </c>
      <c r="I701" s="417" t="n">
        <f aca="false">IF(OR(INDEX(MO_CFSum_Acquisition,1,COLUMN())&gt;0,INDEX(MO_CFSum_Divestiture,1,COLUMN())&lt;0,INDEX(MO_CFSum_Capex,1,COLUMN())&gt;0,INDEX(MO_CFSum_Dividend,1,COLUMN())&gt;0),"CHECK",0)</f>
        <v>0</v>
      </c>
      <c r="J701" s="417" t="n">
        <f aca="false">IF(OR(INDEX(MO_CFSum_Acquisition,1,COLUMN())&gt;0,INDEX(MO_CFSum_Divestiture,1,COLUMN())&lt;0,INDEX(MO_CFSum_Capex,1,COLUMN())&gt;0,INDEX(MO_CFSum_Dividend,1,COLUMN())&gt;0),"CHECK",0)</f>
        <v>0</v>
      </c>
      <c r="K701" s="417" t="str">
        <f aca="false">IF(OR(INDEX(MO_CFSum_Acquisition,1,COLUMN())&gt;0,INDEX(MO_CFSum_Divestiture,1,COLUMN())&lt;0,INDEX(MO_CFSum_Capex,1,COLUMN())&gt;0,INDEX(MO_CFSum_Dividend,1,COLUMN())&gt;0),"CHECK",0)</f>
        <v>CHECK</v>
      </c>
      <c r="L701" s="417" t="n">
        <f aca="false">IF(OR(INDEX(MO_CFSum_Acquisition,1,COLUMN())&gt;0,INDEX(MO_CFSum_Divestiture,1,COLUMN())&lt;0,INDEX(MO_CFSum_Capex,1,COLUMN())&gt;0,INDEX(MO_CFSum_Dividend,1,COLUMN())&gt;0),"CHECK",0)</f>
        <v>0</v>
      </c>
      <c r="M701" s="417" t="n">
        <f aca="false">IF(OR(INDEX(MO_CFSum_Acquisition,1,COLUMN())&gt;0,INDEX(MO_CFSum_Divestiture,1,COLUMN())&lt;0,INDEX(MO_CFSum_Capex,1,COLUMN())&gt;0,INDEX(MO_CFSum_Dividend,1,COLUMN())&gt;0),"CHECK",0)</f>
        <v>0</v>
      </c>
      <c r="N701" s="417" t="n">
        <f aca="false">IF(OR(INDEX(MO_CFSum_Acquisition,1,COLUMN())&gt;0,INDEX(MO_CFSum_Divestiture,1,COLUMN())&lt;0,INDEX(MO_CFSum_Capex,1,COLUMN())&gt;0,INDEX(MO_CFSum_Dividend,1,COLUMN())&gt;0),"CHECK",0)</f>
        <v>0</v>
      </c>
      <c r="O701" s="417" t="n">
        <f aca="false">IF(OR(INDEX(MO_CFSum_Acquisition,1,COLUMN())&gt;0,INDEX(MO_CFSum_Divestiture,1,COLUMN())&lt;0,INDEX(MO_CFSum_Capex,1,COLUMN())&gt;0,INDEX(MO_CFSum_Dividend,1,COLUMN())&gt;0),"CHECK",0)</f>
        <v>0</v>
      </c>
      <c r="P701" s="417" t="n">
        <f aca="false">IF(OR(INDEX(MO_CFSum_Acquisition,1,COLUMN())&gt;0,INDEX(MO_CFSum_Divestiture,1,COLUMN())&lt;0,INDEX(MO_CFSum_Capex,1,COLUMN())&gt;0,INDEX(MO_CFSum_Dividend,1,COLUMN())&gt;0),"CHECK",0)</f>
        <v>0</v>
      </c>
      <c r="Q701" s="417" t="n">
        <f aca="false">IF(OR(INDEX(MO_CFSum_Acquisition,1,COLUMN())&gt;0,INDEX(MO_CFSum_Divestiture,1,COLUMN())&lt;0,INDEX(MO_CFSum_Capex,1,COLUMN())&gt;0,INDEX(MO_CFSum_Dividend,1,COLUMN())&gt;0),"CHECK",0)</f>
        <v>0</v>
      </c>
      <c r="R701" s="417" t="n">
        <f aca="false">IF(OR(INDEX(MO_CFSum_Acquisition,1,COLUMN())&gt;0,INDEX(MO_CFSum_Divestiture,1,COLUMN())&lt;0,INDEX(MO_CFSum_Capex,1,COLUMN())&gt;0,INDEX(MO_CFSum_Dividend,1,COLUMN())&gt;0),"CHECK",0)</f>
        <v>0</v>
      </c>
      <c r="S701" s="417" t="n">
        <f aca="false">IF(OR(INDEX(MO_CFSum_Acquisition,1,COLUMN())&gt;0,INDEX(MO_CFSum_Divestiture,1,COLUMN())&lt;0,INDEX(MO_CFSum_Capex,1,COLUMN())&gt;0,INDEX(MO_CFSum_Dividend,1,COLUMN())&gt;0),"CHECK",0)</f>
        <v>0</v>
      </c>
      <c r="T701" s="417" t="n">
        <f aca="false">IF(OR(INDEX(MO_CFSum_Acquisition,1,COLUMN())&gt;0,INDEX(MO_CFSum_Divestiture,1,COLUMN())&lt;0,INDEX(MO_CFSum_Capex,1,COLUMN())&gt;0,INDEX(MO_CFSum_Dividend,1,COLUMN())&gt;0),"CHECK",0)</f>
        <v>0</v>
      </c>
      <c r="U701" s="417" t="n">
        <f aca="false">IF(OR(INDEX(MO_CFSum_Acquisition,1,COLUMN())&gt;0,INDEX(MO_CFSum_Divestiture,1,COLUMN())&lt;0,INDEX(MO_CFSum_Capex,1,COLUMN())&gt;0,INDEX(MO_CFSum_Dividend,1,COLUMN())&gt;0),"CHECK",0)</f>
        <v>0</v>
      </c>
      <c r="V701" s="417" t="n">
        <f aca="false">IF(OR(INDEX(MO_CFSum_Acquisition,1,COLUMN())&gt;0,INDEX(MO_CFSum_Divestiture,1,COLUMN())&lt;0,INDEX(MO_CFSum_Capex,1,COLUMN())&gt;0,INDEX(MO_CFSum_Dividend,1,COLUMN())&gt;0),"CHECK",0)</f>
        <v>0</v>
      </c>
      <c r="W701" s="417" t="n">
        <f aca="false">IF(OR(INDEX(MO_CFSum_Acquisition,1,COLUMN())&gt;0,INDEX(MO_CFSum_Divestiture,1,COLUMN())&lt;0,INDEX(MO_CFSum_Capex,1,COLUMN())&gt;0,INDEX(MO_CFSum_Dividend,1,COLUMN())&gt;0),"CHECK",0)</f>
        <v>0</v>
      </c>
      <c r="X701" s="417" t="n">
        <f aca="false">IF(OR(INDEX(MO_CFSum_Acquisition,1,COLUMN())&gt;0,INDEX(MO_CFSum_Divestiture,1,COLUMN())&lt;0,INDEX(MO_CFSum_Capex,1,COLUMN())&gt;0,INDEX(MO_CFSum_Dividend,1,COLUMN())&gt;0),"CHECK",0)</f>
        <v>0</v>
      </c>
      <c r="Y701" s="417" t="n">
        <f aca="false">IF(OR(INDEX(MO_CFSum_Acquisition,1,COLUMN())&gt;0,INDEX(MO_CFSum_Divestiture,1,COLUMN())&lt;0,INDEX(MO_CFSum_Capex,1,COLUMN())&gt;0,INDEX(MO_CFSum_Dividend,1,COLUMN())&gt;0),"CHECK",0)</f>
        <v>0</v>
      </c>
      <c r="Z701" s="417" t="n">
        <f aca="false">IF(OR(INDEX(MO_CFSum_Acquisition,1,COLUMN())&gt;0,INDEX(MO_CFSum_Divestiture,1,COLUMN())&lt;0,INDEX(MO_CFSum_Capex,1,COLUMN())&gt;0,INDEX(MO_CFSum_Dividend,1,COLUMN())&gt;0),"CHECK",0)</f>
        <v>0</v>
      </c>
      <c r="AA701" s="417" t="n">
        <f aca="false">IF(OR(INDEX(MO_CFSum_Acquisition,1,COLUMN())&gt;0,INDEX(MO_CFSum_Divestiture,1,COLUMN())&lt;0,INDEX(MO_CFSum_Capex,1,COLUMN())&gt;0,INDEX(MO_CFSum_Dividend,1,COLUMN())&gt;0),"CHECK",0)</f>
        <v>0</v>
      </c>
      <c r="AB701" s="417" t="n">
        <f aca="false">IF(OR(INDEX(MO_CFSum_Acquisition,1,COLUMN())&gt;0,INDEX(MO_CFSum_Divestiture,1,COLUMN())&lt;0,INDEX(MO_CFSum_Capex,1,COLUMN())&gt;0,INDEX(MO_CFSum_Dividend,1,COLUMN())&gt;0),"CHECK",0)</f>
        <v>0</v>
      </c>
      <c r="AC701" s="417" t="n">
        <f aca="false">IF(OR(INDEX(MO_CFSum_Acquisition,1,COLUMN())&gt;0,INDEX(MO_CFSum_Divestiture,1,COLUMN())&lt;0,INDEX(MO_CFSum_Capex,1,COLUMN())&gt;0,INDEX(MO_CFSum_Dividend,1,COLUMN())&gt;0),"CHECK",0)</f>
        <v>0</v>
      </c>
      <c r="AD701" s="417" t="n">
        <f aca="false">IF(OR(INDEX(MO_CFSum_Acquisition,1,COLUMN())&gt;0,INDEX(MO_CFSum_Divestiture,1,COLUMN())&lt;0,INDEX(MO_CFSum_Capex,1,COLUMN())&gt;0,INDEX(MO_CFSum_Dividend,1,COLUMN())&gt;0),"CHECK",0)</f>
        <v>0</v>
      </c>
      <c r="AE701" s="417" t="n">
        <f aca="false">IF(OR(INDEX(MO_CFSum_Acquisition,1,COLUMN())&gt;0,INDEX(MO_CFSum_Divestiture,1,COLUMN())&lt;0,INDEX(MO_CFSum_Capex,1,COLUMN())&gt;0,INDEX(MO_CFSum_Dividend,1,COLUMN())&gt;0),"CHECK",0)</f>
        <v>0</v>
      </c>
      <c r="AF701" s="417" t="n">
        <f aca="false">IF(OR(INDEX(MO_CFSum_Acquisition,1,COLUMN())&gt;0,INDEX(MO_CFSum_Divestiture,1,COLUMN())&lt;0,INDEX(MO_CFSum_Capex,1,COLUMN())&gt;0,INDEX(MO_CFSum_Dividend,1,COLUMN())&gt;0),"CHECK",0)</f>
        <v>0</v>
      </c>
      <c r="AG701" s="417" t="n">
        <f aca="false">IF(OR(INDEX(MO_CFSum_Acquisition,1,COLUMN())&gt;0,INDEX(MO_CFSum_Divestiture,1,COLUMN())&lt;0,INDEX(MO_CFSum_Capex,1,COLUMN())&gt;0,INDEX(MO_CFSum_Dividend,1,COLUMN())&gt;0),"CHECK",0)</f>
        <v>0</v>
      </c>
      <c r="AH701" s="417" t="n">
        <f aca="false">IF(OR(INDEX(MO_CFSum_Acquisition,1,COLUMN())&gt;0,INDEX(MO_CFSum_Divestiture,1,COLUMN())&lt;0,INDEX(MO_CFSum_Capex,1,COLUMN())&gt;0,INDEX(MO_CFSum_Dividend,1,COLUMN())&gt;0),"CHECK",0)</f>
        <v>0</v>
      </c>
      <c r="AI701" s="417" t="n">
        <f aca="false">IF(OR(INDEX(MO_CFSum_Acquisition,1,COLUMN())&gt;0,INDEX(MO_CFSum_Divestiture,1,COLUMN())&lt;0,INDEX(MO_CFSum_Capex,1,COLUMN())&gt;0,INDEX(MO_CFSum_Dividend,1,COLUMN())&gt;0),"CHECK",0)</f>
        <v>0</v>
      </c>
      <c r="AJ701" s="417" t="n">
        <f aca="false">IF(OR(INDEX(MO_CFSum_Acquisition,1,COLUMN())&gt;0,INDEX(MO_CFSum_Divestiture,1,COLUMN())&lt;0,INDEX(MO_CFSum_Capex,1,COLUMN())&gt;0,INDEX(MO_CFSum_Dividend,1,COLUMN())&gt;0),"CHECK",0)</f>
        <v>0</v>
      </c>
      <c r="AK701" s="417" t="n">
        <f aca="false">IF(OR(INDEX(MO_CFSum_Acquisition,1,COLUMN())&gt;0,INDEX(MO_CFSum_Divestiture,1,COLUMN())&lt;0,INDEX(MO_CFSum_Capex,1,COLUMN())&gt;0,INDEX(MO_CFSum_Dividend,1,COLUMN())&gt;0),"CHECK",0)</f>
        <v>0</v>
      </c>
      <c r="AL701" s="417" t="n">
        <f aca="false">IF(OR(INDEX(MO_CFSum_Acquisition,1,COLUMN())&gt;0,INDEX(MO_CFSum_Divestiture,1,COLUMN())&lt;0,INDEX(MO_CFSum_Capex,1,COLUMN())&gt;0,INDEX(MO_CFSum_Dividend,1,COLUMN())&gt;0),"CHECK",0)</f>
        <v>0</v>
      </c>
      <c r="AM701" s="417" t="n">
        <f aca="false">IF(OR(INDEX(MO_CFSum_Acquisition,1,COLUMN())&gt;0,INDEX(MO_CFSum_Divestiture,1,COLUMN())&lt;0,INDEX(MO_CFSum_Capex,1,COLUMN())&gt;0,INDEX(MO_CFSum_Dividend,1,COLUMN())&gt;0),"CHECK",0)</f>
        <v>0</v>
      </c>
      <c r="AN701" s="417" t="n">
        <f aca="false">IF(OR(INDEX(MO_CFSum_Acquisition,1,COLUMN())&gt;0,INDEX(MO_CFSum_Divestiture,1,COLUMN())&lt;0,INDEX(MO_CFSum_Capex,1,COLUMN())&gt;0,INDEX(MO_CFSum_Dividend,1,COLUMN())&gt;0),"CHECK",0)</f>
        <v>0</v>
      </c>
      <c r="AO701" s="417" t="n">
        <f aca="false">IF(OR(INDEX(MO_CFSum_Acquisition,1,COLUMN())&gt;0,INDEX(MO_CFSum_Divestiture,1,COLUMN())&lt;0,INDEX(MO_CFSum_Capex,1,COLUMN())&gt;0,INDEX(MO_CFSum_Dividend,1,COLUMN())&gt;0),"CHECK",0)</f>
        <v>0</v>
      </c>
      <c r="AP701" s="417" t="n">
        <f aca="false">IF(OR(INDEX(MO_CFSum_Acquisition,1,COLUMN())&gt;0,INDEX(MO_CFSum_Divestiture,1,COLUMN())&lt;0,INDEX(MO_CFSum_Capex,1,COLUMN())&gt;0,INDEX(MO_CFSum_Dividend,1,COLUMN())&gt;0),"CHECK",0)</f>
        <v>0</v>
      </c>
      <c r="AQ701" s="417" t="n">
        <f aca="false">IF(OR(INDEX(MO_CFSum_Acquisition,1,COLUMN())&gt;0,INDEX(MO_CFSum_Divestiture,1,COLUMN())&lt;0,INDEX(MO_CFSum_Capex,1,COLUMN())&gt;0,INDEX(MO_CFSum_Dividend,1,COLUMN())&gt;0),"CHECK",0)</f>
        <v>0</v>
      </c>
      <c r="AR701" s="417" t="n">
        <f aca="false">IF(OR(INDEX(MO_CFSum_Acquisition,1,COLUMN())&gt;0,INDEX(MO_CFSum_Divestiture,1,COLUMN())&lt;0,INDEX(MO_CFSum_Capex,1,COLUMN())&gt;0,INDEX(MO_CFSum_Dividend,1,COLUMN())&gt;0),"CHECK",0)</f>
        <v>0</v>
      </c>
      <c r="AS701" s="417" t="n">
        <f aca="false">IF(OR(INDEX(MO_CFSum_Acquisition,1,COLUMN())&gt;0,INDEX(MO_CFSum_Divestiture,1,COLUMN())&lt;0,INDEX(MO_CFSum_Capex,1,COLUMN())&gt;0,INDEX(MO_CFSum_Dividend,1,COLUMN())&gt;0),"CHECK",0)</f>
        <v>0</v>
      </c>
      <c r="AT701" s="417" t="n">
        <f aca="false">IF(OR(INDEX(MO_CFSum_Acquisition,1,COLUMN())&gt;0,INDEX(MO_CFSum_Divestiture,1,COLUMN())&lt;0,INDEX(MO_CFSum_Capex,1,COLUMN())&gt;0,INDEX(MO_CFSum_Dividend,1,COLUMN())&gt;0),"CHECK",0)</f>
        <v>0</v>
      </c>
      <c r="AU701" s="417" t="n">
        <f aca="false">IF(OR(INDEX(MO_CFSum_Acquisition,1,COLUMN())&gt;0,INDEX(MO_CFSum_Divestiture,1,COLUMN())&lt;0,INDEX(MO_CFSum_Capex,1,COLUMN())&gt;0,INDEX(MO_CFSum_Dividend,1,COLUMN())&gt;0),"CHECK",0)</f>
        <v>0</v>
      </c>
      <c r="AV701" s="417" t="n">
        <f aca="false">IF(OR(INDEX(MO_CFSum_Acquisition,1,COLUMN())&gt;0,INDEX(MO_CFSum_Divestiture,1,COLUMN())&lt;0,INDEX(MO_CFSum_Capex,1,COLUMN())&gt;0,INDEX(MO_CFSum_Dividend,1,COLUMN())&gt;0),"CHECK",0)</f>
        <v>0</v>
      </c>
      <c r="AW701" s="417" t="n">
        <f aca="false">IF(OR(INDEX(MO_CFSum_Acquisition,1,COLUMN())&gt;0,INDEX(MO_CFSum_Divestiture,1,COLUMN())&lt;0,INDEX(MO_CFSum_Capex,1,COLUMN())&gt;0,INDEX(MO_CFSum_Dividend,1,COLUMN())&gt;0),"CHECK",0)</f>
        <v>0</v>
      </c>
      <c r="AX701" s="417" t="n">
        <f aca="false">IF(OR(INDEX(MO_CFSum_Acquisition,1,COLUMN())&gt;0,INDEX(MO_CFSum_Divestiture,1,COLUMN())&lt;0,INDEX(MO_CFSum_Capex,1,COLUMN())&gt;0,INDEX(MO_CFSum_Dividend,1,COLUMN())&gt;0),"CHECK",0)</f>
        <v>0</v>
      </c>
      <c r="AY701" s="417" t="n">
        <f aca="false">IF(OR(INDEX(MO_CFSum_Acquisition,1,COLUMN())&gt;0,INDEX(MO_CFSum_Divestiture,1,COLUMN())&lt;0,INDEX(MO_CFSum_Capex,1,COLUMN())&gt;0,INDEX(MO_CFSum_Dividend,1,COLUMN())&gt;0),"CHECK",0)</f>
        <v>0</v>
      </c>
      <c r="AZ701" s="417" t="n">
        <f aca="false">IF(OR(INDEX(MO_CFSum_Acquisition,1,COLUMN())&gt;0,INDEX(MO_CFSum_Divestiture,1,COLUMN())&lt;0,INDEX(MO_CFSum_Capex,1,COLUMN())&gt;0,INDEX(MO_CFSum_Dividend,1,COLUMN())&gt;0),"CHECK",0)</f>
        <v>0</v>
      </c>
      <c r="BA701" s="417" t="n">
        <f aca="false">IF(OR(INDEX(MO_CFSum_Acquisition,1,COLUMN())&gt;0,INDEX(MO_CFSum_Divestiture,1,COLUMN())&lt;0,INDEX(MO_CFSum_Capex,1,COLUMN())&gt;0,INDEX(MO_CFSum_Dividend,1,COLUMN())&gt;0),"CHECK",0)</f>
        <v>0</v>
      </c>
      <c r="BB701" s="417" t="n">
        <f aca="false">IF(OR(INDEX(MO_CFSum_Acquisition,1,COLUMN())&gt;0,INDEX(MO_CFSum_Divestiture,1,COLUMN())&lt;0,INDEX(MO_CFSum_Capex,1,COLUMN())&gt;0,INDEX(MO_CFSum_Dividend,1,COLUMN())&gt;0),"CHECK",0)</f>
        <v>0</v>
      </c>
      <c r="BC701" s="417" t="n">
        <f aca="false">IF(OR(INDEX(MO_CFSum_Acquisition,1,COLUMN())&gt;0,INDEX(MO_CFSum_Divestiture,1,COLUMN())&lt;0,INDEX(MO_CFSum_Capex,1,COLUMN())&gt;0,INDEX(MO_CFSum_Dividend,1,COLUMN())&gt;0),"CHECK",0)</f>
        <v>0</v>
      </c>
      <c r="BD701" s="417" t="n">
        <f aca="false">IF(OR(INDEX(MO_CFSum_Acquisition,1,COLUMN())&gt;0,INDEX(MO_CFSum_Divestiture,1,COLUMN())&lt;0,INDEX(MO_CFSum_Capex,1,COLUMN())&gt;0,INDEX(MO_CFSum_Dividend,1,COLUMN())&gt;0),"CHECK",0)</f>
        <v>0</v>
      </c>
      <c r="BE701" s="417" t="n">
        <f aca="false">IF(OR(INDEX(MO_CFSum_Acquisition,1,COLUMN())&gt;0,INDEX(MO_CFSum_Divestiture,1,COLUMN())&lt;0,INDEX(MO_CFSum_Capex,1,COLUMN())&gt;0,INDEX(MO_CFSum_Dividend,1,COLUMN())&gt;0),"CHECK",0)</f>
        <v>0</v>
      </c>
      <c r="BF701" s="417" t="n">
        <f aca="false">IF(OR(INDEX(MO_CFSum_Acquisition,1,COLUMN())&gt;0,INDEX(MO_CFSum_Divestiture,1,COLUMN())&lt;0,INDEX(MO_CFSum_Capex,1,COLUMN())&gt;0,INDEX(MO_CFSum_Dividend,1,COLUMN())&gt;0),"CHECK",0)</f>
        <v>0</v>
      </c>
      <c r="BG701" s="417" t="n">
        <f aca="false">IF(OR(INDEX(MO_CFSum_Acquisition,1,COLUMN())&gt;0,INDEX(MO_CFSum_Divestiture,1,COLUMN())&lt;0,INDEX(MO_CFSum_Capex,1,COLUMN())&gt;0,INDEX(MO_CFSum_Dividend,1,COLUMN())&gt;0),"CHECK",0)</f>
        <v>0</v>
      </c>
      <c r="BH701" s="417" t="n">
        <f aca="false">IF(OR(INDEX(MO_CFSum_Acquisition,1,COLUMN())&gt;0,INDEX(MO_CFSum_Divestiture,1,COLUMN())&lt;0,INDEX(MO_CFSum_Capex,1,COLUMN())&gt;0,INDEX(MO_CFSum_Dividend,1,COLUMN())&gt;0),"CHECK",0)</f>
        <v>0</v>
      </c>
      <c r="BI701" s="417" t="n">
        <f aca="false">IF(OR(INDEX(MO_CFSum_Acquisition,1,COLUMN())&gt;0,INDEX(MO_CFSum_Divestiture,1,COLUMN())&lt;0,INDEX(MO_CFSum_Capex,1,COLUMN())&gt;0,INDEX(MO_CFSum_Dividend,1,COLUMN())&gt;0),"CHECK",0)</f>
        <v>0</v>
      </c>
      <c r="BJ701" s="417" t="n">
        <f aca="false">IF(OR(INDEX(MO_CFSum_Acquisition,1,COLUMN())&gt;0,INDEX(MO_CFSum_Divestiture,1,COLUMN())&lt;0,INDEX(MO_CFSum_Capex,1,COLUMN())&gt;0,INDEX(MO_CFSum_Dividend,1,COLUMN())&gt;0),"CHECK",0)</f>
        <v>0</v>
      </c>
      <c r="BK701" s="417" t="n">
        <f aca="false">IF(OR(INDEX(MO_CFSum_Acquisition,1,COLUMN())&gt;0,INDEX(MO_CFSum_Divestiture,1,COLUMN())&lt;0,INDEX(MO_CFSum_Capex,1,COLUMN())&gt;0,INDEX(MO_CFSum_Dividend,1,COLUMN())&gt;0),"CHECK",0)</f>
        <v>0</v>
      </c>
      <c r="BL701" s="417" t="n">
        <f aca="false">IF(OR(INDEX(MO_CFSum_Acquisition,1,COLUMN())&gt;0,INDEX(MO_CFSum_Divestiture,1,COLUMN())&lt;0,INDEX(MO_CFSum_Capex,1,COLUMN())&gt;0,INDEX(MO_CFSum_Dividend,1,COLUMN())&gt;0),"CHECK",0)</f>
        <v>0</v>
      </c>
      <c r="BM701" s="417" t="n">
        <f aca="false">IF(OR(INDEX(MO_CFSum_Acquisition,1,COLUMN())&gt;0,INDEX(MO_CFSum_Divestiture,1,COLUMN())&lt;0,INDEX(MO_CFSum_Capex,1,COLUMN())&gt;0,INDEX(MO_CFSum_Dividend,1,COLUMN())&gt;0),"CHECK",0)</f>
        <v>0</v>
      </c>
      <c r="BN701" s="417" t="n">
        <f aca="false">IF(OR(INDEX(MO_CFSum_Acquisition,1,COLUMN())&gt;0,INDEX(MO_CFSum_Divestiture,1,COLUMN())&lt;0,INDEX(MO_CFSum_Capex,1,COLUMN())&gt;0,INDEX(MO_CFSum_Dividend,1,COLUMN())&gt;0),"CHECK",0)</f>
        <v>0</v>
      </c>
      <c r="BO701" s="418" t="n">
        <f aca="false">IF(OR(INDEX(MO_CFSum_Acquisition,1,COLUMN())&gt;0,INDEX(MO_CFSum_Divestiture,1,COLUMN())&lt;0,INDEX(MO_CFSum_Capex,1,COLUMN())&gt;0,INDEX(MO_CFSum_Dividend,1,COLUMN())&gt;0),"CHECK",0)</f>
        <v>0</v>
      </c>
      <c r="BP701" s="417" t="n">
        <f aca="false">IF(OR(INDEX(MO_CFSum_Acquisition,1,COLUMN())&gt;0,INDEX(MO_CFSum_Divestiture,1,COLUMN())&lt;0,INDEX(MO_CFSum_Capex,1,COLUMN())&gt;0,INDEX(MO_CFSum_Dividend,1,COLUMN())&gt;0),"CHECK",0)</f>
        <v>0</v>
      </c>
      <c r="BQ701" s="417" t="n">
        <f aca="false">IF(OR(INDEX(MO_CFSum_Acquisition,1,COLUMN())&gt;0,INDEX(MO_CFSum_Divestiture,1,COLUMN())&lt;0,INDEX(MO_CFSum_Capex,1,COLUMN())&gt;0,INDEX(MO_CFSum_Dividend,1,COLUMN())&gt;0),"CHECK",0)</f>
        <v>0</v>
      </c>
      <c r="BR701" s="417" t="n">
        <f aca="false">IF(OR(INDEX(MO_CFSum_Acquisition,1,COLUMN())&gt;0,INDEX(MO_CFSum_Divestiture,1,COLUMN())&lt;0,INDEX(MO_CFSum_Capex,1,COLUMN())&gt;0,INDEX(MO_CFSum_Dividend,1,COLUMN())&gt;0),"CHECK",0)</f>
        <v>0</v>
      </c>
      <c r="BS701" s="417" t="n">
        <f aca="false">IF(OR(INDEX(MO_CFSum_Acquisition,1,COLUMN())&gt;0,INDEX(MO_CFSum_Divestiture,1,COLUMN())&lt;0,INDEX(MO_CFSum_Capex,1,COLUMN())&gt;0,INDEX(MO_CFSum_Dividend,1,COLUMN())&gt;0),"CHECK",0)</f>
        <v>0</v>
      </c>
      <c r="BT701" s="417" t="n">
        <f aca="false">IF(OR(INDEX(MO_CFSum_Acquisition,1,COLUMN())&gt;0,INDEX(MO_CFSum_Divestiture,1,COLUMN())&lt;0,INDEX(MO_CFSum_Capex,1,COLUMN())&gt;0,INDEX(MO_CFSum_Dividend,1,COLUMN())&gt;0),"CHECK",0)</f>
        <v>0</v>
      </c>
      <c r="BU701" s="417" t="n">
        <f aca="false">IF(OR(INDEX(MO_CFSum_Acquisition,1,COLUMN())&gt;0,INDEX(MO_CFSum_Divestiture,1,COLUMN())&lt;0,INDEX(MO_CFSum_Capex,1,COLUMN())&gt;0,INDEX(MO_CFSum_Dividend,1,COLUMN())&gt;0),"CHECK",0)</f>
        <v>0</v>
      </c>
      <c r="BV701" s="417" t="n">
        <f aca="false">IF(OR(INDEX(MO_CFSum_Acquisition,1,COLUMN())&gt;0,INDEX(MO_CFSum_Divestiture,1,COLUMN())&lt;0,INDEX(MO_CFSum_Capex,1,COLUMN())&gt;0,INDEX(MO_CFSum_Dividend,1,COLUMN())&gt;0),"CHECK",0)</f>
        <v>0</v>
      </c>
      <c r="BW701" s="417" t="n">
        <f aca="false">IF(OR(INDEX(MO_CFSum_Acquisition,1,COLUMN())&gt;0,INDEX(MO_CFSum_Divestiture,1,COLUMN())&lt;0,INDEX(MO_CFSum_Capex,1,COLUMN())&gt;0,INDEX(MO_CFSum_Dividend,1,COLUMN())&gt;0),"CHECK",0)</f>
        <v>0</v>
      </c>
      <c r="BX701" s="417" t="n">
        <f aca="false">IF(OR(INDEX(MO_CFSum_Acquisition,1,COLUMN())&gt;0,INDEX(MO_CFSum_Divestiture,1,COLUMN())&lt;0,INDEX(MO_CFSum_Capex,1,COLUMN())&gt;0,INDEX(MO_CFSum_Dividend,1,COLUMN())&gt;0),"CHECK",0)</f>
        <v>0</v>
      </c>
      <c r="BY701" s="417" t="n">
        <f aca="false">IF(OR(INDEX(MO_CFSum_Acquisition,1,COLUMN())&gt;0,INDEX(MO_CFSum_Divestiture,1,COLUMN())&lt;0,INDEX(MO_CFSum_Capex,1,COLUMN())&gt;0,INDEX(MO_CFSum_Dividend,1,COLUMN())&gt;0),"CHECK",0)</f>
        <v>0</v>
      </c>
      <c r="BZ701" s="417" t="n">
        <f aca="false">IF(OR(INDEX(MO_CFSum_Acquisition,1,COLUMN())&gt;0,INDEX(MO_CFSum_Divestiture,1,COLUMN())&lt;0,INDEX(MO_CFSum_Capex,1,COLUMN())&gt;0,INDEX(MO_CFSum_Dividend,1,COLUMN())&gt;0),"CHECK",0)</f>
        <v>0</v>
      </c>
      <c r="CA701" s="417" t="n">
        <f aca="false">IF(OR(INDEX(MO_CFSum_Acquisition,1,COLUMN())&gt;0,INDEX(MO_CFSum_Divestiture,1,COLUMN())&lt;0,INDEX(MO_CFSum_Capex,1,COLUMN())&gt;0,INDEX(MO_CFSum_Dividend,1,COLUMN())&gt;0),"CHECK",0)</f>
        <v>0</v>
      </c>
      <c r="CB701" s="417" t="n">
        <f aca="false">IF(OR(INDEX(MO_CFSum_Acquisition,1,COLUMN())&gt;0,INDEX(MO_CFSum_Divestiture,1,COLUMN())&lt;0,INDEX(MO_CFSum_Capex,1,COLUMN())&gt;0,INDEX(MO_CFSum_Dividend,1,COLUMN())&gt;0),"CHECK",0)</f>
        <v>0</v>
      </c>
      <c r="CC701" s="50"/>
    </row>
    <row r="702" s="51" customFormat="true" ht="15" hidden="false" customHeight="true" outlineLevel="0" collapsed="false">
      <c r="A702" s="50" t="s">
        <v>651</v>
      </c>
      <c r="B702" s="149"/>
      <c r="C702" s="417"/>
      <c r="D702" s="417"/>
      <c r="E702" s="417"/>
      <c r="F702" s="417"/>
      <c r="G702" s="417"/>
      <c r="H702" s="417"/>
      <c r="I702" s="417"/>
      <c r="J702" s="417"/>
      <c r="K702" s="417"/>
      <c r="L702" s="417" t="n">
        <f aca="false">ROUND(L356-SUM(H356,I356,J356,K356),6)</f>
        <v>0.04</v>
      </c>
      <c r="M702" s="417"/>
      <c r="N702" s="417"/>
      <c r="O702" s="417"/>
      <c r="P702" s="417"/>
      <c r="Q702" s="417" t="n">
        <f aca="false">ROUND(Q356-SUM(M356,N356,O356,P356),6)</f>
        <v>-0.026</v>
      </c>
      <c r="R702" s="417"/>
      <c r="S702" s="417"/>
      <c r="T702" s="417"/>
      <c r="U702" s="417"/>
      <c r="V702" s="417" t="n">
        <f aca="false">ROUND(V356-SUM(R356,S356,T356,U356),6)</f>
        <v>0</v>
      </c>
      <c r="W702" s="417"/>
      <c r="X702" s="417"/>
      <c r="Y702" s="417"/>
      <c r="Z702" s="417"/>
      <c r="AA702" s="417" t="n">
        <f aca="false">ROUND(AA356-SUM(W356,X356,Y356,Z356),6)</f>
        <v>0</v>
      </c>
      <c r="AB702" s="417"/>
      <c r="AC702" s="417"/>
      <c r="AD702" s="417"/>
      <c r="AE702" s="417"/>
      <c r="AF702" s="417" t="n">
        <f aca="false">ROUND(AF356-SUM(AB356,AC356,AD356,AE356),6)</f>
        <v>0</v>
      </c>
      <c r="AG702" s="417"/>
      <c r="AH702" s="417"/>
      <c r="AI702" s="417"/>
      <c r="AJ702" s="417"/>
      <c r="AK702" s="417" t="n">
        <f aca="false">ROUND(AK356-SUM(AG356,AH356,AI356,AJ356),6)</f>
        <v>0</v>
      </c>
      <c r="AL702" s="417"/>
      <c r="AM702" s="417"/>
      <c r="AN702" s="417"/>
      <c r="AO702" s="417"/>
      <c r="AP702" s="417" t="n">
        <f aca="false">ROUND(AP356-SUM(AL356,AM356,AN356,AO356),6)</f>
        <v>0</v>
      </c>
      <c r="AQ702" s="417"/>
      <c r="AR702" s="417"/>
      <c r="AS702" s="417"/>
      <c r="AT702" s="417"/>
      <c r="AU702" s="417" t="n">
        <f aca="false">ROUND(AU356-SUM(AQ356,AR356,AS356,AT356),6)</f>
        <v>0</v>
      </c>
      <c r="AV702" s="417"/>
      <c r="AW702" s="417"/>
      <c r="AX702" s="417"/>
      <c r="AY702" s="417"/>
      <c r="AZ702" s="417" t="n">
        <f aca="false">ROUND(AZ356-SUM(AV356,AW356,AX356,AY356),6)</f>
        <v>0</v>
      </c>
      <c r="BA702" s="417"/>
      <c r="BB702" s="417"/>
      <c r="BC702" s="417"/>
      <c r="BD702" s="417"/>
      <c r="BE702" s="417" t="n">
        <f aca="false">ROUND(BE356-SUM(BA356,BB356,BC356,BD356),6)</f>
        <v>0</v>
      </c>
      <c r="BF702" s="417"/>
      <c r="BG702" s="417"/>
      <c r="BH702" s="417"/>
      <c r="BI702" s="417"/>
      <c r="BJ702" s="417" t="n">
        <f aca="false">ROUND(BJ356-SUM(BF356,BG356,BH356,BI356),6)</f>
        <v>0</v>
      </c>
      <c r="BK702" s="417"/>
      <c r="BL702" s="417"/>
      <c r="BM702" s="417"/>
      <c r="BN702" s="417"/>
      <c r="BO702" s="418" t="n">
        <f aca="false">ROUND(BO356-SUM(BK356,BL356,BM356,BN356),6)</f>
        <v>0</v>
      </c>
      <c r="BP702" s="417"/>
      <c r="BQ702" s="417"/>
      <c r="BR702" s="417"/>
      <c r="BS702" s="417"/>
      <c r="BT702" s="417"/>
      <c r="BU702" s="417"/>
      <c r="BV702" s="417"/>
      <c r="BW702" s="417"/>
      <c r="BX702" s="417"/>
      <c r="BY702" s="417"/>
      <c r="BZ702" s="417"/>
      <c r="CA702" s="417"/>
      <c r="CB702" s="417"/>
      <c r="CC702" s="50"/>
    </row>
    <row r="703" s="51" customFormat="true" ht="15" hidden="false" customHeight="true" outlineLevel="0" collapsed="false">
      <c r="A703" s="50" t="s">
        <v>652</v>
      </c>
      <c r="B703" s="149"/>
      <c r="C703" s="417"/>
      <c r="D703" s="417"/>
      <c r="E703" s="417"/>
      <c r="F703" s="417"/>
      <c r="G703" s="417"/>
      <c r="H703" s="417"/>
      <c r="I703" s="417"/>
      <c r="J703" s="417"/>
      <c r="K703" s="417"/>
      <c r="L703" s="417" t="n">
        <f aca="false">ROUND(SUM(H365,I365,J365,K365)-INDEX(MO_RIS_NI_NONGAAP_Diluted,1,COLUMN()),6)</f>
        <v>-0.04</v>
      </c>
      <c r="M703" s="417"/>
      <c r="N703" s="417"/>
      <c r="O703" s="417"/>
      <c r="P703" s="417"/>
      <c r="Q703" s="417" t="n">
        <f aca="false">ROUND(SUM(M365,N365,O365,P365)-INDEX(MO_RIS_NI_NONGAAP_Diluted,1,COLUMN()),6)</f>
        <v>0.026</v>
      </c>
      <c r="R703" s="417"/>
      <c r="S703" s="417"/>
      <c r="T703" s="417"/>
      <c r="U703" s="417"/>
      <c r="V703" s="417" t="n">
        <f aca="false">ROUND(SUM(R365,S365,T365,U365)-INDEX(MO_RIS_NI_NONGAAP_Diluted,1,COLUMN()),6)</f>
        <v>0</v>
      </c>
      <c r="W703" s="417"/>
      <c r="X703" s="417"/>
      <c r="Y703" s="417"/>
      <c r="Z703" s="417"/>
      <c r="AA703" s="417" t="n">
        <f aca="false">ROUND(SUM(W365,X365,Y365,Z365)-INDEX(MO_RIS_NI_NONGAAP_Diluted,1,COLUMN()),6)</f>
        <v>0</v>
      </c>
      <c r="AB703" s="417"/>
      <c r="AC703" s="417"/>
      <c r="AD703" s="417"/>
      <c r="AE703" s="417"/>
      <c r="AF703" s="417" t="n">
        <f aca="false">ROUND(SUM(AB365,AC365,AD365,AE365)-INDEX(MO_RIS_NI_NONGAAP_Diluted,1,COLUMN()),6)</f>
        <v>0</v>
      </c>
      <c r="AG703" s="417"/>
      <c r="AH703" s="417"/>
      <c r="AI703" s="417"/>
      <c r="AJ703" s="417"/>
      <c r="AK703" s="417" t="n">
        <f aca="false">ROUND(SUM(AG365,AH365,AI365,AJ365)-INDEX(MO_RIS_NI_NONGAAP_Diluted,1,COLUMN()),6)</f>
        <v>0</v>
      </c>
      <c r="AL703" s="417"/>
      <c r="AM703" s="417"/>
      <c r="AN703" s="417"/>
      <c r="AO703" s="417"/>
      <c r="AP703" s="417" t="n">
        <f aca="false">ROUND(SUM(AL365,AM365,AN365,AO365)-INDEX(MO_RIS_NI_NONGAAP_Diluted,1,COLUMN()),6)</f>
        <v>0</v>
      </c>
      <c r="AQ703" s="417"/>
      <c r="AR703" s="417"/>
      <c r="AS703" s="417"/>
      <c r="AT703" s="417"/>
      <c r="AU703" s="417" t="n">
        <f aca="false">ROUND(SUM(AQ365,AR365,AS365,AT365)-INDEX(MO_RIS_NI_NONGAAP_Diluted,1,COLUMN()),6)</f>
        <v>0</v>
      </c>
      <c r="AV703" s="417"/>
      <c r="AW703" s="417"/>
      <c r="AX703" s="417"/>
      <c r="AY703" s="417"/>
      <c r="AZ703" s="417" t="n">
        <f aca="false">ROUND(SUM(AV365,AW365,AX365,AY365)-INDEX(MO_RIS_NI_NONGAAP_Diluted,1,COLUMN()),6)</f>
        <v>0</v>
      </c>
      <c r="BA703" s="417"/>
      <c r="BB703" s="417"/>
      <c r="BC703" s="417"/>
      <c r="BD703" s="417"/>
      <c r="BE703" s="417" t="n">
        <f aca="false">ROUND(SUM(BA365,BB365,BC365,BD365)-INDEX(MO_RIS_NI_NONGAAP_Diluted,1,COLUMN()),6)</f>
        <v>0</v>
      </c>
      <c r="BF703" s="417"/>
      <c r="BG703" s="417"/>
      <c r="BH703" s="417"/>
      <c r="BI703" s="417"/>
      <c r="BJ703" s="417" t="n">
        <f aca="false">ROUND(SUM(BF365,BG365,BH365,BI365)-INDEX(MO_RIS_NI_NONGAAP_Diluted,1,COLUMN()),6)</f>
        <v>0</v>
      </c>
      <c r="BK703" s="417"/>
      <c r="BL703" s="417"/>
      <c r="BM703" s="417"/>
      <c r="BN703" s="417"/>
      <c r="BO703" s="418" t="n">
        <f aca="false">ROUND(SUM(BK365,BL365,BM365,BN365)-INDEX(MO_RIS_NI_NONGAAP_Diluted,1,COLUMN()),6)</f>
        <v>0</v>
      </c>
      <c r="BP703" s="417"/>
      <c r="BQ703" s="417"/>
      <c r="BR703" s="417"/>
      <c r="BS703" s="417"/>
      <c r="BT703" s="417"/>
      <c r="BU703" s="417"/>
      <c r="BV703" s="417"/>
      <c r="BW703" s="417"/>
      <c r="BX703" s="417"/>
      <c r="BY703" s="417"/>
      <c r="BZ703" s="417"/>
      <c r="CA703" s="417"/>
      <c r="CB703" s="417"/>
      <c r="CC703" s="50"/>
    </row>
    <row r="704" s="51" customFormat="true" ht="15" hidden="false" customHeight="true" outlineLevel="0" collapsed="false">
      <c r="A704" s="50" t="s">
        <v>653</v>
      </c>
      <c r="B704" s="149"/>
      <c r="C704" s="417"/>
      <c r="D704" s="417"/>
      <c r="E704" s="417"/>
      <c r="F704" s="417"/>
      <c r="G704" s="417"/>
      <c r="H704" s="417"/>
      <c r="I704" s="417"/>
      <c r="J704" s="417"/>
      <c r="K704" s="417"/>
      <c r="L704" s="417" t="n">
        <f aca="true">ROUND(SUM(H536,I536,J536,K536)-SUM(OFFSET(INDEX(MO_CFS_CFO_BeforeWC,1,COLUMN()),ROW(INDEX(MO_SubSection_CFS_CFO,1,COLUMN()))-ROW(INDEX(MO_CFS_CFO_BeforeWC,1,COLUMN())),0,ROW(INDEX(MO_CFS_CFO_BeforeWC,1,COLUMN()))-ROW(INDEX(MO_SubSection_CFS_CFO,1,COLUMN())),1)),6)</f>
        <v>0</v>
      </c>
      <c r="M704" s="417"/>
      <c r="N704" s="417"/>
      <c r="O704" s="417"/>
      <c r="P704" s="417"/>
      <c r="Q704" s="417" t="n">
        <f aca="true">ROUND(SUM(M536,N536,O536,P536)-SUM(OFFSET(INDEX(MO_CFS_CFO_BeforeWC,1,COLUMN()),ROW(INDEX(MO_SubSection_CFS_CFO,1,COLUMN()))-ROW(INDEX(MO_CFS_CFO_BeforeWC,1,COLUMN())),0,ROW(INDEX(MO_CFS_CFO_BeforeWC,1,COLUMN()))-ROW(INDEX(MO_SubSection_CFS_CFO,1,COLUMN())),1)),6)</f>
        <v>0</v>
      </c>
      <c r="R704" s="417"/>
      <c r="S704" s="417"/>
      <c r="T704" s="417"/>
      <c r="U704" s="417"/>
      <c r="V704" s="417" t="n">
        <f aca="true">ROUND(SUM(R536,S536,T536,U536)-SUM(OFFSET(INDEX(MO_CFS_CFO_BeforeWC,1,COLUMN()),ROW(INDEX(MO_SubSection_CFS_CFO,1,COLUMN()))-ROW(INDEX(MO_CFS_CFO_BeforeWC,1,COLUMN())),0,ROW(INDEX(MO_CFS_CFO_BeforeWC,1,COLUMN()))-ROW(INDEX(MO_SubSection_CFS_CFO,1,COLUMN())),1)),6)</f>
        <v>0</v>
      </c>
      <c r="W704" s="417"/>
      <c r="X704" s="417"/>
      <c r="Y704" s="417"/>
      <c r="Z704" s="417"/>
      <c r="AA704" s="417" t="n">
        <f aca="true">ROUND(SUM(W536,X536,Y536,Z536)-SUM(OFFSET(INDEX(MO_CFS_CFO_BeforeWC,1,COLUMN()),ROW(INDEX(MO_SubSection_CFS_CFO,1,COLUMN()))-ROW(INDEX(MO_CFS_CFO_BeforeWC,1,COLUMN())),0,ROW(INDEX(MO_CFS_CFO_BeforeWC,1,COLUMN()))-ROW(INDEX(MO_SubSection_CFS_CFO,1,COLUMN())),1)),6)</f>
        <v>0</v>
      </c>
      <c r="AB704" s="417"/>
      <c r="AC704" s="417"/>
      <c r="AD704" s="417"/>
      <c r="AE704" s="417"/>
      <c r="AF704" s="417" t="n">
        <f aca="true">ROUND(SUM(AB536,AC536,AD536,AE536)-SUM(OFFSET(INDEX(MO_CFS_CFO_BeforeWC,1,COLUMN()),ROW(INDEX(MO_SubSection_CFS_CFO,1,COLUMN()))-ROW(INDEX(MO_CFS_CFO_BeforeWC,1,COLUMN())),0,ROW(INDEX(MO_CFS_CFO_BeforeWC,1,COLUMN()))-ROW(INDEX(MO_SubSection_CFS_CFO,1,COLUMN())),1)),6)</f>
        <v>0</v>
      </c>
      <c r="AG704" s="417"/>
      <c r="AH704" s="417"/>
      <c r="AI704" s="417"/>
      <c r="AJ704" s="417"/>
      <c r="AK704" s="417" t="n">
        <f aca="true">ROUND(SUM(AG536,AH536,AI536,AJ536)-SUM(OFFSET(INDEX(MO_CFS_CFO_BeforeWC,1,COLUMN()),ROW(INDEX(MO_SubSection_CFS_CFO,1,COLUMN()))-ROW(INDEX(MO_CFS_CFO_BeforeWC,1,COLUMN())),0,ROW(INDEX(MO_CFS_CFO_BeforeWC,1,COLUMN()))-ROW(INDEX(MO_SubSection_CFS_CFO,1,COLUMN())),1)),6)</f>
        <v>0</v>
      </c>
      <c r="AL704" s="417"/>
      <c r="AM704" s="417"/>
      <c r="AN704" s="417"/>
      <c r="AO704" s="417"/>
      <c r="AP704" s="417" t="n">
        <f aca="true">ROUND(SUM(AL536,AM536,AN536,AO536)-SUM(OFFSET(INDEX(MO_CFS_CFO_BeforeWC,1,COLUMN()),ROW(INDEX(MO_SubSection_CFS_CFO,1,COLUMN()))-ROW(INDEX(MO_CFS_CFO_BeforeWC,1,COLUMN())),0,ROW(INDEX(MO_CFS_CFO_BeforeWC,1,COLUMN()))-ROW(INDEX(MO_SubSection_CFS_CFO,1,COLUMN())),1)),6)</f>
        <v>0</v>
      </c>
      <c r="AQ704" s="417"/>
      <c r="AR704" s="417"/>
      <c r="AS704" s="417"/>
      <c r="AT704" s="417"/>
      <c r="AU704" s="417" t="n">
        <f aca="true">ROUND(SUM(AQ536,AR536,AS536,AT536)-SUM(OFFSET(INDEX(MO_CFS_CFO_BeforeWC,1,COLUMN()),ROW(INDEX(MO_SubSection_CFS_CFO,1,COLUMN()))-ROW(INDEX(MO_CFS_CFO_BeforeWC,1,COLUMN())),0,ROW(INDEX(MO_CFS_CFO_BeforeWC,1,COLUMN()))-ROW(INDEX(MO_SubSection_CFS_CFO,1,COLUMN())),1)),6)</f>
        <v>0</v>
      </c>
      <c r="AV704" s="417"/>
      <c r="AW704" s="417"/>
      <c r="AX704" s="417"/>
      <c r="AY704" s="417"/>
      <c r="AZ704" s="417" t="n">
        <f aca="true">ROUND(SUM(AV536,AW536,AX536,AY536)-SUM(OFFSET(INDEX(MO_CFS_CFO_BeforeWC,1,COLUMN()),ROW(INDEX(MO_SubSection_CFS_CFO,1,COLUMN()))-ROW(INDEX(MO_CFS_CFO_BeforeWC,1,COLUMN())),0,ROW(INDEX(MO_CFS_CFO_BeforeWC,1,COLUMN()))-ROW(INDEX(MO_SubSection_CFS_CFO,1,COLUMN())),1)),6)</f>
        <v>0</v>
      </c>
      <c r="BA704" s="417"/>
      <c r="BB704" s="417"/>
      <c r="BC704" s="417"/>
      <c r="BD704" s="417"/>
      <c r="BE704" s="417" t="n">
        <f aca="true">ROUND(SUM(BA536,BB536,BC536,BD536)-SUM(OFFSET(INDEX(MO_CFS_CFO_BeforeWC,1,COLUMN()),ROW(INDEX(MO_SubSection_CFS_CFO,1,COLUMN()))-ROW(INDEX(MO_CFS_CFO_BeforeWC,1,COLUMN())),0,ROW(INDEX(MO_CFS_CFO_BeforeWC,1,COLUMN()))-ROW(INDEX(MO_SubSection_CFS_CFO,1,COLUMN())),1)),6)</f>
        <v>0</v>
      </c>
      <c r="BF704" s="417"/>
      <c r="BG704" s="417"/>
      <c r="BH704" s="417"/>
      <c r="BI704" s="417"/>
      <c r="BJ704" s="417" t="n">
        <f aca="true">ROUND(SUM(BF536,BG536,BH536,BI536)-SUM(OFFSET(INDEX(MO_CFS_CFO_BeforeWC,1,COLUMN()),ROW(INDEX(MO_SubSection_CFS_CFO,1,COLUMN()))-ROW(INDEX(MO_CFS_CFO_BeforeWC,1,COLUMN())),0,ROW(INDEX(MO_CFS_CFO_BeforeWC,1,COLUMN()))-ROW(INDEX(MO_SubSection_CFS_CFO,1,COLUMN())),1)),6)</f>
        <v>0</v>
      </c>
      <c r="BK704" s="417"/>
      <c r="BL704" s="417"/>
      <c r="BM704" s="417"/>
      <c r="BN704" s="417"/>
      <c r="BO704" s="418" t="n">
        <f aca="true">ROUND(SUM(BK536,BL536,BM536,BN536)-SUM(OFFSET(INDEX(MO_CFS_CFO_BeforeWC,1,COLUMN()),ROW(INDEX(MO_SubSection_CFS_CFO,1,COLUMN()))-ROW(INDEX(MO_CFS_CFO_BeforeWC,1,COLUMN())),0,ROW(INDEX(MO_CFS_CFO_BeforeWC,1,COLUMN()))-ROW(INDEX(MO_SubSection_CFS_CFO,1,COLUMN())),1)),6)</f>
        <v>0</v>
      </c>
      <c r="BP704" s="417"/>
      <c r="BQ704" s="417"/>
      <c r="BR704" s="417"/>
      <c r="BS704" s="417"/>
      <c r="BT704" s="417"/>
      <c r="BU704" s="417"/>
      <c r="BV704" s="417"/>
      <c r="BW704" s="417"/>
      <c r="BX704" s="417"/>
      <c r="BY704" s="417"/>
      <c r="BZ704" s="417"/>
      <c r="CA704" s="417"/>
      <c r="CB704" s="417"/>
      <c r="CC704" s="50"/>
    </row>
    <row r="705" s="51" customFormat="true" ht="15" hidden="false" customHeight="true" outlineLevel="0" collapsed="false">
      <c r="A705" s="50" t="s">
        <v>654</v>
      </c>
      <c r="B705" s="149"/>
      <c r="C705" s="417"/>
      <c r="D705" s="417"/>
      <c r="E705" s="417"/>
      <c r="F705" s="417"/>
      <c r="G705" s="417"/>
      <c r="H705" s="417"/>
      <c r="I705" s="417"/>
      <c r="J705" s="417"/>
      <c r="K705" s="417"/>
      <c r="L705" s="417" t="n">
        <f aca="true">ROUND(SUM(H546,I546,J546,K546)-SUM(OFFSET(INDEX(MO_CFS_CFO,1,COLUMN()),ROW(INDEX(MO_CFS_CFO_BeforeWC,1,COLUMN()))-ROW(INDEX(MO_CFS_CFO,1,COLUMN())),0,ROW(INDEX(MO_CFS_CFO,1,COLUMN()))-ROW(INDEX(MO_CFS_CFO_BeforeWC,1,COLUMN())),1)),6)+ROUND(L545,6)</f>
        <v>0</v>
      </c>
      <c r="M705" s="417"/>
      <c r="N705" s="417"/>
      <c r="O705" s="417"/>
      <c r="P705" s="417"/>
      <c r="Q705" s="417" t="n">
        <f aca="true">ROUND(SUM(M546,N546,O546,P546)-SUM(OFFSET(INDEX(MO_CFS_CFO,1,COLUMN()),ROW(INDEX(MO_CFS_CFO_BeforeWC,1,COLUMN()))-ROW(INDEX(MO_CFS_CFO,1,COLUMN())),0,ROW(INDEX(MO_CFS_CFO,1,COLUMN()))-ROW(INDEX(MO_CFS_CFO_BeforeWC,1,COLUMN())),1)),6)+ROUND(Q545,6)</f>
        <v>0</v>
      </c>
      <c r="R705" s="417"/>
      <c r="S705" s="417"/>
      <c r="T705" s="417"/>
      <c r="U705" s="417"/>
      <c r="V705" s="417" t="n">
        <f aca="true">ROUND(SUM(R546,S546,T546,U546)-SUM(OFFSET(INDEX(MO_CFS_CFO,1,COLUMN()),ROW(INDEX(MO_CFS_CFO_BeforeWC,1,COLUMN()))-ROW(INDEX(MO_CFS_CFO,1,COLUMN())),0,ROW(INDEX(MO_CFS_CFO,1,COLUMN()))-ROW(INDEX(MO_CFS_CFO_BeforeWC,1,COLUMN())),1)),6)+ROUND(V545,6)</f>
        <v>0</v>
      </c>
      <c r="W705" s="417"/>
      <c r="X705" s="417"/>
      <c r="Y705" s="417"/>
      <c r="Z705" s="417"/>
      <c r="AA705" s="417" t="n">
        <f aca="true">ROUND(SUM(W546,X546,Y546,Z546)-SUM(OFFSET(INDEX(MO_CFS_CFO,1,COLUMN()),ROW(INDEX(MO_CFS_CFO_BeforeWC,1,COLUMN()))-ROW(INDEX(MO_CFS_CFO,1,COLUMN())),0,ROW(INDEX(MO_CFS_CFO,1,COLUMN()))-ROW(INDEX(MO_CFS_CFO_BeforeWC,1,COLUMN())),1)),6)+ROUND(AA545,6)</f>
        <v>0</v>
      </c>
      <c r="AB705" s="417"/>
      <c r="AC705" s="417"/>
      <c r="AD705" s="417"/>
      <c r="AE705" s="417"/>
      <c r="AF705" s="417" t="n">
        <f aca="true">ROUND(SUM(AB546,AC546,AD546,AE546)-SUM(OFFSET(INDEX(MO_CFS_CFO,1,COLUMN()),ROW(INDEX(MO_CFS_CFO_BeforeWC,1,COLUMN()))-ROW(INDEX(MO_CFS_CFO,1,COLUMN())),0,ROW(INDEX(MO_CFS_CFO,1,COLUMN()))-ROW(INDEX(MO_CFS_CFO_BeforeWC,1,COLUMN())),1)),6)+ROUND(AF545,6)</f>
        <v>0</v>
      </c>
      <c r="AG705" s="417"/>
      <c r="AH705" s="417"/>
      <c r="AI705" s="417"/>
      <c r="AJ705" s="417"/>
      <c r="AK705" s="417" t="n">
        <f aca="true">ROUND(SUM(AG546,AH546,AI546,AJ546)-SUM(OFFSET(INDEX(MO_CFS_CFO,1,COLUMN()),ROW(INDEX(MO_CFS_CFO_BeforeWC,1,COLUMN()))-ROW(INDEX(MO_CFS_CFO,1,COLUMN())),0,ROW(INDEX(MO_CFS_CFO,1,COLUMN()))-ROW(INDEX(MO_CFS_CFO_BeforeWC,1,COLUMN())),1)),6)+ROUND(AK545,6)</f>
        <v>0</v>
      </c>
      <c r="AL705" s="417"/>
      <c r="AM705" s="417"/>
      <c r="AN705" s="417"/>
      <c r="AO705" s="417"/>
      <c r="AP705" s="417" t="n">
        <f aca="true">ROUND(SUM(AL546,AM546,AN546,AO546)-SUM(OFFSET(INDEX(MO_CFS_CFO,1,COLUMN()),ROW(INDEX(MO_CFS_CFO_BeforeWC,1,COLUMN()))-ROW(INDEX(MO_CFS_CFO,1,COLUMN())),0,ROW(INDEX(MO_CFS_CFO,1,COLUMN()))-ROW(INDEX(MO_CFS_CFO_BeforeWC,1,COLUMN())),1)),6)+ROUND(AP545,6)</f>
        <v>0</v>
      </c>
      <c r="AQ705" s="417"/>
      <c r="AR705" s="417"/>
      <c r="AS705" s="417"/>
      <c r="AT705" s="417"/>
      <c r="AU705" s="417" t="n">
        <f aca="true">ROUND(SUM(AQ546,AR546,AS546,AT546)-SUM(OFFSET(INDEX(MO_CFS_CFO,1,COLUMN()),ROW(INDEX(MO_CFS_CFO_BeforeWC,1,COLUMN()))-ROW(INDEX(MO_CFS_CFO,1,COLUMN())),0,ROW(INDEX(MO_CFS_CFO,1,COLUMN()))-ROW(INDEX(MO_CFS_CFO_BeforeWC,1,COLUMN())),1)),6)+ROUND(AU545,6)</f>
        <v>0</v>
      </c>
      <c r="AV705" s="417"/>
      <c r="AW705" s="417"/>
      <c r="AX705" s="417"/>
      <c r="AY705" s="417"/>
      <c r="AZ705" s="417" t="n">
        <f aca="true">ROUND(SUM(AV546,AW546,AX546,AY546)-SUM(OFFSET(INDEX(MO_CFS_CFO,1,COLUMN()),ROW(INDEX(MO_CFS_CFO_BeforeWC,1,COLUMN()))-ROW(INDEX(MO_CFS_CFO,1,COLUMN())),0,ROW(INDEX(MO_CFS_CFO,1,COLUMN()))-ROW(INDEX(MO_CFS_CFO_BeforeWC,1,COLUMN())),1)),6)+ROUND(AZ545,6)</f>
        <v>0</v>
      </c>
      <c r="BA705" s="417"/>
      <c r="BB705" s="417"/>
      <c r="BC705" s="417"/>
      <c r="BD705" s="417"/>
      <c r="BE705" s="417" t="n">
        <f aca="true">ROUND(SUM(BA546,BB546,BC546,BD546)-SUM(OFFSET(INDEX(MO_CFS_CFO,1,COLUMN()),ROW(INDEX(MO_CFS_CFO_BeforeWC,1,COLUMN()))-ROW(INDEX(MO_CFS_CFO,1,COLUMN())),0,ROW(INDEX(MO_CFS_CFO,1,COLUMN()))-ROW(INDEX(MO_CFS_CFO_BeforeWC,1,COLUMN())),1)),6)+ROUND(BE545,6)</f>
        <v>0</v>
      </c>
      <c r="BF705" s="417"/>
      <c r="BG705" s="417"/>
      <c r="BH705" s="417"/>
      <c r="BI705" s="417"/>
      <c r="BJ705" s="417" t="n">
        <f aca="true">ROUND(SUM(BF546,BG546,BH546,BI546)-SUM(OFFSET(INDEX(MO_CFS_CFO,1,COLUMN()),ROW(INDEX(MO_CFS_CFO_BeforeWC,1,COLUMN()))-ROW(INDEX(MO_CFS_CFO,1,COLUMN())),0,ROW(INDEX(MO_CFS_CFO,1,COLUMN()))-ROW(INDEX(MO_CFS_CFO_BeforeWC,1,COLUMN())),1)),6)+ROUND(BJ545,6)</f>
        <v>0</v>
      </c>
      <c r="BK705" s="417"/>
      <c r="BL705" s="417"/>
      <c r="BM705" s="417"/>
      <c r="BN705" s="417"/>
      <c r="BO705" s="418" t="n">
        <f aca="true">ROUND(SUM(BK546,BL546,BM546,BN546)-SUM(OFFSET(INDEX(MO_CFS_CFO,1,COLUMN()),ROW(INDEX(MO_CFS_CFO_BeforeWC,1,COLUMN()))-ROW(INDEX(MO_CFS_CFO,1,COLUMN())),0,ROW(INDEX(MO_CFS_CFO,1,COLUMN()))-ROW(INDEX(MO_CFS_CFO_BeforeWC,1,COLUMN())),1)),6)+ROUND(BO545,6)</f>
        <v>0</v>
      </c>
      <c r="BP705" s="417"/>
      <c r="BQ705" s="417"/>
      <c r="BR705" s="417"/>
      <c r="BS705" s="417"/>
      <c r="BT705" s="417"/>
      <c r="BU705" s="417"/>
      <c r="BV705" s="417"/>
      <c r="BW705" s="417"/>
      <c r="BX705" s="417"/>
      <c r="BY705" s="417"/>
      <c r="BZ705" s="417"/>
      <c r="CA705" s="417"/>
      <c r="CB705" s="417"/>
      <c r="CC705" s="50"/>
    </row>
    <row r="706" s="51" customFormat="true" ht="15" hidden="false" customHeight="true" outlineLevel="0" collapsed="false">
      <c r="A706" s="50" t="s">
        <v>655</v>
      </c>
      <c r="B706" s="149"/>
      <c r="C706" s="417"/>
      <c r="D706" s="417"/>
      <c r="E706" s="417"/>
      <c r="F706" s="417"/>
      <c r="G706" s="417"/>
      <c r="H706" s="417"/>
      <c r="I706" s="417"/>
      <c r="J706" s="417"/>
      <c r="K706" s="417"/>
      <c r="L706" s="417" t="n">
        <f aca="true">ROUND(SUM(H560,I560,J560,K560)-SUM(OFFSET(INDEX(MO_CFS_CFI,1,COLUMN()),ROW(INDEX(MO_SubSection_CFS_CFI,1,COLUMN()))-ROW(INDEX(MO_CFS_CFI,1,COLUMN())),0,ROW(INDEX(MO_CFS_CFI,1,COLUMN()))-ROW(INDEX(MO_SubSection_CFS_CFI,1,COLUMN())),1)),6)</f>
        <v>0</v>
      </c>
      <c r="M706" s="417"/>
      <c r="N706" s="417"/>
      <c r="O706" s="417"/>
      <c r="P706" s="417"/>
      <c r="Q706" s="417" t="n">
        <f aca="true">ROUND(SUM(M560,N560,O560,P560)-SUM(OFFSET(INDEX(MO_CFS_CFI,1,COLUMN()),ROW(INDEX(MO_SubSection_CFS_CFI,1,COLUMN()))-ROW(INDEX(MO_CFS_CFI,1,COLUMN())),0,ROW(INDEX(MO_CFS_CFI,1,COLUMN()))-ROW(INDEX(MO_SubSection_CFS_CFI,1,COLUMN())),1)),6)</f>
        <v>0</v>
      </c>
      <c r="R706" s="417"/>
      <c r="S706" s="417"/>
      <c r="T706" s="417"/>
      <c r="U706" s="417"/>
      <c r="V706" s="417" t="n">
        <f aca="true">ROUND(SUM(R560,S560,T560,U560)-SUM(OFFSET(INDEX(MO_CFS_CFI,1,COLUMN()),ROW(INDEX(MO_SubSection_CFS_CFI,1,COLUMN()))-ROW(INDEX(MO_CFS_CFI,1,COLUMN())),0,ROW(INDEX(MO_CFS_CFI,1,COLUMN()))-ROW(INDEX(MO_SubSection_CFS_CFI,1,COLUMN())),1)),6)</f>
        <v>0</v>
      </c>
      <c r="W706" s="417"/>
      <c r="X706" s="417"/>
      <c r="Y706" s="417"/>
      <c r="Z706" s="417"/>
      <c r="AA706" s="417" t="n">
        <f aca="true">ROUND(SUM(W560,X560,Y560,Z560)-SUM(OFFSET(INDEX(MO_CFS_CFI,1,COLUMN()),ROW(INDEX(MO_SubSection_CFS_CFI,1,COLUMN()))-ROW(INDEX(MO_CFS_CFI,1,COLUMN())),0,ROW(INDEX(MO_CFS_CFI,1,COLUMN()))-ROW(INDEX(MO_SubSection_CFS_CFI,1,COLUMN())),1)),6)</f>
        <v>0</v>
      </c>
      <c r="AB706" s="417"/>
      <c r="AC706" s="417"/>
      <c r="AD706" s="417"/>
      <c r="AE706" s="417"/>
      <c r="AF706" s="417" t="n">
        <f aca="true">ROUND(SUM(AB560,AC560,AD560,AE560)-SUM(OFFSET(INDEX(MO_CFS_CFI,1,COLUMN()),ROW(INDEX(MO_SubSection_CFS_CFI,1,COLUMN()))-ROW(INDEX(MO_CFS_CFI,1,COLUMN())),0,ROW(INDEX(MO_CFS_CFI,1,COLUMN()))-ROW(INDEX(MO_SubSection_CFS_CFI,1,COLUMN())),1)),6)</f>
        <v>0</v>
      </c>
      <c r="AG706" s="417"/>
      <c r="AH706" s="417"/>
      <c r="AI706" s="417"/>
      <c r="AJ706" s="417"/>
      <c r="AK706" s="417" t="n">
        <f aca="true">ROUND(SUM(AG560,AH560,AI560,AJ560)-SUM(OFFSET(INDEX(MO_CFS_CFI,1,COLUMN()),ROW(INDEX(MO_SubSection_CFS_CFI,1,COLUMN()))-ROW(INDEX(MO_CFS_CFI,1,COLUMN())),0,ROW(INDEX(MO_CFS_CFI,1,COLUMN()))-ROW(INDEX(MO_SubSection_CFS_CFI,1,COLUMN())),1)),6)</f>
        <v>0</v>
      </c>
      <c r="AL706" s="417"/>
      <c r="AM706" s="417"/>
      <c r="AN706" s="417"/>
      <c r="AO706" s="417"/>
      <c r="AP706" s="417" t="n">
        <f aca="true">ROUND(SUM(AL560,AM560,AN560,AO560)-SUM(OFFSET(INDEX(MO_CFS_CFI,1,COLUMN()),ROW(INDEX(MO_SubSection_CFS_CFI,1,COLUMN()))-ROW(INDEX(MO_CFS_CFI,1,COLUMN())),0,ROW(INDEX(MO_CFS_CFI,1,COLUMN()))-ROW(INDEX(MO_SubSection_CFS_CFI,1,COLUMN())),1)),6)</f>
        <v>0</v>
      </c>
      <c r="AQ706" s="417"/>
      <c r="AR706" s="417"/>
      <c r="AS706" s="417"/>
      <c r="AT706" s="417"/>
      <c r="AU706" s="417" t="n">
        <f aca="true">ROUND(SUM(AQ560,AR560,AS560,AT560)-SUM(OFFSET(INDEX(MO_CFS_CFI,1,COLUMN()),ROW(INDEX(MO_SubSection_CFS_CFI,1,COLUMN()))-ROW(INDEX(MO_CFS_CFI,1,COLUMN())),0,ROW(INDEX(MO_CFS_CFI,1,COLUMN()))-ROW(INDEX(MO_SubSection_CFS_CFI,1,COLUMN())),1)),6)</f>
        <v>0</v>
      </c>
      <c r="AV706" s="417"/>
      <c r="AW706" s="417"/>
      <c r="AX706" s="417"/>
      <c r="AY706" s="417"/>
      <c r="AZ706" s="417" t="n">
        <f aca="true">ROUND(SUM(AV560,AW560,AX560,AY560)-SUM(OFFSET(INDEX(MO_CFS_CFI,1,COLUMN()),ROW(INDEX(MO_SubSection_CFS_CFI,1,COLUMN()))-ROW(INDEX(MO_CFS_CFI,1,COLUMN())),0,ROW(INDEX(MO_CFS_CFI,1,COLUMN()))-ROW(INDEX(MO_SubSection_CFS_CFI,1,COLUMN())),1)),6)</f>
        <v>0</v>
      </c>
      <c r="BA706" s="417"/>
      <c r="BB706" s="417"/>
      <c r="BC706" s="417"/>
      <c r="BD706" s="417"/>
      <c r="BE706" s="417" t="n">
        <f aca="true">ROUND(SUM(BA560,BB560,BC560,BD560)-SUM(OFFSET(INDEX(MO_CFS_CFI,1,COLUMN()),ROW(INDEX(MO_SubSection_CFS_CFI,1,COLUMN()))-ROW(INDEX(MO_CFS_CFI,1,COLUMN())),0,ROW(INDEX(MO_CFS_CFI,1,COLUMN()))-ROW(INDEX(MO_SubSection_CFS_CFI,1,COLUMN())),1)),6)</f>
        <v>0</v>
      </c>
      <c r="BF706" s="417"/>
      <c r="BG706" s="417"/>
      <c r="BH706" s="417"/>
      <c r="BI706" s="417"/>
      <c r="BJ706" s="417" t="n">
        <f aca="true">ROUND(SUM(BF560,BG560,BH560,BI560)-SUM(OFFSET(INDEX(MO_CFS_CFI,1,COLUMN()),ROW(INDEX(MO_SubSection_CFS_CFI,1,COLUMN()))-ROW(INDEX(MO_CFS_CFI,1,COLUMN())),0,ROW(INDEX(MO_CFS_CFI,1,COLUMN()))-ROW(INDEX(MO_SubSection_CFS_CFI,1,COLUMN())),1)),6)</f>
        <v>0</v>
      </c>
      <c r="BK706" s="417"/>
      <c r="BL706" s="417"/>
      <c r="BM706" s="417"/>
      <c r="BN706" s="417"/>
      <c r="BO706" s="418" t="n">
        <f aca="true">ROUND(SUM(BK560,BL560,BM560,BN560)-SUM(OFFSET(INDEX(MO_CFS_CFI,1,COLUMN()),ROW(INDEX(MO_SubSection_CFS_CFI,1,COLUMN()))-ROW(INDEX(MO_CFS_CFI,1,COLUMN())),0,ROW(INDEX(MO_CFS_CFI,1,COLUMN()))-ROW(INDEX(MO_SubSection_CFS_CFI,1,COLUMN())),1)),6)</f>
        <v>0</v>
      </c>
      <c r="BP706" s="417"/>
      <c r="BQ706" s="417"/>
      <c r="BR706" s="417"/>
      <c r="BS706" s="417"/>
      <c r="BT706" s="417"/>
      <c r="BU706" s="417"/>
      <c r="BV706" s="417"/>
      <c r="BW706" s="417"/>
      <c r="BX706" s="417"/>
      <c r="BY706" s="417"/>
      <c r="BZ706" s="417"/>
      <c r="CA706" s="417"/>
      <c r="CB706" s="417"/>
      <c r="CC706" s="50"/>
    </row>
    <row r="707" s="51" customFormat="true" ht="15" hidden="false" customHeight="true" outlineLevel="0" collapsed="false">
      <c r="A707" s="50" t="s">
        <v>656</v>
      </c>
      <c r="B707" s="149"/>
      <c r="C707" s="417"/>
      <c r="D707" s="417"/>
      <c r="E707" s="417"/>
      <c r="F707" s="417"/>
      <c r="G707" s="417"/>
      <c r="H707" s="417"/>
      <c r="I707" s="417"/>
      <c r="J707" s="417"/>
      <c r="K707" s="417"/>
      <c r="L707" s="417" t="n">
        <f aca="true">ROUND(SUM(H572,I572,J572,K572)-SUM(OFFSET(INDEX(MO_CFS_CFF,1,COLUMN()),ROW(INDEX(MO_SubSection_CFS_CFF,1,COLUMN()))-ROW(INDEX(MO_CFS_CFF,1,COLUMN())),0,ROW(INDEX(MO_CFS_CFF,1,COLUMN()))-ROW(INDEX(MO_SubSection_CFS_CFF,1,COLUMN())),1)),6)</f>
        <v>0</v>
      </c>
      <c r="M707" s="417"/>
      <c r="N707" s="417"/>
      <c r="O707" s="417"/>
      <c r="P707" s="417"/>
      <c r="Q707" s="417" t="n">
        <f aca="true">ROUND(SUM(M572,N572,O572,P572)-SUM(OFFSET(INDEX(MO_CFS_CFF,1,COLUMN()),ROW(INDEX(MO_SubSection_CFS_CFF,1,COLUMN()))-ROW(INDEX(MO_CFS_CFF,1,COLUMN())),0,ROW(INDEX(MO_CFS_CFF,1,COLUMN()))-ROW(INDEX(MO_SubSection_CFS_CFF,1,COLUMN())),1)),6)</f>
        <v>0</v>
      </c>
      <c r="R707" s="417"/>
      <c r="S707" s="417"/>
      <c r="T707" s="417"/>
      <c r="U707" s="417"/>
      <c r="V707" s="417" t="n">
        <f aca="true">ROUND(SUM(R572,S572,T572,U572)-SUM(OFFSET(INDEX(MO_CFS_CFF,1,COLUMN()),ROW(INDEX(MO_SubSection_CFS_CFF,1,COLUMN()))-ROW(INDEX(MO_CFS_CFF,1,COLUMN())),0,ROW(INDEX(MO_CFS_CFF,1,COLUMN()))-ROW(INDEX(MO_SubSection_CFS_CFF,1,COLUMN())),1)),6)</f>
        <v>0</v>
      </c>
      <c r="W707" s="417"/>
      <c r="X707" s="417"/>
      <c r="Y707" s="417"/>
      <c r="Z707" s="417"/>
      <c r="AA707" s="417" t="n">
        <f aca="true">ROUND(SUM(W572,X572,Y572,Z572)-SUM(OFFSET(INDEX(MO_CFS_CFF,1,COLUMN()),ROW(INDEX(MO_SubSection_CFS_CFF,1,COLUMN()))-ROW(INDEX(MO_CFS_CFF,1,COLUMN())),0,ROW(INDEX(MO_CFS_CFF,1,COLUMN()))-ROW(INDEX(MO_SubSection_CFS_CFF,1,COLUMN())),1)),6)</f>
        <v>0</v>
      </c>
      <c r="AB707" s="417"/>
      <c r="AC707" s="417"/>
      <c r="AD707" s="417"/>
      <c r="AE707" s="417"/>
      <c r="AF707" s="417" t="n">
        <f aca="true">ROUND(SUM(AB572,AC572,AD572,AE572)-SUM(OFFSET(INDEX(MO_CFS_CFF,1,COLUMN()),ROW(INDEX(MO_SubSection_CFS_CFF,1,COLUMN()))-ROW(INDEX(MO_CFS_CFF,1,COLUMN())),0,ROW(INDEX(MO_CFS_CFF,1,COLUMN()))-ROW(INDEX(MO_SubSection_CFS_CFF,1,COLUMN())),1)),6)</f>
        <v>0</v>
      </c>
      <c r="AG707" s="417"/>
      <c r="AH707" s="417"/>
      <c r="AI707" s="417"/>
      <c r="AJ707" s="417"/>
      <c r="AK707" s="417" t="n">
        <f aca="true">ROUND(SUM(AG572,AH572,AI572,AJ572)-SUM(OFFSET(INDEX(MO_CFS_CFF,1,COLUMN()),ROW(INDEX(MO_SubSection_CFS_CFF,1,COLUMN()))-ROW(INDEX(MO_CFS_CFF,1,COLUMN())),0,ROW(INDEX(MO_CFS_CFF,1,COLUMN()))-ROW(INDEX(MO_SubSection_CFS_CFF,1,COLUMN())),1)),6)</f>
        <v>0</v>
      </c>
      <c r="AL707" s="417"/>
      <c r="AM707" s="417"/>
      <c r="AN707" s="417"/>
      <c r="AO707" s="417"/>
      <c r="AP707" s="417" t="n">
        <f aca="true">ROUND(SUM(AL572,AM572,AN572,AO572)-SUM(OFFSET(INDEX(MO_CFS_CFF,1,COLUMN()),ROW(INDEX(MO_SubSection_CFS_CFF,1,COLUMN()))-ROW(INDEX(MO_CFS_CFF,1,COLUMN())),0,ROW(INDEX(MO_CFS_CFF,1,COLUMN()))-ROW(INDEX(MO_SubSection_CFS_CFF,1,COLUMN())),1)),6)</f>
        <v>0</v>
      </c>
      <c r="AQ707" s="417"/>
      <c r="AR707" s="417"/>
      <c r="AS707" s="417"/>
      <c r="AT707" s="417"/>
      <c r="AU707" s="417" t="n">
        <f aca="true">ROUND(SUM(AQ572,AR572,AS572,AT572)-SUM(OFFSET(INDEX(MO_CFS_CFF,1,COLUMN()),ROW(INDEX(MO_SubSection_CFS_CFF,1,COLUMN()))-ROW(INDEX(MO_CFS_CFF,1,COLUMN())),0,ROW(INDEX(MO_CFS_CFF,1,COLUMN()))-ROW(INDEX(MO_SubSection_CFS_CFF,1,COLUMN())),1)),6)</f>
        <v>0</v>
      </c>
      <c r="AV707" s="417"/>
      <c r="AW707" s="417"/>
      <c r="AX707" s="417"/>
      <c r="AY707" s="417"/>
      <c r="AZ707" s="417" t="n">
        <f aca="true">ROUND(SUM(AV572,AW572,AX572,AY572)-SUM(OFFSET(INDEX(MO_CFS_CFF,1,COLUMN()),ROW(INDEX(MO_SubSection_CFS_CFF,1,COLUMN()))-ROW(INDEX(MO_CFS_CFF,1,COLUMN())),0,ROW(INDEX(MO_CFS_CFF,1,COLUMN()))-ROW(INDEX(MO_SubSection_CFS_CFF,1,COLUMN())),1)),6)</f>
        <v>0</v>
      </c>
      <c r="BA707" s="417"/>
      <c r="BB707" s="417"/>
      <c r="BC707" s="417"/>
      <c r="BD707" s="417"/>
      <c r="BE707" s="417" t="n">
        <f aca="true">ROUND(SUM(BA572,BB572,BC572,BD572)-SUM(OFFSET(INDEX(MO_CFS_CFF,1,COLUMN()),ROW(INDEX(MO_SubSection_CFS_CFF,1,COLUMN()))-ROW(INDEX(MO_CFS_CFF,1,COLUMN())),0,ROW(INDEX(MO_CFS_CFF,1,COLUMN()))-ROW(INDEX(MO_SubSection_CFS_CFF,1,COLUMN())),1)),6)</f>
        <v>0</v>
      </c>
      <c r="BF707" s="417"/>
      <c r="BG707" s="417"/>
      <c r="BH707" s="417"/>
      <c r="BI707" s="417"/>
      <c r="BJ707" s="417" t="n">
        <f aca="true">ROUND(SUM(BF572,BG572,BH572,BI572)-SUM(OFFSET(INDEX(MO_CFS_CFF,1,COLUMN()),ROW(INDEX(MO_SubSection_CFS_CFF,1,COLUMN()))-ROW(INDEX(MO_CFS_CFF,1,COLUMN())),0,ROW(INDEX(MO_CFS_CFF,1,COLUMN()))-ROW(INDEX(MO_SubSection_CFS_CFF,1,COLUMN())),1)),6)</f>
        <v>0</v>
      </c>
      <c r="BK707" s="417"/>
      <c r="BL707" s="417"/>
      <c r="BM707" s="417"/>
      <c r="BN707" s="417"/>
      <c r="BO707" s="418" t="n">
        <f aca="true">ROUND(SUM(BK572,BL572,BM572,BN572)-SUM(OFFSET(INDEX(MO_CFS_CFF,1,COLUMN()),ROW(INDEX(MO_SubSection_CFS_CFF,1,COLUMN()))-ROW(INDEX(MO_CFS_CFF,1,COLUMN())),0,ROW(INDEX(MO_CFS_CFF,1,COLUMN()))-ROW(INDEX(MO_SubSection_CFS_CFF,1,COLUMN())),1)),6)</f>
        <v>0</v>
      </c>
      <c r="BP707" s="417"/>
      <c r="BQ707" s="417"/>
      <c r="BR707" s="417"/>
      <c r="BS707" s="417"/>
      <c r="BT707" s="417"/>
      <c r="BU707" s="417"/>
      <c r="BV707" s="417"/>
      <c r="BW707" s="417"/>
      <c r="BX707" s="417"/>
      <c r="BY707" s="417"/>
      <c r="BZ707" s="417"/>
      <c r="CA707" s="417"/>
      <c r="CB707" s="417"/>
      <c r="CC707" s="50"/>
    </row>
    <row r="708" s="51" customFormat="true" ht="15" hidden="false" customHeight="true" outlineLevel="0" collapsed="false">
      <c r="A708" s="50" t="s">
        <v>657</v>
      </c>
      <c r="B708" s="149"/>
      <c r="C708" s="417"/>
      <c r="D708" s="417"/>
      <c r="E708" s="417"/>
      <c r="F708" s="417"/>
      <c r="G708" s="417"/>
      <c r="H708" s="417"/>
      <c r="I708" s="417"/>
      <c r="J708" s="417"/>
      <c r="K708" s="417"/>
      <c r="L708" s="417" t="n">
        <f aca="false">ROUND(SUM(INDEX(MO_CFSum_Acquisition,0,COLUMN()),INDEX(MO_CFSum_Capex,0,COLUMN()),INDEX(MO_CFSum_Divestiture,0,COLUMN()),INDEX(MO_CFSum_Dividend,0,COLUMN()))-SUM(H405,I405,J405,K405,H406,I406,J406,K406,H407,I407,J407,K407)-SUM(H403,I403,J403,K403),6)</f>
        <v>0</v>
      </c>
      <c r="M708" s="417"/>
      <c r="N708" s="417"/>
      <c r="O708" s="417"/>
      <c r="P708" s="417"/>
      <c r="Q708" s="417" t="n">
        <f aca="false">ROUND(SUM(INDEX(MO_CFSum_Acquisition,0,COLUMN()),INDEX(MO_CFSum_Capex,0,COLUMN()),INDEX(MO_CFSum_Divestiture,0,COLUMN()),INDEX(MO_CFSum_Dividend,0,COLUMN()))-SUM(M405,N405,O405,P405,M406,N406,O406,P406,M407,N407,O407,P407)-SUM(M403,N403,O403,P403),6)</f>
        <v>0</v>
      </c>
      <c r="R708" s="417"/>
      <c r="S708" s="417"/>
      <c r="T708" s="417"/>
      <c r="U708" s="417"/>
      <c r="V708" s="417" t="n">
        <f aca="false">ROUND(SUM(INDEX(MO_CFSum_Acquisition,0,COLUMN()),INDEX(MO_CFSum_Capex,0,COLUMN()),INDEX(MO_CFSum_Divestiture,0,COLUMN()),INDEX(MO_CFSum_Dividend,0,COLUMN()))-SUM(R405,S405,T405,U405,R406,S406,T406,U406,R407,S407,T407,U407)-SUM(R403,S403,T403,U403),6)</f>
        <v>0</v>
      </c>
      <c r="W708" s="417"/>
      <c r="X708" s="417"/>
      <c r="Y708" s="417"/>
      <c r="Z708" s="417"/>
      <c r="AA708" s="417" t="n">
        <f aca="false">ROUND(SUM(INDEX(MO_CFSum_Acquisition,0,COLUMN()),INDEX(MO_CFSum_Capex,0,COLUMN()),INDEX(MO_CFSum_Divestiture,0,COLUMN()),INDEX(MO_CFSum_Dividend,0,COLUMN()))-SUM(W405,X405,Y405,Z405,W406,X406,Y406,Z406,W407,X407,Y407,Z407)-SUM(W403,X403,Y403,Z403),6)</f>
        <v>0</v>
      </c>
      <c r="AB708" s="417"/>
      <c r="AC708" s="417"/>
      <c r="AD708" s="417"/>
      <c r="AE708" s="417"/>
      <c r="AF708" s="417" t="n">
        <f aca="false">ROUND(SUM(INDEX(MO_CFSum_Acquisition,0,COLUMN()),INDEX(MO_CFSum_Capex,0,COLUMN()),INDEX(MO_CFSum_Divestiture,0,COLUMN()),INDEX(MO_CFSum_Dividend,0,COLUMN()))-SUM(AB405,AC405,AD405,AE405,AB406,AC406,AD406,AE406,AB407,AC407,AD407,AE407)-SUM(AB403,AC403,AD403,AE403),6)</f>
        <v>0</v>
      </c>
      <c r="AG708" s="417"/>
      <c r="AH708" s="417"/>
      <c r="AI708" s="417"/>
      <c r="AJ708" s="417"/>
      <c r="AK708" s="417" t="n">
        <f aca="false">ROUND(SUM(INDEX(MO_CFSum_Acquisition,0,COLUMN()),INDEX(MO_CFSum_Capex,0,COLUMN()),INDEX(MO_CFSum_Divestiture,0,COLUMN()),INDEX(MO_CFSum_Dividend,0,COLUMN()))-SUM(AG405,AH405,AI405,AJ405,AG406,AH406,AI406,AJ406,AG407,AH407,AI407,AJ407)-SUM(AG403,AH403,AI403,AJ403),6)</f>
        <v>0</v>
      </c>
      <c r="AL708" s="417"/>
      <c r="AM708" s="417"/>
      <c r="AN708" s="417"/>
      <c r="AO708" s="417"/>
      <c r="AP708" s="417" t="n">
        <f aca="false">ROUND(SUM(INDEX(MO_CFSum_Acquisition,0,COLUMN()),INDEX(MO_CFSum_Capex,0,COLUMN()),INDEX(MO_CFSum_Divestiture,0,COLUMN()),INDEX(MO_CFSum_Dividend,0,COLUMN()))-SUM(AL405,AM405,AN405,AO405,AL406,AM406,AN406,AO406,AL407,AM407,AN407,AO407)-SUM(AL403,AM403,AN403,AO403),6)</f>
        <v>0</v>
      </c>
      <c r="AQ708" s="417"/>
      <c r="AR708" s="417"/>
      <c r="AS708" s="417"/>
      <c r="AT708" s="417"/>
      <c r="AU708" s="417" t="n">
        <f aca="false">ROUND(SUM(INDEX(MO_CFSum_Acquisition,0,COLUMN()),INDEX(MO_CFSum_Capex,0,COLUMN()),INDEX(MO_CFSum_Divestiture,0,COLUMN()),INDEX(MO_CFSum_Dividend,0,COLUMN()))-SUM(AQ405,AR405,AS405,AT405,AQ406,AR406,AS406,AT406,AQ407,AR407,AS407,AT407)-SUM(AQ403,AR403,AS403,AT403),6)</f>
        <v>0</v>
      </c>
      <c r="AV708" s="417"/>
      <c r="AW708" s="417"/>
      <c r="AX708" s="417"/>
      <c r="AY708" s="417"/>
      <c r="AZ708" s="417" t="n">
        <f aca="false">ROUND(SUM(INDEX(MO_CFSum_Acquisition,0,COLUMN()),INDEX(MO_CFSum_Capex,0,COLUMN()),INDEX(MO_CFSum_Divestiture,0,COLUMN()),INDEX(MO_CFSum_Dividend,0,COLUMN()))-SUM(AV405,AW405,AX405,AY405,AV406,AW406,AX406,AY406,AV407,AW407,AX407,AY407)-SUM(AV403,AW403,AX403,AY403),6)</f>
        <v>0</v>
      </c>
      <c r="BA708" s="417"/>
      <c r="BB708" s="417"/>
      <c r="BC708" s="417"/>
      <c r="BD708" s="417"/>
      <c r="BE708" s="417" t="n">
        <f aca="false">ROUND(SUM(INDEX(MO_CFSum_Acquisition,0,COLUMN()),INDEX(MO_CFSum_Capex,0,COLUMN()),INDEX(MO_CFSum_Divestiture,0,COLUMN()),INDEX(MO_CFSum_Dividend,0,COLUMN()))-SUM(BA405,BB405,BC405,BD405,BA406,BB406,BC406,BD406,BA407,BB407,BC407,BD407)-SUM(BA403,BB403,BC403,BD403),6)</f>
        <v>0</v>
      </c>
      <c r="BF708" s="417"/>
      <c r="BG708" s="417"/>
      <c r="BH708" s="417"/>
      <c r="BI708" s="417"/>
      <c r="BJ708" s="417" t="n">
        <f aca="false">ROUND(SUM(INDEX(MO_CFSum_Acquisition,0,COLUMN()),INDEX(MO_CFSum_Capex,0,COLUMN()),INDEX(MO_CFSum_Divestiture,0,COLUMN()),INDEX(MO_CFSum_Dividend,0,COLUMN()))-SUM(BF405,BG405,BH405,BI405,BF406,BG406,BH406,BI406,BF407,BG407,BH407,BI407)-SUM(BF403,BG403,BH403,BI403),6)</f>
        <v>0</v>
      </c>
      <c r="BK708" s="417"/>
      <c r="BL708" s="417"/>
      <c r="BM708" s="417"/>
      <c r="BN708" s="417"/>
      <c r="BO708" s="418" t="n">
        <f aca="false">ROUND(SUM(INDEX(MO_CFSum_Acquisition,0,COLUMN()),INDEX(MO_CFSum_Capex,0,COLUMN()),INDEX(MO_CFSum_Divestiture,0,COLUMN()),INDEX(MO_CFSum_Dividend,0,COLUMN()))-SUM(BK405,BL405,BM405,BN405,BK406,BL406,BM406,BN406,BK407,BL407,BM407,BN407)-SUM(BK403,BL403,BM403,BN403),6)</f>
        <v>0</v>
      </c>
      <c r="BP708" s="417"/>
      <c r="BQ708" s="417"/>
      <c r="BR708" s="417"/>
      <c r="BS708" s="417"/>
      <c r="BT708" s="417"/>
      <c r="BU708" s="417"/>
      <c r="BV708" s="417"/>
      <c r="BW708" s="417"/>
      <c r="BX708" s="417"/>
      <c r="BY708" s="417"/>
      <c r="BZ708" s="417"/>
      <c r="CA708" s="417"/>
      <c r="CB708" s="417"/>
      <c r="CC708" s="50"/>
    </row>
    <row r="709" s="51" customFormat="true" ht="15" hidden="false" customHeight="true" outlineLevel="0" collapsed="false">
      <c r="A709" s="48"/>
      <c r="B709" s="149"/>
      <c r="C709" s="149"/>
      <c r="D709" s="149"/>
      <c r="E709" s="149"/>
      <c r="F709" s="149"/>
      <c r="G709" s="149"/>
      <c r="H709" s="149"/>
      <c r="I709" s="149"/>
      <c r="J709" s="149"/>
      <c r="K709" s="149"/>
      <c r="L709" s="149"/>
      <c r="M709" s="149"/>
      <c r="N709" s="149"/>
      <c r="O709" s="149"/>
      <c r="P709" s="149"/>
      <c r="Q709" s="149"/>
      <c r="R709" s="149"/>
      <c r="S709" s="48"/>
      <c r="T709" s="149"/>
      <c r="U709" s="149"/>
      <c r="V709" s="149"/>
      <c r="W709" s="149"/>
      <c r="X709" s="48"/>
      <c r="Y709" s="149"/>
      <c r="Z709" s="149"/>
      <c r="AA709" s="149"/>
      <c r="AB709" s="149"/>
      <c r="AC709" s="48"/>
      <c r="AD709" s="149"/>
      <c r="AE709" s="149"/>
      <c r="AF709" s="149"/>
      <c r="AG709" s="149"/>
      <c r="AH709" s="48"/>
      <c r="AI709" s="149"/>
      <c r="AJ709" s="149"/>
      <c r="AK709" s="149"/>
      <c r="AL709" s="149"/>
      <c r="AM709" s="48"/>
      <c r="AN709" s="149"/>
      <c r="AO709" s="149"/>
      <c r="AP709" s="149"/>
      <c r="AQ709" s="149"/>
      <c r="AR709" s="48"/>
      <c r="AS709" s="149"/>
      <c r="AT709" s="149"/>
      <c r="AU709" s="149"/>
      <c r="AV709" s="149"/>
      <c r="AW709" s="48"/>
      <c r="AX709" s="149"/>
      <c r="AY709" s="149"/>
      <c r="AZ709" s="149"/>
      <c r="BA709" s="149"/>
      <c r="BB709" s="48"/>
      <c r="BC709" s="149"/>
      <c r="BD709" s="149"/>
      <c r="BE709" s="149"/>
      <c r="BF709" s="149"/>
      <c r="BG709" s="48"/>
      <c r="BH709" s="149"/>
      <c r="BI709" s="149"/>
      <c r="BJ709" s="149"/>
      <c r="BK709" s="149"/>
      <c r="BL709" s="48"/>
      <c r="BM709" s="149"/>
      <c r="BN709" s="149"/>
      <c r="BO709" s="583"/>
      <c r="BP709" s="48"/>
      <c r="BQ709" s="48"/>
      <c r="BR709" s="48"/>
      <c r="BS709" s="48"/>
      <c r="BT709" s="48"/>
      <c r="BU709" s="48"/>
      <c r="BV709" s="48"/>
      <c r="BW709" s="48"/>
      <c r="BX709" s="48"/>
      <c r="BY709" s="48"/>
      <c r="BZ709" s="48"/>
      <c r="CA709" s="48"/>
      <c r="CB709" s="48"/>
      <c r="CC709" s="50"/>
    </row>
    <row r="710" s="51" customFormat="true" ht="15" hidden="false" customHeight="true" outlineLevel="0" collapsed="false">
      <c r="A710" s="219" t="s">
        <v>658</v>
      </c>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c r="AA710" s="219"/>
      <c r="AB710" s="219"/>
      <c r="AC710" s="219"/>
      <c r="AD710" s="219"/>
      <c r="AE710" s="219"/>
      <c r="AF710" s="219"/>
      <c r="AG710" s="219"/>
      <c r="AH710" s="219"/>
      <c r="AI710" s="219"/>
      <c r="AJ710" s="219"/>
      <c r="AK710" s="219"/>
      <c r="AL710" s="219"/>
      <c r="AM710" s="219"/>
      <c r="AN710" s="219"/>
      <c r="AO710" s="219"/>
      <c r="AP710" s="219"/>
      <c r="AQ710" s="219"/>
      <c r="AR710" s="219"/>
      <c r="AS710" s="219"/>
      <c r="AT710" s="219"/>
      <c r="AU710" s="219"/>
      <c r="AV710" s="219"/>
      <c r="AW710" s="219"/>
      <c r="AX710" s="219"/>
      <c r="AY710" s="219"/>
      <c r="AZ710" s="219"/>
      <c r="BA710" s="219"/>
      <c r="BB710" s="219"/>
      <c r="BC710" s="219"/>
      <c r="BD710" s="219"/>
      <c r="BE710" s="219"/>
      <c r="BF710" s="219"/>
      <c r="BG710" s="219"/>
      <c r="BH710" s="219"/>
      <c r="BI710" s="219"/>
      <c r="BJ710" s="219"/>
      <c r="BK710" s="219"/>
      <c r="BL710" s="219"/>
      <c r="BM710" s="219"/>
      <c r="BN710" s="219"/>
      <c r="BO710" s="220"/>
      <c r="BP710" s="219"/>
      <c r="BQ710" s="219"/>
      <c r="BR710" s="219"/>
      <c r="BS710" s="219"/>
      <c r="BT710" s="219"/>
      <c r="BU710" s="219"/>
      <c r="BV710" s="219"/>
      <c r="BW710" s="219"/>
      <c r="BX710" s="219"/>
      <c r="BY710" s="219"/>
      <c r="BZ710" s="219"/>
      <c r="CA710" s="219"/>
      <c r="CB710" s="219"/>
      <c r="CC710" s="50"/>
    </row>
    <row r="711" s="51" customFormat="true" ht="15" hidden="false" customHeight="true" outlineLevel="0" collapsed="false">
      <c r="A711" s="251"/>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9"/>
      <c r="BP711" s="48"/>
      <c r="BQ711" s="48"/>
      <c r="BR711" s="48"/>
      <c r="BS711" s="48"/>
      <c r="BT711" s="48"/>
      <c r="BU711" s="48"/>
      <c r="BV711" s="48"/>
      <c r="BW711" s="48"/>
      <c r="BX711" s="48"/>
      <c r="BY711" s="48"/>
      <c r="BZ711" s="48"/>
      <c r="CA711" s="48"/>
      <c r="CB711" s="48"/>
      <c r="CC711" s="50"/>
    </row>
    <row r="712" s="45" customFormat="true" ht="15" hidden="false" customHeight="true" outlineLevel="0" collapsed="false">
      <c r="A712" s="584" t="s">
        <v>659</v>
      </c>
      <c r="B712" s="58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c r="AA712" s="215"/>
      <c r="AB712" s="215"/>
      <c r="AC712" s="215"/>
      <c r="AD712" s="215"/>
      <c r="AE712" s="215"/>
      <c r="AF712" s="215"/>
      <c r="AG712" s="215"/>
      <c r="AH712" s="215"/>
      <c r="AI712" s="215"/>
      <c r="AJ712" s="215"/>
      <c r="AK712" s="215"/>
      <c r="AL712" s="215"/>
      <c r="AM712" s="215"/>
      <c r="AN712" s="215"/>
      <c r="AO712" s="215"/>
      <c r="AP712" s="215"/>
      <c r="AQ712" s="215"/>
      <c r="AR712" s="215"/>
      <c r="AS712" s="215"/>
      <c r="AT712" s="215"/>
      <c r="AU712" s="215"/>
      <c r="AV712" s="215"/>
      <c r="AW712" s="215"/>
      <c r="AX712" s="215"/>
      <c r="AY712" s="215"/>
      <c r="AZ712" s="215"/>
      <c r="BA712" s="215"/>
      <c r="BB712" s="215"/>
      <c r="BC712" s="215"/>
      <c r="BD712" s="215"/>
      <c r="BE712" s="215"/>
      <c r="BF712" s="215"/>
      <c r="BG712" s="215"/>
      <c r="BH712" s="215"/>
      <c r="BI712" s="215"/>
      <c r="BJ712" s="215"/>
      <c r="BK712" s="215"/>
      <c r="BL712" s="215"/>
      <c r="BM712" s="215"/>
      <c r="BN712" s="215"/>
      <c r="BO712" s="586"/>
      <c r="BP712" s="215"/>
      <c r="BQ712" s="215"/>
      <c r="BR712" s="215"/>
      <c r="BS712" s="215"/>
      <c r="BT712" s="215"/>
      <c r="BU712" s="215"/>
      <c r="BV712" s="215"/>
      <c r="BW712" s="215"/>
      <c r="BX712" s="215"/>
      <c r="BY712" s="215"/>
      <c r="BZ712" s="215"/>
      <c r="CA712" s="215"/>
      <c r="CB712" s="215"/>
      <c r="CC712" s="92"/>
    </row>
    <row r="713" s="45" customFormat="true" ht="15" hidden="false" customHeight="true" outlineLevel="0" collapsed="false">
      <c r="A713" s="587" t="s">
        <v>660</v>
      </c>
      <c r="B713" s="58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c r="AA713" s="215"/>
      <c r="AB713" s="215"/>
      <c r="AC713" s="215"/>
      <c r="AD713" s="215"/>
      <c r="AE713" s="215"/>
      <c r="AF713" s="215"/>
      <c r="AG713" s="215"/>
      <c r="AH713" s="215"/>
      <c r="AI713" s="215"/>
      <c r="AJ713" s="215"/>
      <c r="AK713" s="215"/>
      <c r="AL713" s="215"/>
      <c r="AM713" s="215"/>
      <c r="AN713" s="215"/>
      <c r="AO713" s="215"/>
      <c r="AP713" s="215"/>
      <c r="AQ713" s="215"/>
      <c r="AR713" s="215"/>
      <c r="AS713" s="215"/>
      <c r="AT713" s="215"/>
      <c r="AU713" s="215"/>
      <c r="AV713" s="215"/>
      <c r="AW713" s="215"/>
      <c r="AX713" s="215"/>
      <c r="AY713" s="215"/>
      <c r="AZ713" s="215"/>
      <c r="BA713" s="215"/>
      <c r="BB713" s="215"/>
      <c r="BC713" s="215"/>
      <c r="BD713" s="215"/>
      <c r="BE713" s="215"/>
      <c r="BF713" s="215"/>
      <c r="BG713" s="215"/>
      <c r="BH713" s="215"/>
      <c r="BI713" s="215"/>
      <c r="BJ713" s="215"/>
      <c r="BK713" s="215"/>
      <c r="BL713" s="215"/>
      <c r="BM713" s="215"/>
      <c r="BN713" s="215"/>
      <c r="BO713" s="586"/>
      <c r="BP713" s="215"/>
      <c r="BQ713" s="215"/>
      <c r="BR713" s="215"/>
      <c r="BS713" s="215"/>
      <c r="BT713" s="215"/>
      <c r="BU713" s="215"/>
      <c r="BV713" s="215"/>
      <c r="BW713" s="215"/>
      <c r="BX713" s="215"/>
      <c r="BY713" s="215"/>
      <c r="BZ713" s="215"/>
      <c r="CA713" s="215"/>
      <c r="CB713" s="215"/>
      <c r="CC713" s="92"/>
    </row>
    <row r="714" s="45" customFormat="true" ht="15" hidden="false" customHeight="true" outlineLevel="0" collapsed="false">
      <c r="A714" s="588" t="s">
        <v>661</v>
      </c>
      <c r="B714" s="58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c r="AA714" s="215"/>
      <c r="AB714" s="215"/>
      <c r="AC714" s="215"/>
      <c r="AD714" s="215"/>
      <c r="AE714" s="215"/>
      <c r="AF714" s="215"/>
      <c r="AG714" s="215"/>
      <c r="AH714" s="215"/>
      <c r="AI714" s="215"/>
      <c r="AJ714" s="215"/>
      <c r="AK714" s="215"/>
      <c r="AL714" s="215"/>
      <c r="AM714" s="215"/>
      <c r="AN714" s="215"/>
      <c r="AO714" s="215"/>
      <c r="AP714" s="215"/>
      <c r="AQ714" s="215"/>
      <c r="AR714" s="215"/>
      <c r="AS714" s="215"/>
      <c r="AT714" s="215"/>
      <c r="AU714" s="215"/>
      <c r="AV714" s="215"/>
      <c r="AW714" s="215"/>
      <c r="AX714" s="215"/>
      <c r="AY714" s="215"/>
      <c r="AZ714" s="215"/>
      <c r="BA714" s="215"/>
      <c r="BB714" s="215"/>
      <c r="BC714" s="215"/>
      <c r="BD714" s="215"/>
      <c r="BE714" s="215"/>
      <c r="BF714" s="215"/>
      <c r="BG714" s="215"/>
      <c r="BH714" s="215"/>
      <c r="BI714" s="215"/>
      <c r="BJ714" s="215"/>
      <c r="BK714" s="215"/>
      <c r="BL714" s="215"/>
      <c r="BM714" s="215"/>
      <c r="BN714" s="215"/>
      <c r="BO714" s="586"/>
      <c r="BP714" s="215"/>
      <c r="BQ714" s="215"/>
      <c r="BR714" s="215"/>
      <c r="BS714" s="215"/>
      <c r="BT714" s="215"/>
      <c r="BU714" s="215"/>
      <c r="BV714" s="215"/>
      <c r="BW714" s="215"/>
      <c r="BX714" s="215"/>
      <c r="BY714" s="215"/>
      <c r="BZ714" s="215"/>
      <c r="CA714" s="215"/>
      <c r="CB714" s="215"/>
      <c r="CC714" s="92"/>
    </row>
    <row r="715" s="45" customFormat="true" ht="15" hidden="false" customHeight="true" outlineLevel="0" collapsed="false">
      <c r="A715" s="589" t="s">
        <v>662</v>
      </c>
      <c r="B715" s="58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c r="AA715" s="215"/>
      <c r="AB715" s="215"/>
      <c r="AC715" s="215"/>
      <c r="AD715" s="215"/>
      <c r="AE715" s="215"/>
      <c r="AF715" s="215"/>
      <c r="AG715" s="215"/>
      <c r="AH715" s="215"/>
      <c r="AI715" s="215"/>
      <c r="AJ715" s="215"/>
      <c r="AK715" s="215"/>
      <c r="AL715" s="215"/>
      <c r="AM715" s="215"/>
      <c r="AN715" s="215"/>
      <c r="AO715" s="215"/>
      <c r="AP715" s="215"/>
      <c r="AQ715" s="215"/>
      <c r="AR715" s="215"/>
      <c r="AS715" s="215"/>
      <c r="AT715" s="215"/>
      <c r="AU715" s="215"/>
      <c r="AV715" s="215"/>
      <c r="AW715" s="215"/>
      <c r="AX715" s="215"/>
      <c r="AY715" s="215"/>
      <c r="AZ715" s="215"/>
      <c r="BA715" s="215"/>
      <c r="BB715" s="215"/>
      <c r="BC715" s="215"/>
      <c r="BD715" s="215"/>
      <c r="BE715" s="215"/>
      <c r="BF715" s="215"/>
      <c r="BG715" s="215"/>
      <c r="BH715" s="215"/>
      <c r="BI715" s="215"/>
      <c r="BJ715" s="215"/>
      <c r="BK715" s="215"/>
      <c r="BL715" s="215"/>
      <c r="BM715" s="215"/>
      <c r="BN715" s="215"/>
      <c r="BO715" s="586"/>
      <c r="BP715" s="215"/>
      <c r="BQ715" s="215"/>
      <c r="BR715" s="215"/>
      <c r="BS715" s="215"/>
      <c r="BT715" s="215"/>
      <c r="BU715" s="215"/>
      <c r="BV715" s="215"/>
      <c r="BW715" s="215"/>
      <c r="BX715" s="215"/>
      <c r="BY715" s="215"/>
      <c r="BZ715" s="215"/>
      <c r="CA715" s="215"/>
      <c r="CB715" s="215"/>
      <c r="CC715" s="92"/>
    </row>
    <row r="716" s="45" customFormat="true" ht="15" hidden="false" customHeight="true" outlineLevel="0" collapsed="false">
      <c r="A716" s="590" t="s">
        <v>663</v>
      </c>
      <c r="B716" s="58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c r="AA716" s="215"/>
      <c r="AB716" s="215"/>
      <c r="AC716" s="215"/>
      <c r="AD716" s="215"/>
      <c r="AE716" s="215"/>
      <c r="AF716" s="215"/>
      <c r="AG716" s="215"/>
      <c r="AH716" s="215"/>
      <c r="AI716" s="215"/>
      <c r="AJ716" s="215"/>
      <c r="AK716" s="215"/>
      <c r="AL716" s="215"/>
      <c r="AM716" s="215"/>
      <c r="AN716" s="215"/>
      <c r="AO716" s="215"/>
      <c r="AP716" s="215"/>
      <c r="AQ716" s="215"/>
      <c r="AR716" s="215"/>
      <c r="AS716" s="215"/>
      <c r="AT716" s="215"/>
      <c r="AU716" s="215"/>
      <c r="AV716" s="215"/>
      <c r="AW716" s="215"/>
      <c r="AX716" s="215"/>
      <c r="AY716" s="215"/>
      <c r="AZ716" s="215"/>
      <c r="BA716" s="215"/>
      <c r="BB716" s="215"/>
      <c r="BC716" s="215"/>
      <c r="BD716" s="215"/>
      <c r="BE716" s="215"/>
      <c r="BF716" s="215"/>
      <c r="BG716" s="215"/>
      <c r="BH716" s="215"/>
      <c r="BI716" s="215"/>
      <c r="BJ716" s="215"/>
      <c r="BK716" s="215"/>
      <c r="BL716" s="215"/>
      <c r="BM716" s="215"/>
      <c r="BN716" s="215"/>
      <c r="BO716" s="586"/>
      <c r="BP716" s="215"/>
      <c r="BQ716" s="215"/>
      <c r="BR716" s="215"/>
      <c r="BS716" s="215"/>
      <c r="BT716" s="215"/>
      <c r="BU716" s="215"/>
      <c r="BV716" s="215"/>
      <c r="BW716" s="215"/>
      <c r="BX716" s="215"/>
      <c r="BY716" s="215"/>
      <c r="BZ716" s="215"/>
      <c r="CA716" s="215"/>
      <c r="CB716" s="215"/>
      <c r="CC716" s="92"/>
    </row>
    <row r="717" s="45" customFormat="true" ht="15" hidden="false" customHeight="true" outlineLevel="0" collapsed="false">
      <c r="A717" s="591" t="s">
        <v>664</v>
      </c>
      <c r="B717" s="58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c r="AA717" s="215"/>
      <c r="AB717" s="215"/>
      <c r="AC717" s="215"/>
      <c r="AD717" s="215"/>
      <c r="AE717" s="215"/>
      <c r="AF717" s="215"/>
      <c r="AG717" s="215"/>
      <c r="AH717" s="215"/>
      <c r="AI717" s="215"/>
      <c r="AJ717" s="215"/>
      <c r="AK717" s="215"/>
      <c r="AL717" s="215"/>
      <c r="AM717" s="215"/>
      <c r="AN717" s="215"/>
      <c r="AO717" s="215"/>
      <c r="AP717" s="215"/>
      <c r="AQ717" s="215"/>
      <c r="AR717" s="215"/>
      <c r="AS717" s="215"/>
      <c r="AT717" s="215"/>
      <c r="AU717" s="215"/>
      <c r="AV717" s="215"/>
      <c r="AW717" s="215"/>
      <c r="AX717" s="215"/>
      <c r="AY717" s="215"/>
      <c r="AZ717" s="215"/>
      <c r="BA717" s="215"/>
      <c r="BB717" s="215"/>
      <c r="BC717" s="215"/>
      <c r="BD717" s="215"/>
      <c r="BE717" s="215"/>
      <c r="BF717" s="215"/>
      <c r="BG717" s="215"/>
      <c r="BH717" s="215"/>
      <c r="BI717" s="215"/>
      <c r="BJ717" s="215"/>
      <c r="BK717" s="215"/>
      <c r="BL717" s="215"/>
      <c r="BM717" s="215"/>
      <c r="BN717" s="215"/>
      <c r="BO717" s="586"/>
      <c r="BP717" s="215"/>
      <c r="BQ717" s="215"/>
      <c r="BR717" s="215"/>
      <c r="BS717" s="215"/>
      <c r="BT717" s="215"/>
      <c r="BU717" s="215"/>
      <c r="BV717" s="215"/>
      <c r="BW717" s="215"/>
      <c r="BX717" s="215"/>
      <c r="BY717" s="215"/>
      <c r="BZ717" s="215"/>
      <c r="CA717" s="215"/>
      <c r="CB717" s="215"/>
      <c r="CC717" s="92"/>
    </row>
    <row r="718" s="45" customFormat="true" ht="15" hidden="false" customHeight="true" outlineLevel="0" collapsed="false">
      <c r="A718" s="425"/>
      <c r="B718" s="592"/>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c r="AA718" s="215"/>
      <c r="AB718" s="215"/>
      <c r="AC718" s="215"/>
      <c r="AD718" s="215"/>
      <c r="AE718" s="215"/>
      <c r="AF718" s="215"/>
      <c r="AG718" s="215"/>
      <c r="AH718" s="215"/>
      <c r="AI718" s="215"/>
      <c r="AJ718" s="215"/>
      <c r="AK718" s="215"/>
      <c r="AL718" s="215"/>
      <c r="AM718" s="215"/>
      <c r="AN718" s="215"/>
      <c r="AO718" s="215"/>
      <c r="AP718" s="215"/>
      <c r="AQ718" s="215"/>
      <c r="AR718" s="215"/>
      <c r="AS718" s="215"/>
      <c r="AT718" s="215"/>
      <c r="AU718" s="215"/>
      <c r="AV718" s="215"/>
      <c r="AW718" s="215"/>
      <c r="AX718" s="215"/>
      <c r="AY718" s="215"/>
      <c r="AZ718" s="215"/>
      <c r="BA718" s="215"/>
      <c r="BB718" s="215"/>
      <c r="BC718" s="215"/>
      <c r="BD718" s="215"/>
      <c r="BE718" s="215"/>
      <c r="BF718" s="215"/>
      <c r="BG718" s="215"/>
      <c r="BH718" s="215"/>
      <c r="BI718" s="215"/>
      <c r="BJ718" s="215"/>
      <c r="BK718" s="215"/>
      <c r="BL718" s="215"/>
      <c r="BM718" s="215"/>
      <c r="BN718" s="215"/>
      <c r="BO718" s="586"/>
      <c r="BP718" s="215"/>
      <c r="BQ718" s="215"/>
      <c r="BR718" s="215"/>
      <c r="BS718" s="215"/>
      <c r="BT718" s="215"/>
      <c r="BU718" s="215"/>
      <c r="BV718" s="215"/>
      <c r="BW718" s="215"/>
      <c r="BX718" s="215"/>
      <c r="BY718" s="215"/>
      <c r="BZ718" s="215"/>
      <c r="CA718" s="215"/>
      <c r="CB718" s="215"/>
      <c r="CC718" s="92"/>
    </row>
    <row r="719" customFormat="false" ht="15" hidden="false" customHeight="true" outlineLevel="0" collapsed="false">
      <c r="A719" s="593" t="s">
        <v>665</v>
      </c>
      <c r="B719" s="594"/>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c r="AX719" s="55"/>
      <c r="AY719" s="55"/>
      <c r="AZ719" s="55"/>
      <c r="BA719" s="55"/>
      <c r="BB719" s="55"/>
      <c r="BC719" s="55"/>
      <c r="BD719" s="55"/>
      <c r="BE719" s="55"/>
      <c r="BF719" s="55"/>
      <c r="BG719" s="55"/>
      <c r="BH719" s="55"/>
      <c r="BI719" s="55"/>
      <c r="BJ719" s="55"/>
      <c r="BK719" s="55"/>
      <c r="BL719" s="55"/>
      <c r="BM719" s="55"/>
      <c r="BN719" s="55"/>
      <c r="BO719" s="595"/>
      <c r="BP719" s="55"/>
      <c r="BQ719" s="55"/>
      <c r="BR719" s="55"/>
      <c r="BS719" s="55"/>
      <c r="BT719" s="55"/>
      <c r="BU719" s="55"/>
      <c r="BV719" s="55"/>
      <c r="BW719" s="55"/>
      <c r="BX719" s="55"/>
      <c r="BY719" s="55"/>
      <c r="BZ719" s="55"/>
      <c r="CA719" s="55"/>
      <c r="CB719" s="55"/>
      <c r="CC719" s="58"/>
    </row>
    <row r="720" s="45" customFormat="true" ht="15" hidden="false" customHeight="true" outlineLevel="0" collapsed="false">
      <c r="A720" s="596" t="s">
        <v>666</v>
      </c>
      <c r="B720" s="597" t="n">
        <v>1</v>
      </c>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c r="AA720" s="215"/>
      <c r="AB720" s="215"/>
      <c r="AC720" s="215"/>
      <c r="AD720" s="215"/>
      <c r="AE720" s="215"/>
      <c r="AF720" s="215"/>
      <c r="AG720" s="215"/>
      <c r="AH720" s="215"/>
      <c r="AI720" s="215"/>
      <c r="AJ720" s="215"/>
      <c r="AK720" s="215"/>
      <c r="AL720" s="215"/>
      <c r="AM720" s="215"/>
      <c r="AN720" s="215"/>
      <c r="AO720" s="215"/>
      <c r="AP720" s="215"/>
      <c r="AQ720" s="215"/>
      <c r="AR720" s="215"/>
      <c r="AS720" s="215"/>
      <c r="AT720" s="215"/>
      <c r="AU720" s="215"/>
      <c r="AV720" s="215"/>
      <c r="AW720" s="215"/>
      <c r="AX720" s="215"/>
      <c r="AY720" s="215"/>
      <c r="AZ720" s="215"/>
      <c r="BA720" s="215"/>
      <c r="BB720" s="215"/>
      <c r="BC720" s="215"/>
      <c r="BD720" s="215"/>
      <c r="BE720" s="215"/>
      <c r="BF720" s="215"/>
      <c r="BG720" s="215"/>
      <c r="BH720" s="215"/>
      <c r="BI720" s="215"/>
      <c r="BJ720" s="215"/>
      <c r="BK720" s="215"/>
      <c r="BL720" s="215"/>
      <c r="BM720" s="215"/>
      <c r="BN720" s="215"/>
      <c r="BO720" s="586"/>
      <c r="BP720" s="215"/>
      <c r="BQ720" s="215"/>
      <c r="BR720" s="215"/>
      <c r="BS720" s="215"/>
      <c r="BT720" s="215"/>
      <c r="BU720" s="215"/>
      <c r="BV720" s="215"/>
      <c r="BW720" s="215"/>
      <c r="BX720" s="215"/>
      <c r="BY720" s="215"/>
      <c r="BZ720" s="215"/>
      <c r="CA720" s="215"/>
      <c r="CB720" s="215"/>
      <c r="CC720" s="92"/>
    </row>
    <row r="721" s="45" customFormat="true" ht="15" hidden="false" customHeight="true" outlineLevel="0" collapsed="false">
      <c r="A721" s="596" t="s">
        <v>667</v>
      </c>
      <c r="B721" s="597" t="n">
        <v>2</v>
      </c>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c r="AA721" s="215"/>
      <c r="AB721" s="215"/>
      <c r="AC721" s="215"/>
      <c r="AD721" s="215"/>
      <c r="AE721" s="215"/>
      <c r="AF721" s="215"/>
      <c r="AG721" s="215"/>
      <c r="AH721" s="215"/>
      <c r="AI721" s="215"/>
      <c r="AJ721" s="215"/>
      <c r="AK721" s="215"/>
      <c r="AL721" s="215"/>
      <c r="AM721" s="215"/>
      <c r="AN721" s="215"/>
      <c r="AO721" s="215"/>
      <c r="AP721" s="215"/>
      <c r="AQ721" s="215"/>
      <c r="AR721" s="215"/>
      <c r="AS721" s="215"/>
      <c r="AT721" s="215"/>
      <c r="AU721" s="215"/>
      <c r="AV721" s="215"/>
      <c r="AW721" s="215"/>
      <c r="AX721" s="215"/>
      <c r="AY721" s="215"/>
      <c r="AZ721" s="215"/>
      <c r="BA721" s="215"/>
      <c r="BB721" s="215"/>
      <c r="BC721" s="215"/>
      <c r="BD721" s="215"/>
      <c r="BE721" s="215"/>
      <c r="BF721" s="215"/>
      <c r="BG721" s="215"/>
      <c r="BH721" s="215"/>
      <c r="BI721" s="215"/>
      <c r="BJ721" s="215"/>
      <c r="BK721" s="215"/>
      <c r="BL721" s="215"/>
      <c r="BM721" s="215"/>
      <c r="BN721" s="215"/>
      <c r="BO721" s="586"/>
      <c r="BP721" s="215"/>
      <c r="BQ721" s="215"/>
      <c r="BR721" s="215"/>
      <c r="BS721" s="215"/>
      <c r="BT721" s="215"/>
      <c r="BU721" s="215"/>
      <c r="BV721" s="215"/>
      <c r="BW721" s="215"/>
      <c r="BX721" s="215"/>
      <c r="BY721" s="215"/>
      <c r="BZ721" s="215"/>
      <c r="CA721" s="215"/>
      <c r="CB721" s="215"/>
      <c r="CC721" s="92"/>
    </row>
    <row r="722" s="45" customFormat="true" ht="15" hidden="false" customHeight="true" outlineLevel="0" collapsed="false">
      <c r="A722" s="596" t="s">
        <v>668</v>
      </c>
      <c r="B722" s="597" t="n">
        <v>3</v>
      </c>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c r="AA722" s="215"/>
      <c r="AB722" s="215"/>
      <c r="AC722" s="215"/>
      <c r="AD722" s="215"/>
      <c r="AE722" s="215"/>
      <c r="AF722" s="215"/>
      <c r="AG722" s="215"/>
      <c r="AH722" s="215"/>
      <c r="AI722" s="215"/>
      <c r="AJ722" s="215"/>
      <c r="AK722" s="215"/>
      <c r="AL722" s="215"/>
      <c r="AM722" s="215"/>
      <c r="AN722" s="215"/>
      <c r="AO722" s="215"/>
      <c r="AP722" s="215"/>
      <c r="AQ722" s="215"/>
      <c r="AR722" s="215"/>
      <c r="AS722" s="215"/>
      <c r="AT722" s="215"/>
      <c r="AU722" s="215"/>
      <c r="AV722" s="215"/>
      <c r="AW722" s="215"/>
      <c r="AX722" s="215"/>
      <c r="AY722" s="215"/>
      <c r="AZ722" s="215"/>
      <c r="BA722" s="215"/>
      <c r="BB722" s="215"/>
      <c r="BC722" s="215"/>
      <c r="BD722" s="215"/>
      <c r="BE722" s="215"/>
      <c r="BF722" s="215"/>
      <c r="BG722" s="215"/>
      <c r="BH722" s="215"/>
      <c r="BI722" s="215"/>
      <c r="BJ722" s="215"/>
      <c r="BK722" s="215"/>
      <c r="BL722" s="215"/>
      <c r="BM722" s="215"/>
      <c r="BN722" s="215"/>
      <c r="BO722" s="586"/>
      <c r="BP722" s="215"/>
      <c r="BQ722" s="215"/>
      <c r="BR722" s="215"/>
      <c r="BS722" s="215"/>
      <c r="BT722" s="215"/>
      <c r="BU722" s="215"/>
      <c r="BV722" s="215"/>
      <c r="BW722" s="215"/>
      <c r="BX722" s="215"/>
      <c r="BY722" s="215"/>
      <c r="BZ722" s="215"/>
      <c r="CA722" s="215"/>
      <c r="CB722" s="215"/>
      <c r="CC722" s="92"/>
    </row>
    <row r="723" s="45" customFormat="true" ht="15" hidden="false" customHeight="true" outlineLevel="0" collapsed="false">
      <c r="A723" s="598" t="s">
        <v>498</v>
      </c>
      <c r="B723" s="599" t="n">
        <v>4</v>
      </c>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c r="AA723" s="215"/>
      <c r="AB723" s="215"/>
      <c r="AC723" s="215"/>
      <c r="AD723" s="215"/>
      <c r="AE723" s="215"/>
      <c r="AF723" s="215"/>
      <c r="AG723" s="215"/>
      <c r="AH723" s="215"/>
      <c r="AI723" s="215"/>
      <c r="AJ723" s="215"/>
      <c r="AK723" s="215"/>
      <c r="AL723" s="215"/>
      <c r="AM723" s="215"/>
      <c r="AN723" s="215"/>
      <c r="AO723" s="215"/>
      <c r="AP723" s="215"/>
      <c r="AQ723" s="215"/>
      <c r="AR723" s="215"/>
      <c r="AS723" s="215"/>
      <c r="AT723" s="215"/>
      <c r="AU723" s="215"/>
      <c r="AV723" s="215"/>
      <c r="AW723" s="215"/>
      <c r="AX723" s="215"/>
      <c r="AY723" s="215"/>
      <c r="AZ723" s="215"/>
      <c r="BA723" s="215"/>
      <c r="BB723" s="215"/>
      <c r="BC723" s="215"/>
      <c r="BD723" s="215"/>
      <c r="BE723" s="215"/>
      <c r="BF723" s="215"/>
      <c r="BG723" s="215"/>
      <c r="BH723" s="215"/>
      <c r="BI723" s="215"/>
      <c r="BJ723" s="215"/>
      <c r="BK723" s="215"/>
      <c r="BL723" s="215"/>
      <c r="BM723" s="215"/>
      <c r="BN723" s="215"/>
      <c r="BO723" s="586"/>
      <c r="BP723" s="215"/>
      <c r="BQ723" s="215"/>
      <c r="BR723" s="215"/>
      <c r="BS723" s="215"/>
      <c r="BT723" s="215"/>
      <c r="BU723" s="215"/>
      <c r="BV723" s="215"/>
      <c r="BW723" s="215"/>
      <c r="BX723" s="215"/>
      <c r="BY723" s="215"/>
      <c r="BZ723" s="215"/>
      <c r="CA723" s="215"/>
      <c r="CB723" s="215"/>
      <c r="CC723" s="92"/>
    </row>
    <row r="724" s="45" customFormat="true" ht="15" hidden="false" customHeight="true" outlineLevel="0" collapsed="false">
      <c r="A724" s="412"/>
      <c r="B724" s="600"/>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c r="AA724" s="215"/>
      <c r="AB724" s="215"/>
      <c r="AC724" s="215"/>
      <c r="AD724" s="215"/>
      <c r="AE724" s="215"/>
      <c r="AF724" s="215"/>
      <c r="AG724" s="215"/>
      <c r="AH724" s="215"/>
      <c r="AI724" s="215"/>
      <c r="AJ724" s="215"/>
      <c r="AK724" s="215"/>
      <c r="AL724" s="215"/>
      <c r="AM724" s="215"/>
      <c r="AN724" s="215"/>
      <c r="AO724" s="215"/>
      <c r="AP724" s="215"/>
      <c r="AQ724" s="215"/>
      <c r="AR724" s="215"/>
      <c r="AS724" s="215"/>
      <c r="AT724" s="215"/>
      <c r="AU724" s="215"/>
      <c r="AV724" s="215"/>
      <c r="AW724" s="215"/>
      <c r="AX724" s="215"/>
      <c r="AY724" s="215"/>
      <c r="AZ724" s="215"/>
      <c r="BA724" s="215"/>
      <c r="BB724" s="215"/>
      <c r="BC724" s="215"/>
      <c r="BD724" s="215"/>
      <c r="BE724" s="215"/>
      <c r="BF724" s="215"/>
      <c r="BG724" s="215"/>
      <c r="BH724" s="215"/>
      <c r="BI724" s="215"/>
      <c r="BJ724" s="215"/>
      <c r="BK724" s="215"/>
      <c r="BL724" s="215"/>
      <c r="BM724" s="215"/>
      <c r="BN724" s="215"/>
      <c r="BO724" s="586"/>
      <c r="BP724" s="215"/>
      <c r="BQ724" s="215"/>
      <c r="BR724" s="215"/>
      <c r="BS724" s="215"/>
      <c r="BT724" s="215"/>
      <c r="BU724" s="215"/>
      <c r="BV724" s="215"/>
      <c r="BW724" s="215"/>
      <c r="BX724" s="215"/>
      <c r="BY724" s="215"/>
      <c r="BZ724" s="215"/>
      <c r="CA724" s="215"/>
      <c r="CB724" s="215"/>
      <c r="CC724" s="92"/>
    </row>
    <row r="725" s="45" customFormat="true" ht="15" hidden="false" customHeight="true" outlineLevel="0" collapsed="false">
      <c r="A725" s="601" t="s">
        <v>669</v>
      </c>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c r="AA725" s="215"/>
      <c r="AB725" s="215"/>
      <c r="AC725" s="215"/>
      <c r="AD725" s="215"/>
      <c r="AE725" s="215"/>
      <c r="AF725" s="215"/>
      <c r="AG725" s="215"/>
      <c r="AH725" s="215"/>
      <c r="AI725" s="215"/>
      <c r="AJ725" s="215"/>
      <c r="AK725" s="215"/>
      <c r="AL725" s="215"/>
      <c r="AM725" s="215"/>
      <c r="AN725" s="215"/>
      <c r="AO725" s="215"/>
      <c r="AP725" s="215"/>
      <c r="AQ725" s="215"/>
      <c r="AR725" s="215"/>
      <c r="AS725" s="215"/>
      <c r="AT725" s="215"/>
      <c r="AU725" s="215"/>
      <c r="AV725" s="215"/>
      <c r="AW725" s="215"/>
      <c r="AX725" s="215"/>
      <c r="AY725" s="215"/>
      <c r="AZ725" s="215"/>
      <c r="BA725" s="215"/>
      <c r="BB725" s="215"/>
      <c r="BC725" s="215"/>
      <c r="BD725" s="215"/>
      <c r="BE725" s="215"/>
      <c r="BF725" s="215"/>
      <c r="BG725" s="215"/>
      <c r="BH725" s="215"/>
      <c r="BI725" s="215"/>
      <c r="BJ725" s="215"/>
      <c r="BK725" s="215"/>
      <c r="BL725" s="215"/>
      <c r="BM725" s="215"/>
      <c r="BN725" s="215"/>
      <c r="BO725" s="586"/>
      <c r="BP725" s="215"/>
      <c r="BQ725" s="215"/>
      <c r="BR725" s="215"/>
      <c r="BS725" s="215"/>
      <c r="BT725" s="215"/>
      <c r="BU725" s="215"/>
      <c r="BV725" s="215"/>
      <c r="BW725" s="215"/>
      <c r="BX725" s="215"/>
      <c r="BY725" s="215"/>
      <c r="BZ725" s="215"/>
      <c r="CA725" s="215"/>
      <c r="CB725" s="215"/>
      <c r="CC725" s="92"/>
    </row>
    <row r="726" s="45" customFormat="true" ht="15" hidden="false" customHeight="true" outlineLevel="0" collapsed="false">
      <c r="A726" s="602" t="str">
        <f aca="false">MO_RIS_REV</f>
        <v>Net Revenue</v>
      </c>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c r="AA726" s="215"/>
      <c r="AB726" s="215"/>
      <c r="AC726" s="215"/>
      <c r="AD726" s="215"/>
      <c r="AE726" s="215"/>
      <c r="AF726" s="215"/>
      <c r="AG726" s="215"/>
      <c r="AH726" s="215"/>
      <c r="AI726" s="215"/>
      <c r="AJ726" s="215"/>
      <c r="AK726" s="215"/>
      <c r="AL726" s="215"/>
      <c r="AM726" s="215"/>
      <c r="AN726" s="215"/>
      <c r="AO726" s="215"/>
      <c r="AP726" s="215"/>
      <c r="AQ726" s="215"/>
      <c r="AR726" s="215"/>
      <c r="AS726" s="215"/>
      <c r="AT726" s="215"/>
      <c r="AU726" s="215"/>
      <c r="AV726" s="215"/>
      <c r="AW726" s="215"/>
      <c r="AX726" s="215"/>
      <c r="AY726" s="215"/>
      <c r="AZ726" s="215"/>
      <c r="BA726" s="215"/>
      <c r="BB726" s="215"/>
      <c r="BC726" s="215"/>
      <c r="BD726" s="215"/>
      <c r="BE726" s="215"/>
      <c r="BF726" s="215"/>
      <c r="BG726" s="215"/>
      <c r="BH726" s="215"/>
      <c r="BI726" s="215"/>
      <c r="BJ726" s="215"/>
      <c r="BK726" s="215"/>
      <c r="BL726" s="215"/>
      <c r="BM726" s="215"/>
      <c r="BN726" s="215"/>
      <c r="BO726" s="586"/>
      <c r="BP726" s="215"/>
      <c r="BQ726" s="215"/>
      <c r="BR726" s="215"/>
      <c r="BS726" s="215"/>
      <c r="BT726" s="215"/>
      <c r="BU726" s="215"/>
      <c r="BV726" s="215"/>
      <c r="BW726" s="215"/>
      <c r="BX726" s="215"/>
      <c r="BY726" s="215"/>
      <c r="BZ726" s="215"/>
      <c r="CA726" s="215"/>
      <c r="CB726" s="215"/>
      <c r="CC726" s="92"/>
    </row>
    <row r="727" s="45" customFormat="true" ht="15" hidden="false" customHeight="true" outlineLevel="0" collapsed="false">
      <c r="A727" s="602" t="str">
        <f aca="false">MO_RIS_EBITDA_Adj</f>
        <v>Adjusted EBITDA (No Adjustments)</v>
      </c>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c r="AA727" s="215"/>
      <c r="AB727" s="215"/>
      <c r="AC727" s="215"/>
      <c r="AD727" s="215"/>
      <c r="AE727" s="215"/>
      <c r="AF727" s="215"/>
      <c r="AG727" s="215"/>
      <c r="AH727" s="215"/>
      <c r="AI727" s="215"/>
      <c r="AJ727" s="215"/>
      <c r="AK727" s="215"/>
      <c r="AL727" s="215"/>
      <c r="AM727" s="215"/>
      <c r="AN727" s="215"/>
      <c r="AO727" s="215"/>
      <c r="AP727" s="215"/>
      <c r="AQ727" s="215"/>
      <c r="AR727" s="215"/>
      <c r="AS727" s="215"/>
      <c r="AT727" s="215"/>
      <c r="AU727" s="215"/>
      <c r="AV727" s="215"/>
      <c r="AW727" s="215"/>
      <c r="AX727" s="215"/>
      <c r="AY727" s="215"/>
      <c r="AZ727" s="215"/>
      <c r="BA727" s="215"/>
      <c r="BB727" s="215"/>
      <c r="BC727" s="215"/>
      <c r="BD727" s="215"/>
      <c r="BE727" s="215"/>
      <c r="BF727" s="215"/>
      <c r="BG727" s="215"/>
      <c r="BH727" s="215"/>
      <c r="BI727" s="215"/>
      <c r="BJ727" s="215"/>
      <c r="BK727" s="215"/>
      <c r="BL727" s="215"/>
      <c r="BM727" s="215"/>
      <c r="BN727" s="215"/>
      <c r="BO727" s="586"/>
      <c r="BP727" s="215"/>
      <c r="BQ727" s="215"/>
      <c r="BR727" s="215"/>
      <c r="BS727" s="215"/>
      <c r="BT727" s="215"/>
      <c r="BU727" s="215"/>
      <c r="BV727" s="215"/>
      <c r="BW727" s="215"/>
      <c r="BX727" s="215"/>
      <c r="BY727" s="215"/>
      <c r="BZ727" s="215"/>
      <c r="CA727" s="215"/>
      <c r="CB727" s="215"/>
      <c r="CC727" s="92"/>
    </row>
    <row r="728" s="45" customFormat="true" ht="15" hidden="false" customHeight="true" outlineLevel="0" collapsed="false">
      <c r="A728" s="602" t="str">
        <f aca="false">MO_RIS_EBIT_Adj</f>
        <v>Adjusted EBIT (No Adjustments)</v>
      </c>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c r="AA728" s="215"/>
      <c r="AB728" s="215"/>
      <c r="AC728" s="215"/>
      <c r="AD728" s="215"/>
      <c r="AE728" s="215"/>
      <c r="AF728" s="215"/>
      <c r="AG728" s="215"/>
      <c r="AH728" s="215"/>
      <c r="AI728" s="215"/>
      <c r="AJ728" s="215"/>
      <c r="AK728" s="215"/>
      <c r="AL728" s="215"/>
      <c r="AM728" s="215"/>
      <c r="AN728" s="215"/>
      <c r="AO728" s="215"/>
      <c r="AP728" s="215"/>
      <c r="AQ728" s="215"/>
      <c r="AR728" s="215"/>
      <c r="AS728" s="215"/>
      <c r="AT728" s="215"/>
      <c r="AU728" s="215"/>
      <c r="AV728" s="215"/>
      <c r="AW728" s="215"/>
      <c r="AX728" s="215"/>
      <c r="AY728" s="215"/>
      <c r="AZ728" s="215"/>
      <c r="BA728" s="215"/>
      <c r="BB728" s="215"/>
      <c r="BC728" s="215"/>
      <c r="BD728" s="215"/>
      <c r="BE728" s="215"/>
      <c r="BF728" s="215"/>
      <c r="BG728" s="215"/>
      <c r="BH728" s="215"/>
      <c r="BI728" s="215"/>
      <c r="BJ728" s="215"/>
      <c r="BK728" s="215"/>
      <c r="BL728" s="215"/>
      <c r="BM728" s="215"/>
      <c r="BN728" s="215"/>
      <c r="BO728" s="586"/>
      <c r="BP728" s="215"/>
      <c r="BQ728" s="215"/>
      <c r="BR728" s="215"/>
      <c r="BS728" s="215"/>
      <c r="BT728" s="215"/>
      <c r="BU728" s="215"/>
      <c r="BV728" s="215"/>
      <c r="BW728" s="215"/>
      <c r="BX728" s="215"/>
      <c r="BY728" s="215"/>
      <c r="BZ728" s="215"/>
      <c r="CA728" s="215"/>
      <c r="CB728" s="215"/>
      <c r="CC728" s="92"/>
    </row>
    <row r="729" s="45" customFormat="true" ht="15" hidden="false" customHeight="true" outlineLevel="0" collapsed="false">
      <c r="A729" s="602" t="str">
        <f aca="false">MO_RIS_EPS_WAD_Adj</f>
        <v>Adjusted Earnings Per Share - WAD (No Adjustments)</v>
      </c>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c r="AA729" s="215"/>
      <c r="AB729" s="215"/>
      <c r="AC729" s="215"/>
      <c r="AD729" s="215"/>
      <c r="AE729" s="215"/>
      <c r="AF729" s="215"/>
      <c r="AG729" s="215"/>
      <c r="AH729" s="215"/>
      <c r="AI729" s="215"/>
      <c r="AJ729" s="215"/>
      <c r="AK729" s="215"/>
      <c r="AL729" s="215"/>
      <c r="AM729" s="215"/>
      <c r="AN729" s="215"/>
      <c r="AO729" s="215"/>
      <c r="AP729" s="215"/>
      <c r="AQ729" s="215"/>
      <c r="AR729" s="215"/>
      <c r="AS729" s="215"/>
      <c r="AT729" s="215"/>
      <c r="AU729" s="215"/>
      <c r="AV729" s="215"/>
      <c r="AW729" s="215"/>
      <c r="AX729" s="215"/>
      <c r="AY729" s="215"/>
      <c r="AZ729" s="215"/>
      <c r="BA729" s="215"/>
      <c r="BB729" s="215"/>
      <c r="BC729" s="215"/>
      <c r="BD729" s="215"/>
      <c r="BE729" s="215"/>
      <c r="BF729" s="215"/>
      <c r="BG729" s="215"/>
      <c r="BH729" s="215"/>
      <c r="BI729" s="215"/>
      <c r="BJ729" s="215"/>
      <c r="BK729" s="215"/>
      <c r="BL729" s="215"/>
      <c r="BM729" s="215"/>
      <c r="BN729" s="215"/>
      <c r="BO729" s="586"/>
      <c r="BP729" s="215"/>
      <c r="BQ729" s="215"/>
      <c r="BR729" s="215"/>
      <c r="BS729" s="215"/>
      <c r="BT729" s="215"/>
      <c r="BU729" s="215"/>
      <c r="BV729" s="215"/>
      <c r="BW729" s="215"/>
      <c r="BX729" s="215"/>
      <c r="BY729" s="215"/>
      <c r="BZ729" s="215"/>
      <c r="CA729" s="215"/>
      <c r="CB729" s="215"/>
      <c r="CC729" s="92"/>
    </row>
    <row r="730" s="45" customFormat="true" ht="15" hidden="false" customHeight="true" outlineLevel="0" collapsed="false">
      <c r="A730" s="602" t="str">
        <f aca="false">MO_VA_EV_ToEBITDA</f>
        <v>EV/EBITDA - EoP</v>
      </c>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c r="AA730" s="215"/>
      <c r="AB730" s="215"/>
      <c r="AC730" s="215"/>
      <c r="AD730" s="215"/>
      <c r="AE730" s="215"/>
      <c r="AF730" s="215"/>
      <c r="AG730" s="215"/>
      <c r="AH730" s="215"/>
      <c r="AI730" s="215"/>
      <c r="AJ730" s="215"/>
      <c r="AK730" s="215"/>
      <c r="AL730" s="215"/>
      <c r="AM730" s="215"/>
      <c r="AN730" s="215"/>
      <c r="AO730" s="215"/>
      <c r="AP730" s="215"/>
      <c r="AQ730" s="215"/>
      <c r="AR730" s="215"/>
      <c r="AS730" s="215"/>
      <c r="AT730" s="215"/>
      <c r="AU730" s="215"/>
      <c r="AV730" s="215"/>
      <c r="AW730" s="215"/>
      <c r="AX730" s="215"/>
      <c r="AY730" s="215"/>
      <c r="AZ730" s="215"/>
      <c r="BA730" s="215"/>
      <c r="BB730" s="215"/>
      <c r="BC730" s="215"/>
      <c r="BD730" s="215"/>
      <c r="BE730" s="215"/>
      <c r="BF730" s="215"/>
      <c r="BG730" s="215"/>
      <c r="BH730" s="215"/>
      <c r="BI730" s="215"/>
      <c r="BJ730" s="215"/>
      <c r="BK730" s="215"/>
      <c r="BL730" s="215"/>
      <c r="BM730" s="215"/>
      <c r="BN730" s="215"/>
      <c r="BO730" s="586"/>
      <c r="BP730" s="215"/>
      <c r="BQ730" s="215"/>
      <c r="BR730" s="215"/>
      <c r="BS730" s="215"/>
      <c r="BT730" s="215"/>
      <c r="BU730" s="215"/>
      <c r="BV730" s="215"/>
      <c r="BW730" s="215"/>
      <c r="BX730" s="215"/>
      <c r="BY730" s="215"/>
      <c r="BZ730" s="215"/>
      <c r="CA730" s="215"/>
      <c r="CB730" s="215"/>
      <c r="CC730" s="92"/>
    </row>
    <row r="731" s="45" customFormat="true" ht="15" hidden="false" customHeight="true" outlineLevel="0" collapsed="false">
      <c r="A731" s="602" t="str">
        <f aca="false">MO_VA_P_ToE</f>
        <v>P/E - EoP</v>
      </c>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c r="AA731" s="215"/>
      <c r="AB731" s="215"/>
      <c r="AC731" s="215"/>
      <c r="AD731" s="215"/>
      <c r="AE731" s="215"/>
      <c r="AF731" s="215"/>
      <c r="AG731" s="215"/>
      <c r="AH731" s="215"/>
      <c r="AI731" s="215"/>
      <c r="AJ731" s="215"/>
      <c r="AK731" s="215"/>
      <c r="AL731" s="215"/>
      <c r="AM731" s="215"/>
      <c r="AN731" s="215"/>
      <c r="AO731" s="215"/>
      <c r="AP731" s="215"/>
      <c r="AQ731" s="215"/>
      <c r="AR731" s="215"/>
      <c r="AS731" s="215"/>
      <c r="AT731" s="215"/>
      <c r="AU731" s="215"/>
      <c r="AV731" s="215"/>
      <c r="AW731" s="215"/>
      <c r="AX731" s="215"/>
      <c r="AY731" s="215"/>
      <c r="AZ731" s="215"/>
      <c r="BA731" s="215"/>
      <c r="BB731" s="215"/>
      <c r="BC731" s="215"/>
      <c r="BD731" s="215"/>
      <c r="BE731" s="215"/>
      <c r="BF731" s="215"/>
      <c r="BG731" s="215"/>
      <c r="BH731" s="215"/>
      <c r="BI731" s="215"/>
      <c r="BJ731" s="215"/>
      <c r="BK731" s="215"/>
      <c r="BL731" s="215"/>
      <c r="BM731" s="215"/>
      <c r="BN731" s="215"/>
      <c r="BO731" s="586"/>
      <c r="BP731" s="215"/>
      <c r="BQ731" s="215"/>
      <c r="BR731" s="215"/>
      <c r="BS731" s="215"/>
      <c r="BT731" s="215"/>
      <c r="BU731" s="215"/>
      <c r="BV731" s="215"/>
      <c r="BW731" s="215"/>
      <c r="BX731" s="215"/>
      <c r="BY731" s="215"/>
      <c r="BZ731" s="215"/>
      <c r="CA731" s="215"/>
      <c r="CB731" s="215"/>
      <c r="CC731" s="92"/>
    </row>
    <row r="732" s="45" customFormat="true" ht="15" hidden="false" customHeight="true" outlineLevel="0" collapsed="false">
      <c r="A732" s="603"/>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c r="AA732" s="215"/>
      <c r="AB732" s="215"/>
      <c r="AC732" s="215"/>
      <c r="AD732" s="215"/>
      <c r="AE732" s="215"/>
      <c r="AF732" s="215"/>
      <c r="AG732" s="215"/>
      <c r="AH732" s="215"/>
      <c r="AI732" s="215"/>
      <c r="AJ732" s="215"/>
      <c r="AK732" s="215"/>
      <c r="AL732" s="215"/>
      <c r="AM732" s="215"/>
      <c r="AN732" s="215"/>
      <c r="AO732" s="215"/>
      <c r="AP732" s="215"/>
      <c r="AQ732" s="215"/>
      <c r="AR732" s="215"/>
      <c r="AS732" s="215"/>
      <c r="AT732" s="215"/>
      <c r="AU732" s="215"/>
      <c r="AV732" s="215"/>
      <c r="AW732" s="215"/>
      <c r="AX732" s="215"/>
      <c r="AY732" s="215"/>
      <c r="AZ732" s="215"/>
      <c r="BA732" s="215"/>
      <c r="BB732" s="215"/>
      <c r="BC732" s="215"/>
      <c r="BD732" s="215"/>
      <c r="BE732" s="215"/>
      <c r="BF732" s="215"/>
      <c r="BG732" s="215"/>
      <c r="BH732" s="215"/>
      <c r="BI732" s="215"/>
      <c r="BJ732" s="215"/>
      <c r="BK732" s="215"/>
      <c r="BL732" s="215"/>
      <c r="BM732" s="215"/>
      <c r="BN732" s="215"/>
      <c r="BO732" s="586"/>
      <c r="BP732" s="215"/>
      <c r="BQ732" s="215"/>
      <c r="BR732" s="215"/>
      <c r="BS732" s="215"/>
      <c r="BT732" s="215"/>
      <c r="BU732" s="215"/>
      <c r="BV732" s="215"/>
      <c r="BW732" s="215"/>
      <c r="BX732" s="215"/>
      <c r="BY732" s="215"/>
      <c r="BZ732" s="215"/>
      <c r="CA732" s="215"/>
      <c r="CB732" s="215"/>
      <c r="CC732" s="92"/>
    </row>
    <row r="733" s="45" customFormat="true" ht="15" hidden="false" customHeight="true" outlineLevel="0" collapsed="false">
      <c r="A733" s="14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c r="AA733" s="215"/>
      <c r="AB733" s="215"/>
      <c r="AC733" s="215"/>
      <c r="AD733" s="215"/>
      <c r="AE733" s="215"/>
      <c r="AF733" s="215"/>
      <c r="AG733" s="215"/>
      <c r="AH733" s="215"/>
      <c r="AI733" s="215"/>
      <c r="AJ733" s="215"/>
      <c r="AK733" s="215"/>
      <c r="AL733" s="215"/>
      <c r="AM733" s="215"/>
      <c r="AN733" s="215"/>
      <c r="AO733" s="215"/>
      <c r="AP733" s="215"/>
      <c r="AQ733" s="215"/>
      <c r="AR733" s="215"/>
      <c r="AS733" s="215"/>
      <c r="AT733" s="215"/>
      <c r="AU733" s="215"/>
      <c r="AV733" s="215"/>
      <c r="AW733" s="215"/>
      <c r="AX733" s="215"/>
      <c r="AY733" s="215"/>
      <c r="AZ733" s="215"/>
      <c r="BA733" s="215"/>
      <c r="BB733" s="215"/>
      <c r="BC733" s="215"/>
      <c r="BD733" s="215"/>
      <c r="BE733" s="215"/>
      <c r="BF733" s="215"/>
      <c r="BG733" s="215"/>
      <c r="BH733" s="215"/>
      <c r="BI733" s="215"/>
      <c r="BJ733" s="215"/>
      <c r="BK733" s="215"/>
      <c r="BL733" s="215"/>
      <c r="BM733" s="215"/>
      <c r="BN733" s="215"/>
      <c r="BO733" s="586"/>
      <c r="BP733" s="215"/>
      <c r="BQ733" s="215"/>
      <c r="BR733" s="215"/>
      <c r="BS733" s="215"/>
      <c r="BT733" s="215"/>
      <c r="BU733" s="215"/>
      <c r="BV733" s="215"/>
      <c r="BW733" s="215"/>
      <c r="BX733" s="215"/>
      <c r="BY733" s="215"/>
      <c r="BZ733" s="215"/>
      <c r="CA733" s="215"/>
      <c r="CB733" s="215"/>
      <c r="CC733" s="92"/>
    </row>
    <row r="734" s="45" customFormat="true" ht="15" hidden="false" customHeight="true" outlineLevel="0" collapsed="false">
      <c r="A734" s="604" t="s">
        <v>670</v>
      </c>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c r="AA734" s="215"/>
      <c r="AB734" s="215"/>
      <c r="AC734" s="215"/>
      <c r="AD734" s="215"/>
      <c r="AE734" s="215"/>
      <c r="AF734" s="215"/>
      <c r="AG734" s="215"/>
      <c r="AH734" s="215"/>
      <c r="AI734" s="215"/>
      <c r="AJ734" s="215"/>
      <c r="AK734" s="215"/>
      <c r="AL734" s="215"/>
      <c r="AM734" s="215"/>
      <c r="AN734" s="215"/>
      <c r="AO734" s="215"/>
      <c r="AP734" s="215"/>
      <c r="AQ734" s="215"/>
      <c r="AR734" s="215"/>
      <c r="AS734" s="215"/>
      <c r="AT734" s="215"/>
      <c r="AU734" s="215"/>
      <c r="AV734" s="215"/>
      <c r="AW734" s="215"/>
      <c r="AX734" s="215"/>
      <c r="AY734" s="215"/>
      <c r="AZ734" s="215"/>
      <c r="BA734" s="215"/>
      <c r="BB734" s="215"/>
      <c r="BC734" s="215"/>
      <c r="BD734" s="215"/>
      <c r="BE734" s="215"/>
      <c r="BF734" s="215"/>
      <c r="BG734" s="215"/>
      <c r="BH734" s="215"/>
      <c r="BI734" s="215"/>
      <c r="BJ734" s="215"/>
      <c r="BK734" s="215"/>
      <c r="BL734" s="215"/>
      <c r="BM734" s="215"/>
      <c r="BN734" s="215"/>
      <c r="BO734" s="586"/>
      <c r="BP734" s="215"/>
      <c r="BQ734" s="215"/>
      <c r="BR734" s="215"/>
      <c r="BS734" s="215"/>
      <c r="BT734" s="215"/>
      <c r="BU734" s="215"/>
      <c r="BV734" s="215"/>
      <c r="BW734" s="215"/>
      <c r="BX734" s="215"/>
      <c r="BY734" s="215"/>
      <c r="BZ734" s="215"/>
      <c r="CA734" s="215"/>
      <c r="CB734" s="215"/>
      <c r="CC734" s="92"/>
    </row>
    <row r="735" s="45" customFormat="true" ht="15" hidden="false" customHeight="true" outlineLevel="0" collapsed="false">
      <c r="A735" s="605" t="s">
        <v>671</v>
      </c>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c r="AA735" s="215"/>
      <c r="AB735" s="215"/>
      <c r="AC735" s="215"/>
      <c r="AD735" s="215"/>
      <c r="AE735" s="215"/>
      <c r="AF735" s="215"/>
      <c r="AG735" s="215"/>
      <c r="AH735" s="215"/>
      <c r="AI735" s="215"/>
      <c r="AJ735" s="215"/>
      <c r="AK735" s="215"/>
      <c r="AL735" s="215"/>
      <c r="AM735" s="215"/>
      <c r="AN735" s="215"/>
      <c r="AO735" s="215"/>
      <c r="AP735" s="215"/>
      <c r="AQ735" s="215"/>
      <c r="AR735" s="215"/>
      <c r="AS735" s="215"/>
      <c r="AT735" s="215"/>
      <c r="AU735" s="215"/>
      <c r="AV735" s="215"/>
      <c r="AW735" s="215"/>
      <c r="AX735" s="215"/>
      <c r="AY735" s="215"/>
      <c r="AZ735" s="215"/>
      <c r="BA735" s="215"/>
      <c r="BB735" s="215"/>
      <c r="BC735" s="215"/>
      <c r="BD735" s="215"/>
      <c r="BE735" s="215"/>
      <c r="BF735" s="215"/>
      <c r="BG735" s="215"/>
      <c r="BH735" s="215"/>
      <c r="BI735" s="215"/>
      <c r="BJ735" s="215"/>
      <c r="BK735" s="215"/>
      <c r="BL735" s="215"/>
      <c r="BM735" s="215"/>
      <c r="BN735" s="215"/>
      <c r="BO735" s="586"/>
      <c r="BP735" s="215"/>
      <c r="BQ735" s="215"/>
      <c r="BR735" s="215"/>
      <c r="BS735" s="215"/>
      <c r="BT735" s="215"/>
      <c r="BU735" s="215"/>
      <c r="BV735" s="215"/>
      <c r="BW735" s="215"/>
      <c r="BX735" s="215"/>
      <c r="BY735" s="215"/>
      <c r="BZ735" s="215"/>
      <c r="CA735" s="215"/>
      <c r="CB735" s="215"/>
      <c r="CC735" s="92"/>
    </row>
    <row r="736" s="45" customFormat="true" ht="15" hidden="false" customHeight="true" outlineLevel="0" collapsed="false">
      <c r="A736" s="605" t="s">
        <v>672</v>
      </c>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c r="AA736" s="215"/>
      <c r="AB736" s="215"/>
      <c r="AC736" s="215"/>
      <c r="AD736" s="215"/>
      <c r="AE736" s="215"/>
      <c r="AF736" s="215"/>
      <c r="AG736" s="215"/>
      <c r="AH736" s="215"/>
      <c r="AI736" s="215"/>
      <c r="AJ736" s="215"/>
      <c r="AK736" s="215"/>
      <c r="AL736" s="215"/>
      <c r="AM736" s="215"/>
      <c r="AN736" s="215"/>
      <c r="AO736" s="215"/>
      <c r="AP736" s="215"/>
      <c r="AQ736" s="215"/>
      <c r="AR736" s="215"/>
      <c r="AS736" s="215"/>
      <c r="AT736" s="215"/>
      <c r="AU736" s="215"/>
      <c r="AV736" s="215"/>
      <c r="AW736" s="215"/>
      <c r="AX736" s="215"/>
      <c r="AY736" s="215"/>
      <c r="AZ736" s="215"/>
      <c r="BA736" s="215"/>
      <c r="BB736" s="215"/>
      <c r="BC736" s="215"/>
      <c r="BD736" s="215"/>
      <c r="BE736" s="215"/>
      <c r="BF736" s="215"/>
      <c r="BG736" s="215"/>
      <c r="BH736" s="215"/>
      <c r="BI736" s="215"/>
      <c r="BJ736" s="215"/>
      <c r="BK736" s="215"/>
      <c r="BL736" s="215"/>
      <c r="BM736" s="215"/>
      <c r="BN736" s="215"/>
      <c r="BO736" s="586"/>
      <c r="BP736" s="215"/>
      <c r="BQ736" s="215"/>
      <c r="BR736" s="215"/>
      <c r="BS736" s="215"/>
      <c r="BT736" s="215"/>
      <c r="BU736" s="215"/>
      <c r="BV736" s="215"/>
      <c r="BW736" s="215"/>
      <c r="BX736" s="215"/>
      <c r="BY736" s="215"/>
      <c r="BZ736" s="215"/>
      <c r="CA736" s="215"/>
      <c r="CB736" s="215"/>
      <c r="CC736" s="92"/>
    </row>
    <row r="737" s="45" customFormat="true" ht="15" hidden="false" customHeight="true" outlineLevel="0" collapsed="false">
      <c r="A737" s="605" t="s">
        <v>673</v>
      </c>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c r="AA737" s="215"/>
      <c r="AB737" s="215"/>
      <c r="AC737" s="215"/>
      <c r="AD737" s="215"/>
      <c r="AE737" s="215"/>
      <c r="AF737" s="215"/>
      <c r="AG737" s="215"/>
      <c r="AH737" s="215"/>
      <c r="AI737" s="215"/>
      <c r="AJ737" s="215"/>
      <c r="AK737" s="215"/>
      <c r="AL737" s="215"/>
      <c r="AM737" s="215"/>
      <c r="AN737" s="215"/>
      <c r="AO737" s="215"/>
      <c r="AP737" s="215"/>
      <c r="AQ737" s="215"/>
      <c r="AR737" s="215"/>
      <c r="AS737" s="215"/>
      <c r="AT737" s="215"/>
      <c r="AU737" s="215"/>
      <c r="AV737" s="215"/>
      <c r="AW737" s="215"/>
      <c r="AX737" s="215"/>
      <c r="AY737" s="215"/>
      <c r="AZ737" s="215"/>
      <c r="BA737" s="215"/>
      <c r="BB737" s="215"/>
      <c r="BC737" s="215"/>
      <c r="BD737" s="215"/>
      <c r="BE737" s="215"/>
      <c r="BF737" s="215"/>
      <c r="BG737" s="215"/>
      <c r="BH737" s="215"/>
      <c r="BI737" s="215"/>
      <c r="BJ737" s="215"/>
      <c r="BK737" s="215"/>
      <c r="BL737" s="215"/>
      <c r="BM737" s="215"/>
      <c r="BN737" s="215"/>
      <c r="BO737" s="586"/>
      <c r="BP737" s="215"/>
      <c r="BQ737" s="215"/>
      <c r="BR737" s="215"/>
      <c r="BS737" s="215"/>
      <c r="BT737" s="215"/>
      <c r="BU737" s="215"/>
      <c r="BV737" s="215"/>
      <c r="BW737" s="215"/>
      <c r="BX737" s="215"/>
      <c r="BY737" s="215"/>
      <c r="BZ737" s="215"/>
      <c r="CA737" s="215"/>
      <c r="CB737" s="215"/>
      <c r="CC737" s="92"/>
    </row>
    <row r="738" s="45" customFormat="true" ht="15" hidden="false" customHeight="true" outlineLevel="0" collapsed="false">
      <c r="A738" s="605" t="s">
        <v>674</v>
      </c>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c r="AA738" s="215"/>
      <c r="AB738" s="215"/>
      <c r="AC738" s="215"/>
      <c r="AD738" s="215"/>
      <c r="AE738" s="215"/>
      <c r="AF738" s="215"/>
      <c r="AG738" s="215"/>
      <c r="AH738" s="215"/>
      <c r="AI738" s="215"/>
      <c r="AJ738" s="215"/>
      <c r="AK738" s="215"/>
      <c r="AL738" s="215"/>
      <c r="AM738" s="215"/>
      <c r="AN738" s="215"/>
      <c r="AO738" s="215"/>
      <c r="AP738" s="215"/>
      <c r="AQ738" s="215"/>
      <c r="AR738" s="215"/>
      <c r="AS738" s="215"/>
      <c r="AT738" s="215"/>
      <c r="AU738" s="215"/>
      <c r="AV738" s="215"/>
      <c r="AW738" s="215"/>
      <c r="AX738" s="215"/>
      <c r="AY738" s="215"/>
      <c r="AZ738" s="215"/>
      <c r="BA738" s="215"/>
      <c r="BB738" s="215"/>
      <c r="BC738" s="215"/>
      <c r="BD738" s="215"/>
      <c r="BE738" s="215"/>
      <c r="BF738" s="215"/>
      <c r="BG738" s="215"/>
      <c r="BH738" s="215"/>
      <c r="BI738" s="215"/>
      <c r="BJ738" s="215"/>
      <c r="BK738" s="215"/>
      <c r="BL738" s="215"/>
      <c r="BM738" s="215"/>
      <c r="BN738" s="215"/>
      <c r="BO738" s="586"/>
      <c r="BP738" s="215"/>
      <c r="BQ738" s="215"/>
      <c r="BR738" s="215"/>
      <c r="BS738" s="215"/>
      <c r="BT738" s="215"/>
      <c r="BU738" s="215"/>
      <c r="BV738" s="215"/>
      <c r="BW738" s="215"/>
      <c r="BX738" s="215"/>
      <c r="BY738" s="215"/>
      <c r="BZ738" s="215"/>
      <c r="CA738" s="215"/>
      <c r="CB738" s="215"/>
      <c r="CC738" s="92"/>
    </row>
    <row r="739" s="45" customFormat="true" ht="15" hidden="false" customHeight="true" outlineLevel="0" collapsed="false">
      <c r="A739" s="605" t="s">
        <v>675</v>
      </c>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c r="AA739" s="215"/>
      <c r="AB739" s="215"/>
      <c r="AC739" s="215"/>
      <c r="AD739" s="215"/>
      <c r="AE739" s="215"/>
      <c r="AF739" s="215"/>
      <c r="AG739" s="215"/>
      <c r="AH739" s="215"/>
      <c r="AI739" s="215"/>
      <c r="AJ739" s="215"/>
      <c r="AK739" s="215"/>
      <c r="AL739" s="215"/>
      <c r="AM739" s="215"/>
      <c r="AN739" s="215"/>
      <c r="AO739" s="215"/>
      <c r="AP739" s="215"/>
      <c r="AQ739" s="215"/>
      <c r="AR739" s="215"/>
      <c r="AS739" s="215"/>
      <c r="AT739" s="215"/>
      <c r="AU739" s="215"/>
      <c r="AV739" s="215"/>
      <c r="AW739" s="215"/>
      <c r="AX739" s="215"/>
      <c r="AY739" s="215"/>
      <c r="AZ739" s="215"/>
      <c r="BA739" s="215"/>
      <c r="BB739" s="215"/>
      <c r="BC739" s="215"/>
      <c r="BD739" s="215"/>
      <c r="BE739" s="215"/>
      <c r="BF739" s="215"/>
      <c r="BG739" s="215"/>
      <c r="BH739" s="215"/>
      <c r="BI739" s="215"/>
      <c r="BJ739" s="215"/>
      <c r="BK739" s="215"/>
      <c r="BL739" s="215"/>
      <c r="BM739" s="215"/>
      <c r="BN739" s="215"/>
      <c r="BO739" s="586"/>
      <c r="BP739" s="215"/>
      <c r="BQ739" s="215"/>
      <c r="BR739" s="215"/>
      <c r="BS739" s="215"/>
      <c r="BT739" s="215"/>
      <c r="BU739" s="215"/>
      <c r="BV739" s="215"/>
      <c r="BW739" s="215"/>
      <c r="BX739" s="215"/>
      <c r="BY739" s="215"/>
      <c r="BZ739" s="215"/>
      <c r="CA739" s="215"/>
      <c r="CB739" s="215"/>
      <c r="CC739" s="92"/>
    </row>
    <row r="740" s="45" customFormat="true" ht="15" hidden="false" customHeight="true" outlineLevel="0" collapsed="false">
      <c r="A740" s="605" t="s">
        <v>676</v>
      </c>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c r="AA740" s="215"/>
      <c r="AB740" s="215"/>
      <c r="AC740" s="215"/>
      <c r="AD740" s="215"/>
      <c r="AE740" s="215"/>
      <c r="AF740" s="215"/>
      <c r="AG740" s="215"/>
      <c r="AH740" s="215"/>
      <c r="AI740" s="215"/>
      <c r="AJ740" s="215"/>
      <c r="AK740" s="215"/>
      <c r="AL740" s="215"/>
      <c r="AM740" s="215"/>
      <c r="AN740" s="215"/>
      <c r="AO740" s="215"/>
      <c r="AP740" s="215"/>
      <c r="AQ740" s="215"/>
      <c r="AR740" s="215"/>
      <c r="AS740" s="215"/>
      <c r="AT740" s="215"/>
      <c r="AU740" s="215"/>
      <c r="AV740" s="215"/>
      <c r="AW740" s="215"/>
      <c r="AX740" s="215"/>
      <c r="AY740" s="215"/>
      <c r="AZ740" s="215"/>
      <c r="BA740" s="215"/>
      <c r="BB740" s="215"/>
      <c r="BC740" s="215"/>
      <c r="BD740" s="215"/>
      <c r="BE740" s="215"/>
      <c r="BF740" s="215"/>
      <c r="BG740" s="215"/>
      <c r="BH740" s="215"/>
      <c r="BI740" s="215"/>
      <c r="BJ740" s="215"/>
      <c r="BK740" s="215"/>
      <c r="BL740" s="215"/>
      <c r="BM740" s="215"/>
      <c r="BN740" s="215"/>
      <c r="BO740" s="586"/>
      <c r="BP740" s="215"/>
      <c r="BQ740" s="215"/>
      <c r="BR740" s="215"/>
      <c r="BS740" s="215"/>
      <c r="BT740" s="215"/>
      <c r="BU740" s="215"/>
      <c r="BV740" s="215"/>
      <c r="BW740" s="215"/>
      <c r="BX740" s="215"/>
      <c r="BY740" s="215"/>
      <c r="BZ740" s="215"/>
      <c r="CA740" s="215"/>
      <c r="CB740" s="215"/>
      <c r="CC740" s="92"/>
    </row>
    <row r="741" s="45" customFormat="true" ht="15" hidden="false" customHeight="true" outlineLevel="0" collapsed="false">
      <c r="A741" s="605" t="s">
        <v>677</v>
      </c>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c r="AA741" s="215"/>
      <c r="AB741" s="215"/>
      <c r="AC741" s="215"/>
      <c r="AD741" s="215"/>
      <c r="AE741" s="215"/>
      <c r="AF741" s="215"/>
      <c r="AG741" s="215"/>
      <c r="AH741" s="215"/>
      <c r="AI741" s="215"/>
      <c r="AJ741" s="215"/>
      <c r="AK741" s="215"/>
      <c r="AL741" s="215"/>
      <c r="AM741" s="215"/>
      <c r="AN741" s="215"/>
      <c r="AO741" s="215"/>
      <c r="AP741" s="215"/>
      <c r="AQ741" s="215"/>
      <c r="AR741" s="215"/>
      <c r="AS741" s="215"/>
      <c r="AT741" s="215"/>
      <c r="AU741" s="215"/>
      <c r="AV741" s="215"/>
      <c r="AW741" s="215"/>
      <c r="AX741" s="215"/>
      <c r="AY741" s="215"/>
      <c r="AZ741" s="215"/>
      <c r="BA741" s="215"/>
      <c r="BB741" s="215"/>
      <c r="BC741" s="215"/>
      <c r="BD741" s="215"/>
      <c r="BE741" s="215"/>
      <c r="BF741" s="215"/>
      <c r="BG741" s="215"/>
      <c r="BH741" s="215"/>
      <c r="BI741" s="215"/>
      <c r="BJ741" s="215"/>
      <c r="BK741" s="215"/>
      <c r="BL741" s="215"/>
      <c r="BM741" s="215"/>
      <c r="BN741" s="215"/>
      <c r="BO741" s="586"/>
      <c r="BP741" s="215"/>
      <c r="BQ741" s="215"/>
      <c r="BR741" s="215"/>
      <c r="BS741" s="215"/>
      <c r="BT741" s="215"/>
      <c r="BU741" s="215"/>
      <c r="BV741" s="215"/>
      <c r="BW741" s="215"/>
      <c r="BX741" s="215"/>
      <c r="BY741" s="215"/>
      <c r="BZ741" s="215"/>
      <c r="CA741" s="215"/>
      <c r="CB741" s="215"/>
      <c r="CC741" s="92"/>
    </row>
    <row r="742" s="45" customFormat="true" ht="15" hidden="false" customHeight="true" outlineLevel="0" collapsed="false">
      <c r="A742" s="605" t="s">
        <v>678</v>
      </c>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c r="AA742" s="215"/>
      <c r="AB742" s="215"/>
      <c r="AC742" s="215"/>
      <c r="AD742" s="215"/>
      <c r="AE742" s="215"/>
      <c r="AF742" s="215"/>
      <c r="AG742" s="215"/>
      <c r="AH742" s="215"/>
      <c r="AI742" s="215"/>
      <c r="AJ742" s="215"/>
      <c r="AK742" s="215"/>
      <c r="AL742" s="215"/>
      <c r="AM742" s="215"/>
      <c r="AN742" s="215"/>
      <c r="AO742" s="215"/>
      <c r="AP742" s="215"/>
      <c r="AQ742" s="215"/>
      <c r="AR742" s="215"/>
      <c r="AS742" s="215"/>
      <c r="AT742" s="215"/>
      <c r="AU742" s="215"/>
      <c r="AV742" s="215"/>
      <c r="AW742" s="215"/>
      <c r="AX742" s="215"/>
      <c r="AY742" s="215"/>
      <c r="AZ742" s="215"/>
      <c r="BA742" s="215"/>
      <c r="BB742" s="215"/>
      <c r="BC742" s="215"/>
      <c r="BD742" s="215"/>
      <c r="BE742" s="215"/>
      <c r="BF742" s="215"/>
      <c r="BG742" s="215"/>
      <c r="BH742" s="215"/>
      <c r="BI742" s="215"/>
      <c r="BJ742" s="215"/>
      <c r="BK742" s="215"/>
      <c r="BL742" s="215"/>
      <c r="BM742" s="215"/>
      <c r="BN742" s="215"/>
      <c r="BO742" s="586"/>
      <c r="BP742" s="215"/>
      <c r="BQ742" s="215"/>
      <c r="BR742" s="215"/>
      <c r="BS742" s="215"/>
      <c r="BT742" s="215"/>
      <c r="BU742" s="215"/>
      <c r="BV742" s="215"/>
      <c r="BW742" s="215"/>
      <c r="BX742" s="215"/>
      <c r="BY742" s="215"/>
      <c r="BZ742" s="215"/>
      <c r="CA742" s="215"/>
      <c r="CB742" s="215"/>
      <c r="CC742" s="92"/>
    </row>
    <row r="743" s="45" customFormat="true" ht="15" hidden="false" customHeight="true" outlineLevel="0" collapsed="false">
      <c r="A743" s="605" t="s">
        <v>679</v>
      </c>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c r="AA743" s="215"/>
      <c r="AB743" s="215"/>
      <c r="AC743" s="215"/>
      <c r="AD743" s="215"/>
      <c r="AE743" s="215"/>
      <c r="AF743" s="215"/>
      <c r="AG743" s="215"/>
      <c r="AH743" s="215"/>
      <c r="AI743" s="215"/>
      <c r="AJ743" s="215"/>
      <c r="AK743" s="215"/>
      <c r="AL743" s="215"/>
      <c r="AM743" s="215"/>
      <c r="AN743" s="215"/>
      <c r="AO743" s="215"/>
      <c r="AP743" s="215"/>
      <c r="AQ743" s="215"/>
      <c r="AR743" s="215"/>
      <c r="AS743" s="215"/>
      <c r="AT743" s="215"/>
      <c r="AU743" s="215"/>
      <c r="AV743" s="215"/>
      <c r="AW743" s="215"/>
      <c r="AX743" s="215"/>
      <c r="AY743" s="215"/>
      <c r="AZ743" s="215"/>
      <c r="BA743" s="215"/>
      <c r="BB743" s="215"/>
      <c r="BC743" s="215"/>
      <c r="BD743" s="215"/>
      <c r="BE743" s="215"/>
      <c r="BF743" s="215"/>
      <c r="BG743" s="215"/>
      <c r="BH743" s="215"/>
      <c r="BI743" s="215"/>
      <c r="BJ743" s="215"/>
      <c r="BK743" s="215"/>
      <c r="BL743" s="215"/>
      <c r="BM743" s="215"/>
      <c r="BN743" s="215"/>
      <c r="BO743" s="586"/>
      <c r="BP743" s="215"/>
      <c r="BQ743" s="215"/>
      <c r="BR743" s="215"/>
      <c r="BS743" s="215"/>
      <c r="BT743" s="215"/>
      <c r="BU743" s="215"/>
      <c r="BV743" s="215"/>
      <c r="BW743" s="215"/>
      <c r="BX743" s="215"/>
      <c r="BY743" s="215"/>
      <c r="BZ743" s="215"/>
      <c r="CA743" s="215"/>
      <c r="CB743" s="215"/>
      <c r="CC743" s="92"/>
    </row>
    <row r="744" s="45" customFormat="true" ht="15" hidden="false" customHeight="true" outlineLevel="0" collapsed="false">
      <c r="A744" s="605" t="s">
        <v>680</v>
      </c>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c r="AA744" s="215"/>
      <c r="AB744" s="215"/>
      <c r="AC744" s="215"/>
      <c r="AD744" s="215"/>
      <c r="AE744" s="215"/>
      <c r="AF744" s="215"/>
      <c r="AG744" s="215"/>
      <c r="AH744" s="215"/>
      <c r="AI744" s="215"/>
      <c r="AJ744" s="215"/>
      <c r="AK744" s="215"/>
      <c r="AL744" s="215"/>
      <c r="AM744" s="215"/>
      <c r="AN744" s="215"/>
      <c r="AO744" s="215"/>
      <c r="AP744" s="215"/>
      <c r="AQ744" s="215"/>
      <c r="AR744" s="215"/>
      <c r="AS744" s="215"/>
      <c r="AT744" s="215"/>
      <c r="AU744" s="215"/>
      <c r="AV744" s="215"/>
      <c r="AW744" s="215"/>
      <c r="AX744" s="215"/>
      <c r="AY744" s="215"/>
      <c r="AZ744" s="215"/>
      <c r="BA744" s="215"/>
      <c r="BB744" s="215"/>
      <c r="BC744" s="215"/>
      <c r="BD744" s="215"/>
      <c r="BE744" s="215"/>
      <c r="BF744" s="215"/>
      <c r="BG744" s="215"/>
      <c r="BH744" s="215"/>
      <c r="BI744" s="215"/>
      <c r="BJ744" s="215"/>
      <c r="BK744" s="215"/>
      <c r="BL744" s="215"/>
      <c r="BM744" s="215"/>
      <c r="BN744" s="215"/>
      <c r="BO744" s="586"/>
      <c r="BP744" s="215"/>
      <c r="BQ744" s="215"/>
      <c r="BR744" s="215"/>
      <c r="BS744" s="215"/>
      <c r="BT744" s="215"/>
      <c r="BU744" s="215"/>
      <c r="BV744" s="215"/>
      <c r="BW744" s="215"/>
      <c r="BX744" s="215"/>
      <c r="BY744" s="215"/>
      <c r="BZ744" s="215"/>
      <c r="CA744" s="215"/>
      <c r="CB744" s="215"/>
      <c r="CC744" s="92"/>
    </row>
    <row r="745" s="45" customFormat="true" ht="15" hidden="false" customHeight="true" outlineLevel="0" collapsed="false">
      <c r="A745" s="605" t="s">
        <v>681</v>
      </c>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c r="AA745" s="215"/>
      <c r="AB745" s="215"/>
      <c r="AC745" s="215"/>
      <c r="AD745" s="215"/>
      <c r="AE745" s="215"/>
      <c r="AF745" s="215"/>
      <c r="AG745" s="215"/>
      <c r="AH745" s="215"/>
      <c r="AI745" s="215"/>
      <c r="AJ745" s="215"/>
      <c r="AK745" s="215"/>
      <c r="AL745" s="215"/>
      <c r="AM745" s="215"/>
      <c r="AN745" s="215"/>
      <c r="AO745" s="215"/>
      <c r="AP745" s="215"/>
      <c r="AQ745" s="215"/>
      <c r="AR745" s="215"/>
      <c r="AS745" s="215"/>
      <c r="AT745" s="215"/>
      <c r="AU745" s="215"/>
      <c r="AV745" s="215"/>
      <c r="AW745" s="215"/>
      <c r="AX745" s="215"/>
      <c r="AY745" s="215"/>
      <c r="AZ745" s="215"/>
      <c r="BA745" s="215"/>
      <c r="BB745" s="215"/>
      <c r="BC745" s="215"/>
      <c r="BD745" s="215"/>
      <c r="BE745" s="215"/>
      <c r="BF745" s="215"/>
      <c r="BG745" s="215"/>
      <c r="BH745" s="215"/>
      <c r="BI745" s="215"/>
      <c r="BJ745" s="215"/>
      <c r="BK745" s="215"/>
      <c r="BL745" s="215"/>
      <c r="BM745" s="215"/>
      <c r="BN745" s="215"/>
      <c r="BO745" s="586"/>
      <c r="BP745" s="215"/>
      <c r="BQ745" s="215"/>
      <c r="BR745" s="215"/>
      <c r="BS745" s="215"/>
      <c r="BT745" s="215"/>
      <c r="BU745" s="215"/>
      <c r="BV745" s="215"/>
      <c r="BW745" s="215"/>
      <c r="BX745" s="215"/>
      <c r="BY745" s="215"/>
      <c r="BZ745" s="215"/>
      <c r="CA745" s="215"/>
      <c r="CB745" s="215"/>
      <c r="CC745" s="92"/>
    </row>
    <row r="746" s="45" customFormat="true" ht="15" hidden="false" customHeight="true" outlineLevel="0" collapsed="false">
      <c r="A746" s="605" t="s">
        <v>682</v>
      </c>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c r="AA746" s="215"/>
      <c r="AB746" s="215"/>
      <c r="AC746" s="215"/>
      <c r="AD746" s="215"/>
      <c r="AE746" s="215"/>
      <c r="AF746" s="215"/>
      <c r="AG746" s="215"/>
      <c r="AH746" s="215"/>
      <c r="AI746" s="215"/>
      <c r="AJ746" s="215"/>
      <c r="AK746" s="215"/>
      <c r="AL746" s="215"/>
      <c r="AM746" s="215"/>
      <c r="AN746" s="215"/>
      <c r="AO746" s="215"/>
      <c r="AP746" s="215"/>
      <c r="AQ746" s="215"/>
      <c r="AR746" s="215"/>
      <c r="AS746" s="215"/>
      <c r="AT746" s="215"/>
      <c r="AU746" s="215"/>
      <c r="AV746" s="215"/>
      <c r="AW746" s="215"/>
      <c r="AX746" s="215"/>
      <c r="AY746" s="215"/>
      <c r="AZ746" s="215"/>
      <c r="BA746" s="215"/>
      <c r="BB746" s="215"/>
      <c r="BC746" s="215"/>
      <c r="BD746" s="215"/>
      <c r="BE746" s="215"/>
      <c r="BF746" s="215"/>
      <c r="BG746" s="215"/>
      <c r="BH746" s="215"/>
      <c r="BI746" s="215"/>
      <c r="BJ746" s="215"/>
      <c r="BK746" s="215"/>
      <c r="BL746" s="215"/>
      <c r="BM746" s="215"/>
      <c r="BN746" s="215"/>
      <c r="BO746" s="586"/>
      <c r="BP746" s="215"/>
      <c r="BQ746" s="215"/>
      <c r="BR746" s="215"/>
      <c r="BS746" s="215"/>
      <c r="BT746" s="215"/>
      <c r="BU746" s="215"/>
      <c r="BV746" s="215"/>
      <c r="BW746" s="215"/>
      <c r="BX746" s="215"/>
      <c r="BY746" s="215"/>
      <c r="BZ746" s="215"/>
      <c r="CA746" s="215"/>
      <c r="CB746" s="215"/>
      <c r="CC746" s="92"/>
    </row>
    <row r="747" s="45" customFormat="true" ht="15" hidden="false" customHeight="true" outlineLevel="0" collapsed="false">
      <c r="A747" s="605" t="s">
        <v>683</v>
      </c>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c r="AA747" s="215"/>
      <c r="AB747" s="215"/>
      <c r="AC747" s="215"/>
      <c r="AD747" s="215"/>
      <c r="AE747" s="215"/>
      <c r="AF747" s="215"/>
      <c r="AG747" s="215"/>
      <c r="AH747" s="215"/>
      <c r="AI747" s="215"/>
      <c r="AJ747" s="215"/>
      <c r="AK747" s="215"/>
      <c r="AL747" s="215"/>
      <c r="AM747" s="215"/>
      <c r="AN747" s="215"/>
      <c r="AO747" s="215"/>
      <c r="AP747" s="215"/>
      <c r="AQ747" s="215"/>
      <c r="AR747" s="215"/>
      <c r="AS747" s="215"/>
      <c r="AT747" s="215"/>
      <c r="AU747" s="215"/>
      <c r="AV747" s="215"/>
      <c r="AW747" s="215"/>
      <c r="AX747" s="215"/>
      <c r="AY747" s="215"/>
      <c r="AZ747" s="215"/>
      <c r="BA747" s="215"/>
      <c r="BB747" s="215"/>
      <c r="BC747" s="215"/>
      <c r="BD747" s="215"/>
      <c r="BE747" s="215"/>
      <c r="BF747" s="215"/>
      <c r="BG747" s="215"/>
      <c r="BH747" s="215"/>
      <c r="BI747" s="215"/>
      <c r="BJ747" s="215"/>
      <c r="BK747" s="215"/>
      <c r="BL747" s="215"/>
      <c r="BM747" s="215"/>
      <c r="BN747" s="215"/>
      <c r="BO747" s="586"/>
      <c r="BP747" s="215"/>
      <c r="BQ747" s="215"/>
      <c r="BR747" s="215"/>
      <c r="BS747" s="215"/>
      <c r="BT747" s="215"/>
      <c r="BU747" s="215"/>
      <c r="BV747" s="215"/>
      <c r="BW747" s="215"/>
      <c r="BX747" s="215"/>
      <c r="BY747" s="215"/>
      <c r="BZ747" s="215"/>
      <c r="CA747" s="215"/>
      <c r="CB747" s="215"/>
      <c r="CC747" s="92"/>
    </row>
    <row r="748" s="45" customFormat="true" ht="15" hidden="false" customHeight="true" outlineLevel="0" collapsed="false">
      <c r="A748" s="605" t="s">
        <v>684</v>
      </c>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c r="AA748" s="215"/>
      <c r="AB748" s="215"/>
      <c r="AC748" s="215"/>
      <c r="AD748" s="215"/>
      <c r="AE748" s="215"/>
      <c r="AF748" s="215"/>
      <c r="AG748" s="215"/>
      <c r="AH748" s="215"/>
      <c r="AI748" s="215"/>
      <c r="AJ748" s="215"/>
      <c r="AK748" s="215"/>
      <c r="AL748" s="215"/>
      <c r="AM748" s="215"/>
      <c r="AN748" s="215"/>
      <c r="AO748" s="215"/>
      <c r="AP748" s="215"/>
      <c r="AQ748" s="215"/>
      <c r="AR748" s="215"/>
      <c r="AS748" s="215"/>
      <c r="AT748" s="215"/>
      <c r="AU748" s="215"/>
      <c r="AV748" s="215"/>
      <c r="AW748" s="215"/>
      <c r="AX748" s="215"/>
      <c r="AY748" s="215"/>
      <c r="AZ748" s="215"/>
      <c r="BA748" s="215"/>
      <c r="BB748" s="215"/>
      <c r="BC748" s="215"/>
      <c r="BD748" s="215"/>
      <c r="BE748" s="215"/>
      <c r="BF748" s="215"/>
      <c r="BG748" s="215"/>
      <c r="BH748" s="215"/>
      <c r="BI748" s="215"/>
      <c r="BJ748" s="215"/>
      <c r="BK748" s="215"/>
      <c r="BL748" s="215"/>
      <c r="BM748" s="215"/>
      <c r="BN748" s="215"/>
      <c r="BO748" s="586"/>
      <c r="BP748" s="215"/>
      <c r="BQ748" s="215"/>
      <c r="BR748" s="215"/>
      <c r="BS748" s="215"/>
      <c r="BT748" s="215"/>
      <c r="BU748" s="215"/>
      <c r="BV748" s="215"/>
      <c r="BW748" s="215"/>
      <c r="BX748" s="215"/>
      <c r="BY748" s="215"/>
      <c r="BZ748" s="215"/>
      <c r="CA748" s="215"/>
      <c r="CB748" s="215"/>
      <c r="CC748" s="92"/>
    </row>
    <row r="749" s="45" customFormat="true" ht="15" hidden="false" customHeight="true" outlineLevel="0" collapsed="false">
      <c r="A749" s="605" t="s">
        <v>685</v>
      </c>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c r="AA749" s="215"/>
      <c r="AB749" s="215"/>
      <c r="AC749" s="215"/>
      <c r="AD749" s="215"/>
      <c r="AE749" s="215"/>
      <c r="AF749" s="215"/>
      <c r="AG749" s="215"/>
      <c r="AH749" s="215"/>
      <c r="AI749" s="215"/>
      <c r="AJ749" s="215"/>
      <c r="AK749" s="215"/>
      <c r="AL749" s="215"/>
      <c r="AM749" s="215"/>
      <c r="AN749" s="215"/>
      <c r="AO749" s="215"/>
      <c r="AP749" s="215"/>
      <c r="AQ749" s="215"/>
      <c r="AR749" s="215"/>
      <c r="AS749" s="215"/>
      <c r="AT749" s="215"/>
      <c r="AU749" s="215"/>
      <c r="AV749" s="215"/>
      <c r="AW749" s="215"/>
      <c r="AX749" s="215"/>
      <c r="AY749" s="215"/>
      <c r="AZ749" s="215"/>
      <c r="BA749" s="215"/>
      <c r="BB749" s="215"/>
      <c r="BC749" s="215"/>
      <c r="BD749" s="215"/>
      <c r="BE749" s="215"/>
      <c r="BF749" s="215"/>
      <c r="BG749" s="215"/>
      <c r="BH749" s="215"/>
      <c r="BI749" s="215"/>
      <c r="BJ749" s="215"/>
      <c r="BK749" s="215"/>
      <c r="BL749" s="215"/>
      <c r="BM749" s="215"/>
      <c r="BN749" s="215"/>
      <c r="BO749" s="586"/>
      <c r="BP749" s="215"/>
      <c r="BQ749" s="215"/>
      <c r="BR749" s="215"/>
      <c r="BS749" s="215"/>
      <c r="BT749" s="215"/>
      <c r="BU749" s="215"/>
      <c r="BV749" s="215"/>
      <c r="BW749" s="215"/>
      <c r="BX749" s="215"/>
      <c r="BY749" s="215"/>
      <c r="BZ749" s="215"/>
      <c r="CA749" s="215"/>
      <c r="CB749" s="215"/>
      <c r="CC749" s="92"/>
    </row>
    <row r="750" s="45" customFormat="true" ht="15" hidden="false" customHeight="true" outlineLevel="0" collapsed="false">
      <c r="A750" s="605" t="s">
        <v>686</v>
      </c>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c r="AA750" s="215"/>
      <c r="AB750" s="215"/>
      <c r="AC750" s="215"/>
      <c r="AD750" s="215"/>
      <c r="AE750" s="215"/>
      <c r="AF750" s="215"/>
      <c r="AG750" s="215"/>
      <c r="AH750" s="215"/>
      <c r="AI750" s="215"/>
      <c r="AJ750" s="215"/>
      <c r="AK750" s="215"/>
      <c r="AL750" s="215"/>
      <c r="AM750" s="215"/>
      <c r="AN750" s="215"/>
      <c r="AO750" s="215"/>
      <c r="AP750" s="215"/>
      <c r="AQ750" s="215"/>
      <c r="AR750" s="215"/>
      <c r="AS750" s="215"/>
      <c r="AT750" s="215"/>
      <c r="AU750" s="215"/>
      <c r="AV750" s="215"/>
      <c r="AW750" s="215"/>
      <c r="AX750" s="215"/>
      <c r="AY750" s="215"/>
      <c r="AZ750" s="215"/>
      <c r="BA750" s="215"/>
      <c r="BB750" s="215"/>
      <c r="BC750" s="215"/>
      <c r="BD750" s="215"/>
      <c r="BE750" s="215"/>
      <c r="BF750" s="215"/>
      <c r="BG750" s="215"/>
      <c r="BH750" s="215"/>
      <c r="BI750" s="215"/>
      <c r="BJ750" s="215"/>
      <c r="BK750" s="215"/>
      <c r="BL750" s="215"/>
      <c r="BM750" s="215"/>
      <c r="BN750" s="215"/>
      <c r="BO750" s="586"/>
      <c r="BP750" s="215"/>
      <c r="BQ750" s="215"/>
      <c r="BR750" s="215"/>
      <c r="BS750" s="215"/>
      <c r="BT750" s="215"/>
      <c r="BU750" s="215"/>
      <c r="BV750" s="215"/>
      <c r="BW750" s="215"/>
      <c r="BX750" s="215"/>
      <c r="BY750" s="215"/>
      <c r="BZ750" s="215"/>
      <c r="CA750" s="215"/>
      <c r="CB750" s="215"/>
      <c r="CC750" s="92"/>
    </row>
    <row r="751" s="45" customFormat="true" ht="15" hidden="false" customHeight="true" outlineLevel="0" collapsed="false">
      <c r="A751" s="605" t="s">
        <v>687</v>
      </c>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c r="AA751" s="215"/>
      <c r="AB751" s="215"/>
      <c r="AC751" s="215"/>
      <c r="AD751" s="215"/>
      <c r="AE751" s="215"/>
      <c r="AF751" s="215"/>
      <c r="AG751" s="215"/>
      <c r="AH751" s="215"/>
      <c r="AI751" s="215"/>
      <c r="AJ751" s="215"/>
      <c r="AK751" s="215"/>
      <c r="AL751" s="215"/>
      <c r="AM751" s="215"/>
      <c r="AN751" s="215"/>
      <c r="AO751" s="215"/>
      <c r="AP751" s="215"/>
      <c r="AQ751" s="215"/>
      <c r="AR751" s="215"/>
      <c r="AS751" s="215"/>
      <c r="AT751" s="215"/>
      <c r="AU751" s="215"/>
      <c r="AV751" s="215"/>
      <c r="AW751" s="215"/>
      <c r="AX751" s="215"/>
      <c r="AY751" s="215"/>
      <c r="AZ751" s="215"/>
      <c r="BA751" s="215"/>
      <c r="BB751" s="215"/>
      <c r="BC751" s="215"/>
      <c r="BD751" s="215"/>
      <c r="BE751" s="215"/>
      <c r="BF751" s="215"/>
      <c r="BG751" s="215"/>
      <c r="BH751" s="215"/>
      <c r="BI751" s="215"/>
      <c r="BJ751" s="215"/>
      <c r="BK751" s="215"/>
      <c r="BL751" s="215"/>
      <c r="BM751" s="215"/>
      <c r="BN751" s="215"/>
      <c r="BO751" s="586"/>
      <c r="BP751" s="215"/>
      <c r="BQ751" s="215"/>
      <c r="BR751" s="215"/>
      <c r="BS751" s="215"/>
      <c r="BT751" s="215"/>
      <c r="BU751" s="215"/>
      <c r="BV751" s="215"/>
      <c r="BW751" s="215"/>
      <c r="BX751" s="215"/>
      <c r="BY751" s="215"/>
      <c r="BZ751" s="215"/>
      <c r="CA751" s="215"/>
      <c r="CB751" s="215"/>
      <c r="CC751" s="92"/>
    </row>
    <row r="752" s="45" customFormat="true" ht="15" hidden="false" customHeight="true" outlineLevel="0" collapsed="false">
      <c r="A752" s="605" t="s">
        <v>688</v>
      </c>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c r="AA752" s="215"/>
      <c r="AB752" s="215"/>
      <c r="AC752" s="215"/>
      <c r="AD752" s="215"/>
      <c r="AE752" s="215"/>
      <c r="AF752" s="215"/>
      <c r="AG752" s="215"/>
      <c r="AH752" s="215"/>
      <c r="AI752" s="215"/>
      <c r="AJ752" s="215"/>
      <c r="AK752" s="215"/>
      <c r="AL752" s="215"/>
      <c r="AM752" s="215"/>
      <c r="AN752" s="215"/>
      <c r="AO752" s="215"/>
      <c r="AP752" s="215"/>
      <c r="AQ752" s="215"/>
      <c r="AR752" s="215"/>
      <c r="AS752" s="215"/>
      <c r="AT752" s="215"/>
      <c r="AU752" s="215"/>
      <c r="AV752" s="215"/>
      <c r="AW752" s="215"/>
      <c r="AX752" s="215"/>
      <c r="AY752" s="215"/>
      <c r="AZ752" s="215"/>
      <c r="BA752" s="215"/>
      <c r="BB752" s="215"/>
      <c r="BC752" s="215"/>
      <c r="BD752" s="215"/>
      <c r="BE752" s="215"/>
      <c r="BF752" s="215"/>
      <c r="BG752" s="215"/>
      <c r="BH752" s="215"/>
      <c r="BI752" s="215"/>
      <c r="BJ752" s="215"/>
      <c r="BK752" s="215"/>
      <c r="BL752" s="215"/>
      <c r="BM752" s="215"/>
      <c r="BN752" s="215"/>
      <c r="BO752" s="586"/>
      <c r="BP752" s="215"/>
      <c r="BQ752" s="215"/>
      <c r="BR752" s="215"/>
      <c r="BS752" s="215"/>
      <c r="BT752" s="215"/>
      <c r="BU752" s="215"/>
      <c r="BV752" s="215"/>
      <c r="BW752" s="215"/>
      <c r="BX752" s="215"/>
      <c r="BY752" s="215"/>
      <c r="BZ752" s="215"/>
      <c r="CA752" s="215"/>
      <c r="CB752" s="215"/>
      <c r="CC752" s="92"/>
    </row>
    <row r="753" s="45" customFormat="true" ht="15" hidden="false" customHeight="true" outlineLevel="0" collapsed="false">
      <c r="A753" s="605" t="s">
        <v>689</v>
      </c>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c r="AA753" s="215"/>
      <c r="AB753" s="215"/>
      <c r="AC753" s="215"/>
      <c r="AD753" s="215"/>
      <c r="AE753" s="215"/>
      <c r="AF753" s="215"/>
      <c r="AG753" s="215"/>
      <c r="AH753" s="215"/>
      <c r="AI753" s="215"/>
      <c r="AJ753" s="215"/>
      <c r="AK753" s="215"/>
      <c r="AL753" s="215"/>
      <c r="AM753" s="215"/>
      <c r="AN753" s="215"/>
      <c r="AO753" s="215"/>
      <c r="AP753" s="215"/>
      <c r="AQ753" s="215"/>
      <c r="AR753" s="215"/>
      <c r="AS753" s="215"/>
      <c r="AT753" s="215"/>
      <c r="AU753" s="215"/>
      <c r="AV753" s="215"/>
      <c r="AW753" s="215"/>
      <c r="AX753" s="215"/>
      <c r="AY753" s="215"/>
      <c r="AZ753" s="215"/>
      <c r="BA753" s="215"/>
      <c r="BB753" s="215"/>
      <c r="BC753" s="215"/>
      <c r="BD753" s="215"/>
      <c r="BE753" s="215"/>
      <c r="BF753" s="215"/>
      <c r="BG753" s="215"/>
      <c r="BH753" s="215"/>
      <c r="BI753" s="215"/>
      <c r="BJ753" s="215"/>
      <c r="BK753" s="215"/>
      <c r="BL753" s="215"/>
      <c r="BM753" s="215"/>
      <c r="BN753" s="215"/>
      <c r="BO753" s="586"/>
      <c r="BP753" s="215"/>
      <c r="BQ753" s="215"/>
      <c r="BR753" s="215"/>
      <c r="BS753" s="215"/>
      <c r="BT753" s="215"/>
      <c r="BU753" s="215"/>
      <c r="BV753" s="215"/>
      <c r="BW753" s="215"/>
      <c r="BX753" s="215"/>
      <c r="BY753" s="215"/>
      <c r="BZ753" s="215"/>
      <c r="CA753" s="215"/>
      <c r="CB753" s="215"/>
      <c r="CC753" s="92"/>
    </row>
    <row r="754" s="45" customFormat="true" ht="15" hidden="false" customHeight="true" outlineLevel="0" collapsed="false">
      <c r="A754" s="605" t="s">
        <v>690</v>
      </c>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c r="AA754" s="215"/>
      <c r="AB754" s="215"/>
      <c r="AC754" s="215"/>
      <c r="AD754" s="215"/>
      <c r="AE754" s="215"/>
      <c r="AF754" s="215"/>
      <c r="AG754" s="215"/>
      <c r="AH754" s="215"/>
      <c r="AI754" s="215"/>
      <c r="AJ754" s="215"/>
      <c r="AK754" s="215"/>
      <c r="AL754" s="215"/>
      <c r="AM754" s="215"/>
      <c r="AN754" s="215"/>
      <c r="AO754" s="215"/>
      <c r="AP754" s="215"/>
      <c r="AQ754" s="215"/>
      <c r="AR754" s="215"/>
      <c r="AS754" s="215"/>
      <c r="AT754" s="215"/>
      <c r="AU754" s="215"/>
      <c r="AV754" s="215"/>
      <c r="AW754" s="215"/>
      <c r="AX754" s="215"/>
      <c r="AY754" s="215"/>
      <c r="AZ754" s="215"/>
      <c r="BA754" s="215"/>
      <c r="BB754" s="215"/>
      <c r="BC754" s="215"/>
      <c r="BD754" s="215"/>
      <c r="BE754" s="215"/>
      <c r="BF754" s="215"/>
      <c r="BG754" s="215"/>
      <c r="BH754" s="215"/>
      <c r="BI754" s="215"/>
      <c r="BJ754" s="215"/>
      <c r="BK754" s="215"/>
      <c r="BL754" s="215"/>
      <c r="BM754" s="215"/>
      <c r="BN754" s="215"/>
      <c r="BO754" s="586"/>
      <c r="BP754" s="215"/>
      <c r="BQ754" s="215"/>
      <c r="BR754" s="215"/>
      <c r="BS754" s="215"/>
      <c r="BT754" s="215"/>
      <c r="BU754" s="215"/>
      <c r="BV754" s="215"/>
      <c r="BW754" s="215"/>
      <c r="BX754" s="215"/>
      <c r="BY754" s="215"/>
      <c r="BZ754" s="215"/>
      <c r="CA754" s="215"/>
      <c r="CB754" s="215"/>
      <c r="CC754" s="92"/>
    </row>
    <row r="755" s="45" customFormat="true" ht="15" hidden="false" customHeight="true" outlineLevel="0" collapsed="false">
      <c r="A755" s="605" t="s">
        <v>691</v>
      </c>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c r="AA755" s="215"/>
      <c r="AB755" s="215"/>
      <c r="AC755" s="215"/>
      <c r="AD755" s="215"/>
      <c r="AE755" s="215"/>
      <c r="AF755" s="215"/>
      <c r="AG755" s="215"/>
      <c r="AH755" s="215"/>
      <c r="AI755" s="215"/>
      <c r="AJ755" s="215"/>
      <c r="AK755" s="215"/>
      <c r="AL755" s="215"/>
      <c r="AM755" s="215"/>
      <c r="AN755" s="215"/>
      <c r="AO755" s="215"/>
      <c r="AP755" s="215"/>
      <c r="AQ755" s="215"/>
      <c r="AR755" s="215"/>
      <c r="AS755" s="215"/>
      <c r="AT755" s="215"/>
      <c r="AU755" s="215"/>
      <c r="AV755" s="215"/>
      <c r="AW755" s="215"/>
      <c r="AX755" s="215"/>
      <c r="AY755" s="215"/>
      <c r="AZ755" s="215"/>
      <c r="BA755" s="215"/>
      <c r="BB755" s="215"/>
      <c r="BC755" s="215"/>
      <c r="BD755" s="215"/>
      <c r="BE755" s="215"/>
      <c r="BF755" s="215"/>
      <c r="BG755" s="215"/>
      <c r="BH755" s="215"/>
      <c r="BI755" s="215"/>
      <c r="BJ755" s="215"/>
      <c r="BK755" s="215"/>
      <c r="BL755" s="215"/>
      <c r="BM755" s="215"/>
      <c r="BN755" s="215"/>
      <c r="BO755" s="586"/>
      <c r="BP755" s="215"/>
      <c r="BQ755" s="215"/>
      <c r="BR755" s="215"/>
      <c r="BS755" s="215"/>
      <c r="BT755" s="215"/>
      <c r="BU755" s="215"/>
      <c r="BV755" s="215"/>
      <c r="BW755" s="215"/>
      <c r="BX755" s="215"/>
      <c r="BY755" s="215"/>
      <c r="BZ755" s="215"/>
      <c r="CA755" s="215"/>
      <c r="CB755" s="215"/>
      <c r="CC755" s="92"/>
    </row>
    <row r="756" s="45" customFormat="true" ht="15" hidden="false" customHeight="true" outlineLevel="0" collapsed="false">
      <c r="A756" s="605" t="s">
        <v>692</v>
      </c>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c r="AA756" s="215"/>
      <c r="AB756" s="215"/>
      <c r="AC756" s="215"/>
      <c r="AD756" s="215"/>
      <c r="AE756" s="215"/>
      <c r="AF756" s="215"/>
      <c r="AG756" s="215"/>
      <c r="AH756" s="215"/>
      <c r="AI756" s="215"/>
      <c r="AJ756" s="215"/>
      <c r="AK756" s="215"/>
      <c r="AL756" s="215"/>
      <c r="AM756" s="215"/>
      <c r="AN756" s="215"/>
      <c r="AO756" s="215"/>
      <c r="AP756" s="215"/>
      <c r="AQ756" s="215"/>
      <c r="AR756" s="215"/>
      <c r="AS756" s="215"/>
      <c r="AT756" s="215"/>
      <c r="AU756" s="215"/>
      <c r="AV756" s="215"/>
      <c r="AW756" s="215"/>
      <c r="AX756" s="215"/>
      <c r="AY756" s="215"/>
      <c r="AZ756" s="215"/>
      <c r="BA756" s="215"/>
      <c r="BB756" s="215"/>
      <c r="BC756" s="215"/>
      <c r="BD756" s="215"/>
      <c r="BE756" s="215"/>
      <c r="BF756" s="215"/>
      <c r="BG756" s="215"/>
      <c r="BH756" s="215"/>
      <c r="BI756" s="215"/>
      <c r="BJ756" s="215"/>
      <c r="BK756" s="215"/>
      <c r="BL756" s="215"/>
      <c r="BM756" s="215"/>
      <c r="BN756" s="215"/>
      <c r="BO756" s="586"/>
      <c r="BP756" s="215"/>
      <c r="BQ756" s="215"/>
      <c r="BR756" s="215"/>
      <c r="BS756" s="215"/>
      <c r="BT756" s="215"/>
      <c r="BU756" s="215"/>
      <c r="BV756" s="215"/>
      <c r="BW756" s="215"/>
      <c r="BX756" s="215"/>
      <c r="BY756" s="215"/>
      <c r="BZ756" s="215"/>
      <c r="CA756" s="215"/>
      <c r="CB756" s="215"/>
      <c r="CC756" s="92"/>
    </row>
    <row r="757" s="45" customFormat="true" ht="15" hidden="false" customHeight="true" outlineLevel="0" collapsed="false">
      <c r="A757" s="603"/>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c r="AA757" s="215"/>
      <c r="AB757" s="215"/>
      <c r="AC757" s="215"/>
      <c r="AD757" s="215"/>
      <c r="AE757" s="215"/>
      <c r="AF757" s="215"/>
      <c r="AG757" s="215"/>
      <c r="AH757" s="215"/>
      <c r="AI757" s="215"/>
      <c r="AJ757" s="215"/>
      <c r="AK757" s="215"/>
      <c r="AL757" s="215"/>
      <c r="AM757" s="215"/>
      <c r="AN757" s="215"/>
      <c r="AO757" s="215"/>
      <c r="AP757" s="215"/>
      <c r="AQ757" s="215"/>
      <c r="AR757" s="215"/>
      <c r="AS757" s="215"/>
      <c r="AT757" s="215"/>
      <c r="AU757" s="215"/>
      <c r="AV757" s="215"/>
      <c r="AW757" s="215"/>
      <c r="AX757" s="215"/>
      <c r="AY757" s="215"/>
      <c r="AZ757" s="215"/>
      <c r="BA757" s="215"/>
      <c r="BB757" s="215"/>
      <c r="BC757" s="215"/>
      <c r="BD757" s="215"/>
      <c r="BE757" s="215"/>
      <c r="BF757" s="215"/>
      <c r="BG757" s="215"/>
      <c r="BH757" s="215"/>
      <c r="BI757" s="215"/>
      <c r="BJ757" s="215"/>
      <c r="BK757" s="215"/>
      <c r="BL757" s="215"/>
      <c r="BM757" s="215"/>
      <c r="BN757" s="215"/>
      <c r="BO757" s="586"/>
      <c r="BP757" s="215"/>
      <c r="BQ757" s="215"/>
      <c r="BR757" s="215"/>
      <c r="BS757" s="215"/>
      <c r="BT757" s="215"/>
      <c r="BU757" s="215"/>
      <c r="BV757" s="215"/>
      <c r="BW757" s="215"/>
      <c r="BX757" s="215"/>
      <c r="BY757" s="215"/>
      <c r="BZ757" s="215"/>
      <c r="CA757" s="215"/>
      <c r="CB757" s="215"/>
      <c r="CC757" s="92"/>
    </row>
    <row r="758" s="45" customFormat="true" ht="15" hidden="false" customHeight="true" outlineLevel="0" collapsed="false">
      <c r="A758" s="251"/>
      <c r="B758" s="592"/>
      <c r="C758" s="592"/>
      <c r="D758" s="592"/>
      <c r="E758" s="592"/>
      <c r="F758" s="592"/>
      <c r="G758" s="592"/>
      <c r="H758" s="592"/>
      <c r="I758" s="592"/>
      <c r="J758" s="592"/>
      <c r="K758" s="592"/>
      <c r="L758" s="592"/>
      <c r="M758" s="592"/>
      <c r="N758" s="592"/>
      <c r="O758" s="592"/>
      <c r="P758" s="592"/>
      <c r="Q758" s="592"/>
      <c r="R758" s="592"/>
      <c r="S758" s="592"/>
      <c r="T758" s="592"/>
      <c r="U758" s="592"/>
      <c r="V758" s="592"/>
      <c r="W758" s="592"/>
      <c r="X758" s="592"/>
      <c r="Y758" s="592"/>
      <c r="Z758" s="592"/>
      <c r="AA758" s="592"/>
      <c r="AB758" s="592"/>
      <c r="AC758" s="592"/>
      <c r="AD758" s="592"/>
      <c r="AE758" s="592"/>
      <c r="AF758" s="592"/>
      <c r="AG758" s="592"/>
      <c r="AH758" s="592"/>
      <c r="AI758" s="592"/>
      <c r="AJ758" s="592"/>
      <c r="AK758" s="592"/>
      <c r="AL758" s="592"/>
      <c r="AM758" s="592"/>
      <c r="AN758" s="592"/>
      <c r="AO758" s="592"/>
      <c r="AP758" s="592"/>
      <c r="AQ758" s="592"/>
      <c r="AR758" s="592"/>
      <c r="AS758" s="592"/>
      <c r="AT758" s="592"/>
      <c r="AU758" s="592"/>
      <c r="AV758" s="592"/>
      <c r="AW758" s="592"/>
      <c r="AX758" s="592"/>
      <c r="AY758" s="592"/>
      <c r="AZ758" s="592"/>
      <c r="BA758" s="592"/>
      <c r="BB758" s="592"/>
      <c r="BC758" s="592"/>
      <c r="BD758" s="592"/>
      <c r="BE758" s="592"/>
      <c r="BF758" s="592"/>
      <c r="BG758" s="592"/>
      <c r="BH758" s="592"/>
      <c r="BI758" s="592"/>
      <c r="BJ758" s="592"/>
      <c r="BK758" s="592"/>
      <c r="BL758" s="592"/>
      <c r="BM758" s="592"/>
      <c r="BN758" s="592"/>
      <c r="BO758" s="606"/>
      <c r="BP758" s="592"/>
      <c r="BQ758" s="592"/>
      <c r="BR758" s="592"/>
      <c r="BS758" s="592"/>
      <c r="BT758" s="592"/>
      <c r="BU758" s="592"/>
      <c r="BV758" s="592"/>
      <c r="BW758" s="592"/>
      <c r="BX758" s="592"/>
      <c r="BY758" s="592"/>
      <c r="BZ758" s="592"/>
      <c r="CA758" s="592"/>
      <c r="CB758" s="592"/>
      <c r="CC758" s="92"/>
    </row>
    <row r="759" s="45" customFormat="true" ht="15" hidden="false" customHeight="true" outlineLevel="0" collapsed="false">
      <c r="A759" s="151" t="s">
        <v>693</v>
      </c>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c r="AA759" s="600"/>
      <c r="AB759" s="600"/>
      <c r="AC759" s="600"/>
      <c r="AD759" s="600"/>
      <c r="AE759" s="600"/>
      <c r="AF759" s="600"/>
      <c r="AG759" s="600"/>
      <c r="AH759" s="600"/>
      <c r="AI759" s="600"/>
      <c r="AJ759" s="600"/>
      <c r="AK759" s="600"/>
      <c r="AL759" s="600"/>
      <c r="AM759" s="600"/>
      <c r="AN759" s="600"/>
      <c r="AO759" s="600"/>
      <c r="AP759" s="600"/>
      <c r="AQ759" s="600"/>
      <c r="AR759" s="600"/>
      <c r="AS759" s="600"/>
      <c r="AT759" s="600"/>
      <c r="AU759" s="600"/>
      <c r="AV759" s="600"/>
      <c r="AW759" s="600"/>
      <c r="AX759" s="600"/>
      <c r="AY759" s="600"/>
      <c r="AZ759" s="600"/>
      <c r="BA759" s="600"/>
      <c r="BB759" s="600"/>
      <c r="BC759" s="600"/>
      <c r="BD759" s="600"/>
      <c r="BE759" s="600"/>
      <c r="BF759" s="600"/>
      <c r="BG759" s="600"/>
      <c r="BH759" s="600"/>
      <c r="BI759" s="600"/>
      <c r="BJ759" s="600"/>
      <c r="BK759" s="600"/>
      <c r="BL759" s="600"/>
      <c r="BM759" s="600"/>
      <c r="BN759" s="600"/>
      <c r="BO759" s="607"/>
      <c r="BP759" s="600"/>
      <c r="BQ759" s="600"/>
      <c r="BR759" s="600"/>
      <c r="BS759" s="600"/>
      <c r="BT759" s="600"/>
      <c r="BU759" s="600"/>
      <c r="BV759" s="600"/>
      <c r="BW759" s="600"/>
      <c r="BX759" s="600"/>
      <c r="BY759" s="600"/>
      <c r="BZ759" s="600"/>
      <c r="CA759" s="600"/>
      <c r="CB759" s="608"/>
      <c r="CC759" s="92"/>
    </row>
    <row r="760" s="45" customFormat="true" ht="15" hidden="false" customHeight="true" outlineLevel="0" collapsed="false">
      <c r="A760" s="252" t="s">
        <v>694</v>
      </c>
      <c r="B760" s="215"/>
      <c r="C760" s="609"/>
      <c r="D760" s="609"/>
      <c r="E760" s="609"/>
      <c r="F760" s="609"/>
      <c r="G760" s="609"/>
      <c r="H760" s="609"/>
      <c r="I760" s="609"/>
      <c r="J760" s="609"/>
      <c r="K760" s="609"/>
      <c r="L760" s="609"/>
      <c r="M760" s="609"/>
      <c r="N760" s="609"/>
      <c r="O760" s="609"/>
      <c r="P760" s="609"/>
      <c r="Q760" s="609"/>
      <c r="R760" s="609"/>
      <c r="S760" s="609"/>
      <c r="T760" s="609"/>
      <c r="U760" s="609"/>
      <c r="V760" s="609"/>
      <c r="W760" s="609"/>
      <c r="X760" s="609"/>
      <c r="Y760" s="609"/>
      <c r="Z760" s="609"/>
      <c r="AA760" s="609"/>
      <c r="AB760" s="610" t="n">
        <v>43208</v>
      </c>
      <c r="AC760" s="610" t="n">
        <v>43299</v>
      </c>
      <c r="AD760" s="610" t="n">
        <v>43390</v>
      </c>
      <c r="AE760" s="610" t="n">
        <v>43488</v>
      </c>
      <c r="AF760" s="610" t="n">
        <v>43488</v>
      </c>
      <c r="AG760" s="610" t="n">
        <v>43572</v>
      </c>
      <c r="AH760" s="610" t="n">
        <v>43663</v>
      </c>
      <c r="AI760" s="610" t="n">
        <v>43754</v>
      </c>
      <c r="AJ760" s="610" t="n">
        <v>43852</v>
      </c>
      <c r="AK760" s="610" t="n">
        <v>43852</v>
      </c>
      <c r="AL760" s="610" t="n">
        <v>43920</v>
      </c>
      <c r="AM760" s="610" t="n">
        <v>44027</v>
      </c>
      <c r="AN760" s="610" t="n">
        <v>44118</v>
      </c>
      <c r="AO760" s="610" t="n">
        <v>44215</v>
      </c>
      <c r="AP760" s="610" t="n">
        <v>44215</v>
      </c>
      <c r="AQ760" s="610" t="n">
        <v>44306</v>
      </c>
      <c r="AR760" s="610" t="n">
        <v>44397</v>
      </c>
      <c r="AS760" s="610" t="n">
        <v>44488</v>
      </c>
      <c r="AT760" s="610" t="n">
        <v>44580</v>
      </c>
      <c r="AU760" s="610" t="n">
        <v>44580</v>
      </c>
      <c r="AV760" s="610" t="n">
        <v>44671</v>
      </c>
      <c r="AW760" s="610" t="n">
        <v>44762</v>
      </c>
      <c r="AX760" s="610" t="n">
        <v>44852</v>
      </c>
      <c r="AY760" s="610" t="n">
        <v>44951</v>
      </c>
      <c r="AZ760" s="610" t="n">
        <v>44951</v>
      </c>
      <c r="BA760" s="610" t="n">
        <v>45034</v>
      </c>
      <c r="BB760" s="610" t="n">
        <v>45126</v>
      </c>
      <c r="BC760" s="610" t="n">
        <v>45217</v>
      </c>
      <c r="BD760" s="610" t="n">
        <v>45315</v>
      </c>
      <c r="BE760" s="610" t="n">
        <v>45315</v>
      </c>
      <c r="BF760" s="610" t="n">
        <v>45399</v>
      </c>
      <c r="BG760" s="610" t="n">
        <v>45490</v>
      </c>
      <c r="BH760" s="610" t="n">
        <v>45580</v>
      </c>
      <c r="BI760" s="610" t="n">
        <v>45686</v>
      </c>
      <c r="BJ760" s="610" t="n">
        <v>45686</v>
      </c>
      <c r="BK760" s="610" t="n">
        <v>45762</v>
      </c>
      <c r="BL760" s="610" t="n">
        <v>45853</v>
      </c>
      <c r="BM760" s="610" t="n">
        <v>45945</v>
      </c>
      <c r="BN760" s="610" t="n">
        <v>46050</v>
      </c>
      <c r="BO760" s="611" t="n">
        <v>46050</v>
      </c>
      <c r="BP760" s="609"/>
      <c r="BQ760" s="609"/>
      <c r="BR760" s="609"/>
      <c r="BS760" s="609"/>
      <c r="BT760" s="609"/>
      <c r="BU760" s="609"/>
      <c r="BV760" s="609"/>
      <c r="BW760" s="609"/>
      <c r="BX760" s="609"/>
      <c r="BY760" s="609"/>
      <c r="BZ760" s="609"/>
      <c r="CA760" s="609"/>
      <c r="CB760" s="612"/>
      <c r="CC760" s="92"/>
    </row>
    <row r="761" s="45" customFormat="true" ht="15" hidden="false" customHeight="true" outlineLevel="0" collapsed="false">
      <c r="A761" s="252" t="s">
        <v>695</v>
      </c>
      <c r="B761" s="215"/>
      <c r="C761" s="613"/>
      <c r="D761" s="613"/>
      <c r="E761" s="613"/>
      <c r="F761" s="613"/>
      <c r="G761" s="613"/>
      <c r="H761" s="613"/>
      <c r="I761" s="613"/>
      <c r="J761" s="613"/>
      <c r="K761" s="613"/>
      <c r="L761" s="613"/>
      <c r="M761" s="613"/>
      <c r="N761" s="613"/>
      <c r="O761" s="613"/>
      <c r="P761" s="613"/>
      <c r="Q761" s="613"/>
      <c r="R761" s="613"/>
      <c r="S761" s="613"/>
      <c r="T761" s="613"/>
      <c r="U761" s="613"/>
      <c r="V761" s="613"/>
      <c r="W761" s="613"/>
      <c r="X761" s="613"/>
      <c r="Y761" s="613"/>
      <c r="Z761" s="613"/>
      <c r="AA761" s="613"/>
      <c r="AB761" s="613" t="str">
        <f aca="false">AC$5</f>
        <v>Q2-2018</v>
      </c>
      <c r="AC761" s="613" t="str">
        <f aca="false">AD$5</f>
        <v>Q3-2018</v>
      </c>
      <c r="AD761" s="613" t="str">
        <f aca="false">AE$5</f>
        <v>Q4-2018</v>
      </c>
      <c r="AE761" s="613" t="str">
        <f aca="false">AG$5</f>
        <v>Q1-2019</v>
      </c>
      <c r="AF761" s="613" t="str">
        <f aca="false">AG$5</f>
        <v>Q1-2019</v>
      </c>
      <c r="AG761" s="613" t="str">
        <f aca="false">AH$5</f>
        <v>Q2-2019</v>
      </c>
      <c r="AH761" s="613" t="str">
        <f aca="false">AI$5</f>
        <v>Q3-2019</v>
      </c>
      <c r="AI761" s="613" t="str">
        <f aca="false">AJ$5</f>
        <v>Q4-2019</v>
      </c>
      <c r="AJ761" s="613" t="str">
        <f aca="false">AL$5</f>
        <v>Q1-2020</v>
      </c>
      <c r="AK761" s="613" t="str">
        <f aca="false">AL$5</f>
        <v>Q1-2020</v>
      </c>
      <c r="AL761" s="613" t="str">
        <f aca="false">AM$5</f>
        <v>Q2-2020</v>
      </c>
      <c r="AM761" s="613" t="str">
        <f aca="false">AN$5</f>
        <v>Q3-2020</v>
      </c>
      <c r="AN761" s="613" t="str">
        <f aca="false">AO$5</f>
        <v>Q4-2020</v>
      </c>
      <c r="AO761" s="613" t="str">
        <f aca="false">AQ$5</f>
        <v>Q1-2021</v>
      </c>
      <c r="AP761" s="613" t="str">
        <f aca="false">AQ$5</f>
        <v>Q1-2021</v>
      </c>
      <c r="AQ761" s="613" t="str">
        <f aca="false">AR$5</f>
        <v>Q2-2021</v>
      </c>
      <c r="AR761" s="613" t="str">
        <f aca="false">AS$5</f>
        <v>Q3-2021</v>
      </c>
      <c r="AS761" s="613" t="str">
        <f aca="false">AT$5</f>
        <v>Q4-2021</v>
      </c>
      <c r="AT761" s="613" t="str">
        <f aca="false">AV$5</f>
        <v>Q1-2022</v>
      </c>
      <c r="AU761" s="613" t="str">
        <f aca="false">AV$5</f>
        <v>Q1-2022</v>
      </c>
      <c r="AV761" s="613" t="str">
        <f aca="false">AW$5</f>
        <v>Q2-2022</v>
      </c>
      <c r="AW761" s="613" t="str">
        <f aca="false">AX$5</f>
        <v>Q3-2022</v>
      </c>
      <c r="AX761" s="613" t="str">
        <f aca="false">AY$5</f>
        <v>Q4-2022</v>
      </c>
      <c r="AY761" s="613" t="str">
        <f aca="false">BA$5</f>
        <v>Q1-2023</v>
      </c>
      <c r="AZ761" s="613" t="str">
        <f aca="false">BA$5</f>
        <v>Q1-2023</v>
      </c>
      <c r="BA761" s="613" t="str">
        <f aca="false">BB$5</f>
        <v>Q2-2023</v>
      </c>
      <c r="BB761" s="613" t="str">
        <f aca="false">BC$5</f>
        <v>Q3-2023</v>
      </c>
      <c r="BC761" s="613" t="str">
        <f aca="false">BD$5</f>
        <v>Q4-2023</v>
      </c>
      <c r="BD761" s="613" t="str">
        <f aca="false">BF$5</f>
        <v>Q1-2024</v>
      </c>
      <c r="BE761" s="613" t="str">
        <f aca="false">BF$5</f>
        <v>Q1-2024</v>
      </c>
      <c r="BF761" s="613" t="str">
        <f aca="false">BG$5</f>
        <v>Q2-2024</v>
      </c>
      <c r="BG761" s="613" t="str">
        <f aca="false">BH$5</f>
        <v>Q3-2024</v>
      </c>
      <c r="BH761" s="613" t="str">
        <f aca="false">BI$5</f>
        <v>Q4-2024</v>
      </c>
      <c r="BI761" s="613" t="str">
        <f aca="false">BK$5</f>
        <v>Q1-2025</v>
      </c>
      <c r="BJ761" s="613" t="str">
        <f aca="false">BK$5</f>
        <v>Q1-2025</v>
      </c>
      <c r="BK761" s="613" t="str">
        <f aca="false">BL$5</f>
        <v>Q2-2025</v>
      </c>
      <c r="BL761" s="613" t="str">
        <f aca="false">BM$5</f>
        <v>Q3-2025</v>
      </c>
      <c r="BM761" s="613" t="str">
        <f aca="false">BN$5</f>
        <v>Q4-2025</v>
      </c>
      <c r="BN761" s="613" t="str">
        <f aca="false">BP$5</f>
        <v>Q1-2026</v>
      </c>
      <c r="BO761" s="614" t="str">
        <f aca="false">BP$5</f>
        <v>Q1-2026</v>
      </c>
      <c r="BP761" s="613"/>
      <c r="BQ761" s="613"/>
      <c r="BR761" s="613"/>
      <c r="BS761" s="613"/>
      <c r="BT761" s="613"/>
      <c r="BU761" s="613"/>
      <c r="BV761" s="613"/>
      <c r="BW761" s="613"/>
      <c r="BX761" s="613"/>
      <c r="BY761" s="613"/>
      <c r="BZ761" s="613"/>
      <c r="CA761" s="613"/>
      <c r="CB761" s="615"/>
      <c r="CC761" s="92"/>
    </row>
    <row r="762" s="45" customFormat="true" ht="15" hidden="false" customHeight="true" outlineLevel="0" collapsed="false">
      <c r="A762" s="616"/>
      <c r="B762" s="592"/>
      <c r="C762" s="592"/>
      <c r="D762" s="592"/>
      <c r="E762" s="592"/>
      <c r="F762" s="592"/>
      <c r="G762" s="592"/>
      <c r="H762" s="592"/>
      <c r="I762" s="592"/>
      <c r="J762" s="592"/>
      <c r="K762" s="592"/>
      <c r="L762" s="592"/>
      <c r="M762" s="592"/>
      <c r="N762" s="592"/>
      <c r="O762" s="592"/>
      <c r="P762" s="592"/>
      <c r="Q762" s="592"/>
      <c r="R762" s="592"/>
      <c r="S762" s="592"/>
      <c r="T762" s="592"/>
      <c r="U762" s="592"/>
      <c r="V762" s="592"/>
      <c r="W762" s="592"/>
      <c r="X762" s="592"/>
      <c r="Y762" s="592"/>
      <c r="Z762" s="592"/>
      <c r="AA762" s="592"/>
      <c r="AB762" s="592"/>
      <c r="AC762" s="592"/>
      <c r="AD762" s="592"/>
      <c r="AE762" s="592"/>
      <c r="AF762" s="592"/>
      <c r="AG762" s="592"/>
      <c r="AH762" s="592"/>
      <c r="AI762" s="592"/>
      <c r="AJ762" s="592"/>
      <c r="AK762" s="592"/>
      <c r="AL762" s="592"/>
      <c r="AM762" s="592"/>
      <c r="AN762" s="592"/>
      <c r="AO762" s="592"/>
      <c r="AP762" s="592"/>
      <c r="AQ762" s="592"/>
      <c r="AR762" s="592"/>
      <c r="AS762" s="592"/>
      <c r="AT762" s="592"/>
      <c r="AU762" s="592"/>
      <c r="AV762" s="592"/>
      <c r="AW762" s="592"/>
      <c r="AX762" s="592"/>
      <c r="AY762" s="592"/>
      <c r="AZ762" s="592"/>
      <c r="BA762" s="592"/>
      <c r="BB762" s="592"/>
      <c r="BC762" s="592"/>
      <c r="BD762" s="592"/>
      <c r="BE762" s="592"/>
      <c r="BF762" s="592"/>
      <c r="BG762" s="592"/>
      <c r="BH762" s="592"/>
      <c r="BI762" s="592"/>
      <c r="BJ762" s="592"/>
      <c r="BK762" s="592"/>
      <c r="BL762" s="592"/>
      <c r="BM762" s="592"/>
      <c r="BN762" s="592"/>
      <c r="BO762" s="606"/>
      <c r="BP762" s="592"/>
      <c r="BQ762" s="592"/>
      <c r="BR762" s="592"/>
      <c r="BS762" s="592"/>
      <c r="BT762" s="592"/>
      <c r="BU762" s="592"/>
      <c r="BV762" s="592"/>
      <c r="BW762" s="592"/>
      <c r="BX762" s="592"/>
      <c r="BY762" s="592"/>
      <c r="BZ762" s="592"/>
      <c r="CA762" s="592"/>
      <c r="CB762" s="617"/>
      <c r="CC762" s="92"/>
    </row>
    <row r="763" s="45" customFormat="true" ht="15" hidden="false" customHeight="true" outlineLevel="0" collapsed="false">
      <c r="A763" s="251"/>
      <c r="B763" s="592"/>
      <c r="C763" s="592"/>
      <c r="D763" s="592"/>
      <c r="E763" s="592"/>
      <c r="F763" s="592"/>
      <c r="G763" s="592"/>
      <c r="H763" s="592"/>
      <c r="I763" s="592"/>
      <c r="J763" s="592"/>
      <c r="K763" s="592"/>
      <c r="L763" s="592"/>
      <c r="M763" s="592"/>
      <c r="N763" s="592"/>
      <c r="O763" s="592"/>
      <c r="P763" s="592"/>
      <c r="Q763" s="592"/>
      <c r="R763" s="592"/>
      <c r="S763" s="592"/>
      <c r="T763" s="592"/>
      <c r="U763" s="592"/>
      <c r="V763" s="592"/>
      <c r="W763" s="592"/>
      <c r="X763" s="592"/>
      <c r="Y763" s="592"/>
      <c r="Z763" s="592"/>
      <c r="AA763" s="592"/>
      <c r="AB763" s="592"/>
      <c r="AC763" s="592"/>
      <c r="AD763" s="592"/>
      <c r="AE763" s="592"/>
      <c r="AF763" s="592"/>
      <c r="AG763" s="592"/>
      <c r="AH763" s="592"/>
      <c r="AI763" s="592"/>
      <c r="AJ763" s="592"/>
      <c r="AK763" s="592"/>
      <c r="AL763" s="592"/>
      <c r="AM763" s="592"/>
      <c r="AN763" s="592"/>
      <c r="AO763" s="592"/>
      <c r="AP763" s="592"/>
      <c r="AQ763" s="592"/>
      <c r="AR763" s="592"/>
      <c r="AS763" s="592"/>
      <c r="AT763" s="592"/>
      <c r="AU763" s="592"/>
      <c r="AV763" s="592"/>
      <c r="AW763" s="592"/>
      <c r="AX763" s="592"/>
      <c r="AY763" s="592"/>
      <c r="AZ763" s="592"/>
      <c r="BA763" s="592"/>
      <c r="BB763" s="592"/>
      <c r="BC763" s="592"/>
      <c r="BD763" s="592"/>
      <c r="BE763" s="592"/>
      <c r="BF763" s="592"/>
      <c r="BG763" s="592"/>
      <c r="BH763" s="592"/>
      <c r="BI763" s="592"/>
      <c r="BJ763" s="592"/>
      <c r="BK763" s="592"/>
      <c r="BL763" s="592"/>
      <c r="BM763" s="592"/>
      <c r="BN763" s="592"/>
      <c r="BO763" s="606"/>
      <c r="BP763" s="592"/>
      <c r="BQ763" s="592"/>
      <c r="BR763" s="592"/>
      <c r="BS763" s="592"/>
      <c r="BT763" s="592"/>
      <c r="BU763" s="592"/>
      <c r="BV763" s="592"/>
      <c r="BW763" s="592"/>
      <c r="BX763" s="592"/>
      <c r="BY763" s="592"/>
      <c r="BZ763" s="592"/>
      <c r="CA763" s="592"/>
      <c r="CB763" s="592"/>
      <c r="CC763" s="92"/>
    </row>
    <row r="764" s="45" customFormat="true" ht="15" hidden="false" customHeight="true" outlineLevel="0" collapsed="false">
      <c r="A764" s="151" t="s">
        <v>696</v>
      </c>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600"/>
      <c r="AQ764" s="600"/>
      <c r="AR764" s="600"/>
      <c r="AS764" s="600"/>
      <c r="AT764" s="600"/>
      <c r="AU764" s="600"/>
      <c r="AV764" s="600"/>
      <c r="AW764" s="600"/>
      <c r="AX764" s="600"/>
      <c r="AY764" s="600"/>
      <c r="AZ764" s="600"/>
      <c r="BA764" s="600"/>
      <c r="BB764" s="600"/>
      <c r="BC764" s="600"/>
      <c r="BD764" s="600"/>
      <c r="BE764" s="600"/>
      <c r="BF764" s="600"/>
      <c r="BG764" s="600"/>
      <c r="BH764" s="600"/>
      <c r="BI764" s="600"/>
      <c r="BJ764" s="600"/>
      <c r="BK764" s="600"/>
      <c r="BL764" s="600"/>
      <c r="BM764" s="600"/>
      <c r="BN764" s="600"/>
      <c r="BO764" s="607"/>
      <c r="BP764" s="600"/>
      <c r="BQ764" s="600"/>
      <c r="BR764" s="600"/>
      <c r="BS764" s="600"/>
      <c r="BT764" s="600"/>
      <c r="BU764" s="600"/>
      <c r="BV764" s="600"/>
      <c r="BW764" s="600"/>
      <c r="BX764" s="600"/>
      <c r="BY764" s="600"/>
      <c r="BZ764" s="600"/>
      <c r="CA764" s="600"/>
      <c r="CB764" s="608"/>
      <c r="CC764" s="92"/>
    </row>
    <row r="765" s="45" customFormat="true" ht="15" hidden="false" customHeight="true" outlineLevel="0" collapsed="false">
      <c r="A765" s="252" t="s">
        <v>694</v>
      </c>
      <c r="B765" s="215"/>
      <c r="C765" s="609"/>
      <c r="D765" s="609"/>
      <c r="E765" s="609"/>
      <c r="F765" s="609"/>
      <c r="G765" s="609"/>
      <c r="H765" s="609"/>
      <c r="I765" s="609"/>
      <c r="J765" s="609"/>
      <c r="K765" s="609"/>
      <c r="L765" s="609"/>
      <c r="M765" s="609"/>
      <c r="N765" s="609"/>
      <c r="O765" s="609"/>
      <c r="P765" s="609"/>
      <c r="Q765" s="609"/>
      <c r="R765" s="609"/>
      <c r="S765" s="609"/>
      <c r="T765" s="609"/>
      <c r="U765" s="609"/>
      <c r="V765" s="609"/>
      <c r="W765" s="609"/>
      <c r="X765" s="609"/>
      <c r="Y765" s="609"/>
      <c r="Z765" s="609"/>
      <c r="AA765" s="609"/>
      <c r="AB765" s="609" t="n">
        <f aca="false">AB760</f>
        <v>43208</v>
      </c>
      <c r="AC765" s="609" t="n">
        <f aca="false">AC760</f>
        <v>43299</v>
      </c>
      <c r="AD765" s="609" t="n">
        <f aca="false">AD760</f>
        <v>43390</v>
      </c>
      <c r="AE765" s="609" t="n">
        <f aca="false">AE760</f>
        <v>43488</v>
      </c>
      <c r="AF765" s="609" t="n">
        <f aca="false">AF760</f>
        <v>43488</v>
      </c>
      <c r="AG765" s="609" t="n">
        <f aca="false">AG760</f>
        <v>43572</v>
      </c>
      <c r="AH765" s="609" t="n">
        <f aca="false">AH760</f>
        <v>43663</v>
      </c>
      <c r="AI765" s="609" t="n">
        <f aca="false">AI760</f>
        <v>43754</v>
      </c>
      <c r="AJ765" s="609" t="n">
        <f aca="false">AJ760</f>
        <v>43852</v>
      </c>
      <c r="AK765" s="609" t="n">
        <f aca="false">AK760</f>
        <v>43852</v>
      </c>
      <c r="AL765" s="609" t="n">
        <f aca="false">AL760</f>
        <v>43920</v>
      </c>
      <c r="AM765" s="609" t="n">
        <f aca="false">AM760</f>
        <v>44027</v>
      </c>
      <c r="AN765" s="609" t="n">
        <f aca="false">AN760</f>
        <v>44118</v>
      </c>
      <c r="AO765" s="609" t="n">
        <f aca="false">AO760</f>
        <v>44215</v>
      </c>
      <c r="AP765" s="609" t="n">
        <f aca="false">AP760</f>
        <v>44215</v>
      </c>
      <c r="AQ765" s="609" t="n">
        <f aca="false">AQ760</f>
        <v>44306</v>
      </c>
      <c r="AR765" s="609" t="n">
        <f aca="false">AR760</f>
        <v>44397</v>
      </c>
      <c r="AS765" s="609" t="n">
        <f aca="false">AS760</f>
        <v>44488</v>
      </c>
      <c r="AT765" s="609" t="n">
        <f aca="false">AT760</f>
        <v>44580</v>
      </c>
      <c r="AU765" s="609" t="n">
        <f aca="false">AU760</f>
        <v>44580</v>
      </c>
      <c r="AV765" s="609" t="n">
        <f aca="false">AV760</f>
        <v>44671</v>
      </c>
      <c r="AW765" s="609" t="n">
        <f aca="false">AW760</f>
        <v>44762</v>
      </c>
      <c r="AX765" s="609" t="n">
        <f aca="false">AX760</f>
        <v>44852</v>
      </c>
      <c r="AY765" s="609" t="n">
        <f aca="false">AY760</f>
        <v>44951</v>
      </c>
      <c r="AZ765" s="609" t="n">
        <f aca="false">AZ760</f>
        <v>44951</v>
      </c>
      <c r="BA765" s="609" t="n">
        <f aca="false">BA760</f>
        <v>45034</v>
      </c>
      <c r="BB765" s="609" t="n">
        <f aca="false">BB760</f>
        <v>45126</v>
      </c>
      <c r="BC765" s="609" t="n">
        <f aca="false">BC760</f>
        <v>45217</v>
      </c>
      <c r="BD765" s="609" t="n">
        <f aca="false">BD760</f>
        <v>45315</v>
      </c>
      <c r="BE765" s="609" t="n">
        <f aca="false">BE760</f>
        <v>45315</v>
      </c>
      <c r="BF765" s="609" t="n">
        <f aca="false">BF760</f>
        <v>45399</v>
      </c>
      <c r="BG765" s="609" t="n">
        <f aca="false">BG760</f>
        <v>45490</v>
      </c>
      <c r="BH765" s="609" t="n">
        <f aca="false">BH760</f>
        <v>45580</v>
      </c>
      <c r="BI765" s="609" t="n">
        <f aca="false">BI760</f>
        <v>45686</v>
      </c>
      <c r="BJ765" s="609" t="n">
        <f aca="false">BJ760</f>
        <v>45686</v>
      </c>
      <c r="BK765" s="609" t="n">
        <f aca="false">BK760</f>
        <v>45762</v>
      </c>
      <c r="BL765" s="609" t="n">
        <f aca="false">BL760</f>
        <v>45853</v>
      </c>
      <c r="BM765" s="609" t="n">
        <f aca="false">BM760</f>
        <v>45945</v>
      </c>
      <c r="BN765" s="609" t="n">
        <f aca="false">BN760</f>
        <v>46050</v>
      </c>
      <c r="BO765" s="618" t="n">
        <f aca="false">BO760</f>
        <v>46050</v>
      </c>
      <c r="BP765" s="609"/>
      <c r="BQ765" s="609"/>
      <c r="BR765" s="609"/>
      <c r="BS765" s="609"/>
      <c r="BT765" s="609"/>
      <c r="BU765" s="609"/>
      <c r="BV765" s="609"/>
      <c r="BW765" s="609"/>
      <c r="BX765" s="609"/>
      <c r="BY765" s="609"/>
      <c r="BZ765" s="609"/>
      <c r="CA765" s="609"/>
      <c r="CB765" s="612"/>
      <c r="CC765" s="92"/>
    </row>
    <row r="766" s="45" customFormat="true" ht="15" hidden="false" customHeight="true" outlineLevel="0" collapsed="false">
      <c r="A766" s="252" t="s">
        <v>697</v>
      </c>
      <c r="B766" s="215"/>
      <c r="C766" s="613"/>
      <c r="D766" s="613"/>
      <c r="E766" s="613"/>
      <c r="F766" s="613"/>
      <c r="G766" s="613"/>
      <c r="H766" s="613"/>
      <c r="I766" s="613"/>
      <c r="J766" s="613"/>
      <c r="K766" s="613"/>
      <c r="L766" s="613"/>
      <c r="M766" s="613"/>
      <c r="N766" s="613"/>
      <c r="O766" s="613"/>
      <c r="P766" s="613"/>
      <c r="Q766" s="613"/>
      <c r="R766" s="613"/>
      <c r="S766" s="613"/>
      <c r="T766" s="613"/>
      <c r="U766" s="613"/>
      <c r="V766" s="613"/>
      <c r="W766" s="613"/>
      <c r="X766" s="613"/>
      <c r="Y766" s="613"/>
      <c r="Z766" s="613"/>
      <c r="AA766" s="613"/>
      <c r="AB766" s="613" t="str">
        <f aca="false">IF(AB767=AC767,"",AB767)</f>
        <v/>
      </c>
      <c r="AC766" s="613" t="str">
        <f aca="false">IF(AC767=AD767,"",AC767)</f>
        <v/>
      </c>
      <c r="AD766" s="613" t="str">
        <f aca="false">IF(AD767=AE767,"",AD767)</f>
        <v>FY2018</v>
      </c>
      <c r="AE766" s="613" t="str">
        <f aca="false">IF(AE767=AF767,"",AE767)</f>
        <v/>
      </c>
      <c r="AF766" s="613" t="str">
        <f aca="false">IF(AF767=AG767,"",AF767)</f>
        <v/>
      </c>
      <c r="AG766" s="613" t="str">
        <f aca="false">IF(AG767=AH767,"",AG767)</f>
        <v/>
      </c>
      <c r="AH766" s="613" t="str">
        <f aca="false">IF(AH767=AI767,"",AH767)</f>
        <v/>
      </c>
      <c r="AI766" s="613" t="str">
        <f aca="false">IF(AI767=AJ767,"",AI767)</f>
        <v>FY2019</v>
      </c>
      <c r="AJ766" s="613" t="str">
        <f aca="false">IF(AJ767=AK767,"",AJ767)</f>
        <v/>
      </c>
      <c r="AK766" s="613" t="str">
        <f aca="false">IF(AK767=AL767,"",AK767)</f>
        <v/>
      </c>
      <c r="AL766" s="613" t="str">
        <f aca="false">IF(AL767=AM767,"",AL767)</f>
        <v/>
      </c>
      <c r="AM766" s="613" t="str">
        <f aca="false">IF(AM767=AN767,"",AM767)</f>
        <v/>
      </c>
      <c r="AN766" s="613" t="str">
        <f aca="false">IF(AN767=AO767,"",AN767)</f>
        <v>FY2020</v>
      </c>
      <c r="AO766" s="613" t="str">
        <f aca="false">IF(AO767=AP767,"",AO767)</f>
        <v/>
      </c>
      <c r="AP766" s="613" t="str">
        <f aca="false">IF(AP767=AQ767,"",AP767)</f>
        <v/>
      </c>
      <c r="AQ766" s="613" t="str">
        <f aca="false">IF(AQ767=AR767,"",AQ767)</f>
        <v/>
      </c>
      <c r="AR766" s="613" t="str">
        <f aca="false">IF(AR767=AS767,"",AR767)</f>
        <v/>
      </c>
      <c r="AS766" s="613" t="str">
        <f aca="false">IF(AS767=AT767,"",AS767)</f>
        <v>FY2021</v>
      </c>
      <c r="AT766" s="613" t="str">
        <f aca="false">IF(AT767=AU767,"",AT767)</f>
        <v/>
      </c>
      <c r="AU766" s="613" t="str">
        <f aca="false">IF(AU767=AV767,"",AU767)</f>
        <v/>
      </c>
      <c r="AV766" s="613" t="str">
        <f aca="false">IF(AV767=AW767,"",AV767)</f>
        <v/>
      </c>
      <c r="AW766" s="613" t="str">
        <f aca="false">IF(AW767=AX767,"",AW767)</f>
        <v/>
      </c>
      <c r="AX766" s="613" t="str">
        <f aca="false">IF(AX767=AY767,"",AX767)</f>
        <v>FY2022</v>
      </c>
      <c r="AY766" s="613" t="str">
        <f aca="false">IF(AY767=AZ767,"",AY767)</f>
        <v/>
      </c>
      <c r="AZ766" s="613" t="str">
        <f aca="false">IF(AZ767=BA767,"",AZ767)</f>
        <v/>
      </c>
      <c r="BA766" s="613" t="str">
        <f aca="false">IF(BA767=BB767,"",BA767)</f>
        <v/>
      </c>
      <c r="BB766" s="613" t="str">
        <f aca="false">IF(BB767=BC767,"",BB767)</f>
        <v/>
      </c>
      <c r="BC766" s="613" t="str">
        <f aca="false">IF(BC767=BD767,"",BC767)</f>
        <v>FY2023</v>
      </c>
      <c r="BD766" s="613" t="str">
        <f aca="false">IF(BD767=BE767,"",BD767)</f>
        <v/>
      </c>
      <c r="BE766" s="613" t="str">
        <f aca="false">IF(BE767=BF767,"",BE767)</f>
        <v/>
      </c>
      <c r="BF766" s="613" t="str">
        <f aca="false">IF(BF767=BG767,"",BF767)</f>
        <v/>
      </c>
      <c r="BG766" s="613" t="str">
        <f aca="false">IF(BG767=BH767,"",BG767)</f>
        <v/>
      </c>
      <c r="BH766" s="613" t="str">
        <f aca="false">IF(BH767=BI767,"",BH767)</f>
        <v>FY2024</v>
      </c>
      <c r="BI766" s="613" t="str">
        <f aca="false">IF(BI767=BJ767,"",BI767)</f>
        <v/>
      </c>
      <c r="BJ766" s="613" t="str">
        <f aca="false">IF(BJ767=BK767,"",BJ767)</f>
        <v/>
      </c>
      <c r="BK766" s="613" t="str">
        <f aca="false">IF(BK767=BL767,"",BK767)</f>
        <v/>
      </c>
      <c r="BL766" s="613" t="str">
        <f aca="false">IF(BL767=BM767,"",BL767)</f>
        <v/>
      </c>
      <c r="BM766" s="613" t="str">
        <f aca="false">IF(BM767=BN767,"",BM767)</f>
        <v>FY2025</v>
      </c>
      <c r="BN766" s="613" t="str">
        <f aca="false">IF(BN767=BO767,"",BN767)</f>
        <v/>
      </c>
      <c r="BO766" s="614" t="str">
        <f aca="false">IF(BO767=BP767,"",BO767)</f>
        <v>FY2026</v>
      </c>
      <c r="BP766" s="613"/>
      <c r="BQ766" s="613"/>
      <c r="BR766" s="613"/>
      <c r="BS766" s="613"/>
      <c r="BT766" s="613"/>
      <c r="BU766" s="613"/>
      <c r="BV766" s="613"/>
      <c r="BW766" s="613"/>
      <c r="BX766" s="613"/>
      <c r="BY766" s="613"/>
      <c r="BZ766" s="613"/>
      <c r="CA766" s="613"/>
      <c r="CB766" s="615"/>
      <c r="CC766" s="92"/>
    </row>
    <row r="767" s="45" customFormat="true" ht="15" hidden="false" customHeight="true" outlineLevel="0" collapsed="false">
      <c r="A767" s="252" t="s">
        <v>695</v>
      </c>
      <c r="B767" s="215"/>
      <c r="C767" s="613"/>
      <c r="D767" s="613"/>
      <c r="E767" s="613"/>
      <c r="F767" s="613"/>
      <c r="G767" s="613"/>
      <c r="H767" s="613"/>
      <c r="I767" s="613"/>
      <c r="J767" s="613"/>
      <c r="K767" s="613"/>
      <c r="L767" s="613"/>
      <c r="M767" s="613"/>
      <c r="N767" s="613"/>
      <c r="O767" s="613"/>
      <c r="P767" s="613"/>
      <c r="Q767" s="613"/>
      <c r="R767" s="613"/>
      <c r="S767" s="613"/>
      <c r="T767" s="613"/>
      <c r="U767" s="613"/>
      <c r="V767" s="613"/>
      <c r="W767" s="613"/>
      <c r="X767" s="613"/>
      <c r="Y767" s="613"/>
      <c r="Z767" s="613"/>
      <c r="AA767" s="613"/>
      <c r="AB767" s="613" t="str">
        <f aca="false">AF$5</f>
        <v>FY2018</v>
      </c>
      <c r="AC767" s="613" t="str">
        <f aca="false">AF$5</f>
        <v>FY2018</v>
      </c>
      <c r="AD767" s="613" t="str">
        <f aca="false">AF$5</f>
        <v>FY2018</v>
      </c>
      <c r="AE767" s="613" t="str">
        <f aca="false">AK$5</f>
        <v>FY2019</v>
      </c>
      <c r="AF767" s="613" t="str">
        <f aca="false">AK$5</f>
        <v>FY2019</v>
      </c>
      <c r="AG767" s="613" t="str">
        <f aca="false">AK$5</f>
        <v>FY2019</v>
      </c>
      <c r="AH767" s="613" t="str">
        <f aca="false">AK$5</f>
        <v>FY2019</v>
      </c>
      <c r="AI767" s="613" t="str">
        <f aca="false">AK$5</f>
        <v>FY2019</v>
      </c>
      <c r="AJ767" s="613" t="str">
        <f aca="false">AP$5</f>
        <v>FY2020</v>
      </c>
      <c r="AK767" s="613" t="str">
        <f aca="false">AP$5</f>
        <v>FY2020</v>
      </c>
      <c r="AL767" s="613" t="str">
        <f aca="false">AP$5</f>
        <v>FY2020</v>
      </c>
      <c r="AM767" s="613" t="str">
        <f aca="false">AP$5</f>
        <v>FY2020</v>
      </c>
      <c r="AN767" s="613" t="str">
        <f aca="false">AP$5</f>
        <v>FY2020</v>
      </c>
      <c r="AO767" s="613" t="str">
        <f aca="false">AU$5</f>
        <v>FY2021</v>
      </c>
      <c r="AP767" s="613" t="str">
        <f aca="false">AU$5</f>
        <v>FY2021</v>
      </c>
      <c r="AQ767" s="613" t="str">
        <f aca="false">AU$5</f>
        <v>FY2021</v>
      </c>
      <c r="AR767" s="613" t="str">
        <f aca="false">AU$5</f>
        <v>FY2021</v>
      </c>
      <c r="AS767" s="613" t="str">
        <f aca="false">AU$5</f>
        <v>FY2021</v>
      </c>
      <c r="AT767" s="613" t="str">
        <f aca="false">AZ$5</f>
        <v>FY2022</v>
      </c>
      <c r="AU767" s="613" t="str">
        <f aca="false">AZ$5</f>
        <v>FY2022</v>
      </c>
      <c r="AV767" s="613" t="str">
        <f aca="false">AZ$5</f>
        <v>FY2022</v>
      </c>
      <c r="AW767" s="613" t="str">
        <f aca="false">AZ$5</f>
        <v>FY2022</v>
      </c>
      <c r="AX767" s="613" t="str">
        <f aca="false">AZ$5</f>
        <v>FY2022</v>
      </c>
      <c r="AY767" s="613" t="str">
        <f aca="false">BE$5</f>
        <v>FY2023</v>
      </c>
      <c r="AZ767" s="613" t="str">
        <f aca="false">BE$5</f>
        <v>FY2023</v>
      </c>
      <c r="BA767" s="613" t="str">
        <f aca="false">BE$5</f>
        <v>FY2023</v>
      </c>
      <c r="BB767" s="613" t="str">
        <f aca="false">BE$5</f>
        <v>FY2023</v>
      </c>
      <c r="BC767" s="613" t="str">
        <f aca="false">BE$5</f>
        <v>FY2023</v>
      </c>
      <c r="BD767" s="613" t="str">
        <f aca="false">BJ$5</f>
        <v>FY2024</v>
      </c>
      <c r="BE767" s="613" t="str">
        <f aca="false">BJ$5</f>
        <v>FY2024</v>
      </c>
      <c r="BF767" s="613" t="str">
        <f aca="false">BJ$5</f>
        <v>FY2024</v>
      </c>
      <c r="BG767" s="613" t="str">
        <f aca="false">BJ$5</f>
        <v>FY2024</v>
      </c>
      <c r="BH767" s="613" t="str">
        <f aca="false">BJ$5</f>
        <v>FY2024</v>
      </c>
      <c r="BI767" s="613" t="str">
        <f aca="false">BO$5</f>
        <v>FY2025</v>
      </c>
      <c r="BJ767" s="613" t="str">
        <f aca="false">BO$5</f>
        <v>FY2025</v>
      </c>
      <c r="BK767" s="613" t="str">
        <f aca="false">BO$5</f>
        <v>FY2025</v>
      </c>
      <c r="BL767" s="613" t="str">
        <f aca="false">BO$5</f>
        <v>FY2025</v>
      </c>
      <c r="BM767" s="613" t="str">
        <f aca="false">BO$5</f>
        <v>FY2025</v>
      </c>
      <c r="BN767" s="613" t="str">
        <f aca="false">BT$5</f>
        <v>FY2026</v>
      </c>
      <c r="BO767" s="614" t="str">
        <f aca="false">BT$5</f>
        <v>FY2026</v>
      </c>
      <c r="BP767" s="613"/>
      <c r="BQ767" s="613"/>
      <c r="BR767" s="613"/>
      <c r="BS767" s="613"/>
      <c r="BT767" s="613"/>
      <c r="BU767" s="613"/>
      <c r="BV767" s="613"/>
      <c r="BW767" s="613"/>
      <c r="BX767" s="613"/>
      <c r="BY767" s="613"/>
      <c r="BZ767" s="613"/>
      <c r="CA767" s="613"/>
      <c r="CB767" s="615"/>
      <c r="CC767" s="92"/>
    </row>
    <row r="768" s="45" customFormat="true" ht="15" hidden="false" customHeight="true" outlineLevel="0" collapsed="false">
      <c r="A768" s="616"/>
      <c r="B768" s="592"/>
      <c r="C768" s="592"/>
      <c r="D768" s="592"/>
      <c r="E768" s="592"/>
      <c r="F768" s="592"/>
      <c r="G768" s="592"/>
      <c r="H768" s="592"/>
      <c r="I768" s="592"/>
      <c r="J768" s="592"/>
      <c r="K768" s="592"/>
      <c r="L768" s="592"/>
      <c r="M768" s="592"/>
      <c r="N768" s="592"/>
      <c r="O768" s="592"/>
      <c r="P768" s="592"/>
      <c r="Q768" s="592"/>
      <c r="R768" s="592"/>
      <c r="S768" s="592"/>
      <c r="T768" s="592"/>
      <c r="U768" s="592"/>
      <c r="V768" s="592"/>
      <c r="W768" s="592"/>
      <c r="X768" s="592"/>
      <c r="Y768" s="592"/>
      <c r="Z768" s="592"/>
      <c r="AA768" s="592"/>
      <c r="AB768" s="592"/>
      <c r="AC768" s="592"/>
      <c r="AD768" s="592"/>
      <c r="AE768" s="592"/>
      <c r="AF768" s="592"/>
      <c r="AG768" s="592"/>
      <c r="AH768" s="592"/>
      <c r="AI768" s="592"/>
      <c r="AJ768" s="592"/>
      <c r="AK768" s="592"/>
      <c r="AL768" s="592"/>
      <c r="AM768" s="592"/>
      <c r="AN768" s="592"/>
      <c r="AO768" s="592"/>
      <c r="AP768" s="592"/>
      <c r="AQ768" s="592"/>
      <c r="AR768" s="592"/>
      <c r="AS768" s="592"/>
      <c r="AT768" s="592"/>
      <c r="AU768" s="592"/>
      <c r="AV768" s="592"/>
      <c r="AW768" s="592"/>
      <c r="AX768" s="592"/>
      <c r="AY768" s="592"/>
      <c r="AZ768" s="592"/>
      <c r="BA768" s="592"/>
      <c r="BB768" s="592"/>
      <c r="BC768" s="592"/>
      <c r="BD768" s="592"/>
      <c r="BE768" s="592"/>
      <c r="BF768" s="592"/>
      <c r="BG768" s="592"/>
      <c r="BH768" s="592"/>
      <c r="BI768" s="592"/>
      <c r="BJ768" s="592"/>
      <c r="BK768" s="592"/>
      <c r="BL768" s="592"/>
      <c r="BM768" s="592"/>
      <c r="BN768" s="592"/>
      <c r="BO768" s="606"/>
      <c r="BP768" s="592"/>
      <c r="BQ768" s="592"/>
      <c r="BR768" s="592"/>
      <c r="BS768" s="592"/>
      <c r="BT768" s="592"/>
      <c r="BU768" s="592"/>
      <c r="BV768" s="592"/>
      <c r="BW768" s="592"/>
      <c r="BX768" s="592"/>
      <c r="BY768" s="592"/>
      <c r="BZ768" s="592"/>
      <c r="CA768" s="592"/>
      <c r="CB768" s="617"/>
      <c r="CC768" s="92"/>
    </row>
    <row r="769" s="45" customFormat="true" ht="15" hidden="false" customHeight="true" outlineLevel="0" collapsed="false">
      <c r="A769" s="251"/>
      <c r="B769" s="592"/>
      <c r="C769" s="592"/>
      <c r="D769" s="592"/>
      <c r="E769" s="592"/>
      <c r="F769" s="592"/>
      <c r="G769" s="592"/>
      <c r="H769" s="592"/>
      <c r="I769" s="592"/>
      <c r="J769" s="592"/>
      <c r="K769" s="592"/>
      <c r="L769" s="592"/>
      <c r="M769" s="592"/>
      <c r="N769" s="592"/>
      <c r="O769" s="592"/>
      <c r="P769" s="592"/>
      <c r="Q769" s="592"/>
      <c r="R769" s="592"/>
      <c r="S769" s="592"/>
      <c r="T769" s="592"/>
      <c r="U769" s="592"/>
      <c r="V769" s="592"/>
      <c r="W769" s="592"/>
      <c r="X769" s="592"/>
      <c r="Y769" s="592"/>
      <c r="Z769" s="592"/>
      <c r="AA769" s="592"/>
      <c r="AB769" s="592"/>
      <c r="AC769" s="592"/>
      <c r="AD769" s="592"/>
      <c r="AE769" s="592"/>
      <c r="AF769" s="592"/>
      <c r="AG769" s="592"/>
      <c r="AH769" s="592"/>
      <c r="AI769" s="592"/>
      <c r="AJ769" s="592"/>
      <c r="AK769" s="592"/>
      <c r="AL769" s="592"/>
      <c r="AM769" s="592"/>
      <c r="AN769" s="592"/>
      <c r="AO769" s="592"/>
      <c r="AP769" s="592"/>
      <c r="AQ769" s="592"/>
      <c r="AR769" s="592"/>
      <c r="AS769" s="592"/>
      <c r="AT769" s="592"/>
      <c r="AU769" s="592"/>
      <c r="AV769" s="592"/>
      <c r="AW769" s="592"/>
      <c r="AX769" s="592"/>
      <c r="AY769" s="592"/>
      <c r="AZ769" s="592"/>
      <c r="BA769" s="592"/>
      <c r="BB769" s="592"/>
      <c r="BC769" s="592"/>
      <c r="BD769" s="592"/>
      <c r="BE769" s="592"/>
      <c r="BF769" s="592"/>
      <c r="BG769" s="592"/>
      <c r="BH769" s="592"/>
      <c r="BI769" s="592"/>
      <c r="BJ769" s="592"/>
      <c r="BK769" s="592"/>
      <c r="BL769" s="592"/>
      <c r="BM769" s="592"/>
      <c r="BN769" s="592"/>
      <c r="BO769" s="606"/>
      <c r="BP769" s="592"/>
      <c r="BQ769" s="592"/>
      <c r="BR769" s="592"/>
      <c r="BS769" s="592"/>
      <c r="BT769" s="592"/>
      <c r="BU769" s="592"/>
      <c r="BV769" s="592"/>
      <c r="BW769" s="592"/>
      <c r="BX769" s="592"/>
      <c r="BY769" s="592"/>
      <c r="BZ769" s="592"/>
      <c r="CA769" s="592"/>
      <c r="CB769" s="592"/>
      <c r="CC769" s="92"/>
    </row>
    <row r="770" s="51" customFormat="true" ht="15" hidden="false" customHeight="true" outlineLevel="0" collapsed="false">
      <c r="A770" s="593" t="s">
        <v>698</v>
      </c>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c r="AA770" s="163"/>
      <c r="AB770" s="163"/>
      <c r="AC770" s="163"/>
      <c r="AD770" s="163"/>
      <c r="AE770" s="163"/>
      <c r="AF770" s="163"/>
      <c r="AG770" s="163"/>
      <c r="AH770" s="163"/>
      <c r="AI770" s="163"/>
      <c r="AJ770" s="163"/>
      <c r="AK770" s="163"/>
      <c r="AL770" s="163"/>
      <c r="AM770" s="163"/>
      <c r="AN770" s="163"/>
      <c r="AO770" s="163"/>
      <c r="AP770" s="163"/>
      <c r="AQ770" s="163"/>
      <c r="AR770" s="163"/>
      <c r="AS770" s="163"/>
      <c r="AT770" s="163"/>
      <c r="AU770" s="163"/>
      <c r="AV770" s="163"/>
      <c r="AW770" s="163"/>
      <c r="AX770" s="163"/>
      <c r="AY770" s="163"/>
      <c r="AZ770" s="163"/>
      <c r="BA770" s="163"/>
      <c r="BB770" s="163"/>
      <c r="BC770" s="163"/>
      <c r="BD770" s="163"/>
      <c r="BE770" s="163"/>
      <c r="BF770" s="163"/>
      <c r="BG770" s="163"/>
      <c r="BH770" s="163"/>
      <c r="BI770" s="163"/>
      <c r="BJ770" s="163"/>
      <c r="BK770" s="163"/>
      <c r="BL770" s="163"/>
      <c r="BM770" s="163"/>
      <c r="BN770" s="163"/>
      <c r="BO770" s="619"/>
      <c r="BP770" s="163" t="str">
        <f aca="false">BP5</f>
        <v>Q1-2026</v>
      </c>
      <c r="BQ770" s="163" t="str">
        <f aca="false">BQ5</f>
        <v>Q2-2026</v>
      </c>
      <c r="BR770" s="163" t="str">
        <f aca="false">BR5</f>
        <v>Q3-2026</v>
      </c>
      <c r="BS770" s="163" t="str">
        <f aca="false">BS5</f>
        <v>Q4-2026</v>
      </c>
      <c r="BT770" s="163" t="str">
        <f aca="false">BT5</f>
        <v>FY2026</v>
      </c>
      <c r="BU770" s="163" t="str">
        <f aca="false">BU5</f>
        <v>Q1-2027</v>
      </c>
      <c r="BV770" s="163" t="str">
        <f aca="false">BV5</f>
        <v>Q2-2027</v>
      </c>
      <c r="BW770" s="163" t="str">
        <f aca="false">BW5</f>
        <v>Q3-2027</v>
      </c>
      <c r="BX770" s="163" t="str">
        <f aca="false">BX5</f>
        <v>Q4-2027</v>
      </c>
      <c r="BY770" s="163" t="str">
        <f aca="false">BY5</f>
        <v>FY2027</v>
      </c>
      <c r="BZ770" s="163" t="str">
        <f aca="false">BZ5</f>
        <v>FY2028</v>
      </c>
      <c r="CA770" s="163" t="str">
        <f aca="false">CA5</f>
        <v>FY2029</v>
      </c>
      <c r="CB770" s="620" t="str">
        <f aca="false">CB5</f>
        <v>FY2030</v>
      </c>
      <c r="CC770" s="621"/>
    </row>
    <row r="771" s="51" customFormat="true" ht="15" hidden="false" customHeight="true" outlineLevel="0" collapsed="false">
      <c r="A771" s="622" t="s">
        <v>699</v>
      </c>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c r="AE771" s="268"/>
      <c r="AF771" s="268"/>
      <c r="AG771" s="268"/>
      <c r="AH771" s="268"/>
      <c r="AI771" s="268"/>
      <c r="AJ771" s="268"/>
      <c r="AK771" s="268"/>
      <c r="AL771" s="268"/>
      <c r="AM771" s="268"/>
      <c r="AN771" s="268"/>
      <c r="AO771" s="268"/>
      <c r="AP771" s="268"/>
      <c r="AQ771" s="268"/>
      <c r="AR771" s="268"/>
      <c r="AS771" s="268"/>
      <c r="AT771" s="268"/>
      <c r="AU771" s="268"/>
      <c r="AV771" s="268"/>
      <c r="AW771" s="268"/>
      <c r="AX771" s="268"/>
      <c r="AY771" s="268"/>
      <c r="AZ771" s="268"/>
      <c r="BA771" s="268"/>
      <c r="BB771" s="268"/>
      <c r="BC771" s="268"/>
      <c r="BD771" s="268"/>
      <c r="BE771" s="268"/>
      <c r="BF771" s="268"/>
      <c r="BG771" s="268"/>
      <c r="BH771" s="268"/>
      <c r="BI771" s="268"/>
      <c r="BJ771" s="268"/>
      <c r="BK771" s="268"/>
      <c r="BL771" s="268"/>
      <c r="BM771" s="268"/>
      <c r="BN771" s="268"/>
      <c r="BO771" s="623"/>
      <c r="BP771" s="268" t="str">
        <f aca="true">IF(MO.DataSourceIndex=3,IF(LEFT(INDIRECT(ADDRESS(ROW()-1,COLUMN())),2)="FY","ANNUAL",IF(LEFT(INDIRECT(ADDRESS(ROW()-1,COLUMN())),1)="Q","QUARTERLY","")),IF(LEFT(INDIRECT(ADDRESS(ROW()-1,COLUMN())),2)="FY","FY",IF(LEFT(INDIRECT(ADDRESS(ROW()-1,COLUMN())),1)="Q","FQ","FS")))</f>
        <v>FQ</v>
      </c>
      <c r="BQ771" s="268" t="str">
        <f aca="true">IF(MO.DataSourceIndex=3,IF(LEFT(INDIRECT(ADDRESS(ROW()-1,COLUMN())),2)="FY","ANNUAL",IF(LEFT(INDIRECT(ADDRESS(ROW()-1,COLUMN())),1)="Q","QUARTERLY","")),IF(LEFT(INDIRECT(ADDRESS(ROW()-1,COLUMN())),2)="FY","FY",IF(LEFT(INDIRECT(ADDRESS(ROW()-1,COLUMN())),1)="Q","FQ","FS")))</f>
        <v>FQ</v>
      </c>
      <c r="BR771" s="268" t="str">
        <f aca="true">IF(MO.DataSourceIndex=3,IF(LEFT(INDIRECT(ADDRESS(ROW()-1,COLUMN())),2)="FY","ANNUAL",IF(LEFT(INDIRECT(ADDRESS(ROW()-1,COLUMN())),1)="Q","QUARTERLY","")),IF(LEFT(INDIRECT(ADDRESS(ROW()-1,COLUMN())),2)="FY","FY",IF(LEFT(INDIRECT(ADDRESS(ROW()-1,COLUMN())),1)="Q","FQ","FS")))</f>
        <v>FQ</v>
      </c>
      <c r="BS771" s="268" t="str">
        <f aca="true">IF(MO.DataSourceIndex=3,IF(LEFT(INDIRECT(ADDRESS(ROW()-1,COLUMN())),2)="FY","ANNUAL",IF(LEFT(INDIRECT(ADDRESS(ROW()-1,COLUMN())),1)="Q","QUARTERLY","")),IF(LEFT(INDIRECT(ADDRESS(ROW()-1,COLUMN())),2)="FY","FY",IF(LEFT(INDIRECT(ADDRESS(ROW()-1,COLUMN())),1)="Q","FQ","FS")))</f>
        <v>FQ</v>
      </c>
      <c r="BT771" s="268" t="str">
        <f aca="true">IF(MO.DataSourceIndex=3,IF(LEFT(INDIRECT(ADDRESS(ROW()-1,COLUMN())),2)="FY","ANNUAL",IF(LEFT(INDIRECT(ADDRESS(ROW()-1,COLUMN())),1)="Q","QUARTERLY","")),IF(LEFT(INDIRECT(ADDRESS(ROW()-1,COLUMN())),2)="FY","FY",IF(LEFT(INDIRECT(ADDRESS(ROW()-1,COLUMN())),1)="Q","FQ","FS")))</f>
        <v>FY</v>
      </c>
      <c r="BU771" s="268" t="str">
        <f aca="true">IF(MO.DataSourceIndex=3,IF(LEFT(INDIRECT(ADDRESS(ROW()-1,COLUMN())),2)="FY","ANNUAL",IF(LEFT(INDIRECT(ADDRESS(ROW()-1,COLUMN())),1)="Q","QUARTERLY","")),IF(LEFT(INDIRECT(ADDRESS(ROW()-1,COLUMN())),2)="FY","FY",IF(LEFT(INDIRECT(ADDRESS(ROW()-1,COLUMN())),1)="Q","FQ","FS")))</f>
        <v>FQ</v>
      </c>
      <c r="BV771" s="268" t="str">
        <f aca="true">IF(MO.DataSourceIndex=3,IF(LEFT(INDIRECT(ADDRESS(ROW()-1,COLUMN())),2)="FY","ANNUAL",IF(LEFT(INDIRECT(ADDRESS(ROW()-1,COLUMN())),1)="Q","QUARTERLY","")),IF(LEFT(INDIRECT(ADDRESS(ROW()-1,COLUMN())),2)="FY","FY",IF(LEFT(INDIRECT(ADDRESS(ROW()-1,COLUMN())),1)="Q","FQ","FS")))</f>
        <v>FQ</v>
      </c>
      <c r="BW771" s="268" t="str">
        <f aca="true">IF(MO.DataSourceIndex=3,IF(LEFT(INDIRECT(ADDRESS(ROW()-1,COLUMN())),2)="FY","ANNUAL",IF(LEFT(INDIRECT(ADDRESS(ROW()-1,COLUMN())),1)="Q","QUARTERLY","")),IF(LEFT(INDIRECT(ADDRESS(ROW()-1,COLUMN())),2)="FY","FY",IF(LEFT(INDIRECT(ADDRESS(ROW()-1,COLUMN())),1)="Q","FQ","FS")))</f>
        <v>FQ</v>
      </c>
      <c r="BX771" s="268" t="str">
        <f aca="true">IF(MO.DataSourceIndex=3,IF(LEFT(INDIRECT(ADDRESS(ROW()-1,COLUMN())),2)="FY","ANNUAL",IF(LEFT(INDIRECT(ADDRESS(ROW()-1,COLUMN())),1)="Q","QUARTERLY","")),IF(LEFT(INDIRECT(ADDRESS(ROW()-1,COLUMN())),2)="FY","FY",IF(LEFT(INDIRECT(ADDRESS(ROW()-1,COLUMN())),1)="Q","FQ","FS")))</f>
        <v>FQ</v>
      </c>
      <c r="BY771" s="268" t="str">
        <f aca="true">IF(MO.DataSourceIndex=3,IF(LEFT(INDIRECT(ADDRESS(ROW()-1,COLUMN())),2)="FY","ANNUAL",IF(LEFT(INDIRECT(ADDRESS(ROW()-1,COLUMN())),1)="Q","QUARTERLY","")),IF(LEFT(INDIRECT(ADDRESS(ROW()-1,COLUMN())),2)="FY","FY",IF(LEFT(INDIRECT(ADDRESS(ROW()-1,COLUMN())),1)="Q","FQ","FS")))</f>
        <v>FY</v>
      </c>
      <c r="BZ771" s="268" t="str">
        <f aca="true">IF(MO.DataSourceIndex=3,IF(LEFT(INDIRECT(ADDRESS(ROW()-1,COLUMN())),2)="FY","ANNUAL",IF(LEFT(INDIRECT(ADDRESS(ROW()-1,COLUMN())),1)="Q","QUARTERLY","")),IF(LEFT(INDIRECT(ADDRESS(ROW()-1,COLUMN())),2)="FY","FY",IF(LEFT(INDIRECT(ADDRESS(ROW()-1,COLUMN())),1)="Q","FQ","FS")))</f>
        <v>FY</v>
      </c>
      <c r="CA771" s="268" t="str">
        <f aca="true">IF(MO.DataSourceIndex=3,IF(LEFT(INDIRECT(ADDRESS(ROW()-1,COLUMN())),2)="FY","ANNUAL",IF(LEFT(INDIRECT(ADDRESS(ROW()-1,COLUMN())),1)="Q","QUARTERLY","")),IF(LEFT(INDIRECT(ADDRESS(ROW()-1,COLUMN())),2)="FY","FY",IF(LEFT(INDIRECT(ADDRESS(ROW()-1,COLUMN())),1)="Q","FQ","FS")))</f>
        <v>FY</v>
      </c>
      <c r="CB771" s="624" t="str">
        <f aca="true">IF(MO.DataSourceIndex=3,IF(LEFT(INDIRECT(ADDRESS(ROW()-1,COLUMN())),2)="FY","ANNUAL",IF(LEFT(INDIRECT(ADDRESS(ROW()-1,COLUMN())),1)="Q","QUARTERLY","")),IF(LEFT(INDIRECT(ADDRESS(ROW()-1,COLUMN())),2)="FY","FY",IF(LEFT(INDIRECT(ADDRESS(ROW()-1,COLUMN())),1)="Q","FQ","FS")))</f>
        <v>FY</v>
      </c>
      <c r="CC771" s="621"/>
    </row>
    <row r="772" s="51" customFormat="true" ht="15" hidden="false" customHeight="true" outlineLevel="0" collapsed="false">
      <c r="A772" s="622" t="s">
        <v>94</v>
      </c>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c r="AE772" s="268"/>
      <c r="AF772" s="268"/>
      <c r="AG772" s="268"/>
      <c r="AH772" s="268"/>
      <c r="AI772" s="268"/>
      <c r="AJ772" s="268"/>
      <c r="AK772" s="268"/>
      <c r="AL772" s="268"/>
      <c r="AM772" s="268"/>
      <c r="AN772" s="268"/>
      <c r="AO772" s="268"/>
      <c r="AP772" s="268"/>
      <c r="AQ772" s="268"/>
      <c r="AR772" s="268"/>
      <c r="AS772" s="268"/>
      <c r="AT772" s="268"/>
      <c r="AU772" s="268"/>
      <c r="AV772" s="268"/>
      <c r="AW772" s="268"/>
      <c r="AX772" s="268"/>
      <c r="AY772" s="268"/>
      <c r="AZ772" s="268"/>
      <c r="BA772" s="268"/>
      <c r="BB772" s="268"/>
      <c r="BC772" s="268"/>
      <c r="BD772" s="268"/>
      <c r="BE772" s="268"/>
      <c r="BF772" s="268"/>
      <c r="BG772" s="268"/>
      <c r="BH772" s="268"/>
      <c r="BI772" s="268"/>
      <c r="BJ772" s="268"/>
      <c r="BK772" s="268"/>
      <c r="BL772" s="268"/>
      <c r="BM772" s="268"/>
      <c r="BN772" s="268"/>
      <c r="BO772" s="623"/>
      <c r="BP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Q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R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BS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BT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U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BV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6</v>
      </c>
      <c r="BW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7</v>
      </c>
      <c r="BX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8</v>
      </c>
      <c r="BY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Z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CA772" s="268"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CB772" s="62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CC772" s="621"/>
    </row>
    <row r="773" s="51" customFormat="true" ht="15" hidden="false" customHeight="true" outlineLevel="0" collapsed="false">
      <c r="A773" s="596" t="str">
        <f aca="false">$A$282</f>
        <v>Consensus Estimates - Gross Margin, %</v>
      </c>
      <c r="B773" s="48"/>
      <c r="C773" s="625"/>
      <c r="D773" s="625"/>
      <c r="E773" s="625"/>
      <c r="F773" s="625"/>
      <c r="G773" s="625"/>
      <c r="H773" s="625"/>
      <c r="I773" s="625"/>
      <c r="J773" s="625"/>
      <c r="K773" s="625"/>
      <c r="L773" s="625"/>
      <c r="M773" s="625"/>
      <c r="N773" s="625"/>
      <c r="O773" s="625"/>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9"/>
      <c r="BP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Q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R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S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T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U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V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W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X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Y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BZ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CA773" s="625"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CB773" s="626" t="str">
        <f aca="false">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N/A</v>
      </c>
      <c r="CC773" s="621"/>
    </row>
    <row r="774" s="51" customFormat="true" ht="15" hidden="false" customHeight="true" outlineLevel="0" collapsed="false">
      <c r="A774" s="596" t="str">
        <f aca="false">$A$330</f>
        <v>Consensus Estimates - Net Revenue</v>
      </c>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9"/>
      <c r="BP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Q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R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S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T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U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V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W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X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Y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Z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A774" s="48"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B774" s="627" t="str">
        <f aca="false">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C774" s="621"/>
    </row>
    <row r="775" s="51" customFormat="true" ht="15" hidden="false" customHeight="true" outlineLevel="0" collapsed="false">
      <c r="A775" s="596" t="str">
        <f aca="false">$A$346</f>
        <v>Consensus Estimates - Adjusted EBITDA </v>
      </c>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9"/>
      <c r="BP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Q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R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S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T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U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V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W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X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Y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Z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A775" s="48"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B775" s="627" t="str">
        <f aca="false">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C775" s="621"/>
    </row>
    <row r="776" s="51" customFormat="true" ht="15" hidden="false" customHeight="true" outlineLevel="0" collapsed="false">
      <c r="A776" s="596" t="str">
        <f aca="false">$A$340</f>
        <v>Consensus Estimates - Adjusted EBIT</v>
      </c>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9"/>
      <c r="BP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Q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R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S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T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U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V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W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X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Y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Z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A776" s="48"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B776" s="627" t="str">
        <f aca="false">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C776" s="621"/>
    </row>
    <row r="777" s="634" customFormat="true" ht="15" hidden="false" customHeight="true" outlineLevel="0" collapsed="false">
      <c r="A777" s="628" t="str">
        <f aca="false">$A$373</f>
        <v>Consensus Estimates - Adjusted Earnings Per Share - WAD </v>
      </c>
      <c r="B777" s="629"/>
      <c r="C777" s="629"/>
      <c r="D777" s="630"/>
      <c r="E777" s="630"/>
      <c r="F777" s="630"/>
      <c r="G777" s="630"/>
      <c r="H777" s="630"/>
      <c r="I777" s="630"/>
      <c r="J777" s="629"/>
      <c r="K777" s="629"/>
      <c r="L777" s="629"/>
      <c r="M777" s="629"/>
      <c r="N777" s="629"/>
      <c r="O777" s="629"/>
      <c r="P777" s="629"/>
      <c r="Q777" s="629"/>
      <c r="R777" s="629"/>
      <c r="S777" s="629"/>
      <c r="T777" s="629"/>
      <c r="U777" s="629"/>
      <c r="V777" s="629"/>
      <c r="W777" s="629"/>
      <c r="X777" s="629"/>
      <c r="Y777" s="629"/>
      <c r="Z777" s="629"/>
      <c r="AA777" s="629"/>
      <c r="AB777" s="629"/>
      <c r="AC777" s="629"/>
      <c r="AD777" s="629"/>
      <c r="AE777" s="629"/>
      <c r="AF777" s="629"/>
      <c r="AG777" s="629"/>
      <c r="AH777" s="629"/>
      <c r="AI777" s="629"/>
      <c r="AJ777" s="629"/>
      <c r="AK777" s="629"/>
      <c r="AL777" s="629"/>
      <c r="AM777" s="629"/>
      <c r="AN777" s="629"/>
      <c r="AO777" s="629"/>
      <c r="AP777" s="629"/>
      <c r="AQ777" s="629"/>
      <c r="AR777" s="629"/>
      <c r="AS777" s="629"/>
      <c r="AT777" s="629"/>
      <c r="AU777" s="629"/>
      <c r="AV777" s="629"/>
      <c r="AW777" s="629"/>
      <c r="AX777" s="629"/>
      <c r="AY777" s="629"/>
      <c r="AZ777" s="629"/>
      <c r="BA777" s="629"/>
      <c r="BB777" s="629"/>
      <c r="BC777" s="629"/>
      <c r="BD777" s="629"/>
      <c r="BE777" s="629"/>
      <c r="BF777" s="629"/>
      <c r="BG777" s="629"/>
      <c r="BH777" s="629"/>
      <c r="BI777" s="629"/>
      <c r="BJ777" s="629"/>
      <c r="BK777" s="629"/>
      <c r="BL777" s="629"/>
      <c r="BM777" s="629"/>
      <c r="BN777" s="629"/>
      <c r="BO777" s="631"/>
      <c r="BP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Q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R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S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T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U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V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W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X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Y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Z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A777" s="629"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B777" s="632" t="str">
        <f aca="false">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C777" s="633"/>
    </row>
    <row r="778" s="634" customFormat="true" ht="15" hidden="false" customHeight="true" outlineLevel="0" collapsed="false">
      <c r="A778" s="628" t="str">
        <f aca="false">$A$402</f>
        <v>Consensus Estimates - Cash Flow Per Diluted Share</v>
      </c>
      <c r="B778" s="629"/>
      <c r="C778" s="629"/>
      <c r="D778" s="630"/>
      <c r="E778" s="630"/>
      <c r="F778" s="630"/>
      <c r="G778" s="630"/>
      <c r="H778" s="630"/>
      <c r="I778" s="630"/>
      <c r="J778" s="629"/>
      <c r="K778" s="629"/>
      <c r="L778" s="629"/>
      <c r="M778" s="629"/>
      <c r="N778" s="629"/>
      <c r="O778" s="629"/>
      <c r="P778" s="629"/>
      <c r="Q778" s="629"/>
      <c r="R778" s="629"/>
      <c r="S778" s="629"/>
      <c r="T778" s="629"/>
      <c r="U778" s="629"/>
      <c r="V778" s="629"/>
      <c r="W778" s="629"/>
      <c r="X778" s="629"/>
      <c r="Y778" s="629"/>
      <c r="Z778" s="629"/>
      <c r="AA778" s="629"/>
      <c r="AB778" s="629"/>
      <c r="AC778" s="629"/>
      <c r="AD778" s="629"/>
      <c r="AE778" s="629"/>
      <c r="AF778" s="629"/>
      <c r="AG778" s="629"/>
      <c r="AH778" s="629"/>
      <c r="AI778" s="629"/>
      <c r="AJ778" s="629"/>
      <c r="AK778" s="629"/>
      <c r="AL778" s="629"/>
      <c r="AM778" s="629"/>
      <c r="AN778" s="629"/>
      <c r="AO778" s="629"/>
      <c r="AP778" s="629"/>
      <c r="AQ778" s="629"/>
      <c r="AR778" s="629"/>
      <c r="AS778" s="629"/>
      <c r="AT778" s="629"/>
      <c r="AU778" s="629"/>
      <c r="AV778" s="629"/>
      <c r="AW778" s="629"/>
      <c r="AX778" s="629"/>
      <c r="AY778" s="629"/>
      <c r="AZ778" s="629"/>
      <c r="BA778" s="629"/>
      <c r="BB778" s="629"/>
      <c r="BC778" s="629"/>
      <c r="BD778" s="629"/>
      <c r="BE778" s="629"/>
      <c r="BF778" s="629"/>
      <c r="BG778" s="629"/>
      <c r="BH778" s="629"/>
      <c r="BI778" s="629"/>
      <c r="BJ778" s="629"/>
      <c r="BK778" s="629"/>
      <c r="BL778" s="629"/>
      <c r="BM778" s="629"/>
      <c r="BN778" s="629"/>
      <c r="BO778" s="631"/>
      <c r="BP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Q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R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S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T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U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V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W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X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Y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Z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A778" s="629"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B778" s="632" t="str">
        <f aca="false">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C778" s="633"/>
    </row>
    <row r="779" s="51" customFormat="true" ht="15" hidden="false" customHeight="true" outlineLevel="0" collapsed="false">
      <c r="A779" s="596" t="str">
        <f aca="false">A404</f>
        <v>Consensus Estimates - Capex</v>
      </c>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9"/>
      <c r="BP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Q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R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S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T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U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V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W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X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Y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Z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A779" s="48"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B779" s="627" t="str">
        <f aca="false">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C779" s="621"/>
    </row>
    <row r="780" s="51" customFormat="true" ht="15" hidden="false" customHeight="true" outlineLevel="0" collapsed="false">
      <c r="A780" s="598"/>
      <c r="B780" s="259"/>
      <c r="C780" s="259"/>
      <c r="D780" s="259"/>
      <c r="E780" s="259"/>
      <c r="F780" s="259"/>
      <c r="G780" s="259"/>
      <c r="H780" s="259"/>
      <c r="I780" s="259"/>
      <c r="J780" s="259"/>
      <c r="K780" s="259"/>
      <c r="L780" s="259"/>
      <c r="M780" s="259"/>
      <c r="N780" s="259"/>
      <c r="O780" s="259"/>
      <c r="P780" s="259"/>
      <c r="Q780" s="259"/>
      <c r="R780" s="259"/>
      <c r="S780" s="259"/>
      <c r="T780" s="259"/>
      <c r="U780" s="259"/>
      <c r="V780" s="259"/>
      <c r="W780" s="259"/>
      <c r="X780" s="259"/>
      <c r="Y780" s="259"/>
      <c r="Z780" s="259"/>
      <c r="AA780" s="259"/>
      <c r="AB780" s="259"/>
      <c r="AC780" s="259"/>
      <c r="AD780" s="259"/>
      <c r="AE780" s="259"/>
      <c r="AF780" s="259"/>
      <c r="AG780" s="259"/>
      <c r="AH780" s="259"/>
      <c r="AI780" s="259"/>
      <c r="AJ780" s="259"/>
      <c r="AK780" s="259"/>
      <c r="AL780" s="259"/>
      <c r="AM780" s="259"/>
      <c r="AN780" s="259"/>
      <c r="AO780" s="259"/>
      <c r="AP780" s="259"/>
      <c r="AQ780" s="259"/>
      <c r="AR780" s="259"/>
      <c r="AS780" s="259"/>
      <c r="AT780" s="259"/>
      <c r="AU780" s="259"/>
      <c r="AV780" s="259"/>
      <c r="AW780" s="259"/>
      <c r="AX780" s="259"/>
      <c r="AY780" s="259"/>
      <c r="AZ780" s="259"/>
      <c r="BA780" s="259"/>
      <c r="BB780" s="259"/>
      <c r="BC780" s="259"/>
      <c r="BD780" s="259"/>
      <c r="BE780" s="259"/>
      <c r="BF780" s="259"/>
      <c r="BG780" s="259"/>
      <c r="BH780" s="259"/>
      <c r="BI780" s="259"/>
      <c r="BJ780" s="259"/>
      <c r="BK780" s="259"/>
      <c r="BL780" s="259"/>
      <c r="BM780" s="259"/>
      <c r="BN780" s="259"/>
      <c r="BO780" s="635"/>
      <c r="BP780" s="259"/>
      <c r="BQ780" s="259"/>
      <c r="BR780" s="259"/>
      <c r="BS780" s="259"/>
      <c r="BT780" s="259"/>
      <c r="BU780" s="259"/>
      <c r="BV780" s="259"/>
      <c r="BW780" s="259"/>
      <c r="BX780" s="259"/>
      <c r="BY780" s="259"/>
      <c r="BZ780" s="259"/>
      <c r="CA780" s="259"/>
      <c r="CB780" s="636"/>
      <c r="CC780" s="621"/>
    </row>
    <row r="781" s="51" customFormat="true" ht="15" hidden="false" customHeight="true" outlineLevel="0" collapsed="false">
      <c r="A781" s="425"/>
      <c r="B781" s="428"/>
      <c r="C781" s="428"/>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c r="AD781" s="428"/>
      <c r="AE781" s="428"/>
      <c r="AF781" s="428"/>
      <c r="AG781" s="428"/>
      <c r="AH781" s="428"/>
      <c r="AI781" s="428"/>
      <c r="AJ781" s="428"/>
      <c r="AK781" s="428"/>
      <c r="AL781" s="428"/>
      <c r="AM781" s="428"/>
      <c r="AN781" s="428"/>
      <c r="AO781" s="428"/>
      <c r="AP781" s="428"/>
      <c r="AQ781" s="428"/>
      <c r="AR781" s="428"/>
      <c r="AS781" s="428"/>
      <c r="AT781" s="428"/>
      <c r="AU781" s="428"/>
      <c r="AV781" s="428"/>
      <c r="AW781" s="428"/>
      <c r="AX781" s="428"/>
      <c r="AY781" s="428"/>
      <c r="AZ781" s="428"/>
      <c r="BA781" s="428"/>
      <c r="BB781" s="428"/>
      <c r="BC781" s="428"/>
      <c r="BD781" s="428"/>
      <c r="BE781" s="428"/>
      <c r="BF781" s="428"/>
      <c r="BG781" s="428"/>
      <c r="BH781" s="428"/>
      <c r="BI781" s="428"/>
      <c r="BJ781" s="428"/>
      <c r="BK781" s="428"/>
      <c r="BL781" s="428"/>
      <c r="BM781" s="428"/>
      <c r="BN781" s="428"/>
      <c r="BO781" s="637"/>
      <c r="BP781" s="428"/>
      <c r="BQ781" s="428"/>
      <c r="BR781" s="428"/>
      <c r="BS781" s="428"/>
      <c r="BT781" s="428"/>
      <c r="BU781" s="428"/>
      <c r="BV781" s="428"/>
      <c r="BW781" s="428"/>
      <c r="BX781" s="428"/>
      <c r="BY781" s="428"/>
      <c r="BZ781" s="428"/>
      <c r="CA781" s="428"/>
      <c r="CB781" s="428"/>
      <c r="CC781" s="50"/>
    </row>
    <row r="782" s="51" customFormat="true" ht="15" hidden="false" customHeight="true" outlineLevel="0" collapsed="false">
      <c r="A782" s="638" t="s">
        <v>700</v>
      </c>
      <c r="B782" s="414"/>
      <c r="C782" s="414"/>
      <c r="D782" s="414"/>
      <c r="E782" s="414"/>
      <c r="F782" s="414"/>
      <c r="G782" s="414"/>
      <c r="H782" s="414"/>
      <c r="I782" s="414"/>
      <c r="J782" s="414"/>
      <c r="K782" s="414"/>
      <c r="L782" s="414"/>
      <c r="M782" s="414"/>
      <c r="N782" s="414"/>
      <c r="O782" s="414"/>
      <c r="P782" s="414"/>
      <c r="Q782" s="414"/>
      <c r="R782" s="414"/>
      <c r="S782" s="414"/>
      <c r="T782" s="414"/>
      <c r="U782" s="414"/>
      <c r="V782" s="414"/>
      <c r="W782" s="414"/>
      <c r="X782" s="414"/>
      <c r="Y782" s="414"/>
      <c r="Z782" s="414"/>
      <c r="AA782" s="414"/>
      <c r="AB782" s="414"/>
      <c r="AC782" s="414"/>
      <c r="AD782" s="414"/>
      <c r="AE782" s="414"/>
      <c r="AF782" s="414"/>
      <c r="AG782" s="414"/>
      <c r="AH782" s="414"/>
      <c r="AI782" s="414"/>
      <c r="AJ782" s="414"/>
      <c r="AK782" s="414"/>
      <c r="AL782" s="414"/>
      <c r="AM782" s="414"/>
      <c r="AN782" s="414"/>
      <c r="AO782" s="414"/>
      <c r="AP782" s="414"/>
      <c r="AQ782" s="414"/>
      <c r="AR782" s="414"/>
      <c r="AS782" s="414"/>
      <c r="AT782" s="414"/>
      <c r="AU782" s="414"/>
      <c r="AV782" s="414"/>
      <c r="AW782" s="414"/>
      <c r="AX782" s="414"/>
      <c r="AY782" s="414"/>
      <c r="AZ782" s="414"/>
      <c r="BA782" s="414"/>
      <c r="BB782" s="414"/>
      <c r="BC782" s="414"/>
      <c r="BD782" s="414"/>
      <c r="BE782" s="414"/>
      <c r="BF782" s="414"/>
      <c r="BG782" s="414"/>
      <c r="BH782" s="414"/>
      <c r="BI782" s="414"/>
      <c r="BJ782" s="414"/>
      <c r="BK782" s="414"/>
      <c r="BL782" s="414"/>
      <c r="BM782" s="414"/>
      <c r="BN782" s="414"/>
      <c r="BO782" s="639"/>
      <c r="BP782" s="414"/>
      <c r="BQ782" s="414"/>
      <c r="BR782" s="414"/>
      <c r="BS782" s="414"/>
      <c r="BT782" s="414"/>
      <c r="BU782" s="414"/>
      <c r="BV782" s="414"/>
      <c r="BW782" s="414"/>
      <c r="BX782" s="414"/>
      <c r="BY782" s="414"/>
      <c r="BZ782" s="414"/>
      <c r="CA782" s="414"/>
      <c r="CB782" s="640"/>
      <c r="CC782" s="621"/>
    </row>
    <row r="783" s="51" customFormat="true" ht="15" hidden="false" customHeight="true" outlineLevel="0" collapsed="false">
      <c r="A783" s="641" t="s">
        <v>701</v>
      </c>
      <c r="B783" s="48"/>
      <c r="C783" s="642" t="n">
        <f aca="false">INDEX(MO_Common_QEndDate,0,COLUMN())-INDEX(MO_Common_FPDays,0,COLUMN())+1</f>
        <v>39814</v>
      </c>
      <c r="D783" s="642" t="n">
        <f aca="false">INDEX(MO_Common_QEndDate,0,COLUMN())-INDEX(MO_Common_FPDays,0,COLUMN())+1</f>
        <v>40179</v>
      </c>
      <c r="E783" s="642" t="n">
        <f aca="false">INDEX(MO_Common_QEndDate,0,COLUMN())-INDEX(MO_Common_FPDays,0,COLUMN())+1</f>
        <v>40544</v>
      </c>
      <c r="F783" s="642" t="n">
        <f aca="false">INDEX(MO_Common_QEndDate,0,COLUMN())-INDEX(MO_Common_FPDays,0,COLUMN())+1</f>
        <v>40909</v>
      </c>
      <c r="G783" s="642" t="n">
        <f aca="false">INDEX(MO_Common_QEndDate,0,COLUMN())-INDEX(MO_Common_FPDays,0,COLUMN())+1</f>
        <v>41275</v>
      </c>
      <c r="H783" s="642" t="n">
        <f aca="false">INDEX(MO_Common_QEndDate,0,COLUMN())-INDEX(MO_Common_FPDays,0,COLUMN())+1</f>
        <v>41640</v>
      </c>
      <c r="I783" s="642" t="n">
        <f aca="false">INDEX(MO_Common_QEndDate,0,COLUMN())-INDEX(MO_Common_FPDays,0,COLUMN())+1</f>
        <v>41729</v>
      </c>
      <c r="J783" s="642" t="n">
        <f aca="false">INDEX(MO_Common_QEndDate,0,COLUMN())-INDEX(MO_Common_FPDays,0,COLUMN())+1</f>
        <v>41820</v>
      </c>
      <c r="K783" s="642" t="n">
        <f aca="false">INDEX(MO_Common_QEndDate,0,COLUMN())-INDEX(MO_Common_FPDays,0,COLUMN())+1</f>
        <v>41911</v>
      </c>
      <c r="L783" s="642" t="n">
        <f aca="false">INDEX(MO_Common_QEndDate,0,COLUMN())-INDEX(MO_Common_FPDays,0,COLUMN())+1</f>
        <v>41640</v>
      </c>
      <c r="M783" s="642" t="n">
        <f aca="false">INDEX(MO_Common_QEndDate,0,COLUMN())-INDEX(MO_Common_FPDays,0,COLUMN())+1</f>
        <v>42005</v>
      </c>
      <c r="N783" s="642" t="n">
        <f aca="false">INDEX(MO_Common_QEndDate,0,COLUMN())-INDEX(MO_Common_FPDays,0,COLUMN())+1</f>
        <v>42093</v>
      </c>
      <c r="O783" s="642" t="n">
        <f aca="false">INDEX(MO_Common_QEndDate,0,COLUMN())-INDEX(MO_Common_FPDays,0,COLUMN())+1</f>
        <v>42184</v>
      </c>
      <c r="P783" s="642" t="n">
        <f aca="false">INDEX(MO_Common_QEndDate,0,COLUMN())-INDEX(MO_Common_FPDays,0,COLUMN())+1</f>
        <v>42275</v>
      </c>
      <c r="Q783" s="642" t="n">
        <f aca="false">INDEX(MO_Common_QEndDate,0,COLUMN())-INDEX(MO_Common_FPDays,0,COLUMN())+1</f>
        <v>42005</v>
      </c>
      <c r="R783" s="642" t="n">
        <f aca="false">INDEX(MO_Common_QEndDate,0,COLUMN())-INDEX(MO_Common_FPDays,0,COLUMN())+1</f>
        <v>42370</v>
      </c>
      <c r="S783" s="642" t="n">
        <f aca="false">INDEX(MO_Common_QEndDate,0,COLUMN())-INDEX(MO_Common_FPDays,0,COLUMN())+1</f>
        <v>42464</v>
      </c>
      <c r="T783" s="642" t="n">
        <f aca="false">INDEX(MO_Common_QEndDate,0,COLUMN())-INDEX(MO_Common_FPDays,0,COLUMN())+1</f>
        <v>42555</v>
      </c>
      <c r="U783" s="642" t="n">
        <f aca="false">INDEX(MO_Common_QEndDate,0,COLUMN())-INDEX(MO_Common_FPDays,0,COLUMN())+1</f>
        <v>42646</v>
      </c>
      <c r="V783" s="642" t="n">
        <f aca="false">INDEX(MO_Common_QEndDate,0,COLUMN())-INDEX(MO_Common_FPDays,0,COLUMN())+1</f>
        <v>42370</v>
      </c>
      <c r="W783" s="642" t="n">
        <f aca="false">INDEX(MO_Common_QEndDate,0,COLUMN())-INDEX(MO_Common_FPDays,0,COLUMN())+1</f>
        <v>42736</v>
      </c>
      <c r="X783" s="642" t="n">
        <f aca="false">INDEX(MO_Common_QEndDate,0,COLUMN())-INDEX(MO_Common_FPDays,0,COLUMN())+1</f>
        <v>42828</v>
      </c>
      <c r="Y783" s="642" t="n">
        <f aca="false">INDEX(MO_Common_QEndDate,0,COLUMN())-INDEX(MO_Common_FPDays,0,COLUMN())+1</f>
        <v>42919</v>
      </c>
      <c r="Z783" s="642" t="n">
        <f aca="false">INDEX(MO_Common_QEndDate,0,COLUMN())-INDEX(MO_Common_FPDays,0,COLUMN())+1</f>
        <v>43010</v>
      </c>
      <c r="AA783" s="642" t="n">
        <f aca="false">INDEX(MO_Common_QEndDate,0,COLUMN())-INDEX(MO_Common_FPDays,0,COLUMN())+1</f>
        <v>42736</v>
      </c>
      <c r="AB783" s="642" t="n">
        <f aca="false">INDEX(MO_Common_QEndDate,0,COLUMN())-INDEX(MO_Common_FPDays,0,COLUMN())+1</f>
        <v>43101</v>
      </c>
      <c r="AC783" s="642" t="n">
        <f aca="false">INDEX(MO_Common_QEndDate,0,COLUMN())-INDEX(MO_Common_FPDays,0,COLUMN())+1</f>
        <v>43192</v>
      </c>
      <c r="AD783" s="642" t="n">
        <f aca="false">INDEX(MO_Common_QEndDate,0,COLUMN())-INDEX(MO_Common_FPDays,0,COLUMN())+1</f>
        <v>43283</v>
      </c>
      <c r="AE783" s="642" t="n">
        <f aca="false">INDEX(MO_Common_QEndDate,0,COLUMN())-INDEX(MO_Common_FPDays,0,COLUMN())+1</f>
        <v>43374</v>
      </c>
      <c r="AF783" s="642" t="n">
        <f aca="false">INDEX(MO_Common_QEndDate,0,COLUMN())-INDEX(MO_Common_FPDays,0,COLUMN())+1</f>
        <v>43101</v>
      </c>
      <c r="AG783" s="642" t="n">
        <f aca="false">INDEX(MO_Common_QEndDate,0,COLUMN())-INDEX(MO_Common_FPDays,0,COLUMN())+1</f>
        <v>43466</v>
      </c>
      <c r="AH783" s="642" t="n">
        <f aca="false">INDEX(MO_Common_QEndDate,0,COLUMN())-INDEX(MO_Common_FPDays,0,COLUMN())+1</f>
        <v>43556</v>
      </c>
      <c r="AI783" s="642" t="n">
        <f aca="false">INDEX(MO_Common_QEndDate,0,COLUMN())-INDEX(MO_Common_FPDays,0,COLUMN())+1</f>
        <v>43647</v>
      </c>
      <c r="AJ783" s="642" t="n">
        <f aca="false">INDEX(MO_Common_QEndDate,0,COLUMN())-INDEX(MO_Common_FPDays,0,COLUMN())+1</f>
        <v>43738</v>
      </c>
      <c r="AK783" s="642" t="n">
        <f aca="false">INDEX(MO_Common_QEndDate,0,COLUMN())-INDEX(MO_Common_FPDays,0,COLUMN())+1</f>
        <v>43466</v>
      </c>
      <c r="AL783" s="642" t="n">
        <f aca="false">INDEX(MO_Common_QEndDate,0,COLUMN())-INDEX(MO_Common_FPDays,0,COLUMN())+1</f>
        <v>43831</v>
      </c>
      <c r="AM783" s="642" t="n">
        <f aca="false">INDEX(MO_Common_QEndDate,0,COLUMN())-INDEX(MO_Common_FPDays,0,COLUMN())+1</f>
        <v>43920</v>
      </c>
      <c r="AN783" s="642" t="n">
        <f aca="false">INDEX(MO_Common_QEndDate,0,COLUMN())-INDEX(MO_Common_FPDays,0,COLUMN())+1</f>
        <v>44011</v>
      </c>
      <c r="AO783" s="642" t="n">
        <f aca="false">INDEX(MO_Common_QEndDate,0,COLUMN())-INDEX(MO_Common_FPDays,0,COLUMN())+1</f>
        <v>44102</v>
      </c>
      <c r="AP783" s="642" t="n">
        <f aca="false">INDEX(MO_Common_QEndDate,0,COLUMN())-INDEX(MO_Common_FPDays,0,COLUMN())+1</f>
        <v>43831</v>
      </c>
      <c r="AQ783" s="642" t="n">
        <f aca="false">INDEX(MO_Common_QEndDate,0,COLUMN())-INDEX(MO_Common_FPDays,0,COLUMN())+1</f>
        <v>44197</v>
      </c>
      <c r="AR783" s="642" t="n">
        <f aca="false">INDEX(MO_Common_QEndDate,0,COLUMN())-INDEX(MO_Common_FPDays,0,COLUMN())+1</f>
        <v>44291</v>
      </c>
      <c r="AS783" s="642" t="n">
        <f aca="false">INDEX(MO_Common_QEndDate,0,COLUMN())-INDEX(MO_Common_FPDays,0,COLUMN())+1</f>
        <v>44382</v>
      </c>
      <c r="AT783" s="642" t="n">
        <f aca="false">INDEX(MO_Common_QEndDate,0,COLUMN())-INDEX(MO_Common_FPDays,0,COLUMN())+1</f>
        <v>44473</v>
      </c>
      <c r="AU783" s="642" t="n">
        <f aca="false">INDEX(MO_Common_QEndDate,0,COLUMN())-INDEX(MO_Common_FPDays,0,COLUMN())+1</f>
        <v>44197</v>
      </c>
      <c r="AV783" s="642" t="n">
        <f aca="false">INDEX(MO_Common_QEndDate,0,COLUMN())-INDEX(MO_Common_FPDays,0,COLUMN())+1</f>
        <v>44562</v>
      </c>
      <c r="AW783" s="642" t="n">
        <f aca="false">INDEX(MO_Common_QEndDate,0,COLUMN())-INDEX(MO_Common_FPDays,0,COLUMN())+1</f>
        <v>44655</v>
      </c>
      <c r="AX783" s="642" t="n">
        <f aca="false">INDEX(MO_Common_QEndDate,0,COLUMN())-INDEX(MO_Common_FPDays,0,COLUMN())+1</f>
        <v>44746</v>
      </c>
      <c r="AY783" s="642" t="n">
        <f aca="false">INDEX(MO_Common_QEndDate,0,COLUMN())-INDEX(MO_Common_FPDays,0,COLUMN())+1</f>
        <v>44837</v>
      </c>
      <c r="AZ783" s="642" t="n">
        <f aca="false">INDEX(MO_Common_QEndDate,0,COLUMN())-INDEX(MO_Common_FPDays,0,COLUMN())+1</f>
        <v>44562</v>
      </c>
      <c r="BA783" s="642" t="n">
        <f aca="false">INDEX(MO_Common_QEndDate,0,COLUMN())-INDEX(MO_Common_FPDays,0,COLUMN())+1</f>
        <v>44927</v>
      </c>
      <c r="BB783" s="642" t="n">
        <f aca="false">INDEX(MO_Common_QEndDate,0,COLUMN())-INDEX(MO_Common_FPDays,0,COLUMN())+1</f>
        <v>45019</v>
      </c>
      <c r="BC783" s="642" t="n">
        <f aca="false">INDEX(MO_Common_QEndDate,0,COLUMN())-INDEX(MO_Common_FPDays,0,COLUMN())+1</f>
        <v>45110</v>
      </c>
      <c r="BD783" s="642" t="n">
        <f aca="false">INDEX(MO_Common_QEndDate,0,COLUMN())-INDEX(MO_Common_FPDays,0,COLUMN())+1</f>
        <v>45201</v>
      </c>
      <c r="BE783" s="642" t="n">
        <f aca="false">INDEX(MO_Common_QEndDate,0,COLUMN())-INDEX(MO_Common_FPDays,0,COLUMN())+1</f>
        <v>44927</v>
      </c>
      <c r="BF783" s="642" t="n">
        <f aca="false">INDEX(MO_Common_QEndDate,0,COLUMN())-INDEX(MO_Common_FPDays,0,COLUMN())+1</f>
        <v>45292</v>
      </c>
      <c r="BG783" s="642" t="n">
        <f aca="false">INDEX(MO_Common_QEndDate,0,COLUMN())-INDEX(MO_Common_FPDays,0,COLUMN())+1</f>
        <v>45383</v>
      </c>
      <c r="BH783" s="642" t="n">
        <f aca="false">INDEX(MO_Common_QEndDate,0,COLUMN())-INDEX(MO_Common_FPDays,0,COLUMN())+1</f>
        <v>45474</v>
      </c>
      <c r="BI783" s="642" t="n">
        <f aca="false">INDEX(MO_Common_QEndDate,0,COLUMN())-INDEX(MO_Common_FPDays,0,COLUMN())+1</f>
        <v>45565</v>
      </c>
      <c r="BJ783" s="642" t="n">
        <f aca="false">INDEX(MO_Common_QEndDate,0,COLUMN())-INDEX(MO_Common_FPDays,0,COLUMN())+1</f>
        <v>45292</v>
      </c>
      <c r="BK783" s="642" t="n">
        <f aca="false">INDEX(MO_Common_QEndDate,0,COLUMN())-INDEX(MO_Common_FPDays,0,COLUMN())+1</f>
        <v>45658</v>
      </c>
      <c r="BL783" s="642" t="n">
        <f aca="false">INDEX(MO_Common_QEndDate,0,COLUMN())-INDEX(MO_Common_FPDays,0,COLUMN())+1</f>
        <v>45747</v>
      </c>
      <c r="BM783" s="642" t="n">
        <f aca="false">INDEX(MO_Common_QEndDate,0,COLUMN())-INDEX(MO_Common_FPDays,0,COLUMN())+1</f>
        <v>45838</v>
      </c>
      <c r="BN783" s="642" t="n">
        <f aca="false">INDEX(MO_Common_QEndDate,0,COLUMN())-INDEX(MO_Common_FPDays,0,COLUMN())+1</f>
        <v>45929</v>
      </c>
      <c r="BO783" s="643" t="n">
        <f aca="false">INDEX(MO_Common_QEndDate,0,COLUMN())-INDEX(MO_Common_FPDays,0,COLUMN())+1</f>
        <v>45658</v>
      </c>
      <c r="BP783" s="642" t="n">
        <f aca="false">INDEX(MO_Common_QEndDate,0,COLUMN())-INDEX(MO_Common_FPDays,0,COLUMN())+1</f>
        <v>46023</v>
      </c>
      <c r="BQ783" s="642" t="n">
        <f aca="false">INDEX(MO_Common_QEndDate,0,COLUMN())-INDEX(MO_Common_FPDays,0,COLUMN())+1</f>
        <v>46113</v>
      </c>
      <c r="BR783" s="642" t="n">
        <f aca="false">INDEX(MO_Common_QEndDate,0,COLUMN())-INDEX(MO_Common_FPDays,0,COLUMN())+1</f>
        <v>46204</v>
      </c>
      <c r="BS783" s="642" t="n">
        <f aca="false">INDEX(MO_Common_QEndDate,0,COLUMN())-INDEX(MO_Common_FPDays,0,COLUMN())+1</f>
        <v>46296</v>
      </c>
      <c r="BT783" s="642" t="n">
        <f aca="false">INDEX(MO_Common_QEndDate,0,COLUMN())-INDEX(MO_Common_FPDays,0,COLUMN())+1</f>
        <v>46023</v>
      </c>
      <c r="BU783" s="642" t="n">
        <f aca="false">INDEX(MO_Common_QEndDate,0,COLUMN())-INDEX(MO_Common_FPDays,0,COLUMN())+1</f>
        <v>46388</v>
      </c>
      <c r="BV783" s="642" t="n">
        <f aca="false">INDEX(MO_Common_QEndDate,0,COLUMN())-INDEX(MO_Common_FPDays,0,COLUMN())+1</f>
        <v>46478</v>
      </c>
      <c r="BW783" s="642" t="n">
        <f aca="false">INDEX(MO_Common_QEndDate,0,COLUMN())-INDEX(MO_Common_FPDays,0,COLUMN())+1</f>
        <v>46569</v>
      </c>
      <c r="BX783" s="642" t="n">
        <f aca="false">INDEX(MO_Common_QEndDate,0,COLUMN())-INDEX(MO_Common_FPDays,0,COLUMN())+1</f>
        <v>46661</v>
      </c>
      <c r="BY783" s="642" t="n">
        <f aca="false">INDEX(MO_Common_QEndDate,0,COLUMN())-INDEX(MO_Common_FPDays,0,COLUMN())+1</f>
        <v>46388</v>
      </c>
      <c r="BZ783" s="642" t="n">
        <f aca="false">INDEX(MO_Common_QEndDate,0,COLUMN())-INDEX(MO_Common_FPDays,0,COLUMN())+1</f>
        <v>46753</v>
      </c>
      <c r="CA783" s="642" t="n">
        <f aca="false">INDEX(MO_Common_QEndDate,0,COLUMN())-INDEX(MO_Common_FPDays,0,COLUMN())+1</f>
        <v>47119</v>
      </c>
      <c r="CB783" s="644" t="n">
        <f aca="false">INDEX(MO_Common_QEndDate,0,COLUMN())-INDEX(MO_Common_FPDays,0,COLUMN())+1</f>
        <v>47484</v>
      </c>
      <c r="CC783" s="621"/>
    </row>
    <row r="784" s="51" customFormat="true" ht="15" hidden="false" customHeight="true" outlineLevel="0" collapsed="false">
      <c r="A784" s="641" t="s">
        <v>702</v>
      </c>
      <c r="B784" s="48"/>
      <c r="C784" s="642" t="n">
        <f aca="false">TRUE()</f>
        <v>1</v>
      </c>
      <c r="D784" s="642" t="n">
        <f aca="false">TRUE()</f>
        <v>1</v>
      </c>
      <c r="E784" s="642" t="n">
        <f aca="false">TRUE()</f>
        <v>1</v>
      </c>
      <c r="F784" s="642" t="n">
        <f aca="false">TRUE()</f>
        <v>1</v>
      </c>
      <c r="G784" s="642" t="n">
        <f aca="false">TRUE()</f>
        <v>1</v>
      </c>
      <c r="H784" s="642" t="n">
        <f aca="false">TRUE()</f>
        <v>1</v>
      </c>
      <c r="I784" s="642" t="n">
        <f aca="false">TRUE()</f>
        <v>1</v>
      </c>
      <c r="J784" s="642" t="n">
        <f aca="false">TRUE()</f>
        <v>1</v>
      </c>
      <c r="K784" s="642" t="n">
        <f aca="false">TRUE()</f>
        <v>1</v>
      </c>
      <c r="L784" s="642" t="n">
        <f aca="false">TRUE()</f>
        <v>1</v>
      </c>
      <c r="M784" s="642" t="n">
        <f aca="false">TRUE()</f>
        <v>1</v>
      </c>
      <c r="N784" s="642" t="n">
        <f aca="false">TRUE()</f>
        <v>1</v>
      </c>
      <c r="O784" s="642" t="n">
        <f aca="false">TRUE()</f>
        <v>1</v>
      </c>
      <c r="P784" s="642" t="n">
        <f aca="false">TRUE()</f>
        <v>1</v>
      </c>
      <c r="Q784" s="642" t="n">
        <f aca="false">TRUE()</f>
        <v>1</v>
      </c>
      <c r="R784" s="642" t="n">
        <f aca="false">TRUE()</f>
        <v>1</v>
      </c>
      <c r="S784" s="642" t="n">
        <f aca="false">TRUE()</f>
        <v>1</v>
      </c>
      <c r="T784" s="642" t="n">
        <f aca="false">TRUE()</f>
        <v>1</v>
      </c>
      <c r="U784" s="642" t="n">
        <f aca="false">TRUE()</f>
        <v>1</v>
      </c>
      <c r="V784" s="642" t="n">
        <f aca="false">TRUE()</f>
        <v>1</v>
      </c>
      <c r="W784" s="642" t="n">
        <f aca="false">TRUE()</f>
        <v>1</v>
      </c>
      <c r="X784" s="642" t="n">
        <f aca="false">TRUE()</f>
        <v>1</v>
      </c>
      <c r="Y784" s="642" t="n">
        <f aca="false">TRUE()</f>
        <v>1</v>
      </c>
      <c r="Z784" s="642" t="n">
        <f aca="false">TRUE()</f>
        <v>1</v>
      </c>
      <c r="AA784" s="642" t="n">
        <f aca="false">TRUE()</f>
        <v>1</v>
      </c>
      <c r="AB784" s="642" t="n">
        <f aca="false">TRUE()</f>
        <v>1</v>
      </c>
      <c r="AC784" s="642" t="n">
        <f aca="false">TRUE()</f>
        <v>1</v>
      </c>
      <c r="AD784" s="642" t="n">
        <f aca="false">TRUE()</f>
        <v>1</v>
      </c>
      <c r="AE784" s="642" t="n">
        <f aca="false">TRUE()</f>
        <v>1</v>
      </c>
      <c r="AF784" s="642" t="n">
        <f aca="false">TRUE()</f>
        <v>1</v>
      </c>
      <c r="AG784" s="642" t="n">
        <f aca="false">TRUE()</f>
        <v>1</v>
      </c>
      <c r="AH784" s="642" t="n">
        <f aca="false">TRUE()</f>
        <v>1</v>
      </c>
      <c r="AI784" s="642" t="n">
        <f aca="false">TRUE()</f>
        <v>1</v>
      </c>
      <c r="AJ784" s="642" t="n">
        <f aca="false">TRUE()</f>
        <v>1</v>
      </c>
      <c r="AK784" s="642" t="n">
        <f aca="false">TRUE()</f>
        <v>1</v>
      </c>
      <c r="AL784" s="642" t="n">
        <f aca="false">TRUE()</f>
        <v>1</v>
      </c>
      <c r="AM784" s="642" t="n">
        <f aca="false">TRUE()</f>
        <v>1</v>
      </c>
      <c r="AN784" s="642" t="n">
        <f aca="false">TRUE()</f>
        <v>1</v>
      </c>
      <c r="AO784" s="642" t="n">
        <f aca="false">TRUE()</f>
        <v>1</v>
      </c>
      <c r="AP784" s="642" t="n">
        <f aca="false">TRUE()</f>
        <v>1</v>
      </c>
      <c r="AQ784" s="642" t="n">
        <f aca="false">TRUE()</f>
        <v>1</v>
      </c>
      <c r="AR784" s="642" t="n">
        <f aca="false">TRUE()</f>
        <v>1</v>
      </c>
      <c r="AS784" s="642" t="n">
        <f aca="false">TRUE()</f>
        <v>1</v>
      </c>
      <c r="AT784" s="642" t="n">
        <f aca="false">TRUE()</f>
        <v>1</v>
      </c>
      <c r="AU784" s="642" t="n">
        <f aca="false">TRUE()</f>
        <v>1</v>
      </c>
      <c r="AV784" s="642" t="n">
        <f aca="false">TRUE()</f>
        <v>1</v>
      </c>
      <c r="AW784" s="642" t="n">
        <f aca="false">TRUE()</f>
        <v>1</v>
      </c>
      <c r="AX784" s="642" t="n">
        <f aca="false">TRUE()</f>
        <v>1</v>
      </c>
      <c r="AY784" s="642" t="n">
        <f aca="false">TRUE()</f>
        <v>1</v>
      </c>
      <c r="AZ784" s="642" t="n">
        <f aca="false">TRUE()</f>
        <v>1</v>
      </c>
      <c r="BA784" s="642" t="n">
        <f aca="false">TRUE()</f>
        <v>1</v>
      </c>
      <c r="BB784" s="642" t="n">
        <f aca="false">TRUE()</f>
        <v>1</v>
      </c>
      <c r="BC784" s="642" t="n">
        <f aca="false">TRUE()</f>
        <v>1</v>
      </c>
      <c r="BD784" s="642" t="n">
        <f aca="false">TRUE()</f>
        <v>1</v>
      </c>
      <c r="BE784" s="642" t="n">
        <f aca="false">TRUE()</f>
        <v>1</v>
      </c>
      <c r="BF784" s="642" t="n">
        <f aca="false">TRUE()</f>
        <v>1</v>
      </c>
      <c r="BG784" s="642" t="n">
        <f aca="false">TRUE()</f>
        <v>1</v>
      </c>
      <c r="BH784" s="642" t="n">
        <f aca="false">TRUE()</f>
        <v>1</v>
      </c>
      <c r="BI784" s="642" t="n">
        <f aca="false">TRUE()</f>
        <v>1</v>
      </c>
      <c r="BJ784" s="642" t="n">
        <f aca="false">TRUE()</f>
        <v>1</v>
      </c>
      <c r="BK784" s="642" t="n">
        <f aca="false">TRUE()</f>
        <v>1</v>
      </c>
      <c r="BL784" s="642" t="n">
        <f aca="false">TRUE()</f>
        <v>1</v>
      </c>
      <c r="BM784" s="642" t="n">
        <f aca="false">TRUE()</f>
        <v>1</v>
      </c>
      <c r="BN784" s="642" t="n">
        <f aca="false">TRUE()</f>
        <v>1</v>
      </c>
      <c r="BO784" s="643" t="n">
        <f aca="false">TRUE()</f>
        <v>1</v>
      </c>
      <c r="BP784" s="642" t="n">
        <f aca="false">FALSE()</f>
        <v>0</v>
      </c>
      <c r="BQ784" s="642" t="n">
        <f aca="false">FALSE()</f>
        <v>0</v>
      </c>
      <c r="BR784" s="642" t="n">
        <f aca="false">FALSE()</f>
        <v>0</v>
      </c>
      <c r="BS784" s="642" t="n">
        <f aca="false">FALSE()</f>
        <v>0</v>
      </c>
      <c r="BT784" s="642" t="n">
        <f aca="false">FALSE()</f>
        <v>0</v>
      </c>
      <c r="BU784" s="642" t="n">
        <f aca="false">FALSE()</f>
        <v>0</v>
      </c>
      <c r="BV784" s="642" t="n">
        <f aca="false">FALSE()</f>
        <v>0</v>
      </c>
      <c r="BW784" s="642" t="n">
        <f aca="false">FALSE()</f>
        <v>0</v>
      </c>
      <c r="BX784" s="642" t="n">
        <f aca="false">FALSE()</f>
        <v>0</v>
      </c>
      <c r="BY784" s="642" t="n">
        <f aca="false">FALSE()</f>
        <v>0</v>
      </c>
      <c r="BZ784" s="642" t="n">
        <f aca="false">FALSE()</f>
        <v>0</v>
      </c>
      <c r="CA784" s="642" t="n">
        <f aca="false">FALSE()</f>
        <v>0</v>
      </c>
      <c r="CB784" s="644" t="n">
        <f aca="false">FALSE()</f>
        <v>0</v>
      </c>
      <c r="CC784" s="621"/>
    </row>
    <row r="785" s="46" customFormat="true" ht="15" hidden="false" customHeight="true" outlineLevel="0" collapsed="false">
      <c r="A785" s="645" t="str">
        <f aca="false">"Stock High: "&amp;IF(OR(MO.RealTimeStockPriceToggle=FALSE(),VLOOKUP(MO.DataSourceName,MO_SPT_StockHigh_Sources,COLUMN()+2,FALSE())="N/A"),"Real-Time Off Source",MO.DataSourceName)</f>
        <v>Stock High: Real-Time Off Source</v>
      </c>
      <c r="B785" s="646"/>
      <c r="C785" s="646" t="n">
        <f aca="false">IF(OR(MO.RealTimeStockPriceToggle=FALSE(),VLOOKUP(MO.DataSourceName,MO_SPT_StockHigh_Sources,COLUMN(),FALSE())="N/A"),VLOOKUP("Real-Time Off Source",MO_SPT_StockHigh_Sources,COLUMN(),FALSE()),VLOOKUP(MO.DataSourceName,MO_SPT_StockHigh_Sources,COLUMN(),FALSE()))</f>
        <v>25.325766058</v>
      </c>
      <c r="D785" s="646" t="n">
        <f aca="false">IF(OR(MO.RealTimeStockPriceToggle=FALSE(),VLOOKUP(MO.DataSourceName,MO_SPT_StockHigh_Sources,COLUMN(),FALSE())="N/A"),VLOOKUP("Real-Time Off Source",MO_SPT_StockHigh_Sources,COLUMN(),FALSE()),VLOOKUP(MO.DataSourceName,MO_SPT_StockHigh_Sources,COLUMN(),FALSE()))</f>
        <v>30.441457349</v>
      </c>
      <c r="E785" s="646" t="n">
        <f aca="false">IF(OR(MO.RealTimeStockPriceToggle=FALSE(),VLOOKUP(MO.DataSourceName,MO_SPT_StockHigh_Sources,COLUMN(),FALSE())="N/A"),VLOOKUP("Real-Time Off Source",MO_SPT_StockHigh_Sources,COLUMN(),FALSE()),VLOOKUP(MO.DataSourceName,MO_SPT_StockHigh_Sources,COLUMN(),FALSE()))</f>
        <v>33.984279846</v>
      </c>
      <c r="F785" s="646" t="n">
        <f aca="false">IF(OR(MO.RealTimeStockPriceToggle=FALSE(),VLOOKUP(MO.DataSourceName,MO_SPT_StockHigh_Sources,COLUMN(),FALSE())="N/A"),VLOOKUP("Real-Time Off Source",MO_SPT_StockHigh_Sources,COLUMN(),FALSE()),VLOOKUP(MO.DataSourceName,MO_SPT_StockHigh_Sources,COLUMN(),FALSE()))</f>
        <v>49.95</v>
      </c>
      <c r="G785" s="646" t="n">
        <f aca="false">IF(OR(MO.RealTimeStockPriceToggle=FALSE(),VLOOKUP(MO.DataSourceName,MO_SPT_StockHigh_Sources,COLUMN(),FALSE())="N/A"),VLOOKUP("Real-Time Off Source",MO_SPT_StockHigh_Sources,COLUMN(),FALSE()),VLOOKUP(MO.DataSourceName,MO_SPT_StockHigh_Sources,COLUMN(),FALSE()))</f>
        <v>75.05</v>
      </c>
      <c r="H785" s="646" t="n">
        <f aca="false">IF(OR(MO.RealTimeStockPriceToggle=FALSE(),VLOOKUP(MO.DataSourceName,MO_SPT_StockHigh_Sources,COLUMN(),FALSE())="N/A"),VLOOKUP("Real-Time Off Source",MO_SPT_StockHigh_Sources,COLUMN(),FALSE()),VLOOKUP(MO.DataSourceName,MO_SPT_StockHigh_Sources,COLUMN(),FALSE()))</f>
        <v>68.97</v>
      </c>
      <c r="I785" s="646" t="n">
        <f aca="false">IF(OR(MO.RealTimeStockPriceToggle=FALSE(),VLOOKUP(MO.DataSourceName,MO_SPT_StockHigh_Sources,COLUMN(),FALSE())="N/A"),VLOOKUP("Real-Time Off Source",MO_SPT_StockHigh_Sources,COLUMN(),FALSE()),VLOOKUP(MO.DataSourceName,MO_SPT_StockHigh_Sources,COLUMN(),FALSE()))</f>
        <v>69.92</v>
      </c>
      <c r="J785" s="646" t="n">
        <f aca="false">IF(OR(MO.RealTimeStockPriceToggle=FALSE(),VLOOKUP(MO.DataSourceName,MO_SPT_StockHigh_Sources,COLUMN(),FALSE())="N/A"),VLOOKUP("Real-Time Off Source",MO_SPT_StockHigh_Sources,COLUMN(),FALSE()),VLOOKUP(MO.DataSourceName,MO_SPT_StockHigh_Sources,COLUMN(),FALSE()))</f>
        <v>79.43</v>
      </c>
      <c r="K785" s="646" t="n">
        <f aca="false">IF(OR(MO.RealTimeStockPriceToggle=FALSE(),VLOOKUP(MO.DataSourceName,MO_SPT_StockHigh_Sources,COLUMN(),FALSE())="N/A"),VLOOKUP("Real-Time Off Source",MO_SPT_StockHigh_Sources,COLUMN(),FALSE()),VLOOKUP(MO.DataSourceName,MO_SPT_StockHigh_Sources,COLUMN(),FALSE()))</f>
        <v>89.95</v>
      </c>
      <c r="L785" s="646" t="n">
        <f aca="false">IF(OR(MO.RealTimeStockPriceToggle=FALSE(),VLOOKUP(MO.DataSourceName,MO_SPT_StockHigh_Sources,COLUMN(),FALSE())="N/A"),VLOOKUP("Real-Time Off Source",MO_SPT_StockHigh_Sources,COLUMN(),FALSE()),VLOOKUP(MO.DataSourceName,MO_SPT_StockHigh_Sources,COLUMN(),FALSE()))</f>
        <v>89.95</v>
      </c>
      <c r="M785" s="646" t="n">
        <f aca="false">IF(OR(MO.RealTimeStockPriceToggle=FALSE(),VLOOKUP(MO.DataSourceName,MO_SPT_StockHigh_Sources,COLUMN(),FALSE())="N/A"),VLOOKUP("Real-Time Off Source",MO_SPT_StockHigh_Sources,COLUMN(),FALSE()),VLOOKUP(MO.DataSourceName,MO_SPT_StockHigh_Sources,COLUMN(),FALSE()))</f>
        <v>102.4</v>
      </c>
      <c r="N785" s="646" t="n">
        <f aca="false">IF(OR(MO.RealTimeStockPriceToggle=FALSE(),VLOOKUP(MO.DataSourceName,MO_SPT_StockHigh_Sources,COLUMN(),FALSE())="N/A"),VLOOKUP("Real-Time Off Source",MO_SPT_StockHigh_Sources,COLUMN(),FALSE()),VLOOKUP(MO.DataSourceName,MO_SPT_StockHigh_Sources,COLUMN(),FALSE()))</f>
        <v>104.85</v>
      </c>
      <c r="O785" s="646" t="n">
        <f aca="false">IF(OR(MO.RealTimeStockPriceToggle=FALSE(),VLOOKUP(MO.DataSourceName,MO_SPT_StockHigh_Sources,COLUMN(),FALSE())="N/A"),VLOOKUP("Real-Time Off Source",MO_SPT_StockHigh_Sources,COLUMN(),FALSE()),VLOOKUP(MO.DataSourceName,MO_SPT_StockHigh_Sources,COLUMN(),FALSE()))</f>
        <v>98.92</v>
      </c>
      <c r="P785" s="646" t="n">
        <f aca="false">IF(OR(MO.RealTimeStockPriceToggle=FALSE(),VLOOKUP(MO.DataSourceName,MO_SPT_StockHigh_Sources,COLUMN(),FALSE())="N/A"),VLOOKUP("Real-Time Off Source",MO_SPT_StockHigh_Sources,COLUMN(),FALSE()),VLOOKUP(MO.DataSourceName,MO_SPT_StockHigh_Sources,COLUMN(),FALSE()))</f>
        <v>90.24</v>
      </c>
      <c r="Q785" s="646" t="n">
        <f aca="false">IF(OR(MO.RealTimeStockPriceToggle=FALSE(),VLOOKUP(MO.DataSourceName,MO_SPT_StockHigh_Sources,COLUMN(),FALSE())="N/A"),VLOOKUP("Real-Time Off Source",MO_SPT_StockHigh_Sources,COLUMN(),FALSE()),VLOOKUP(MO.DataSourceName,MO_SPT_StockHigh_Sources,COLUMN(),FALSE()))</f>
        <v>104.85</v>
      </c>
      <c r="R785" s="646" t="n">
        <f aca="false">IF(OR(MO.RealTimeStockPriceToggle=FALSE(),VLOOKUP(MO.DataSourceName,MO_SPT_StockHigh_Sources,COLUMN(),FALSE())="N/A"),VLOOKUP("Real-Time Off Source",MO_SPT_StockHigh_Sources,COLUMN(),FALSE()),VLOOKUP(MO.DataSourceName,MO_SPT_StockHigh_Sources,COLUMN(),FALSE()))</f>
        <v>89.9</v>
      </c>
      <c r="S785" s="646" t="n">
        <f aca="false">IF(OR(MO.RealTimeStockPriceToggle=FALSE(),VLOOKUP(MO.DataSourceName,MO_SPT_StockHigh_Sources,COLUMN(),FALSE())="N/A"),VLOOKUP("Real-Time Off Source",MO_SPT_StockHigh_Sources,COLUMN(),FALSE()),VLOOKUP(MO.DataSourceName,MO_SPT_StockHigh_Sources,COLUMN(),FALSE()))</f>
        <v>90.67</v>
      </c>
      <c r="T785" s="646" t="n">
        <f aca="false">IF(OR(MO.RealTimeStockPriceToggle=FALSE(),VLOOKUP(MO.DataSourceName,MO_SPT_StockHigh_Sources,COLUMN(),FALSE())="N/A"),VLOOKUP("Real-Time Off Source",MO_SPT_StockHigh_Sources,COLUMN(),FALSE()),VLOOKUP(MO.DataSourceName,MO_SPT_StockHigh_Sources,COLUMN(),FALSE()))</f>
        <v>100.5</v>
      </c>
      <c r="U785" s="646" t="n">
        <f aca="false">IF(OR(MO.RealTimeStockPriceToggle=FALSE(),VLOOKUP(MO.DataSourceName,MO_SPT_StockHigh_Sources,COLUMN(),FALSE())="N/A"),VLOOKUP("Real-Time Off Source",MO_SPT_StockHigh_Sources,COLUMN(),FALSE()),VLOOKUP(MO.DataSourceName,MO_SPT_StockHigh_Sources,COLUMN(),FALSE()))</f>
        <v>107.15</v>
      </c>
      <c r="V785" s="646" t="n">
        <f aca="false">IF(OR(MO.RealTimeStockPriceToggle=FALSE(),VLOOKUP(MO.DataSourceName,MO_SPT_StockHigh_Sources,COLUMN(),FALSE())="N/A"),VLOOKUP("Real-Time Off Source",MO_SPT_StockHigh_Sources,COLUMN(),FALSE()),VLOOKUP(MO.DataSourceName,MO_SPT_StockHigh_Sources,COLUMN(),FALSE()))</f>
        <v>107.15</v>
      </c>
      <c r="W785" s="646" t="n">
        <f aca="false">IF(OR(MO.RealTimeStockPriceToggle=FALSE(),VLOOKUP(MO.DataSourceName,MO_SPT_StockHigh_Sources,COLUMN(),FALSE())="N/A"),VLOOKUP("Real-Time Off Source",MO_SPT_StockHigh_Sources,COLUMN(),FALSE()),VLOOKUP(MO.DataSourceName,MO_SPT_StockHigh_Sources,COLUMN(),FALSE()))</f>
        <v>124.4</v>
      </c>
      <c r="X785" s="646" t="n">
        <f aca="false">IF(OR(MO.RealTimeStockPriceToggle=FALSE(),VLOOKUP(MO.DataSourceName,MO_SPT_StockHigh_Sources,COLUMN(),FALSE())="N/A"),VLOOKUP("Real-Time Off Source",MO_SPT_StockHigh_Sources,COLUMN(),FALSE()),VLOOKUP(MO.DataSourceName,MO_SPT_StockHigh_Sources,COLUMN(),FALSE()))</f>
        <v>124.95</v>
      </c>
      <c r="Y785" s="646" t="n">
        <f aca="false">IF(OR(MO.RealTimeStockPriceToggle=FALSE(),VLOOKUP(MO.DataSourceName,MO_SPT_StockHigh_Sources,COLUMN(),FALSE())="N/A"),VLOOKUP("Real-Time Off Source",MO_SPT_StockHigh_Sources,COLUMN(),FALSE()),VLOOKUP(MO.DataSourceName,MO_SPT_StockHigh_Sources,COLUMN(),FALSE()))</f>
        <v>144.7</v>
      </c>
      <c r="Z785" s="646" t="n">
        <f aca="false">IF(OR(MO.RealTimeStockPriceToggle=FALSE(),VLOOKUP(MO.DataSourceName,MO_SPT_StockHigh_Sources,COLUMN(),FALSE())="N/A"),VLOOKUP("Real-Time Off Source",MO_SPT_StockHigh_Sources,COLUMN(),FALSE()),VLOOKUP(MO.DataSourceName,MO_SPT_StockHigh_Sources,COLUMN(),FALSE()))</f>
        <v>159.95</v>
      </c>
      <c r="AA785" s="646" t="n">
        <f aca="false">IF(OR(MO.RealTimeStockPriceToggle=FALSE(),VLOOKUP(MO.DataSourceName,MO_SPT_StockHigh_Sources,COLUMN(),FALSE())="N/A"),VLOOKUP("Real-Time Off Source",MO_SPT_StockHigh_Sources,COLUMN(),FALSE()),VLOOKUP(MO.DataSourceName,MO_SPT_StockHigh_Sources,COLUMN(),FALSE()))</f>
        <v>159.95</v>
      </c>
      <c r="AB785" s="646" t="n">
        <f aca="false">IF(OR(MO.RealTimeStockPriceToggle=FALSE(),VLOOKUP(MO.DataSourceName,MO_SPT_StockHigh_Sources,COLUMN(),FALSE())="N/A"),VLOOKUP("Real-Time Off Source",MO_SPT_StockHigh_Sources,COLUMN(),FALSE()),VLOOKUP(MO.DataSourceName,MO_SPT_StockHigh_Sources,COLUMN(),FALSE()))</f>
        <v>175.25</v>
      </c>
      <c r="AC785" s="646" t="n">
        <f aca="false">IF(OR(MO.RealTimeStockPriceToggle=FALSE(),VLOOKUP(MO.DataSourceName,MO_SPT_StockHigh_Sources,COLUMN(),FALSE())="N/A"),VLOOKUP("Real-Time Off Source",MO_SPT_StockHigh_Sources,COLUMN(),FALSE()),VLOOKUP(MO.DataSourceName,MO_SPT_StockHigh_Sources,COLUMN(),FALSE()))</f>
        <v>188.85</v>
      </c>
      <c r="AD785" s="646" t="n">
        <f aca="false">IF(OR(MO.RealTimeStockPriceToggle=FALSE(),VLOOKUP(MO.DataSourceName,MO_SPT_StockHigh_Sources,COLUMN(),FALSE())="N/A"),VLOOKUP("Real-Time Off Source",MO_SPT_StockHigh_Sources,COLUMN(),FALSE()),VLOOKUP(MO.DataSourceName,MO_SPT_StockHigh_Sources,COLUMN(),FALSE()))</f>
        <v>189.5</v>
      </c>
      <c r="AE785" s="646" t="n">
        <f aca="false">IF(OR(MO.RealTimeStockPriceToggle=FALSE(),VLOOKUP(MO.DataSourceName,MO_SPT_StockHigh_Sources,COLUMN(),FALSE())="N/A"),VLOOKUP("Real-Time Off Source",MO_SPT_StockHigh_Sources,COLUMN(),FALSE()),VLOOKUP(MO.DataSourceName,MO_SPT_StockHigh_Sources,COLUMN(),FALSE()))</f>
        <v>166.76</v>
      </c>
      <c r="AF785" s="646" t="n">
        <f aca="false">IF(OR(MO.RealTimeStockPriceToggle=FALSE(),VLOOKUP(MO.DataSourceName,MO_SPT_StockHigh_Sources,COLUMN(),FALSE())="N/A"),VLOOKUP("Real-Time Off Source",MO_SPT_StockHigh_Sources,COLUMN(),FALSE()),VLOOKUP(MO.DataSourceName,MO_SPT_StockHigh_Sources,COLUMN(),FALSE()))</f>
        <v>189.5</v>
      </c>
      <c r="AG785" s="646" t="n">
        <f aca="false">IF(OR(MO.RealTimeStockPriceToggle=FALSE(),VLOOKUP(MO.DataSourceName,MO_SPT_StockHigh_Sources,COLUMN(),FALSE())="N/A"),VLOOKUP("Real-Time Off Source",MO_SPT_StockHigh_Sources,COLUMN(),FALSE()),VLOOKUP(MO.DataSourceName,MO_SPT_StockHigh_Sources,COLUMN(),FALSE()))</f>
        <v>171.98</v>
      </c>
      <c r="AH785" s="646" t="n">
        <f aca="false">IF(OR(MO.RealTimeStockPriceToggle=FALSE(),VLOOKUP(MO.DataSourceName,MO_SPT_StockHigh_Sources,COLUMN(),FALSE())="N/A"),VLOOKUP("Real-Time Off Source",MO_SPT_StockHigh_Sources,COLUMN(),FALSE()),VLOOKUP(MO.DataSourceName,MO_SPT_StockHigh_Sources,COLUMN(),FALSE()))</f>
        <v>186.02</v>
      </c>
      <c r="AI785" s="646" t="n">
        <f aca="false">IF(OR(MO.RealTimeStockPriceToggle=FALSE(),VLOOKUP(MO.DataSourceName,MO_SPT_StockHigh_Sources,COLUMN(),FALSE())="N/A"),VLOOKUP("Real-Time Off Source",MO_SPT_StockHigh_Sources,COLUMN(),FALSE()),VLOOKUP(MO.DataSourceName,MO_SPT_StockHigh_Sources,COLUMN(),FALSE()))</f>
        <v>228.65</v>
      </c>
      <c r="AJ785" s="646" t="n">
        <f aca="false">IF(OR(MO.RealTimeStockPriceToggle=FALSE(),VLOOKUP(MO.DataSourceName,MO_SPT_StockHigh_Sources,COLUMN(),FALSE())="N/A"),VLOOKUP("Real-Time Off Source",MO_SPT_StockHigh_Sources,COLUMN(),FALSE()),VLOOKUP(MO.DataSourceName,MO_SPT_StockHigh_Sources,COLUMN(),FALSE()))</f>
        <v>267.8</v>
      </c>
      <c r="AK785" s="646" t="n">
        <f aca="false">IF(OR(MO.RealTimeStockPriceToggle=FALSE(),VLOOKUP(MO.DataSourceName,MO_SPT_StockHigh_Sources,COLUMN(),FALSE())="N/A"),VLOOKUP("Real-Time Off Source",MO_SPT_StockHigh_Sources,COLUMN(),FALSE()),VLOOKUP(MO.DataSourceName,MO_SPT_StockHigh_Sources,COLUMN(),FALSE()))</f>
        <v>267.8</v>
      </c>
      <c r="AL785" s="646" t="n">
        <f aca="false">IF(OR(MO.RealTimeStockPriceToggle=FALSE(),VLOOKUP(MO.DataSourceName,MO_SPT_StockHigh_Sources,COLUMN(),FALSE())="N/A"),VLOOKUP("Real-Time Off Source",MO_SPT_StockHigh_Sources,COLUMN(),FALSE()),VLOOKUP(MO.DataSourceName,MO_SPT_StockHigh_Sources,COLUMN(),FALSE()))</f>
        <v>294.4</v>
      </c>
      <c r="AM785" s="646" t="n">
        <f aca="false">IF(OR(MO.RealTimeStockPriceToggle=FALSE(),VLOOKUP(MO.DataSourceName,MO_SPT_StockHigh_Sources,COLUMN(),FALSE())="N/A"),VLOOKUP("Real-Time Off Source",MO_SPT_StockHigh_Sources,COLUMN(),FALSE()),VLOOKUP(MO.DataSourceName,MO_SPT_StockHigh_Sources,COLUMN(),FALSE()))</f>
        <v>330.35</v>
      </c>
      <c r="AN785" s="646" t="n">
        <f aca="false">IF(OR(MO.RealTimeStockPriceToggle=FALSE(),VLOOKUP(MO.DataSourceName,MO_SPT_StockHigh_Sources,COLUMN(),FALSE())="N/A"),VLOOKUP("Real-Time Off Source",MO_SPT_StockHigh_Sources,COLUMN(),FALSE()),VLOOKUP(MO.DataSourceName,MO_SPT_StockHigh_Sources,COLUMN(),FALSE()))</f>
        <v>355.5</v>
      </c>
      <c r="AO785" s="646" t="n">
        <f aca="false">IF(OR(MO.RealTimeStockPriceToggle=FALSE(),VLOOKUP(MO.DataSourceName,MO_SPT_StockHigh_Sources,COLUMN(),FALSE())="N/A"),VLOOKUP("Real-Time Off Source",MO_SPT_StockHigh_Sources,COLUMN(),FALSE()),VLOOKUP(MO.DataSourceName,MO_SPT_StockHigh_Sources,COLUMN(),FALSE()))</f>
        <v>401.8</v>
      </c>
      <c r="AP785" s="646" t="n">
        <f aca="false">IF(OR(MO.RealTimeStockPriceToggle=FALSE(),VLOOKUP(MO.DataSourceName,MO_SPT_StockHigh_Sources,COLUMN(),FALSE())="N/A"),VLOOKUP("Real-Time Off Source",MO_SPT_StockHigh_Sources,COLUMN(),FALSE()),VLOOKUP(MO.DataSourceName,MO_SPT_StockHigh_Sources,COLUMN(),FALSE()))</f>
        <v>401.8</v>
      </c>
      <c r="AQ785" s="646" t="n">
        <f aca="false">IF(OR(MO.RealTimeStockPriceToggle=FALSE(),VLOOKUP(MO.DataSourceName,MO_SPT_StockHigh_Sources,COLUMN(),FALSE())="N/A"),VLOOKUP("Real-Time Off Source",MO_SPT_StockHigh_Sources,COLUMN(),FALSE()),VLOOKUP(MO.DataSourceName,MO_SPT_StockHigh_Sources,COLUMN(),FALSE()))</f>
        <v>526.3</v>
      </c>
      <c r="AR785" s="646" t="n">
        <f aca="false">IF(OR(MO.RealTimeStockPriceToggle=FALSE(),VLOOKUP(MO.DataSourceName,MO_SPT_StockHigh_Sources,COLUMN(),FALSE())="N/A"),VLOOKUP("Real-Time Off Source",MO_SPT_StockHigh_Sources,COLUMN(),FALSE()),VLOOKUP(MO.DataSourceName,MO_SPT_StockHigh_Sources,COLUMN(),FALSE()))</f>
        <v>594.1</v>
      </c>
      <c r="AS785" s="646" t="n">
        <f aca="false">IF(OR(MO.RealTimeStockPriceToggle=FALSE(),VLOOKUP(MO.DataSourceName,MO_SPT_StockHigh_Sources,COLUMN(),FALSE())="N/A"),VLOOKUP("Real-Time Off Source",MO_SPT_StockHigh_Sources,COLUMN(),FALSE()),VLOOKUP(MO.DataSourceName,MO_SPT_StockHigh_Sources,COLUMN(),FALSE()))</f>
        <v>764.4</v>
      </c>
      <c r="AT785" s="646" t="n">
        <f aca="false">IF(OR(MO.RealTimeStockPriceToggle=FALSE(),VLOOKUP(MO.DataSourceName,MO_SPT_StockHigh_Sources,COLUMN(),FALSE())="N/A"),VLOOKUP("Real-Time Off Source",MO_SPT_StockHigh_Sources,COLUMN(),FALSE()),VLOOKUP(MO.DataSourceName,MO_SPT_StockHigh_Sources,COLUMN(),FALSE()))</f>
        <v>770.5</v>
      </c>
      <c r="AU785" s="646" t="n">
        <f aca="false">IF(OR(MO.RealTimeStockPriceToggle=FALSE(),VLOOKUP(MO.DataSourceName,MO_SPT_StockHigh_Sources,COLUMN(),FALSE())="N/A"),VLOOKUP("Real-Time Off Source",MO_SPT_StockHigh_Sources,COLUMN(),FALSE()),VLOOKUP(MO.DataSourceName,MO_SPT_StockHigh_Sources,COLUMN(),FALSE()))</f>
        <v>770.5</v>
      </c>
      <c r="AV785" s="646" t="n">
        <f aca="false">IF(OR(MO.RealTimeStockPriceToggle=FALSE(),VLOOKUP(MO.DataSourceName,MO_SPT_StockHigh_Sources,COLUMN(),FALSE())="N/A"),VLOOKUP("Real-Time Off Source",MO_SPT_StockHigh_Sources,COLUMN(),FALSE()),VLOOKUP(MO.DataSourceName,MO_SPT_StockHigh_Sources,COLUMN(),FALSE()))</f>
        <v>716.9</v>
      </c>
      <c r="AW785" s="646" t="n">
        <f aca="false">IF(OR(MO.RealTimeStockPriceToggle=FALSE(),VLOOKUP(MO.DataSourceName,MO_SPT_StockHigh_Sources,COLUMN(),FALSE())="N/A"),VLOOKUP("Real-Time Off Source",MO_SPT_StockHigh_Sources,COLUMN(),FALSE()),VLOOKUP(MO.DataSourceName,MO_SPT_StockHigh_Sources,COLUMN(),FALSE()))</f>
        <v>627</v>
      </c>
      <c r="AX785" s="646" t="n">
        <f aca="false">IF(OR(MO.RealTimeStockPriceToggle=FALSE(),VLOOKUP(MO.DataSourceName,MO_SPT_StockHigh_Sources,COLUMN(),FALSE())="N/A"),VLOOKUP("Real-Time Off Source",MO_SPT_StockHigh_Sources,COLUMN(),FALSE()),VLOOKUP(MO.DataSourceName,MO_SPT_StockHigh_Sources,COLUMN(),FALSE()))</f>
        <v>580.5</v>
      </c>
      <c r="AY785" s="646" t="n">
        <f aca="false">IF(OR(MO.RealTimeStockPriceToggle=FALSE(),VLOOKUP(MO.DataSourceName,MO_SPT_StockHigh_Sources,COLUMN(),FALSE())="N/A"),VLOOKUP("Real-Time Off Source",MO_SPT_StockHigh_Sources,COLUMN(),FALSE()),VLOOKUP(MO.DataSourceName,MO_SPT_StockHigh_Sources,COLUMN(),FALSE()))</f>
        <v>628.27002</v>
      </c>
      <c r="AZ785" s="646" t="n">
        <f aca="false">IF(OR(MO.RealTimeStockPriceToggle=FALSE(),VLOOKUP(MO.DataSourceName,MO_SPT_StockHigh_Sources,COLUMN(),FALSE())="N/A"),VLOOKUP("Real-Time Off Source",MO_SPT_StockHigh_Sources,COLUMN(),FALSE()),VLOOKUP(MO.DataSourceName,MO_SPT_StockHigh_Sources,COLUMN(),FALSE()))</f>
        <v>787.371033</v>
      </c>
      <c r="BA785" s="646" t="n">
        <f aca="false">IF(OR(MO.RealTimeStockPriceToggle=FALSE(),VLOOKUP(MO.DataSourceName,MO_SPT_StockHigh_Sources,COLUMN(),FALSE())="N/A"),VLOOKUP("Real-Time Off Source",MO_SPT_StockHigh_Sources,COLUMN(),FALSE()),VLOOKUP(MO.DataSourceName,MO_SPT_StockHigh_Sources,COLUMN(),FALSE()))</f>
        <v>639.5</v>
      </c>
      <c r="BB785" s="646" t="n">
        <f aca="false">IF(OR(MO.RealTimeStockPriceToggle=FALSE(),VLOOKUP(MO.DataSourceName,MO_SPT_StockHigh_Sources,COLUMN(),FALSE())="N/A"),VLOOKUP("Real-Time Off Source",MO_SPT_StockHigh_Sources,COLUMN(),FALSE()),VLOOKUP(MO.DataSourceName,MO_SPT_StockHigh_Sources,COLUMN(),FALSE()))</f>
        <v>683.1</v>
      </c>
      <c r="BC785" s="646" t="n">
        <f aca="false">IF(OR(MO.RealTimeStockPriceToggle=FALSE(),VLOOKUP(MO.DataSourceName,MO_SPT_StockHigh_Sources,COLUMN(),FALSE())="N/A"),VLOOKUP("Real-Time Off Source",MO_SPT_StockHigh_Sources,COLUMN(),FALSE()),VLOOKUP(MO.DataSourceName,MO_SPT_StockHigh_Sources,COLUMN(),FALSE()))</f>
        <v>684.9</v>
      </c>
      <c r="BD785" s="646" t="n">
        <f aca="false">IF(OR(MO.RealTimeStockPriceToggle=FALSE(),VLOOKUP(MO.DataSourceName,MO_SPT_StockHigh_Sources,COLUMN(),FALSE())="N/A"),VLOOKUP("Real-Time Off Source",MO_SPT_StockHigh_Sources,COLUMN(),FALSE()),VLOOKUP(MO.DataSourceName,MO_SPT_StockHigh_Sources,COLUMN(),FALSE()))</f>
        <v>694.7</v>
      </c>
      <c r="BE785" s="646" t="n">
        <f aca="false">IF(OR(MO.RealTimeStockPriceToggle=FALSE(),VLOOKUP(MO.DataSourceName,MO_SPT_StockHigh_Sources,COLUMN(),FALSE())="N/A"),VLOOKUP("Real-Time Off Source",MO_SPT_StockHigh_Sources,COLUMN(),FALSE()),VLOOKUP(MO.DataSourceName,MO_SPT_StockHigh_Sources,COLUMN(),FALSE()))</f>
        <v>694.7</v>
      </c>
      <c r="BF785" s="646" t="n">
        <f aca="false">IF(OR(MO.RealTimeStockPriceToggle=FALSE(),VLOOKUP(MO.DataSourceName,MO_SPT_StockHigh_Sources,COLUMN(),FALSE())="N/A"),VLOOKUP("Real-Time Off Source",MO_SPT_StockHigh_Sources,COLUMN(),FALSE()),VLOOKUP(MO.DataSourceName,MO_SPT_StockHigh_Sources,COLUMN(),FALSE()))</f>
        <v>949.2</v>
      </c>
      <c r="BG785" s="646" t="n">
        <f aca="false">IF(OR(MO.RealTimeStockPriceToggle=FALSE(),VLOOKUP(MO.DataSourceName,MO_SPT_StockHigh_Sources,COLUMN(),FALSE())="N/A"),VLOOKUP("Real-Time Off Source",MO_SPT_StockHigh_Sources,COLUMN(),FALSE()),VLOOKUP(MO.DataSourceName,MO_SPT_StockHigh_Sources,COLUMN(),FALSE()))</f>
        <v>988.9</v>
      </c>
      <c r="BH785" s="646" t="n">
        <f aca="false">IF(OR(MO.RealTimeStockPriceToggle=FALSE(),VLOOKUP(MO.DataSourceName,MO_SPT_StockHigh_Sources,COLUMN(),FALSE())="N/A"),VLOOKUP("Real-Time Off Source",MO_SPT_StockHigh_Sources,COLUMN(),FALSE()),VLOOKUP(MO.DataSourceName,MO_SPT_StockHigh_Sources,COLUMN(),FALSE()))</f>
        <v>1002.2</v>
      </c>
      <c r="BI785" s="646" t="n">
        <f aca="false">IF(OR(MO.RealTimeStockPriceToggle=FALSE(),VLOOKUP(MO.DataSourceName,MO_SPT_StockHigh_Sources,COLUMN(),FALSE())="N/A"),VLOOKUP("Real-Time Off Source",MO_SPT_StockHigh_Sources,COLUMN(),FALSE()),VLOOKUP(MO.DataSourceName,MO_SPT_StockHigh_Sources,COLUMN(),FALSE()))</f>
        <v>792</v>
      </c>
      <c r="BJ785" s="646" t="n">
        <f aca="false">IF(OR(MO.RealTimeStockPriceToggle=FALSE(),VLOOKUP(MO.DataSourceName,MO_SPT_StockHigh_Sources,COLUMN(),FALSE())="N/A"),VLOOKUP("Real-Time Off Source",MO_SPT_StockHigh_Sources,COLUMN(),FALSE()),VLOOKUP(MO.DataSourceName,MO_SPT_StockHigh_Sources,COLUMN(),FALSE()))</f>
        <v>1002.2</v>
      </c>
      <c r="BK785" s="646" t="n">
        <f aca="false">IF(OR(MO.RealTimeStockPriceToggle=FALSE(),VLOOKUP(MO.DataSourceName,MO_SPT_StockHigh_Sources,COLUMN(),FALSE())="N/A"),VLOOKUP("Real-Time Off Source",MO_SPT_StockHigh_Sources,COLUMN(),FALSE()),VLOOKUP(MO.DataSourceName,MO_SPT_StockHigh_Sources,COLUMN(),FALSE()))</f>
        <v>748.1</v>
      </c>
      <c r="BL785" s="646" t="n">
        <f aca="false">IF(OR(MO.RealTimeStockPriceToggle=FALSE(),VLOOKUP(MO.DataSourceName,MO_SPT_StockHigh_Sources,COLUMN(),FALSE())="N/A"),VLOOKUP("Real-Time Off Source",MO_SPT_StockHigh_Sources,COLUMN(),FALSE()),VLOOKUP(MO.DataSourceName,MO_SPT_StockHigh_Sources,COLUMN(),FALSE()))</f>
        <v>694.5</v>
      </c>
      <c r="BM785" s="646" t="n">
        <f aca="false">IF(OR(MO.RealTimeStockPriceToggle=FALSE(),VLOOKUP(MO.DataSourceName,MO_SPT_StockHigh_Sources,COLUMN(),FALSE())="N/A"),VLOOKUP("Real-Time Off Source",MO_SPT_StockHigh_Sources,COLUMN(),FALSE()),VLOOKUP(MO.DataSourceName,MO_SPT_StockHigh_Sources,COLUMN(),FALSE()))</f>
        <v>819.8</v>
      </c>
      <c r="BN785" s="646" t="n">
        <f aca="false">IF(OR(MO.RealTimeStockPriceToggle=FALSE(),VLOOKUP(MO.DataSourceName,MO_SPT_StockHigh_Sources,COLUMN(),FALSE())="N/A"),VLOOKUP("Real-Time Off Source",MO_SPT_StockHigh_Sources,COLUMN(),FALSE()),VLOOKUP(MO.DataSourceName,MO_SPT_StockHigh_Sources,COLUMN(),FALSE()))</f>
        <v>963.4</v>
      </c>
      <c r="BO785" s="647" t="n">
        <f aca="false">IF(OR(MO.RealTimeStockPriceToggle=FALSE(),VLOOKUP(MO.DataSourceName,MO_SPT_StockHigh_Sources,COLUMN(),FALSE())="N/A"),VLOOKUP("Real-Time Off Source",MO_SPT_StockHigh_Sources,COLUMN(),FALSE()),VLOOKUP(MO.DataSourceName,MO_SPT_StockHigh_Sources,COLUMN(),FALSE()))</f>
        <v>963.4</v>
      </c>
      <c r="BP785" s="646" t="n">
        <f aca="false">IF(OR(MO.RealTimeStockPriceToggle=FALSE(),VLOOKUP(MO.DataSourceName,MO_SPT_StockHigh_Sources,COLUMN(),FALSE())="N/A"),VLOOKUP("Real-Time Off Source",MO_SPT_StockHigh_Sources,COLUMN(),FALSE()),VLOOKUP(MO.DataSourceName,MO_SPT_StockHigh_Sources,COLUMN(),FALSE()))</f>
        <v>0</v>
      </c>
      <c r="BQ785" s="646" t="n">
        <f aca="false">IF(OR(MO.RealTimeStockPriceToggle=FALSE(),VLOOKUP(MO.DataSourceName,MO_SPT_StockHigh_Sources,COLUMN(),FALSE())="N/A"),VLOOKUP("Real-Time Off Source",MO_SPT_StockHigh_Sources,COLUMN(),FALSE()),VLOOKUP(MO.DataSourceName,MO_SPT_StockHigh_Sources,COLUMN(),FALSE()))</f>
        <v>0</v>
      </c>
      <c r="BR785" s="646" t="n">
        <f aca="false">IF(OR(MO.RealTimeStockPriceToggle=FALSE(),VLOOKUP(MO.DataSourceName,MO_SPT_StockHigh_Sources,COLUMN(),FALSE())="N/A"),VLOOKUP("Real-Time Off Source",MO_SPT_StockHigh_Sources,COLUMN(),FALSE()),VLOOKUP(MO.DataSourceName,MO_SPT_StockHigh_Sources,COLUMN(),FALSE()))</f>
        <v>0</v>
      </c>
      <c r="BS785" s="646" t="n">
        <f aca="false">IF(OR(MO.RealTimeStockPriceToggle=FALSE(),VLOOKUP(MO.DataSourceName,MO_SPT_StockHigh_Sources,COLUMN(),FALSE())="N/A"),VLOOKUP("Real-Time Off Source",MO_SPT_StockHigh_Sources,COLUMN(),FALSE()),VLOOKUP(MO.DataSourceName,MO_SPT_StockHigh_Sources,COLUMN(),FALSE()))</f>
        <v>0</v>
      </c>
      <c r="BT785" s="646" t="n">
        <f aca="false">IF(OR(MO.RealTimeStockPriceToggle=FALSE(),VLOOKUP(MO.DataSourceName,MO_SPT_StockHigh_Sources,COLUMN(),FALSE())="N/A"),VLOOKUP("Real-Time Off Source",MO_SPT_StockHigh_Sources,COLUMN(),FALSE()),VLOOKUP(MO.DataSourceName,MO_SPT_StockHigh_Sources,COLUMN(),FALSE()))</f>
        <v>0</v>
      </c>
      <c r="BU785" s="646" t="n">
        <f aca="false">IF(OR(MO.RealTimeStockPriceToggle=FALSE(),VLOOKUP(MO.DataSourceName,MO_SPT_StockHigh_Sources,COLUMN(),FALSE())="N/A"),VLOOKUP("Real-Time Off Source",MO_SPT_StockHigh_Sources,COLUMN(),FALSE()),VLOOKUP(MO.DataSourceName,MO_SPT_StockHigh_Sources,COLUMN(),FALSE()))</f>
        <v>0</v>
      </c>
      <c r="BV785" s="646" t="n">
        <f aca="false">IF(OR(MO.RealTimeStockPriceToggle=FALSE(),VLOOKUP(MO.DataSourceName,MO_SPT_StockHigh_Sources,COLUMN(),FALSE())="N/A"),VLOOKUP("Real-Time Off Source",MO_SPT_StockHigh_Sources,COLUMN(),FALSE()),VLOOKUP(MO.DataSourceName,MO_SPT_StockHigh_Sources,COLUMN(),FALSE()))</f>
        <v>0</v>
      </c>
      <c r="BW785" s="646" t="n">
        <f aca="false">IF(OR(MO.RealTimeStockPriceToggle=FALSE(),VLOOKUP(MO.DataSourceName,MO_SPT_StockHigh_Sources,COLUMN(),FALSE())="N/A"),VLOOKUP("Real-Time Off Source",MO_SPT_StockHigh_Sources,COLUMN(),FALSE()),VLOOKUP(MO.DataSourceName,MO_SPT_StockHigh_Sources,COLUMN(),FALSE()))</f>
        <v>0</v>
      </c>
      <c r="BX785" s="646" t="n">
        <f aca="false">IF(OR(MO.RealTimeStockPriceToggle=FALSE(),VLOOKUP(MO.DataSourceName,MO_SPT_StockHigh_Sources,COLUMN(),FALSE())="N/A"),VLOOKUP("Real-Time Off Source",MO_SPT_StockHigh_Sources,COLUMN(),FALSE()),VLOOKUP(MO.DataSourceName,MO_SPT_StockHigh_Sources,COLUMN(),FALSE()))</f>
        <v>0</v>
      </c>
      <c r="BY785" s="646" t="n">
        <f aca="false">IF(OR(MO.RealTimeStockPriceToggle=FALSE(),VLOOKUP(MO.DataSourceName,MO_SPT_StockHigh_Sources,COLUMN(),FALSE())="N/A"),VLOOKUP("Real-Time Off Source",MO_SPT_StockHigh_Sources,COLUMN(),FALSE()),VLOOKUP(MO.DataSourceName,MO_SPT_StockHigh_Sources,COLUMN(),FALSE()))</f>
        <v>0</v>
      </c>
      <c r="BZ785" s="646" t="n">
        <f aca="false">IF(OR(MO.RealTimeStockPriceToggle=FALSE(),VLOOKUP(MO.DataSourceName,MO_SPT_StockHigh_Sources,COLUMN(),FALSE())="N/A"),VLOOKUP("Real-Time Off Source",MO_SPT_StockHigh_Sources,COLUMN(),FALSE()),VLOOKUP(MO.DataSourceName,MO_SPT_StockHigh_Sources,COLUMN(),FALSE()))</f>
        <v>0</v>
      </c>
      <c r="CA785" s="646" t="n">
        <f aca="false">IF(OR(MO.RealTimeStockPriceToggle=FALSE(),VLOOKUP(MO.DataSourceName,MO_SPT_StockHigh_Sources,COLUMN(),FALSE())="N/A"),VLOOKUP("Real-Time Off Source",MO_SPT_StockHigh_Sources,COLUMN(),FALSE()),VLOOKUP(MO.DataSourceName,MO_SPT_StockHigh_Sources,COLUMN(),FALSE()))</f>
        <v>0</v>
      </c>
      <c r="CB785" s="648" t="n">
        <f aca="false">IF(OR(MO.RealTimeStockPriceToggle=FALSE(),VLOOKUP(MO.DataSourceName,MO_SPT_StockHigh_Sources,COLUMN(),FALSE())="N/A"),VLOOKUP("Real-Time Off Source",MO_SPT_StockHigh_Sources,COLUMN(),FALSE()),VLOOKUP(MO.DataSourceName,MO_SPT_StockHigh_Sources,COLUMN(),FALSE()))</f>
        <v>0</v>
      </c>
      <c r="CC785" s="649"/>
    </row>
    <row r="786" s="46" customFormat="true" ht="15" hidden="true" customHeight="true" outlineLevel="1" collapsed="false">
      <c r="A786" s="650" t="s">
        <v>703</v>
      </c>
      <c r="B786" s="646"/>
      <c r="C786" s="651" t="n">
        <v>25.325766058</v>
      </c>
      <c r="D786" s="651" t="n">
        <v>30.441457349</v>
      </c>
      <c r="E786" s="651" t="n">
        <v>33.984279846</v>
      </c>
      <c r="F786" s="651" t="n">
        <v>49.95</v>
      </c>
      <c r="G786" s="651" t="n">
        <v>75.05</v>
      </c>
      <c r="H786" s="651" t="n">
        <v>68.97</v>
      </c>
      <c r="I786" s="651" t="n">
        <v>69.92</v>
      </c>
      <c r="J786" s="651" t="n">
        <v>79.43</v>
      </c>
      <c r="K786" s="651" t="n">
        <v>89.95</v>
      </c>
      <c r="L786" s="651" t="n">
        <v>89.95</v>
      </c>
      <c r="M786" s="651" t="n">
        <v>102.4</v>
      </c>
      <c r="N786" s="651" t="n">
        <v>104.85</v>
      </c>
      <c r="O786" s="651" t="n">
        <v>98.92</v>
      </c>
      <c r="P786" s="651" t="n">
        <v>90.24</v>
      </c>
      <c r="Q786" s="651" t="n">
        <v>104.85</v>
      </c>
      <c r="R786" s="651" t="n">
        <v>89.9</v>
      </c>
      <c r="S786" s="651" t="n">
        <v>90.67</v>
      </c>
      <c r="T786" s="651" t="n">
        <v>100.5</v>
      </c>
      <c r="U786" s="651" t="n">
        <v>107.15</v>
      </c>
      <c r="V786" s="651" t="n">
        <v>107.15</v>
      </c>
      <c r="W786" s="651" t="n">
        <v>124.4</v>
      </c>
      <c r="X786" s="651" t="n">
        <v>124.95</v>
      </c>
      <c r="Y786" s="651" t="n">
        <v>144.7</v>
      </c>
      <c r="Z786" s="651" t="n">
        <v>159.95</v>
      </c>
      <c r="AA786" s="651" t="n">
        <v>159.95</v>
      </c>
      <c r="AB786" s="651" t="n">
        <v>175.25</v>
      </c>
      <c r="AC786" s="651" t="n">
        <v>188.85</v>
      </c>
      <c r="AD786" s="651" t="n">
        <v>189.5</v>
      </c>
      <c r="AE786" s="651" t="n">
        <v>166.76</v>
      </c>
      <c r="AF786" s="651" t="n">
        <v>189.5</v>
      </c>
      <c r="AG786" s="651" t="n">
        <v>171.98</v>
      </c>
      <c r="AH786" s="651" t="n">
        <v>186.02</v>
      </c>
      <c r="AI786" s="651" t="n">
        <v>228.65</v>
      </c>
      <c r="AJ786" s="651" t="n">
        <v>267.8</v>
      </c>
      <c r="AK786" s="651" t="n">
        <v>267.8</v>
      </c>
      <c r="AL786" s="651" t="n">
        <v>294.4</v>
      </c>
      <c r="AM786" s="651" t="n">
        <v>330.35</v>
      </c>
      <c r="AN786" s="651" t="n">
        <v>355.5</v>
      </c>
      <c r="AO786" s="651" t="n">
        <v>401.8</v>
      </c>
      <c r="AP786" s="651" t="n">
        <v>401.8</v>
      </c>
      <c r="AQ786" s="651" t="n">
        <v>526.3</v>
      </c>
      <c r="AR786" s="651" t="n">
        <v>594.1</v>
      </c>
      <c r="AS786" s="651" t="n">
        <v>764.4</v>
      </c>
      <c r="AT786" s="651" t="n">
        <v>770.5</v>
      </c>
      <c r="AU786" s="651" t="n">
        <v>770.5</v>
      </c>
      <c r="AV786" s="651" t="n">
        <v>716.9</v>
      </c>
      <c r="AW786" s="651" t="n">
        <v>627</v>
      </c>
      <c r="AX786" s="651" t="n">
        <v>580.5</v>
      </c>
      <c r="AY786" s="651" t="n">
        <v>628.27002</v>
      </c>
      <c r="AZ786" s="651" t="n">
        <v>787.371033</v>
      </c>
      <c r="BA786" s="651" t="n">
        <v>639.5</v>
      </c>
      <c r="BB786" s="651" t="n">
        <v>683.1</v>
      </c>
      <c r="BC786" s="651" t="n">
        <v>684.9</v>
      </c>
      <c r="BD786" s="651" t="n">
        <v>694.7</v>
      </c>
      <c r="BE786" s="651" t="n">
        <v>694.7</v>
      </c>
      <c r="BF786" s="651" t="n">
        <v>949.2</v>
      </c>
      <c r="BG786" s="651" t="n">
        <v>988.9</v>
      </c>
      <c r="BH786" s="651" t="n">
        <v>1002.2</v>
      </c>
      <c r="BI786" s="651" t="n">
        <v>792</v>
      </c>
      <c r="BJ786" s="651" t="n">
        <v>1002.2</v>
      </c>
      <c r="BK786" s="651" t="n">
        <v>748.1</v>
      </c>
      <c r="BL786" s="651" t="n">
        <v>694.5</v>
      </c>
      <c r="BM786" s="651" t="n">
        <v>819.8</v>
      </c>
      <c r="BN786" s="651" t="n">
        <v>963.4</v>
      </c>
      <c r="BO786" s="652" t="n">
        <v>963.4</v>
      </c>
      <c r="BP786" s="646"/>
      <c r="BQ786" s="646"/>
      <c r="BR786" s="646"/>
      <c r="BS786" s="646"/>
      <c r="BT786" s="646"/>
      <c r="BU786" s="646"/>
      <c r="BV786" s="646"/>
      <c r="BW786" s="646"/>
      <c r="BX786" s="646"/>
      <c r="BY786" s="646"/>
      <c r="BZ786" s="646"/>
      <c r="CA786" s="646"/>
      <c r="CB786" s="648"/>
      <c r="CC786" s="649"/>
    </row>
    <row r="787" s="46" customFormat="true" ht="15" hidden="true" customHeight="true" outlineLevel="1" collapsed="false">
      <c r="A787" s="650" t="s">
        <v>8</v>
      </c>
      <c r="B787" s="646"/>
      <c r="C787" s="646" t="str">
        <f aca="false">IFERROR(bdp(MO.Ticker.Bloomberg&amp;" Equity","INTERVAL_HIGH","MARKET_DATA_OVERRIDE=PX_LAST","START_DATE_OVERRIDE",TEXT(INDEX(MO_SNA_FPStartDate,0,COLUMN()),"YYYYMMDD"),"END_DATE_OVERRIDE",TEXT(INDEX(MO_Common_QEndDate,0,COLUMN()),"YYYYMMDD")),"N/A")</f>
        <v>N/A</v>
      </c>
      <c r="D787" s="646" t="str">
        <f aca="false">IFERROR(bdp(MO.Ticker.Bloomberg&amp;" Equity","INTERVAL_HIGH","MARKET_DATA_OVERRIDE=PX_LAST","START_DATE_OVERRIDE",TEXT(INDEX(MO_SNA_FPStartDate,0,COLUMN()),"YYYYMMDD"),"END_DATE_OVERRIDE",TEXT(INDEX(MO_Common_QEndDate,0,COLUMN()),"YYYYMMDD")),"N/A")</f>
        <v>N/A</v>
      </c>
      <c r="E787" s="646" t="str">
        <f aca="false">IFERROR(bdp(MO.Ticker.Bloomberg&amp;" Equity","INTERVAL_HIGH","MARKET_DATA_OVERRIDE=PX_LAST","START_DATE_OVERRIDE",TEXT(INDEX(MO_SNA_FPStartDate,0,COLUMN()),"YYYYMMDD"),"END_DATE_OVERRIDE",TEXT(INDEX(MO_Common_QEndDate,0,COLUMN()),"YYYYMMDD")),"N/A")</f>
        <v>N/A</v>
      </c>
      <c r="F787" s="646" t="str">
        <f aca="false">IFERROR(bdp(MO.Ticker.Bloomberg&amp;" Equity","INTERVAL_HIGH","MARKET_DATA_OVERRIDE=PX_LAST","START_DATE_OVERRIDE",TEXT(INDEX(MO_SNA_FPStartDate,0,COLUMN()),"YYYYMMDD"),"END_DATE_OVERRIDE",TEXT(INDEX(MO_Common_QEndDate,0,COLUMN()),"YYYYMMDD")),"N/A")</f>
        <v>N/A</v>
      </c>
      <c r="G787" s="646" t="str">
        <f aca="false">IFERROR(bdp(MO.Ticker.Bloomberg&amp;" Equity","INTERVAL_HIGH","MARKET_DATA_OVERRIDE=PX_LAST","START_DATE_OVERRIDE",TEXT(INDEX(MO_SNA_FPStartDate,0,COLUMN()),"YYYYMMDD"),"END_DATE_OVERRIDE",TEXT(INDEX(MO_Common_QEndDate,0,COLUMN()),"YYYYMMDD")),"N/A")</f>
        <v>N/A</v>
      </c>
      <c r="H787" s="646" t="str">
        <f aca="false">IFERROR(bdp(MO.Ticker.Bloomberg&amp;" Equity","INTERVAL_HIGH","MARKET_DATA_OVERRIDE=PX_LAST","START_DATE_OVERRIDE",TEXT(INDEX(MO_SNA_FPStartDate,0,COLUMN()),"YYYYMMDD"),"END_DATE_OVERRIDE",TEXT(INDEX(MO_Common_QEndDate,0,COLUMN()),"YYYYMMDD")),"N/A")</f>
        <v>N/A</v>
      </c>
      <c r="I787" s="646" t="str">
        <f aca="false">IFERROR(bdp(MO.Ticker.Bloomberg&amp;" Equity","INTERVAL_HIGH","MARKET_DATA_OVERRIDE=PX_LAST","START_DATE_OVERRIDE",TEXT(INDEX(MO_SNA_FPStartDate,0,COLUMN()),"YYYYMMDD"),"END_DATE_OVERRIDE",TEXT(INDEX(MO_Common_QEndDate,0,COLUMN()),"YYYYMMDD")),"N/A")</f>
        <v>N/A</v>
      </c>
      <c r="J787" s="646" t="str">
        <f aca="false">IFERROR(bdp(MO.Ticker.Bloomberg&amp;" Equity","INTERVAL_HIGH","MARKET_DATA_OVERRIDE=PX_LAST","START_DATE_OVERRIDE",TEXT(INDEX(MO_SNA_FPStartDate,0,COLUMN()),"YYYYMMDD"),"END_DATE_OVERRIDE",TEXT(INDEX(MO_Common_QEndDate,0,COLUMN()),"YYYYMMDD")),"N/A")</f>
        <v>N/A</v>
      </c>
      <c r="K787" s="646" t="str">
        <f aca="false">IFERROR(bdp(MO.Ticker.Bloomberg&amp;" Equity","INTERVAL_HIGH","MARKET_DATA_OVERRIDE=PX_LAST","START_DATE_OVERRIDE",TEXT(INDEX(MO_SNA_FPStartDate,0,COLUMN()),"YYYYMMDD"),"END_DATE_OVERRIDE",TEXT(INDEX(MO_Common_QEndDate,0,COLUMN()),"YYYYMMDD")),"N/A")</f>
        <v>N/A</v>
      </c>
      <c r="L787" s="646" t="str">
        <f aca="false">IFERROR(bdp(MO.Ticker.Bloomberg&amp;" Equity","INTERVAL_HIGH","MARKET_DATA_OVERRIDE=PX_LAST","START_DATE_OVERRIDE",TEXT(INDEX(MO_SNA_FPStartDate,0,COLUMN()),"YYYYMMDD"),"END_DATE_OVERRIDE",TEXT(INDEX(MO_Common_QEndDate,0,COLUMN()),"YYYYMMDD")),"N/A")</f>
        <v>N/A</v>
      </c>
      <c r="M787" s="646" t="str">
        <f aca="false">IFERROR(bdp(MO.Ticker.Bloomberg&amp;" Equity","INTERVAL_HIGH","MARKET_DATA_OVERRIDE=PX_LAST","START_DATE_OVERRIDE",TEXT(INDEX(MO_SNA_FPStartDate,0,COLUMN()),"YYYYMMDD"),"END_DATE_OVERRIDE",TEXT(INDEX(MO_Common_QEndDate,0,COLUMN()),"YYYYMMDD")),"N/A")</f>
        <v>N/A</v>
      </c>
      <c r="N787" s="646" t="str">
        <f aca="false">IFERROR(bdp(MO.Ticker.Bloomberg&amp;" Equity","INTERVAL_HIGH","MARKET_DATA_OVERRIDE=PX_LAST","START_DATE_OVERRIDE",TEXT(INDEX(MO_SNA_FPStartDate,0,COLUMN()),"YYYYMMDD"),"END_DATE_OVERRIDE",TEXT(INDEX(MO_Common_QEndDate,0,COLUMN()),"YYYYMMDD")),"N/A")</f>
        <v>N/A</v>
      </c>
      <c r="O787" s="646" t="str">
        <f aca="false">IFERROR(bdp(MO.Ticker.Bloomberg&amp;" Equity","INTERVAL_HIGH","MARKET_DATA_OVERRIDE=PX_LAST","START_DATE_OVERRIDE",TEXT(INDEX(MO_SNA_FPStartDate,0,COLUMN()),"YYYYMMDD"),"END_DATE_OVERRIDE",TEXT(INDEX(MO_Common_QEndDate,0,COLUMN()),"YYYYMMDD")),"N/A")</f>
        <v>N/A</v>
      </c>
      <c r="P787" s="646" t="str">
        <f aca="false">IFERROR(bdp(MO.Ticker.Bloomberg&amp;" Equity","INTERVAL_HIGH","MARKET_DATA_OVERRIDE=PX_LAST","START_DATE_OVERRIDE",TEXT(INDEX(MO_SNA_FPStartDate,0,COLUMN()),"YYYYMMDD"),"END_DATE_OVERRIDE",TEXT(INDEX(MO_Common_QEndDate,0,COLUMN()),"YYYYMMDD")),"N/A")</f>
        <v>N/A</v>
      </c>
      <c r="Q787" s="646" t="str">
        <f aca="false">IFERROR(bdp(MO.Ticker.Bloomberg&amp;" Equity","INTERVAL_HIGH","MARKET_DATA_OVERRIDE=PX_LAST","START_DATE_OVERRIDE",TEXT(INDEX(MO_SNA_FPStartDate,0,COLUMN()),"YYYYMMDD"),"END_DATE_OVERRIDE",TEXT(INDEX(MO_Common_QEndDate,0,COLUMN()),"YYYYMMDD")),"N/A")</f>
        <v>N/A</v>
      </c>
      <c r="R787" s="646" t="str">
        <f aca="false">IFERROR(bdp(MO.Ticker.Bloomberg&amp;" Equity","INTERVAL_HIGH","MARKET_DATA_OVERRIDE=PX_LAST","START_DATE_OVERRIDE",TEXT(INDEX(MO_SNA_FPStartDate,0,COLUMN()),"YYYYMMDD"),"END_DATE_OVERRIDE",TEXT(INDEX(MO_Common_QEndDate,0,COLUMN()),"YYYYMMDD")),"N/A")</f>
        <v>N/A</v>
      </c>
      <c r="S787" s="646" t="str">
        <f aca="false">IFERROR(bdp(MO.Ticker.Bloomberg&amp;" Equity","INTERVAL_HIGH","MARKET_DATA_OVERRIDE=PX_LAST","START_DATE_OVERRIDE",TEXT(INDEX(MO_SNA_FPStartDate,0,COLUMN()),"YYYYMMDD"),"END_DATE_OVERRIDE",TEXT(INDEX(MO_Common_QEndDate,0,COLUMN()),"YYYYMMDD")),"N/A")</f>
        <v>N/A</v>
      </c>
      <c r="T787" s="646" t="str">
        <f aca="false">IFERROR(bdp(MO.Ticker.Bloomberg&amp;" Equity","INTERVAL_HIGH","MARKET_DATA_OVERRIDE=PX_LAST","START_DATE_OVERRIDE",TEXT(INDEX(MO_SNA_FPStartDate,0,COLUMN()),"YYYYMMDD"),"END_DATE_OVERRIDE",TEXT(INDEX(MO_Common_QEndDate,0,COLUMN()),"YYYYMMDD")),"N/A")</f>
        <v>N/A</v>
      </c>
      <c r="U787" s="646" t="str">
        <f aca="false">IFERROR(bdp(MO.Ticker.Bloomberg&amp;" Equity","INTERVAL_HIGH","MARKET_DATA_OVERRIDE=PX_LAST","START_DATE_OVERRIDE",TEXT(INDEX(MO_SNA_FPStartDate,0,COLUMN()),"YYYYMMDD"),"END_DATE_OVERRIDE",TEXT(INDEX(MO_Common_QEndDate,0,COLUMN()),"YYYYMMDD")),"N/A")</f>
        <v>N/A</v>
      </c>
      <c r="V787" s="646" t="str">
        <f aca="false">IFERROR(bdp(MO.Ticker.Bloomberg&amp;" Equity","INTERVAL_HIGH","MARKET_DATA_OVERRIDE=PX_LAST","START_DATE_OVERRIDE",TEXT(INDEX(MO_SNA_FPStartDate,0,COLUMN()),"YYYYMMDD"),"END_DATE_OVERRIDE",TEXT(INDEX(MO_Common_QEndDate,0,COLUMN()),"YYYYMMDD")),"N/A")</f>
        <v>N/A</v>
      </c>
      <c r="W787" s="646" t="str">
        <f aca="false">IFERROR(bdp(MO.Ticker.Bloomberg&amp;" Equity","INTERVAL_HIGH","MARKET_DATA_OVERRIDE=PX_LAST","START_DATE_OVERRIDE",TEXT(INDEX(MO_SNA_FPStartDate,0,COLUMN()),"YYYYMMDD"),"END_DATE_OVERRIDE",TEXT(INDEX(MO_Common_QEndDate,0,COLUMN()),"YYYYMMDD")),"N/A")</f>
        <v>N/A</v>
      </c>
      <c r="X787" s="646" t="str">
        <f aca="false">IFERROR(bdp(MO.Ticker.Bloomberg&amp;" Equity","INTERVAL_HIGH","MARKET_DATA_OVERRIDE=PX_LAST","START_DATE_OVERRIDE",TEXT(INDEX(MO_SNA_FPStartDate,0,COLUMN()),"YYYYMMDD"),"END_DATE_OVERRIDE",TEXT(INDEX(MO_Common_QEndDate,0,COLUMN()),"YYYYMMDD")),"N/A")</f>
        <v>N/A</v>
      </c>
      <c r="Y787" s="646" t="str">
        <f aca="false">IFERROR(bdp(MO.Ticker.Bloomberg&amp;" Equity","INTERVAL_HIGH","MARKET_DATA_OVERRIDE=PX_LAST","START_DATE_OVERRIDE",TEXT(INDEX(MO_SNA_FPStartDate,0,COLUMN()),"YYYYMMDD"),"END_DATE_OVERRIDE",TEXT(INDEX(MO_Common_QEndDate,0,COLUMN()),"YYYYMMDD")),"N/A")</f>
        <v>N/A</v>
      </c>
      <c r="Z787" s="646" t="str">
        <f aca="false">IFERROR(bdp(MO.Ticker.Bloomberg&amp;" Equity","INTERVAL_HIGH","MARKET_DATA_OVERRIDE=PX_LAST","START_DATE_OVERRIDE",TEXT(INDEX(MO_SNA_FPStartDate,0,COLUMN()),"YYYYMMDD"),"END_DATE_OVERRIDE",TEXT(INDEX(MO_Common_QEndDate,0,COLUMN()),"YYYYMMDD")),"N/A")</f>
        <v>N/A</v>
      </c>
      <c r="AA787" s="646" t="str">
        <f aca="false">IFERROR(bdp(MO.Ticker.Bloomberg&amp;" Equity","INTERVAL_HIGH","MARKET_DATA_OVERRIDE=PX_LAST","START_DATE_OVERRIDE",TEXT(INDEX(MO_SNA_FPStartDate,0,COLUMN()),"YYYYMMDD"),"END_DATE_OVERRIDE",TEXT(INDEX(MO_Common_QEndDate,0,COLUMN()),"YYYYMMDD")),"N/A")</f>
        <v>N/A</v>
      </c>
      <c r="AB787" s="646" t="str">
        <f aca="false">IFERROR(bdp(MO.Ticker.Bloomberg&amp;" Equity","INTERVAL_HIGH","MARKET_DATA_OVERRIDE=PX_LAST","START_DATE_OVERRIDE",TEXT(INDEX(MO_SNA_FPStartDate,0,COLUMN()),"YYYYMMDD"),"END_DATE_OVERRIDE",TEXT(INDEX(MO_Common_QEndDate,0,COLUMN()),"YYYYMMDD")),"N/A")</f>
        <v>N/A</v>
      </c>
      <c r="AC787" s="646" t="str">
        <f aca="false">IFERROR(bdp(MO.Ticker.Bloomberg&amp;" Equity","INTERVAL_HIGH","MARKET_DATA_OVERRIDE=PX_LAST","START_DATE_OVERRIDE",TEXT(INDEX(MO_SNA_FPStartDate,0,COLUMN()),"YYYYMMDD"),"END_DATE_OVERRIDE",TEXT(INDEX(MO_Common_QEndDate,0,COLUMN()),"YYYYMMDD")),"N/A")</f>
        <v>N/A</v>
      </c>
      <c r="AD787" s="646" t="str">
        <f aca="false">IFERROR(bdp(MO.Ticker.Bloomberg&amp;" Equity","INTERVAL_HIGH","MARKET_DATA_OVERRIDE=PX_LAST","START_DATE_OVERRIDE",TEXT(INDEX(MO_SNA_FPStartDate,0,COLUMN()),"YYYYMMDD"),"END_DATE_OVERRIDE",TEXT(INDEX(MO_Common_QEndDate,0,COLUMN()),"YYYYMMDD")),"N/A")</f>
        <v>N/A</v>
      </c>
      <c r="AE787" s="646" t="str">
        <f aca="false">IFERROR(bdp(MO.Ticker.Bloomberg&amp;" Equity","INTERVAL_HIGH","MARKET_DATA_OVERRIDE=PX_LAST","START_DATE_OVERRIDE",TEXT(INDEX(MO_SNA_FPStartDate,0,COLUMN()),"YYYYMMDD"),"END_DATE_OVERRIDE",TEXT(INDEX(MO_Common_QEndDate,0,COLUMN()),"YYYYMMDD")),"N/A")</f>
        <v>N/A</v>
      </c>
      <c r="AF787" s="646" t="str">
        <f aca="false">IFERROR(bdp(MO.Ticker.Bloomberg&amp;" Equity","INTERVAL_HIGH","MARKET_DATA_OVERRIDE=PX_LAST","START_DATE_OVERRIDE",TEXT(INDEX(MO_SNA_FPStartDate,0,COLUMN()),"YYYYMMDD"),"END_DATE_OVERRIDE",TEXT(INDEX(MO_Common_QEndDate,0,COLUMN()),"YYYYMMDD")),"N/A")</f>
        <v>N/A</v>
      </c>
      <c r="AG787" s="646" t="str">
        <f aca="false">IFERROR(bdp(MO.Ticker.Bloomberg&amp;" Equity","INTERVAL_HIGH","MARKET_DATA_OVERRIDE=PX_LAST","START_DATE_OVERRIDE",TEXT(INDEX(MO_SNA_FPStartDate,0,COLUMN()),"YYYYMMDD"),"END_DATE_OVERRIDE",TEXT(INDEX(MO_Common_QEndDate,0,COLUMN()),"YYYYMMDD")),"N/A")</f>
        <v>N/A</v>
      </c>
      <c r="AH787" s="646" t="str">
        <f aca="false">IFERROR(bdp(MO.Ticker.Bloomberg&amp;" Equity","INTERVAL_HIGH","MARKET_DATA_OVERRIDE=PX_LAST","START_DATE_OVERRIDE",TEXT(INDEX(MO_SNA_FPStartDate,0,COLUMN()),"YYYYMMDD"),"END_DATE_OVERRIDE",TEXT(INDEX(MO_Common_QEndDate,0,COLUMN()),"YYYYMMDD")),"N/A")</f>
        <v>N/A</v>
      </c>
      <c r="AI787" s="646" t="str">
        <f aca="false">IFERROR(bdp(MO.Ticker.Bloomberg&amp;" Equity","INTERVAL_HIGH","MARKET_DATA_OVERRIDE=PX_LAST","START_DATE_OVERRIDE",TEXT(INDEX(MO_SNA_FPStartDate,0,COLUMN()),"YYYYMMDD"),"END_DATE_OVERRIDE",TEXT(INDEX(MO_Common_QEndDate,0,COLUMN()),"YYYYMMDD")),"N/A")</f>
        <v>N/A</v>
      </c>
      <c r="AJ787" s="646" t="str">
        <f aca="false">IFERROR(bdp(MO.Ticker.Bloomberg&amp;" Equity","INTERVAL_HIGH","MARKET_DATA_OVERRIDE=PX_LAST","START_DATE_OVERRIDE",TEXT(INDEX(MO_SNA_FPStartDate,0,COLUMN()),"YYYYMMDD"),"END_DATE_OVERRIDE",TEXT(INDEX(MO_Common_QEndDate,0,COLUMN()),"YYYYMMDD")),"N/A")</f>
        <v>N/A</v>
      </c>
      <c r="AK787" s="646" t="str">
        <f aca="false">IFERROR(bdp(MO.Ticker.Bloomberg&amp;" Equity","INTERVAL_HIGH","MARKET_DATA_OVERRIDE=PX_LAST","START_DATE_OVERRIDE",TEXT(INDEX(MO_SNA_FPStartDate,0,COLUMN()),"YYYYMMDD"),"END_DATE_OVERRIDE",TEXT(INDEX(MO_Common_QEndDate,0,COLUMN()),"YYYYMMDD")),"N/A")</f>
        <v>N/A</v>
      </c>
      <c r="AL787" s="646" t="str">
        <f aca="false">IFERROR(bdp(MO.Ticker.Bloomberg&amp;" Equity","INTERVAL_HIGH","MARKET_DATA_OVERRIDE=PX_LAST","START_DATE_OVERRIDE",TEXT(INDEX(MO_SNA_FPStartDate,0,COLUMN()),"YYYYMMDD"),"END_DATE_OVERRIDE",TEXT(INDEX(MO_Common_QEndDate,0,COLUMN()),"YYYYMMDD")),"N/A")</f>
        <v>N/A</v>
      </c>
      <c r="AM787" s="646" t="str">
        <f aca="false">IFERROR(bdp(MO.Ticker.Bloomberg&amp;" Equity","INTERVAL_HIGH","MARKET_DATA_OVERRIDE=PX_LAST","START_DATE_OVERRIDE",TEXT(INDEX(MO_SNA_FPStartDate,0,COLUMN()),"YYYYMMDD"),"END_DATE_OVERRIDE",TEXT(INDEX(MO_Common_QEndDate,0,COLUMN()),"YYYYMMDD")),"N/A")</f>
        <v>N/A</v>
      </c>
      <c r="AN787" s="646" t="str">
        <f aca="false">IFERROR(bdp(MO.Ticker.Bloomberg&amp;" Equity","INTERVAL_HIGH","MARKET_DATA_OVERRIDE=PX_LAST","START_DATE_OVERRIDE",TEXT(INDEX(MO_SNA_FPStartDate,0,COLUMN()),"YYYYMMDD"),"END_DATE_OVERRIDE",TEXT(INDEX(MO_Common_QEndDate,0,COLUMN()),"YYYYMMDD")),"N/A")</f>
        <v>N/A</v>
      </c>
      <c r="AO787" s="646" t="str">
        <f aca="false">IFERROR(bdp(MO.Ticker.Bloomberg&amp;" Equity","INTERVAL_HIGH","MARKET_DATA_OVERRIDE=PX_LAST","START_DATE_OVERRIDE",TEXT(INDEX(MO_SNA_FPStartDate,0,COLUMN()),"YYYYMMDD"),"END_DATE_OVERRIDE",TEXT(INDEX(MO_Common_QEndDate,0,COLUMN()),"YYYYMMDD")),"N/A")</f>
        <v>N/A</v>
      </c>
      <c r="AP787" s="646" t="str">
        <f aca="false">IFERROR(bdp(MO.Ticker.Bloomberg&amp;" Equity","INTERVAL_HIGH","MARKET_DATA_OVERRIDE=PX_LAST","START_DATE_OVERRIDE",TEXT(INDEX(MO_SNA_FPStartDate,0,COLUMN()),"YYYYMMDD"),"END_DATE_OVERRIDE",TEXT(INDEX(MO_Common_QEndDate,0,COLUMN()),"YYYYMMDD")),"N/A")</f>
        <v>N/A</v>
      </c>
      <c r="AQ787" s="646" t="str">
        <f aca="false">IFERROR(bdp(MO.Ticker.Bloomberg&amp;" Equity","INTERVAL_HIGH","MARKET_DATA_OVERRIDE=PX_LAST","START_DATE_OVERRIDE",TEXT(INDEX(MO_SNA_FPStartDate,0,COLUMN()),"YYYYMMDD"),"END_DATE_OVERRIDE",TEXT(INDEX(MO_Common_QEndDate,0,COLUMN()),"YYYYMMDD")),"N/A")</f>
        <v>N/A</v>
      </c>
      <c r="AR787" s="646" t="str">
        <f aca="false">IFERROR(bdp(MO.Ticker.Bloomberg&amp;" Equity","INTERVAL_HIGH","MARKET_DATA_OVERRIDE=PX_LAST","START_DATE_OVERRIDE",TEXT(INDEX(MO_SNA_FPStartDate,0,COLUMN()),"YYYYMMDD"),"END_DATE_OVERRIDE",TEXT(INDEX(MO_Common_QEndDate,0,COLUMN()),"YYYYMMDD")),"N/A")</f>
        <v>N/A</v>
      </c>
      <c r="AS787" s="646" t="str">
        <f aca="false">IFERROR(bdp(MO.Ticker.Bloomberg&amp;" Equity","INTERVAL_HIGH","MARKET_DATA_OVERRIDE=PX_LAST","START_DATE_OVERRIDE",TEXT(INDEX(MO_SNA_FPStartDate,0,COLUMN()),"YYYYMMDD"),"END_DATE_OVERRIDE",TEXT(INDEX(MO_Common_QEndDate,0,COLUMN()),"YYYYMMDD")),"N/A")</f>
        <v>N/A</v>
      </c>
      <c r="AT787" s="646" t="str">
        <f aca="false">IFERROR(bdp(MO.Ticker.Bloomberg&amp;" Equity","INTERVAL_HIGH","MARKET_DATA_OVERRIDE=PX_LAST","START_DATE_OVERRIDE",TEXT(INDEX(MO_SNA_FPStartDate,0,COLUMN()),"YYYYMMDD"),"END_DATE_OVERRIDE",TEXT(INDEX(MO_Common_QEndDate,0,COLUMN()),"YYYYMMDD")),"N/A")</f>
        <v>N/A</v>
      </c>
      <c r="AU787" s="646" t="str">
        <f aca="false">IFERROR(bdp(MO.Ticker.Bloomberg&amp;" Equity","INTERVAL_HIGH","MARKET_DATA_OVERRIDE=PX_LAST","START_DATE_OVERRIDE",TEXT(INDEX(MO_SNA_FPStartDate,0,COLUMN()),"YYYYMMDD"),"END_DATE_OVERRIDE",TEXT(INDEX(MO_Common_QEndDate,0,COLUMN()),"YYYYMMDD")),"N/A")</f>
        <v>N/A</v>
      </c>
      <c r="AV787" s="646" t="str">
        <f aca="false">IFERROR(bdp(MO.Ticker.Bloomberg&amp;" Equity","INTERVAL_HIGH","MARKET_DATA_OVERRIDE=PX_LAST","START_DATE_OVERRIDE",TEXT(INDEX(MO_SNA_FPStartDate,0,COLUMN()),"YYYYMMDD"),"END_DATE_OVERRIDE",TEXT(INDEX(MO_Common_QEndDate,0,COLUMN()),"YYYYMMDD")),"N/A")</f>
        <v>N/A</v>
      </c>
      <c r="AW787" s="646" t="str">
        <f aca="false">IFERROR(bdp(MO.Ticker.Bloomberg&amp;" Equity","INTERVAL_HIGH","MARKET_DATA_OVERRIDE=PX_LAST","START_DATE_OVERRIDE",TEXT(INDEX(MO_SNA_FPStartDate,0,COLUMN()),"YYYYMMDD"),"END_DATE_OVERRIDE",TEXT(INDEX(MO_Common_QEndDate,0,COLUMN()),"YYYYMMDD")),"N/A")</f>
        <v>N/A</v>
      </c>
      <c r="AX787" s="646" t="str">
        <f aca="false">IFERROR(bdp(MO.Ticker.Bloomberg&amp;" Equity","INTERVAL_HIGH","MARKET_DATA_OVERRIDE=PX_LAST","START_DATE_OVERRIDE",TEXT(INDEX(MO_SNA_FPStartDate,0,COLUMN()),"YYYYMMDD"),"END_DATE_OVERRIDE",TEXT(INDEX(MO_Common_QEndDate,0,COLUMN()),"YYYYMMDD")),"N/A")</f>
        <v>N/A</v>
      </c>
      <c r="AY787" s="646" t="str">
        <f aca="false">IFERROR(bdp(MO.Ticker.Bloomberg&amp;" Equity","INTERVAL_HIGH","MARKET_DATA_OVERRIDE=PX_LAST","START_DATE_OVERRIDE",TEXT(INDEX(MO_SNA_FPStartDate,0,COLUMN()),"YYYYMMDD"),"END_DATE_OVERRIDE",TEXT(INDEX(MO_Common_QEndDate,0,COLUMN()),"YYYYMMDD")),"N/A")</f>
        <v>N/A</v>
      </c>
      <c r="AZ787" s="646" t="str">
        <f aca="false">IFERROR(bdp(MO.Ticker.Bloomberg&amp;" Equity","INTERVAL_HIGH","MARKET_DATA_OVERRIDE=PX_LAST","START_DATE_OVERRIDE",TEXT(INDEX(MO_SNA_FPStartDate,0,COLUMN()),"YYYYMMDD"),"END_DATE_OVERRIDE",TEXT(INDEX(MO_Common_QEndDate,0,COLUMN()),"YYYYMMDD")),"N/A")</f>
        <v>N/A</v>
      </c>
      <c r="BA787" s="646" t="str">
        <f aca="false">IFERROR(bdp(MO.Ticker.Bloomberg&amp;" Equity","INTERVAL_HIGH","MARKET_DATA_OVERRIDE=PX_LAST","START_DATE_OVERRIDE",TEXT(INDEX(MO_SNA_FPStartDate,0,COLUMN()),"YYYYMMDD"),"END_DATE_OVERRIDE",TEXT(INDEX(MO_Common_QEndDate,0,COLUMN()),"YYYYMMDD")),"N/A")</f>
        <v>N/A</v>
      </c>
      <c r="BB787" s="646" t="str">
        <f aca="false">IFERROR(bdp(MO.Ticker.Bloomberg&amp;" Equity","INTERVAL_HIGH","MARKET_DATA_OVERRIDE=PX_LAST","START_DATE_OVERRIDE",TEXT(INDEX(MO_SNA_FPStartDate,0,COLUMN()),"YYYYMMDD"),"END_DATE_OVERRIDE",TEXT(INDEX(MO_Common_QEndDate,0,COLUMN()),"YYYYMMDD")),"N/A")</f>
        <v>N/A</v>
      </c>
      <c r="BC787" s="646" t="str">
        <f aca="false">IFERROR(bdp(MO.Ticker.Bloomberg&amp;" Equity","INTERVAL_HIGH","MARKET_DATA_OVERRIDE=PX_LAST","START_DATE_OVERRIDE",TEXT(INDEX(MO_SNA_FPStartDate,0,COLUMN()),"YYYYMMDD"),"END_DATE_OVERRIDE",TEXT(INDEX(MO_Common_QEndDate,0,COLUMN()),"YYYYMMDD")),"N/A")</f>
        <v>N/A</v>
      </c>
      <c r="BD787" s="646" t="str">
        <f aca="false">IFERROR(bdp(MO.Ticker.Bloomberg&amp;" Equity","INTERVAL_HIGH","MARKET_DATA_OVERRIDE=PX_LAST","START_DATE_OVERRIDE",TEXT(INDEX(MO_SNA_FPStartDate,0,COLUMN()),"YYYYMMDD"),"END_DATE_OVERRIDE",TEXT(INDEX(MO_Common_QEndDate,0,COLUMN()),"YYYYMMDD")),"N/A")</f>
        <v>N/A</v>
      </c>
      <c r="BE787" s="646" t="str">
        <f aca="false">IFERROR(bdp(MO.Ticker.Bloomberg&amp;" Equity","INTERVAL_HIGH","MARKET_DATA_OVERRIDE=PX_LAST","START_DATE_OVERRIDE",TEXT(INDEX(MO_SNA_FPStartDate,0,COLUMN()),"YYYYMMDD"),"END_DATE_OVERRIDE",TEXT(INDEX(MO_Common_QEndDate,0,COLUMN()),"YYYYMMDD")),"N/A")</f>
        <v>N/A</v>
      </c>
      <c r="BF787" s="646" t="str">
        <f aca="false">IFERROR(bdp(MO.Ticker.Bloomberg&amp;" Equity","INTERVAL_HIGH","MARKET_DATA_OVERRIDE=PX_LAST","START_DATE_OVERRIDE",TEXT(INDEX(MO_SNA_FPStartDate,0,COLUMN()),"YYYYMMDD"),"END_DATE_OVERRIDE",TEXT(INDEX(MO_Common_QEndDate,0,COLUMN()),"YYYYMMDD")),"N/A")</f>
        <v>N/A</v>
      </c>
      <c r="BG787" s="646" t="str">
        <f aca="false">IFERROR(bdp(MO.Ticker.Bloomberg&amp;" Equity","INTERVAL_HIGH","MARKET_DATA_OVERRIDE=PX_LAST","START_DATE_OVERRIDE",TEXT(INDEX(MO_SNA_FPStartDate,0,COLUMN()),"YYYYMMDD"),"END_DATE_OVERRIDE",TEXT(INDEX(MO_Common_QEndDate,0,COLUMN()),"YYYYMMDD")),"N/A")</f>
        <v>N/A</v>
      </c>
      <c r="BH787" s="646" t="str">
        <f aca="false">IFERROR(bdp(MO.Ticker.Bloomberg&amp;" Equity","INTERVAL_HIGH","MARKET_DATA_OVERRIDE=PX_LAST","START_DATE_OVERRIDE",TEXT(INDEX(MO_SNA_FPStartDate,0,COLUMN()),"YYYYMMDD"),"END_DATE_OVERRIDE",TEXT(INDEX(MO_Common_QEndDate,0,COLUMN()),"YYYYMMDD")),"N/A")</f>
        <v>N/A</v>
      </c>
      <c r="BI787" s="646" t="str">
        <f aca="false">IFERROR(bdp(MO.Ticker.Bloomberg&amp;" Equity","INTERVAL_HIGH","MARKET_DATA_OVERRIDE=PX_LAST","START_DATE_OVERRIDE",TEXT(INDEX(MO_SNA_FPStartDate,0,COLUMN()),"YYYYMMDD"),"END_DATE_OVERRIDE",TEXT(INDEX(MO_Common_QEndDate,0,COLUMN()),"YYYYMMDD")),"N/A")</f>
        <v>N/A</v>
      </c>
      <c r="BJ787" s="646" t="str">
        <f aca="false">IFERROR(bdp(MO.Ticker.Bloomberg&amp;" Equity","INTERVAL_HIGH","MARKET_DATA_OVERRIDE=PX_LAST","START_DATE_OVERRIDE",TEXT(INDEX(MO_SNA_FPStartDate,0,COLUMN()),"YYYYMMDD"),"END_DATE_OVERRIDE",TEXT(INDEX(MO_Common_QEndDate,0,COLUMN()),"YYYYMMDD")),"N/A")</f>
        <v>N/A</v>
      </c>
      <c r="BK787" s="646" t="str">
        <f aca="false">IFERROR(bdp(MO.Ticker.Bloomberg&amp;" Equity","INTERVAL_HIGH","MARKET_DATA_OVERRIDE=PX_LAST","START_DATE_OVERRIDE",TEXT(INDEX(MO_SNA_FPStartDate,0,COLUMN()),"YYYYMMDD"),"END_DATE_OVERRIDE",TEXT(INDEX(MO_Common_QEndDate,0,COLUMN()),"YYYYMMDD")),"N/A")</f>
        <v>N/A</v>
      </c>
      <c r="BL787" s="646" t="str">
        <f aca="false">IFERROR(bdp(MO.Ticker.Bloomberg&amp;" Equity","INTERVAL_HIGH","MARKET_DATA_OVERRIDE=PX_LAST","START_DATE_OVERRIDE",TEXT(INDEX(MO_SNA_FPStartDate,0,COLUMN()),"YYYYMMDD"),"END_DATE_OVERRIDE",TEXT(INDEX(MO_Common_QEndDate,0,COLUMN()),"YYYYMMDD")),"N/A")</f>
        <v>N/A</v>
      </c>
      <c r="BM787" s="646" t="str">
        <f aca="false">IFERROR(bdp(MO.Ticker.Bloomberg&amp;" Equity","INTERVAL_HIGH","MARKET_DATA_OVERRIDE=PX_LAST","START_DATE_OVERRIDE",TEXT(INDEX(MO_SNA_FPStartDate,0,COLUMN()),"YYYYMMDD"),"END_DATE_OVERRIDE",TEXT(INDEX(MO_Common_QEndDate,0,COLUMN()),"YYYYMMDD")),"N/A")</f>
        <v>N/A</v>
      </c>
      <c r="BN787" s="646" t="str">
        <f aca="false">IFERROR(bdp(MO.Ticker.Bloomberg&amp;" Equity","INTERVAL_HIGH","MARKET_DATA_OVERRIDE=PX_LAST","START_DATE_OVERRIDE",TEXT(INDEX(MO_SNA_FPStartDate,0,COLUMN()),"YYYYMMDD"),"END_DATE_OVERRIDE",TEXT(INDEX(MO_Common_QEndDate,0,COLUMN()),"YYYYMMDD")),"N/A")</f>
        <v>N/A</v>
      </c>
      <c r="BO787" s="647" t="str">
        <f aca="false">IFERROR(bdp(MO.Ticker.Bloomberg&amp;" Equity","INTERVAL_HIGH","MARKET_DATA_OVERRIDE=PX_LAST","START_DATE_OVERRIDE",TEXT(INDEX(MO_SNA_FPStartDate,0,COLUMN()),"YYYYMMDD"),"END_DATE_OVERRIDE",TEXT(INDEX(MO_Common_QEndDate,0,COLUMN()),"YYYYMMDD")),"N/A")</f>
        <v>N/A</v>
      </c>
      <c r="BP787" s="646" t="str">
        <f aca="false">IFERROR(bdp(MO.Ticker.Bloomberg&amp;" Equity","INTERVAL_HIGH","MARKET_DATA_OVERRIDE=PX_LAST","START_DATE_OVERRIDE",TEXT(INDEX(MO_SNA_FPStartDate,0,COLUMN()),"YYYYMMDD"),"END_DATE_OVERRIDE",TEXT(INDEX(MO_Common_QEndDate,0,COLUMN()),"YYYYMMDD")),"N/A")</f>
        <v>N/A</v>
      </c>
      <c r="BQ787" s="646" t="str">
        <f aca="false">IFERROR(bdp(MO.Ticker.Bloomberg&amp;" Equity","INTERVAL_HIGH","MARKET_DATA_OVERRIDE=PX_LAST","START_DATE_OVERRIDE",TEXT(INDEX(MO_SNA_FPStartDate,0,COLUMN()),"YYYYMMDD"),"END_DATE_OVERRIDE",TEXT(INDEX(MO_Common_QEndDate,0,COLUMN()),"YYYYMMDD")),"N/A")</f>
        <v>N/A</v>
      </c>
      <c r="BR787" s="646" t="str">
        <f aca="false">IFERROR(bdp(MO.Ticker.Bloomberg&amp;" Equity","INTERVAL_HIGH","MARKET_DATA_OVERRIDE=PX_LAST","START_DATE_OVERRIDE",TEXT(INDEX(MO_SNA_FPStartDate,0,COLUMN()),"YYYYMMDD"),"END_DATE_OVERRIDE",TEXT(INDEX(MO_Common_QEndDate,0,COLUMN()),"YYYYMMDD")),"N/A")</f>
        <v>N/A</v>
      </c>
      <c r="BS787" s="646" t="str">
        <f aca="false">IFERROR(bdp(MO.Ticker.Bloomberg&amp;" Equity","INTERVAL_HIGH","MARKET_DATA_OVERRIDE=PX_LAST","START_DATE_OVERRIDE",TEXT(INDEX(MO_SNA_FPStartDate,0,COLUMN()),"YYYYMMDD"),"END_DATE_OVERRIDE",TEXT(INDEX(MO_Common_QEndDate,0,COLUMN()),"YYYYMMDD")),"N/A")</f>
        <v>N/A</v>
      </c>
      <c r="BT787" s="646" t="str">
        <f aca="false">IFERROR(bdp(MO.Ticker.Bloomberg&amp;" Equity","INTERVAL_HIGH","MARKET_DATA_OVERRIDE=PX_LAST","START_DATE_OVERRIDE",TEXT(INDEX(MO_SNA_FPStartDate,0,COLUMN()),"YYYYMMDD"),"END_DATE_OVERRIDE",TEXT(INDEX(MO_Common_QEndDate,0,COLUMN()),"YYYYMMDD")),"N/A")</f>
        <v>N/A</v>
      </c>
      <c r="BU787" s="646" t="str">
        <f aca="false">IFERROR(bdp(MO.Ticker.Bloomberg&amp;" Equity","INTERVAL_HIGH","MARKET_DATA_OVERRIDE=PX_LAST","START_DATE_OVERRIDE",TEXT(INDEX(MO_SNA_FPStartDate,0,COLUMN()),"YYYYMMDD"),"END_DATE_OVERRIDE",TEXT(INDEX(MO_Common_QEndDate,0,COLUMN()),"YYYYMMDD")),"N/A")</f>
        <v>N/A</v>
      </c>
      <c r="BV787" s="646" t="str">
        <f aca="false">IFERROR(bdp(MO.Ticker.Bloomberg&amp;" Equity","INTERVAL_HIGH","MARKET_DATA_OVERRIDE=PX_LAST","START_DATE_OVERRIDE",TEXT(INDEX(MO_SNA_FPStartDate,0,COLUMN()),"YYYYMMDD"),"END_DATE_OVERRIDE",TEXT(INDEX(MO_Common_QEndDate,0,COLUMN()),"YYYYMMDD")),"N/A")</f>
        <v>N/A</v>
      </c>
      <c r="BW787" s="646" t="str">
        <f aca="false">IFERROR(bdp(MO.Ticker.Bloomberg&amp;" Equity","INTERVAL_HIGH","MARKET_DATA_OVERRIDE=PX_LAST","START_DATE_OVERRIDE",TEXT(INDEX(MO_SNA_FPStartDate,0,COLUMN()),"YYYYMMDD"),"END_DATE_OVERRIDE",TEXT(INDEX(MO_Common_QEndDate,0,COLUMN()),"YYYYMMDD")),"N/A")</f>
        <v>N/A</v>
      </c>
      <c r="BX787" s="646" t="str">
        <f aca="false">IFERROR(bdp(MO.Ticker.Bloomberg&amp;" Equity","INTERVAL_HIGH","MARKET_DATA_OVERRIDE=PX_LAST","START_DATE_OVERRIDE",TEXT(INDEX(MO_SNA_FPStartDate,0,COLUMN()),"YYYYMMDD"),"END_DATE_OVERRIDE",TEXT(INDEX(MO_Common_QEndDate,0,COLUMN()),"YYYYMMDD")),"N/A")</f>
        <v>N/A</v>
      </c>
      <c r="BY787" s="646" t="str">
        <f aca="false">IFERROR(bdp(MO.Ticker.Bloomberg&amp;" Equity","INTERVAL_HIGH","MARKET_DATA_OVERRIDE=PX_LAST","START_DATE_OVERRIDE",TEXT(INDEX(MO_SNA_FPStartDate,0,COLUMN()),"YYYYMMDD"),"END_DATE_OVERRIDE",TEXT(INDEX(MO_Common_QEndDate,0,COLUMN()),"YYYYMMDD")),"N/A")</f>
        <v>N/A</v>
      </c>
      <c r="BZ787" s="646" t="str">
        <f aca="false">IFERROR(bdp(MO.Ticker.Bloomberg&amp;" Equity","INTERVAL_HIGH","MARKET_DATA_OVERRIDE=PX_LAST","START_DATE_OVERRIDE",TEXT(INDEX(MO_SNA_FPStartDate,0,COLUMN()),"YYYYMMDD"),"END_DATE_OVERRIDE",TEXT(INDEX(MO_Common_QEndDate,0,COLUMN()),"YYYYMMDD")),"N/A")</f>
        <v>N/A</v>
      </c>
      <c r="CA787" s="646" t="str">
        <f aca="false">IFERROR(bdp(MO.Ticker.Bloomberg&amp;" Equity","INTERVAL_HIGH","MARKET_DATA_OVERRIDE=PX_LAST","START_DATE_OVERRIDE",TEXT(INDEX(MO_SNA_FPStartDate,0,COLUMN()),"YYYYMMDD"),"END_DATE_OVERRIDE",TEXT(INDEX(MO_Common_QEndDate,0,COLUMN()),"YYYYMMDD")),"N/A")</f>
        <v>N/A</v>
      </c>
      <c r="CB787" s="648" t="str">
        <f aca="false">IFERROR(bdp(MO.Ticker.Bloomberg&amp;" Equity","INTERVAL_HIGH","MARKET_DATA_OVERRIDE=PX_LAST","START_DATE_OVERRIDE",TEXT(INDEX(MO_SNA_FPStartDate,0,COLUMN()),"YYYYMMDD"),"END_DATE_OVERRIDE",TEXT(INDEX(MO_Common_QEndDate,0,COLUMN()),"YYYYMMDD")),"N/A")</f>
        <v>N/A</v>
      </c>
      <c r="CC787" s="649"/>
    </row>
    <row r="788" s="46" customFormat="true" ht="15" hidden="true" customHeight="true" outlineLevel="1" collapsed="false">
      <c r="A788" s="650" t="s">
        <v>704</v>
      </c>
      <c r="B788" s="646"/>
      <c r="C788" s="646" t="str">
        <f aca="false">IFERROR(_xll.ciqfunctions.udf.ciqhi(MO.Ticker.CapIQ,"IQ_LASTSALEPRICE",INDEX(MO_SNA_FPStartDate,0,COLUMN()),INDEX(MO_Common_QEndDate,0,COLUMN())),"N/A")</f>
        <v>N/A</v>
      </c>
      <c r="D788" s="646" t="str">
        <f aca="false">IFERROR(_xll.ciqfunctions.udf.ciqhi(MO.Ticker.CapIQ,"IQ_LASTSALEPRICE",INDEX(MO_SNA_FPStartDate,0,COLUMN()),INDEX(MO_Common_QEndDate,0,COLUMN())),"N/A")</f>
        <v>N/A</v>
      </c>
      <c r="E788" s="646" t="str">
        <f aca="false">IFERROR(_xll.ciqfunctions.udf.ciqhi(MO.Ticker.CapIQ,"IQ_LASTSALEPRICE",INDEX(MO_SNA_FPStartDate,0,COLUMN()),INDEX(MO_Common_QEndDate,0,COLUMN())),"N/A")</f>
        <v>N/A</v>
      </c>
      <c r="F788" s="646" t="str">
        <f aca="false">IFERROR(_xll.ciqfunctions.udf.ciqhi(MO.Ticker.CapIQ,"IQ_LASTSALEPRICE",INDEX(MO_SNA_FPStartDate,0,COLUMN()),INDEX(MO_Common_QEndDate,0,COLUMN())),"N/A")</f>
        <v>N/A</v>
      </c>
      <c r="G788" s="646" t="str">
        <f aca="false">IFERROR(_xll.ciqfunctions.udf.ciqhi(MO.Ticker.CapIQ,"IQ_LASTSALEPRICE",INDEX(MO_SNA_FPStartDate,0,COLUMN()),INDEX(MO_Common_QEndDate,0,COLUMN())),"N/A")</f>
        <v>N/A</v>
      </c>
      <c r="H788" s="646" t="str">
        <f aca="false">IFERROR(_xll.ciqfunctions.udf.ciqhi(MO.Ticker.CapIQ,"IQ_LASTSALEPRICE",INDEX(MO_SNA_FPStartDate,0,COLUMN()),INDEX(MO_Common_QEndDate,0,COLUMN())),"N/A")</f>
        <v>N/A</v>
      </c>
      <c r="I788" s="646" t="str">
        <f aca="false">IFERROR(_xll.ciqfunctions.udf.ciqhi(MO.Ticker.CapIQ,"IQ_LASTSALEPRICE",INDEX(MO_SNA_FPStartDate,0,COLUMN()),INDEX(MO_Common_QEndDate,0,COLUMN())),"N/A")</f>
        <v>N/A</v>
      </c>
      <c r="J788" s="646" t="str">
        <f aca="false">IFERROR(_xll.ciqfunctions.udf.ciqhi(MO.Ticker.CapIQ,"IQ_LASTSALEPRICE",INDEX(MO_SNA_FPStartDate,0,COLUMN()),INDEX(MO_Common_QEndDate,0,COLUMN())),"N/A")</f>
        <v>N/A</v>
      </c>
      <c r="K788" s="646" t="str">
        <f aca="false">IFERROR(_xll.ciqfunctions.udf.ciqhi(MO.Ticker.CapIQ,"IQ_LASTSALEPRICE",INDEX(MO_SNA_FPStartDate,0,COLUMN()),INDEX(MO_Common_QEndDate,0,COLUMN())),"N/A")</f>
        <v>N/A</v>
      </c>
      <c r="L788" s="646" t="str">
        <f aca="false">IFERROR(_xll.ciqfunctions.udf.ciqhi(MO.Ticker.CapIQ,"IQ_LASTSALEPRICE",INDEX(MO_SNA_FPStartDate,0,COLUMN()),INDEX(MO_Common_QEndDate,0,COLUMN())),"N/A")</f>
        <v>N/A</v>
      </c>
      <c r="M788" s="646" t="str">
        <f aca="false">IFERROR(_xll.ciqfunctions.udf.ciqhi(MO.Ticker.CapIQ,"IQ_LASTSALEPRICE",INDEX(MO_SNA_FPStartDate,0,COLUMN()),INDEX(MO_Common_QEndDate,0,COLUMN())),"N/A")</f>
        <v>N/A</v>
      </c>
      <c r="N788" s="646" t="str">
        <f aca="false">IFERROR(_xll.ciqfunctions.udf.ciqhi(MO.Ticker.CapIQ,"IQ_LASTSALEPRICE",INDEX(MO_SNA_FPStartDate,0,COLUMN()),INDEX(MO_Common_QEndDate,0,COLUMN())),"N/A")</f>
        <v>N/A</v>
      </c>
      <c r="O788" s="646" t="str">
        <f aca="false">IFERROR(_xll.ciqfunctions.udf.ciqhi(MO.Ticker.CapIQ,"IQ_LASTSALEPRICE",INDEX(MO_SNA_FPStartDate,0,COLUMN()),INDEX(MO_Common_QEndDate,0,COLUMN())),"N/A")</f>
        <v>N/A</v>
      </c>
      <c r="P788" s="646" t="str">
        <f aca="false">IFERROR(_xll.ciqfunctions.udf.ciqhi(MO.Ticker.CapIQ,"IQ_LASTSALEPRICE",INDEX(MO_SNA_FPStartDate,0,COLUMN()),INDEX(MO_Common_QEndDate,0,COLUMN())),"N/A")</f>
        <v>N/A</v>
      </c>
      <c r="Q788" s="646" t="str">
        <f aca="false">IFERROR(_xll.ciqfunctions.udf.ciqhi(MO.Ticker.CapIQ,"IQ_LASTSALEPRICE",INDEX(MO_SNA_FPStartDate,0,COLUMN()),INDEX(MO_Common_QEndDate,0,COLUMN())),"N/A")</f>
        <v>N/A</v>
      </c>
      <c r="R788" s="646" t="str">
        <f aca="false">IFERROR(_xll.ciqfunctions.udf.ciqhi(MO.Ticker.CapIQ,"IQ_LASTSALEPRICE",INDEX(MO_SNA_FPStartDate,0,COLUMN()),INDEX(MO_Common_QEndDate,0,COLUMN())),"N/A")</f>
        <v>N/A</v>
      </c>
      <c r="S788" s="646" t="str">
        <f aca="false">IFERROR(_xll.ciqfunctions.udf.ciqhi(MO.Ticker.CapIQ,"IQ_LASTSALEPRICE",INDEX(MO_SNA_FPStartDate,0,COLUMN()),INDEX(MO_Common_QEndDate,0,COLUMN())),"N/A")</f>
        <v>N/A</v>
      </c>
      <c r="T788" s="646" t="str">
        <f aca="false">IFERROR(_xll.ciqfunctions.udf.ciqhi(MO.Ticker.CapIQ,"IQ_LASTSALEPRICE",INDEX(MO_SNA_FPStartDate,0,COLUMN()),INDEX(MO_Common_QEndDate,0,COLUMN())),"N/A")</f>
        <v>N/A</v>
      </c>
      <c r="U788" s="646" t="str">
        <f aca="false">IFERROR(_xll.ciqfunctions.udf.ciqhi(MO.Ticker.CapIQ,"IQ_LASTSALEPRICE",INDEX(MO_SNA_FPStartDate,0,COLUMN()),INDEX(MO_Common_QEndDate,0,COLUMN())),"N/A")</f>
        <v>N/A</v>
      </c>
      <c r="V788" s="646" t="str">
        <f aca="false">IFERROR(_xll.ciqfunctions.udf.ciqhi(MO.Ticker.CapIQ,"IQ_LASTSALEPRICE",INDEX(MO_SNA_FPStartDate,0,COLUMN()),INDEX(MO_Common_QEndDate,0,COLUMN())),"N/A")</f>
        <v>N/A</v>
      </c>
      <c r="W788" s="646" t="str">
        <f aca="false">IFERROR(_xll.ciqfunctions.udf.ciqhi(MO.Ticker.CapIQ,"IQ_LASTSALEPRICE",INDEX(MO_SNA_FPStartDate,0,COLUMN()),INDEX(MO_Common_QEndDate,0,COLUMN())),"N/A")</f>
        <v>N/A</v>
      </c>
      <c r="X788" s="646" t="str">
        <f aca="false">IFERROR(_xll.ciqfunctions.udf.ciqhi(MO.Ticker.CapIQ,"IQ_LASTSALEPRICE",INDEX(MO_SNA_FPStartDate,0,COLUMN()),INDEX(MO_Common_QEndDate,0,COLUMN())),"N/A")</f>
        <v>N/A</v>
      </c>
      <c r="Y788" s="646" t="str">
        <f aca="false">IFERROR(_xll.ciqfunctions.udf.ciqhi(MO.Ticker.CapIQ,"IQ_LASTSALEPRICE",INDEX(MO_SNA_FPStartDate,0,COLUMN()),INDEX(MO_Common_QEndDate,0,COLUMN())),"N/A")</f>
        <v>N/A</v>
      </c>
      <c r="Z788" s="646" t="str">
        <f aca="false">IFERROR(_xll.ciqfunctions.udf.ciqhi(MO.Ticker.CapIQ,"IQ_LASTSALEPRICE",INDEX(MO_SNA_FPStartDate,0,COLUMN()),INDEX(MO_Common_QEndDate,0,COLUMN())),"N/A")</f>
        <v>N/A</v>
      </c>
      <c r="AA788" s="646" t="str">
        <f aca="false">IFERROR(_xll.ciqfunctions.udf.ciqhi(MO.Ticker.CapIQ,"IQ_LASTSALEPRICE",INDEX(MO_SNA_FPStartDate,0,COLUMN()),INDEX(MO_Common_QEndDate,0,COLUMN())),"N/A")</f>
        <v>N/A</v>
      </c>
      <c r="AB788" s="646" t="str">
        <f aca="false">IFERROR(_xll.ciqfunctions.udf.ciqhi(MO.Ticker.CapIQ,"IQ_LASTSALEPRICE",INDEX(MO_SNA_FPStartDate,0,COLUMN()),INDEX(MO_Common_QEndDate,0,COLUMN())),"N/A")</f>
        <v>N/A</v>
      </c>
      <c r="AC788" s="646" t="str">
        <f aca="false">IFERROR(_xll.ciqfunctions.udf.ciqhi(MO.Ticker.CapIQ,"IQ_LASTSALEPRICE",INDEX(MO_SNA_FPStartDate,0,COLUMN()),INDEX(MO_Common_QEndDate,0,COLUMN())),"N/A")</f>
        <v>N/A</v>
      </c>
      <c r="AD788" s="646" t="str">
        <f aca="false">IFERROR(_xll.ciqfunctions.udf.ciqhi(MO.Ticker.CapIQ,"IQ_LASTSALEPRICE",INDEX(MO_SNA_FPStartDate,0,COLUMN()),INDEX(MO_Common_QEndDate,0,COLUMN())),"N/A")</f>
        <v>N/A</v>
      </c>
      <c r="AE788" s="646" t="str">
        <f aca="false">IFERROR(_xll.ciqfunctions.udf.ciqhi(MO.Ticker.CapIQ,"IQ_LASTSALEPRICE",INDEX(MO_SNA_FPStartDate,0,COLUMN()),INDEX(MO_Common_QEndDate,0,COLUMN())),"N/A")</f>
        <v>N/A</v>
      </c>
      <c r="AF788" s="646" t="str">
        <f aca="false">IFERROR(_xll.ciqfunctions.udf.ciqhi(MO.Ticker.CapIQ,"IQ_LASTSALEPRICE",INDEX(MO_SNA_FPStartDate,0,COLUMN()),INDEX(MO_Common_QEndDate,0,COLUMN())),"N/A")</f>
        <v>N/A</v>
      </c>
      <c r="AG788" s="646" t="str">
        <f aca="false">IFERROR(_xll.ciqfunctions.udf.ciqhi(MO.Ticker.CapIQ,"IQ_LASTSALEPRICE",INDEX(MO_SNA_FPStartDate,0,COLUMN()),INDEX(MO_Common_QEndDate,0,COLUMN())),"N/A")</f>
        <v>N/A</v>
      </c>
      <c r="AH788" s="646" t="str">
        <f aca="false">IFERROR(_xll.ciqfunctions.udf.ciqhi(MO.Ticker.CapIQ,"IQ_LASTSALEPRICE",INDEX(MO_SNA_FPStartDate,0,COLUMN()),INDEX(MO_Common_QEndDate,0,COLUMN())),"N/A")</f>
        <v>N/A</v>
      </c>
      <c r="AI788" s="646" t="str">
        <f aca="false">IFERROR(_xll.ciqfunctions.udf.ciqhi(MO.Ticker.CapIQ,"IQ_LASTSALEPRICE",INDEX(MO_SNA_FPStartDate,0,COLUMN()),INDEX(MO_Common_QEndDate,0,COLUMN())),"N/A")</f>
        <v>N/A</v>
      </c>
      <c r="AJ788" s="646" t="str">
        <f aca="false">IFERROR(_xll.ciqfunctions.udf.ciqhi(MO.Ticker.CapIQ,"IQ_LASTSALEPRICE",INDEX(MO_SNA_FPStartDate,0,COLUMN()),INDEX(MO_Common_QEndDate,0,COLUMN())),"N/A")</f>
        <v>N/A</v>
      </c>
      <c r="AK788" s="646" t="str">
        <f aca="false">IFERROR(_xll.ciqfunctions.udf.ciqhi(MO.Ticker.CapIQ,"IQ_LASTSALEPRICE",INDEX(MO_SNA_FPStartDate,0,COLUMN()),INDEX(MO_Common_QEndDate,0,COLUMN())),"N/A")</f>
        <v>N/A</v>
      </c>
      <c r="AL788" s="646" t="str">
        <f aca="false">IFERROR(_xll.ciqfunctions.udf.ciqhi(MO.Ticker.CapIQ,"IQ_LASTSALEPRICE",INDEX(MO_SNA_FPStartDate,0,COLUMN()),INDEX(MO_Common_QEndDate,0,COLUMN())),"N/A")</f>
        <v>N/A</v>
      </c>
      <c r="AM788" s="646" t="str">
        <f aca="false">IFERROR(_xll.ciqfunctions.udf.ciqhi(MO.Ticker.CapIQ,"IQ_LASTSALEPRICE",INDEX(MO_SNA_FPStartDate,0,COLUMN()),INDEX(MO_Common_QEndDate,0,COLUMN())),"N/A")</f>
        <v>N/A</v>
      </c>
      <c r="AN788" s="646" t="str">
        <f aca="false">IFERROR(_xll.ciqfunctions.udf.ciqhi(MO.Ticker.CapIQ,"IQ_LASTSALEPRICE",INDEX(MO_SNA_FPStartDate,0,COLUMN()),INDEX(MO_Common_QEndDate,0,COLUMN())),"N/A")</f>
        <v>N/A</v>
      </c>
      <c r="AO788" s="646" t="str">
        <f aca="false">IFERROR(_xll.ciqfunctions.udf.ciqhi(MO.Ticker.CapIQ,"IQ_LASTSALEPRICE",INDEX(MO_SNA_FPStartDate,0,COLUMN()),INDEX(MO_Common_QEndDate,0,COLUMN())),"N/A")</f>
        <v>N/A</v>
      </c>
      <c r="AP788" s="646" t="str">
        <f aca="false">IFERROR(_xll.ciqfunctions.udf.ciqhi(MO.Ticker.CapIQ,"IQ_LASTSALEPRICE",INDEX(MO_SNA_FPStartDate,0,COLUMN()),INDEX(MO_Common_QEndDate,0,COLUMN())),"N/A")</f>
        <v>N/A</v>
      </c>
      <c r="AQ788" s="646" t="str">
        <f aca="false">IFERROR(_xll.ciqfunctions.udf.ciqhi(MO.Ticker.CapIQ,"IQ_LASTSALEPRICE",INDEX(MO_SNA_FPStartDate,0,COLUMN()),INDEX(MO_Common_QEndDate,0,COLUMN())),"N/A")</f>
        <v>N/A</v>
      </c>
      <c r="AR788" s="646" t="str">
        <f aca="false">IFERROR(_xll.ciqfunctions.udf.ciqhi(MO.Ticker.CapIQ,"IQ_LASTSALEPRICE",INDEX(MO_SNA_FPStartDate,0,COLUMN()),INDEX(MO_Common_QEndDate,0,COLUMN())),"N/A")</f>
        <v>N/A</v>
      </c>
      <c r="AS788" s="646" t="str">
        <f aca="false">IFERROR(_xll.ciqfunctions.udf.ciqhi(MO.Ticker.CapIQ,"IQ_LASTSALEPRICE",INDEX(MO_SNA_FPStartDate,0,COLUMN()),INDEX(MO_Common_QEndDate,0,COLUMN())),"N/A")</f>
        <v>N/A</v>
      </c>
      <c r="AT788" s="646" t="str">
        <f aca="false">IFERROR(_xll.ciqfunctions.udf.ciqhi(MO.Ticker.CapIQ,"IQ_LASTSALEPRICE",INDEX(MO_SNA_FPStartDate,0,COLUMN()),INDEX(MO_Common_QEndDate,0,COLUMN())),"N/A")</f>
        <v>N/A</v>
      </c>
      <c r="AU788" s="646" t="str">
        <f aca="false">IFERROR(_xll.ciqfunctions.udf.ciqhi(MO.Ticker.CapIQ,"IQ_LASTSALEPRICE",INDEX(MO_SNA_FPStartDate,0,COLUMN()),INDEX(MO_Common_QEndDate,0,COLUMN())),"N/A")</f>
        <v>N/A</v>
      </c>
      <c r="AV788" s="646" t="str">
        <f aca="false">IFERROR(_xll.ciqfunctions.udf.ciqhi(MO.Ticker.CapIQ,"IQ_LASTSALEPRICE",INDEX(MO_SNA_FPStartDate,0,COLUMN()),INDEX(MO_Common_QEndDate,0,COLUMN())),"N/A")</f>
        <v>N/A</v>
      </c>
      <c r="AW788" s="646" t="str">
        <f aca="false">IFERROR(_xll.ciqfunctions.udf.ciqhi(MO.Ticker.CapIQ,"IQ_LASTSALEPRICE",INDEX(MO_SNA_FPStartDate,0,COLUMN()),INDEX(MO_Common_QEndDate,0,COLUMN())),"N/A")</f>
        <v>N/A</v>
      </c>
      <c r="AX788" s="646" t="str">
        <f aca="false">IFERROR(_xll.ciqfunctions.udf.ciqhi(MO.Ticker.CapIQ,"IQ_LASTSALEPRICE",INDEX(MO_SNA_FPStartDate,0,COLUMN()),INDEX(MO_Common_QEndDate,0,COLUMN())),"N/A")</f>
        <v>N/A</v>
      </c>
      <c r="AY788" s="646" t="str">
        <f aca="false">IFERROR(_xll.ciqfunctions.udf.ciqhi(MO.Ticker.CapIQ,"IQ_LASTSALEPRICE",INDEX(MO_SNA_FPStartDate,0,COLUMN()),INDEX(MO_Common_QEndDate,0,COLUMN())),"N/A")</f>
        <v>N/A</v>
      </c>
      <c r="AZ788" s="646" t="str">
        <f aca="false">IFERROR(_xll.ciqfunctions.udf.ciqhi(MO.Ticker.CapIQ,"IQ_LASTSALEPRICE",INDEX(MO_SNA_FPStartDate,0,COLUMN()),INDEX(MO_Common_QEndDate,0,COLUMN())),"N/A")</f>
        <v>N/A</v>
      </c>
      <c r="BA788" s="646" t="str">
        <f aca="false">IFERROR(_xll.ciqfunctions.udf.ciqhi(MO.Ticker.CapIQ,"IQ_LASTSALEPRICE",INDEX(MO_SNA_FPStartDate,0,COLUMN()),INDEX(MO_Common_QEndDate,0,COLUMN())),"N/A")</f>
        <v>N/A</v>
      </c>
      <c r="BB788" s="646" t="str">
        <f aca="false">IFERROR(_xll.ciqfunctions.udf.ciqhi(MO.Ticker.CapIQ,"IQ_LASTSALEPRICE",INDEX(MO_SNA_FPStartDate,0,COLUMN()),INDEX(MO_Common_QEndDate,0,COLUMN())),"N/A")</f>
        <v>N/A</v>
      </c>
      <c r="BC788" s="646" t="str">
        <f aca="false">IFERROR(_xll.ciqfunctions.udf.ciqhi(MO.Ticker.CapIQ,"IQ_LASTSALEPRICE",INDEX(MO_SNA_FPStartDate,0,COLUMN()),INDEX(MO_Common_QEndDate,0,COLUMN())),"N/A")</f>
        <v>N/A</v>
      </c>
      <c r="BD788" s="646" t="str">
        <f aca="false">IFERROR(_xll.ciqfunctions.udf.ciqhi(MO.Ticker.CapIQ,"IQ_LASTSALEPRICE",INDEX(MO_SNA_FPStartDate,0,COLUMN()),INDEX(MO_Common_QEndDate,0,COLUMN())),"N/A")</f>
        <v>N/A</v>
      </c>
      <c r="BE788" s="646" t="str">
        <f aca="false">IFERROR(_xll.ciqfunctions.udf.ciqhi(MO.Ticker.CapIQ,"IQ_LASTSALEPRICE",INDEX(MO_SNA_FPStartDate,0,COLUMN()),INDEX(MO_Common_QEndDate,0,COLUMN())),"N/A")</f>
        <v>N/A</v>
      </c>
      <c r="BF788" s="646" t="str">
        <f aca="false">IFERROR(_xll.ciqfunctions.udf.ciqhi(MO.Ticker.CapIQ,"IQ_LASTSALEPRICE",INDEX(MO_SNA_FPStartDate,0,COLUMN()),INDEX(MO_Common_QEndDate,0,COLUMN())),"N/A")</f>
        <v>N/A</v>
      </c>
      <c r="BG788" s="646" t="str">
        <f aca="false">IFERROR(_xll.ciqfunctions.udf.ciqhi(MO.Ticker.CapIQ,"IQ_LASTSALEPRICE",INDEX(MO_SNA_FPStartDate,0,COLUMN()),INDEX(MO_Common_QEndDate,0,COLUMN())),"N/A")</f>
        <v>N/A</v>
      </c>
      <c r="BH788" s="646" t="str">
        <f aca="false">IFERROR(_xll.ciqfunctions.udf.ciqhi(MO.Ticker.CapIQ,"IQ_LASTSALEPRICE",INDEX(MO_SNA_FPStartDate,0,COLUMN()),INDEX(MO_Common_QEndDate,0,COLUMN())),"N/A")</f>
        <v>N/A</v>
      </c>
      <c r="BI788" s="646" t="str">
        <f aca="false">IFERROR(_xll.ciqfunctions.udf.ciqhi(MO.Ticker.CapIQ,"IQ_LASTSALEPRICE",INDEX(MO_SNA_FPStartDate,0,COLUMN()),INDEX(MO_Common_QEndDate,0,COLUMN())),"N/A")</f>
        <v>N/A</v>
      </c>
      <c r="BJ788" s="646" t="str">
        <f aca="false">IFERROR(_xll.ciqfunctions.udf.ciqhi(MO.Ticker.CapIQ,"IQ_LASTSALEPRICE",INDEX(MO_SNA_FPStartDate,0,COLUMN()),INDEX(MO_Common_QEndDate,0,COLUMN())),"N/A")</f>
        <v>N/A</v>
      </c>
      <c r="BK788" s="646" t="str">
        <f aca="false">IFERROR(_xll.ciqfunctions.udf.ciqhi(MO.Ticker.CapIQ,"IQ_LASTSALEPRICE",INDEX(MO_SNA_FPStartDate,0,COLUMN()),INDEX(MO_Common_QEndDate,0,COLUMN())),"N/A")</f>
        <v>N/A</v>
      </c>
      <c r="BL788" s="646" t="str">
        <f aca="false">IFERROR(_xll.ciqfunctions.udf.ciqhi(MO.Ticker.CapIQ,"IQ_LASTSALEPRICE",INDEX(MO_SNA_FPStartDate,0,COLUMN()),INDEX(MO_Common_QEndDate,0,COLUMN())),"N/A")</f>
        <v>N/A</v>
      </c>
      <c r="BM788" s="646" t="str">
        <f aca="false">IFERROR(_xll.ciqfunctions.udf.ciqhi(MO.Ticker.CapIQ,"IQ_LASTSALEPRICE",INDEX(MO_SNA_FPStartDate,0,COLUMN()),INDEX(MO_Common_QEndDate,0,COLUMN())),"N/A")</f>
        <v>N/A</v>
      </c>
      <c r="BN788" s="646" t="str">
        <f aca="false">IFERROR(_xll.ciqfunctions.udf.ciqhi(MO.Ticker.CapIQ,"IQ_LASTSALEPRICE",INDEX(MO_SNA_FPStartDate,0,COLUMN()),INDEX(MO_Common_QEndDate,0,COLUMN())),"N/A")</f>
        <v>N/A</v>
      </c>
      <c r="BO788" s="647" t="str">
        <f aca="false">IFERROR(_xll.ciqfunctions.udf.ciqhi(MO.Ticker.CapIQ,"IQ_LASTSALEPRICE",INDEX(MO_SNA_FPStartDate,0,COLUMN()),INDEX(MO_Common_QEndDate,0,COLUMN())),"N/A")</f>
        <v>N/A</v>
      </c>
      <c r="BP788" s="646" t="str">
        <f aca="false">IFERROR(_xll.ciqfunctions.udf.ciqhi(MO.Ticker.CapIQ,"IQ_LASTSALEPRICE",INDEX(MO_SNA_FPStartDate,0,COLUMN()),INDEX(MO_Common_QEndDate,0,COLUMN())),"N/A")</f>
        <v>N/A</v>
      </c>
      <c r="BQ788" s="646" t="str">
        <f aca="false">IFERROR(_xll.ciqfunctions.udf.ciqhi(MO.Ticker.CapIQ,"IQ_LASTSALEPRICE",INDEX(MO_SNA_FPStartDate,0,COLUMN()),INDEX(MO_Common_QEndDate,0,COLUMN())),"N/A")</f>
        <v>N/A</v>
      </c>
      <c r="BR788" s="646" t="str">
        <f aca="false">IFERROR(_xll.ciqfunctions.udf.ciqhi(MO.Ticker.CapIQ,"IQ_LASTSALEPRICE",INDEX(MO_SNA_FPStartDate,0,COLUMN()),INDEX(MO_Common_QEndDate,0,COLUMN())),"N/A")</f>
        <v>N/A</v>
      </c>
      <c r="BS788" s="646" t="str">
        <f aca="false">IFERROR(_xll.ciqfunctions.udf.ciqhi(MO.Ticker.CapIQ,"IQ_LASTSALEPRICE",INDEX(MO_SNA_FPStartDate,0,COLUMN()),INDEX(MO_Common_QEndDate,0,COLUMN())),"N/A")</f>
        <v>N/A</v>
      </c>
      <c r="BT788" s="646" t="str">
        <f aca="false">IFERROR(_xll.ciqfunctions.udf.ciqhi(MO.Ticker.CapIQ,"IQ_LASTSALEPRICE",INDEX(MO_SNA_FPStartDate,0,COLUMN()),INDEX(MO_Common_QEndDate,0,COLUMN())),"N/A")</f>
        <v>N/A</v>
      </c>
      <c r="BU788" s="646" t="str">
        <f aca="false">IFERROR(_xll.ciqfunctions.udf.ciqhi(MO.Ticker.CapIQ,"IQ_LASTSALEPRICE",INDEX(MO_SNA_FPStartDate,0,COLUMN()),INDEX(MO_Common_QEndDate,0,COLUMN())),"N/A")</f>
        <v>N/A</v>
      </c>
      <c r="BV788" s="646" t="str">
        <f aca="false">IFERROR(_xll.ciqfunctions.udf.ciqhi(MO.Ticker.CapIQ,"IQ_LASTSALEPRICE",INDEX(MO_SNA_FPStartDate,0,COLUMN()),INDEX(MO_Common_QEndDate,0,COLUMN())),"N/A")</f>
        <v>N/A</v>
      </c>
      <c r="BW788" s="646" t="str">
        <f aca="false">IFERROR(_xll.ciqfunctions.udf.ciqhi(MO.Ticker.CapIQ,"IQ_LASTSALEPRICE",INDEX(MO_SNA_FPStartDate,0,COLUMN()),INDEX(MO_Common_QEndDate,0,COLUMN())),"N/A")</f>
        <v>N/A</v>
      </c>
      <c r="BX788" s="646" t="str">
        <f aca="false">IFERROR(_xll.ciqfunctions.udf.ciqhi(MO.Ticker.CapIQ,"IQ_LASTSALEPRICE",INDEX(MO_SNA_FPStartDate,0,COLUMN()),INDEX(MO_Common_QEndDate,0,COLUMN())),"N/A")</f>
        <v>N/A</v>
      </c>
      <c r="BY788" s="646" t="str">
        <f aca="false">IFERROR(_xll.ciqfunctions.udf.ciqhi(MO.Ticker.CapIQ,"IQ_LASTSALEPRICE",INDEX(MO_SNA_FPStartDate,0,COLUMN()),INDEX(MO_Common_QEndDate,0,COLUMN())),"N/A")</f>
        <v>N/A</v>
      </c>
      <c r="BZ788" s="646" t="str">
        <f aca="false">IFERROR(_xll.ciqfunctions.udf.ciqhi(MO.Ticker.CapIQ,"IQ_LASTSALEPRICE",INDEX(MO_SNA_FPStartDate,0,COLUMN()),INDEX(MO_Common_QEndDate,0,COLUMN())),"N/A")</f>
        <v>N/A</v>
      </c>
      <c r="CA788" s="646" t="str">
        <f aca="false">IFERROR(_xll.ciqfunctions.udf.ciqhi(MO.Ticker.CapIQ,"IQ_LASTSALEPRICE",INDEX(MO_SNA_FPStartDate,0,COLUMN()),INDEX(MO_Common_QEndDate,0,COLUMN())),"N/A")</f>
        <v>N/A</v>
      </c>
      <c r="CB788" s="648" t="str">
        <f aca="false">IFERROR(_xll.ciqfunctions.udf.ciqhi(MO.Ticker.CapIQ,"IQ_LASTSALEPRICE",INDEX(MO_SNA_FPStartDate,0,COLUMN()),INDEX(MO_Common_QEndDate,0,COLUMN())),"N/A")</f>
        <v>N/A</v>
      </c>
      <c r="CC788" s="649"/>
    </row>
    <row r="789" s="46" customFormat="true" ht="15" hidden="true" customHeight="true" outlineLevel="1" collapsed="false">
      <c r="A789" s="650" t="s">
        <v>705</v>
      </c>
      <c r="B789" s="646"/>
      <c r="C789" s="646" t="str">
        <f aca="false">IFERROR(fds(MO.Ticker.FactSet,"P_PRICE_HIGH"&amp;"("&amp;INDEX(MO_SNA_FPStartDate,0,COLUMN())&amp;","&amp;INDEX(MO_Common_QEndDate,0,COLUMN())&amp;",,,,""PRICE"",""CLOSE"")"),"N/A")</f>
        <v>N/A</v>
      </c>
      <c r="D789" s="646" t="str">
        <f aca="false">IFERROR(fds(MO.Ticker.FactSet,"P_PRICE_HIGH"&amp;"("&amp;INDEX(MO_SNA_FPStartDate,0,COLUMN())&amp;","&amp;INDEX(MO_Common_QEndDate,0,COLUMN())&amp;",,,,""PRICE"",""CLOSE"")"),"N/A")</f>
        <v>N/A</v>
      </c>
      <c r="E789" s="646" t="str">
        <f aca="false">IFERROR(fds(MO.Ticker.FactSet,"P_PRICE_HIGH"&amp;"("&amp;INDEX(MO_SNA_FPStartDate,0,COLUMN())&amp;","&amp;INDEX(MO_Common_QEndDate,0,COLUMN())&amp;",,,,""PRICE"",""CLOSE"")"),"N/A")</f>
        <v>N/A</v>
      </c>
      <c r="F789" s="646" t="str">
        <f aca="false">IFERROR(fds(MO.Ticker.FactSet,"P_PRICE_HIGH"&amp;"("&amp;INDEX(MO_SNA_FPStartDate,0,COLUMN())&amp;","&amp;INDEX(MO_Common_QEndDate,0,COLUMN())&amp;",,,,""PRICE"",""CLOSE"")"),"N/A")</f>
        <v>N/A</v>
      </c>
      <c r="G789" s="646" t="str">
        <f aca="false">IFERROR(fds(MO.Ticker.FactSet,"P_PRICE_HIGH"&amp;"("&amp;INDEX(MO_SNA_FPStartDate,0,COLUMN())&amp;","&amp;INDEX(MO_Common_QEndDate,0,COLUMN())&amp;",,,,""PRICE"",""CLOSE"")"),"N/A")</f>
        <v>N/A</v>
      </c>
      <c r="H789" s="646" t="str">
        <f aca="false">IFERROR(fds(MO.Ticker.FactSet,"P_PRICE_HIGH"&amp;"("&amp;INDEX(MO_SNA_FPStartDate,0,COLUMN())&amp;","&amp;INDEX(MO_Common_QEndDate,0,COLUMN())&amp;",,,,""PRICE"",""CLOSE"")"),"N/A")</f>
        <v>N/A</v>
      </c>
      <c r="I789" s="646" t="str">
        <f aca="false">IFERROR(fds(MO.Ticker.FactSet,"P_PRICE_HIGH"&amp;"("&amp;INDEX(MO_SNA_FPStartDate,0,COLUMN())&amp;","&amp;INDEX(MO_Common_QEndDate,0,COLUMN())&amp;",,,,""PRICE"",""CLOSE"")"),"N/A")</f>
        <v>N/A</v>
      </c>
      <c r="J789" s="646" t="str">
        <f aca="false">IFERROR(fds(MO.Ticker.FactSet,"P_PRICE_HIGH"&amp;"("&amp;INDEX(MO_SNA_FPStartDate,0,COLUMN())&amp;","&amp;INDEX(MO_Common_QEndDate,0,COLUMN())&amp;",,,,""PRICE"",""CLOSE"")"),"N/A")</f>
        <v>N/A</v>
      </c>
      <c r="K789" s="646" t="str">
        <f aca="false">IFERROR(fds(MO.Ticker.FactSet,"P_PRICE_HIGH"&amp;"("&amp;INDEX(MO_SNA_FPStartDate,0,COLUMN())&amp;","&amp;INDEX(MO_Common_QEndDate,0,COLUMN())&amp;",,,,""PRICE"",""CLOSE"")"),"N/A")</f>
        <v>N/A</v>
      </c>
      <c r="L789" s="646" t="str">
        <f aca="false">IFERROR(fds(MO.Ticker.FactSet,"P_PRICE_HIGH"&amp;"("&amp;INDEX(MO_SNA_FPStartDate,0,COLUMN())&amp;","&amp;INDEX(MO_Common_QEndDate,0,COLUMN())&amp;",,,,""PRICE"",""CLOSE"")"),"N/A")</f>
        <v>N/A</v>
      </c>
      <c r="M789" s="646" t="str">
        <f aca="false">IFERROR(fds(MO.Ticker.FactSet,"P_PRICE_HIGH"&amp;"("&amp;INDEX(MO_SNA_FPStartDate,0,COLUMN())&amp;","&amp;INDEX(MO_Common_QEndDate,0,COLUMN())&amp;",,,,""PRICE"",""CLOSE"")"),"N/A")</f>
        <v>N/A</v>
      </c>
      <c r="N789" s="646" t="str">
        <f aca="false">IFERROR(fds(MO.Ticker.FactSet,"P_PRICE_HIGH"&amp;"("&amp;INDEX(MO_SNA_FPStartDate,0,COLUMN())&amp;","&amp;INDEX(MO_Common_QEndDate,0,COLUMN())&amp;",,,,""PRICE"",""CLOSE"")"),"N/A")</f>
        <v>N/A</v>
      </c>
      <c r="O789" s="646" t="str">
        <f aca="false">IFERROR(fds(MO.Ticker.FactSet,"P_PRICE_HIGH"&amp;"("&amp;INDEX(MO_SNA_FPStartDate,0,COLUMN())&amp;","&amp;INDEX(MO_Common_QEndDate,0,COLUMN())&amp;",,,,""PRICE"",""CLOSE"")"),"N/A")</f>
        <v>N/A</v>
      </c>
      <c r="P789" s="646" t="str">
        <f aca="false">IFERROR(fds(MO.Ticker.FactSet,"P_PRICE_HIGH"&amp;"("&amp;INDEX(MO_SNA_FPStartDate,0,COLUMN())&amp;","&amp;INDEX(MO_Common_QEndDate,0,COLUMN())&amp;",,,,""PRICE"",""CLOSE"")"),"N/A")</f>
        <v>N/A</v>
      </c>
      <c r="Q789" s="646" t="str">
        <f aca="false">IFERROR(fds(MO.Ticker.FactSet,"P_PRICE_HIGH"&amp;"("&amp;INDEX(MO_SNA_FPStartDate,0,COLUMN())&amp;","&amp;INDEX(MO_Common_QEndDate,0,COLUMN())&amp;",,,,""PRICE"",""CLOSE"")"),"N/A")</f>
        <v>N/A</v>
      </c>
      <c r="R789" s="646" t="str">
        <f aca="false">IFERROR(fds(MO.Ticker.FactSet,"P_PRICE_HIGH"&amp;"("&amp;INDEX(MO_SNA_FPStartDate,0,COLUMN())&amp;","&amp;INDEX(MO_Common_QEndDate,0,COLUMN())&amp;",,,,""PRICE"",""CLOSE"")"),"N/A")</f>
        <v>N/A</v>
      </c>
      <c r="S789" s="646" t="str">
        <f aca="false">IFERROR(fds(MO.Ticker.FactSet,"P_PRICE_HIGH"&amp;"("&amp;INDEX(MO_SNA_FPStartDate,0,COLUMN())&amp;","&amp;INDEX(MO_Common_QEndDate,0,COLUMN())&amp;",,,,""PRICE"",""CLOSE"")"),"N/A")</f>
        <v>N/A</v>
      </c>
      <c r="T789" s="646" t="str">
        <f aca="false">IFERROR(fds(MO.Ticker.FactSet,"P_PRICE_HIGH"&amp;"("&amp;INDEX(MO_SNA_FPStartDate,0,COLUMN())&amp;","&amp;INDEX(MO_Common_QEndDate,0,COLUMN())&amp;",,,,""PRICE"",""CLOSE"")"),"N/A")</f>
        <v>N/A</v>
      </c>
      <c r="U789" s="646" t="str">
        <f aca="false">IFERROR(fds(MO.Ticker.FactSet,"P_PRICE_HIGH"&amp;"("&amp;INDEX(MO_SNA_FPStartDate,0,COLUMN())&amp;","&amp;INDEX(MO_Common_QEndDate,0,COLUMN())&amp;",,,,""PRICE"",""CLOSE"")"),"N/A")</f>
        <v>N/A</v>
      </c>
      <c r="V789" s="646" t="str">
        <f aca="false">IFERROR(fds(MO.Ticker.FactSet,"P_PRICE_HIGH"&amp;"("&amp;INDEX(MO_SNA_FPStartDate,0,COLUMN())&amp;","&amp;INDEX(MO_Common_QEndDate,0,COLUMN())&amp;",,,,""PRICE"",""CLOSE"")"),"N/A")</f>
        <v>N/A</v>
      </c>
      <c r="W789" s="646" t="str">
        <f aca="false">IFERROR(fds(MO.Ticker.FactSet,"P_PRICE_HIGH"&amp;"("&amp;INDEX(MO_SNA_FPStartDate,0,COLUMN())&amp;","&amp;INDEX(MO_Common_QEndDate,0,COLUMN())&amp;",,,,""PRICE"",""CLOSE"")"),"N/A")</f>
        <v>N/A</v>
      </c>
      <c r="X789" s="646" t="str">
        <f aca="false">IFERROR(fds(MO.Ticker.FactSet,"P_PRICE_HIGH"&amp;"("&amp;INDEX(MO_SNA_FPStartDate,0,COLUMN())&amp;","&amp;INDEX(MO_Common_QEndDate,0,COLUMN())&amp;",,,,""PRICE"",""CLOSE"")"),"N/A")</f>
        <v>N/A</v>
      </c>
      <c r="Y789" s="646" t="str">
        <f aca="false">IFERROR(fds(MO.Ticker.FactSet,"P_PRICE_HIGH"&amp;"("&amp;INDEX(MO_SNA_FPStartDate,0,COLUMN())&amp;","&amp;INDEX(MO_Common_QEndDate,0,COLUMN())&amp;",,,,""PRICE"",""CLOSE"")"),"N/A")</f>
        <v>N/A</v>
      </c>
      <c r="Z789" s="646" t="str">
        <f aca="false">IFERROR(fds(MO.Ticker.FactSet,"P_PRICE_HIGH"&amp;"("&amp;INDEX(MO_SNA_FPStartDate,0,COLUMN())&amp;","&amp;INDEX(MO_Common_QEndDate,0,COLUMN())&amp;",,,,""PRICE"",""CLOSE"")"),"N/A")</f>
        <v>N/A</v>
      </c>
      <c r="AA789" s="646" t="str">
        <f aca="false">IFERROR(fds(MO.Ticker.FactSet,"P_PRICE_HIGH"&amp;"("&amp;INDEX(MO_SNA_FPStartDate,0,COLUMN())&amp;","&amp;INDEX(MO_Common_QEndDate,0,COLUMN())&amp;",,,,""PRICE"",""CLOSE"")"),"N/A")</f>
        <v>N/A</v>
      </c>
      <c r="AB789" s="646" t="str">
        <f aca="false">IFERROR(fds(MO.Ticker.FactSet,"P_PRICE_HIGH"&amp;"("&amp;INDEX(MO_SNA_FPStartDate,0,COLUMN())&amp;","&amp;INDEX(MO_Common_QEndDate,0,COLUMN())&amp;",,,,""PRICE"",""CLOSE"")"),"N/A")</f>
        <v>N/A</v>
      </c>
      <c r="AC789" s="646" t="str">
        <f aca="false">IFERROR(fds(MO.Ticker.FactSet,"P_PRICE_HIGH"&amp;"("&amp;INDEX(MO_SNA_FPStartDate,0,COLUMN())&amp;","&amp;INDEX(MO_Common_QEndDate,0,COLUMN())&amp;",,,,""PRICE"",""CLOSE"")"),"N/A")</f>
        <v>N/A</v>
      </c>
      <c r="AD789" s="646" t="str">
        <f aca="false">IFERROR(fds(MO.Ticker.FactSet,"P_PRICE_HIGH"&amp;"("&amp;INDEX(MO_SNA_FPStartDate,0,COLUMN())&amp;","&amp;INDEX(MO_Common_QEndDate,0,COLUMN())&amp;",,,,""PRICE"",""CLOSE"")"),"N/A")</f>
        <v>N/A</v>
      </c>
      <c r="AE789" s="646" t="str">
        <f aca="false">IFERROR(fds(MO.Ticker.FactSet,"P_PRICE_HIGH"&amp;"("&amp;INDEX(MO_SNA_FPStartDate,0,COLUMN())&amp;","&amp;INDEX(MO_Common_QEndDate,0,COLUMN())&amp;",,,,""PRICE"",""CLOSE"")"),"N/A")</f>
        <v>N/A</v>
      </c>
      <c r="AF789" s="646" t="str">
        <f aca="false">IFERROR(fds(MO.Ticker.FactSet,"P_PRICE_HIGH"&amp;"("&amp;INDEX(MO_SNA_FPStartDate,0,COLUMN())&amp;","&amp;INDEX(MO_Common_QEndDate,0,COLUMN())&amp;",,,,""PRICE"",""CLOSE"")"),"N/A")</f>
        <v>N/A</v>
      </c>
      <c r="AG789" s="646" t="str">
        <f aca="false">IFERROR(fds(MO.Ticker.FactSet,"P_PRICE_HIGH"&amp;"("&amp;INDEX(MO_SNA_FPStartDate,0,COLUMN())&amp;","&amp;INDEX(MO_Common_QEndDate,0,COLUMN())&amp;",,,,""PRICE"",""CLOSE"")"),"N/A")</f>
        <v>N/A</v>
      </c>
      <c r="AH789" s="646" t="str">
        <f aca="false">IFERROR(fds(MO.Ticker.FactSet,"P_PRICE_HIGH"&amp;"("&amp;INDEX(MO_SNA_FPStartDate,0,COLUMN())&amp;","&amp;INDEX(MO_Common_QEndDate,0,COLUMN())&amp;",,,,""PRICE"",""CLOSE"")"),"N/A")</f>
        <v>N/A</v>
      </c>
      <c r="AI789" s="646" t="str">
        <f aca="false">IFERROR(fds(MO.Ticker.FactSet,"P_PRICE_HIGH"&amp;"("&amp;INDEX(MO_SNA_FPStartDate,0,COLUMN())&amp;","&amp;INDEX(MO_Common_QEndDate,0,COLUMN())&amp;",,,,""PRICE"",""CLOSE"")"),"N/A")</f>
        <v>N/A</v>
      </c>
      <c r="AJ789" s="646" t="str">
        <f aca="false">IFERROR(fds(MO.Ticker.FactSet,"P_PRICE_HIGH"&amp;"("&amp;INDEX(MO_SNA_FPStartDate,0,COLUMN())&amp;","&amp;INDEX(MO_Common_QEndDate,0,COLUMN())&amp;",,,,""PRICE"",""CLOSE"")"),"N/A")</f>
        <v>N/A</v>
      </c>
      <c r="AK789" s="646" t="str">
        <f aca="false">IFERROR(fds(MO.Ticker.FactSet,"P_PRICE_HIGH"&amp;"("&amp;INDEX(MO_SNA_FPStartDate,0,COLUMN())&amp;","&amp;INDEX(MO_Common_QEndDate,0,COLUMN())&amp;",,,,""PRICE"",""CLOSE"")"),"N/A")</f>
        <v>N/A</v>
      </c>
      <c r="AL789" s="646" t="str">
        <f aca="false">IFERROR(fds(MO.Ticker.FactSet,"P_PRICE_HIGH"&amp;"("&amp;INDEX(MO_SNA_FPStartDate,0,COLUMN())&amp;","&amp;INDEX(MO_Common_QEndDate,0,COLUMN())&amp;",,,,""PRICE"",""CLOSE"")"),"N/A")</f>
        <v>N/A</v>
      </c>
      <c r="AM789" s="646" t="str">
        <f aca="false">IFERROR(fds(MO.Ticker.FactSet,"P_PRICE_HIGH"&amp;"("&amp;INDEX(MO_SNA_FPStartDate,0,COLUMN())&amp;","&amp;INDEX(MO_Common_QEndDate,0,COLUMN())&amp;",,,,""PRICE"",""CLOSE"")"),"N/A")</f>
        <v>N/A</v>
      </c>
      <c r="AN789" s="646" t="str">
        <f aca="false">IFERROR(fds(MO.Ticker.FactSet,"P_PRICE_HIGH"&amp;"("&amp;INDEX(MO_SNA_FPStartDate,0,COLUMN())&amp;","&amp;INDEX(MO_Common_QEndDate,0,COLUMN())&amp;",,,,""PRICE"",""CLOSE"")"),"N/A")</f>
        <v>N/A</v>
      </c>
      <c r="AO789" s="646" t="str">
        <f aca="false">IFERROR(fds(MO.Ticker.FactSet,"P_PRICE_HIGH"&amp;"("&amp;INDEX(MO_SNA_FPStartDate,0,COLUMN())&amp;","&amp;INDEX(MO_Common_QEndDate,0,COLUMN())&amp;",,,,""PRICE"",""CLOSE"")"),"N/A")</f>
        <v>N/A</v>
      </c>
      <c r="AP789" s="646" t="str">
        <f aca="false">IFERROR(fds(MO.Ticker.FactSet,"P_PRICE_HIGH"&amp;"("&amp;INDEX(MO_SNA_FPStartDate,0,COLUMN())&amp;","&amp;INDEX(MO_Common_QEndDate,0,COLUMN())&amp;",,,,""PRICE"",""CLOSE"")"),"N/A")</f>
        <v>N/A</v>
      </c>
      <c r="AQ789" s="646" t="str">
        <f aca="false">IFERROR(fds(MO.Ticker.FactSet,"P_PRICE_HIGH"&amp;"("&amp;INDEX(MO_SNA_FPStartDate,0,COLUMN())&amp;","&amp;INDEX(MO_Common_QEndDate,0,COLUMN())&amp;",,,,""PRICE"",""CLOSE"")"),"N/A")</f>
        <v>N/A</v>
      </c>
      <c r="AR789" s="646" t="str">
        <f aca="false">IFERROR(fds(MO.Ticker.FactSet,"P_PRICE_HIGH"&amp;"("&amp;INDEX(MO_SNA_FPStartDate,0,COLUMN())&amp;","&amp;INDEX(MO_Common_QEndDate,0,COLUMN())&amp;",,,,""PRICE"",""CLOSE"")"),"N/A")</f>
        <v>N/A</v>
      </c>
      <c r="AS789" s="646" t="str">
        <f aca="false">IFERROR(fds(MO.Ticker.FactSet,"P_PRICE_HIGH"&amp;"("&amp;INDEX(MO_SNA_FPStartDate,0,COLUMN())&amp;","&amp;INDEX(MO_Common_QEndDate,0,COLUMN())&amp;",,,,""PRICE"",""CLOSE"")"),"N/A")</f>
        <v>N/A</v>
      </c>
      <c r="AT789" s="646" t="str">
        <f aca="false">IFERROR(fds(MO.Ticker.FactSet,"P_PRICE_HIGH"&amp;"("&amp;INDEX(MO_SNA_FPStartDate,0,COLUMN())&amp;","&amp;INDEX(MO_Common_QEndDate,0,COLUMN())&amp;",,,,""PRICE"",""CLOSE"")"),"N/A")</f>
        <v>N/A</v>
      </c>
      <c r="AU789" s="646" t="str">
        <f aca="false">IFERROR(fds(MO.Ticker.FactSet,"P_PRICE_HIGH"&amp;"("&amp;INDEX(MO_SNA_FPStartDate,0,COLUMN())&amp;","&amp;INDEX(MO_Common_QEndDate,0,COLUMN())&amp;",,,,""PRICE"",""CLOSE"")"),"N/A")</f>
        <v>N/A</v>
      </c>
      <c r="AV789" s="646" t="str">
        <f aca="false">IFERROR(fds(MO.Ticker.FactSet,"P_PRICE_HIGH"&amp;"("&amp;INDEX(MO_SNA_FPStartDate,0,COLUMN())&amp;","&amp;INDEX(MO_Common_QEndDate,0,COLUMN())&amp;",,,,""PRICE"",""CLOSE"")"),"N/A")</f>
        <v>N/A</v>
      </c>
      <c r="AW789" s="646" t="str">
        <f aca="false">IFERROR(fds(MO.Ticker.FactSet,"P_PRICE_HIGH"&amp;"("&amp;INDEX(MO_SNA_FPStartDate,0,COLUMN())&amp;","&amp;INDEX(MO_Common_QEndDate,0,COLUMN())&amp;",,,,""PRICE"",""CLOSE"")"),"N/A")</f>
        <v>N/A</v>
      </c>
      <c r="AX789" s="646" t="str">
        <f aca="false">IFERROR(fds(MO.Ticker.FactSet,"P_PRICE_HIGH"&amp;"("&amp;INDEX(MO_SNA_FPStartDate,0,COLUMN())&amp;","&amp;INDEX(MO_Common_QEndDate,0,COLUMN())&amp;",,,,""PRICE"",""CLOSE"")"),"N/A")</f>
        <v>N/A</v>
      </c>
      <c r="AY789" s="646" t="str">
        <f aca="false">IFERROR(fds(MO.Ticker.FactSet,"P_PRICE_HIGH"&amp;"("&amp;INDEX(MO_SNA_FPStartDate,0,COLUMN())&amp;","&amp;INDEX(MO_Common_QEndDate,0,COLUMN())&amp;",,,,""PRICE"",""CLOSE"")"),"N/A")</f>
        <v>N/A</v>
      </c>
      <c r="AZ789" s="646" t="str">
        <f aca="false">IFERROR(fds(MO.Ticker.FactSet,"P_PRICE_HIGH"&amp;"("&amp;INDEX(MO_SNA_FPStartDate,0,COLUMN())&amp;","&amp;INDEX(MO_Common_QEndDate,0,COLUMN())&amp;",,,,""PRICE"",""CLOSE"")"),"N/A")</f>
        <v>N/A</v>
      </c>
      <c r="BA789" s="646" t="str">
        <f aca="false">IFERROR(fds(MO.Ticker.FactSet,"P_PRICE_HIGH"&amp;"("&amp;INDEX(MO_SNA_FPStartDate,0,COLUMN())&amp;","&amp;INDEX(MO_Common_QEndDate,0,COLUMN())&amp;",,,,""PRICE"",""CLOSE"")"),"N/A")</f>
        <v>N/A</v>
      </c>
      <c r="BB789" s="646" t="str">
        <f aca="false">IFERROR(fds(MO.Ticker.FactSet,"P_PRICE_HIGH"&amp;"("&amp;INDEX(MO_SNA_FPStartDate,0,COLUMN())&amp;","&amp;INDEX(MO_Common_QEndDate,0,COLUMN())&amp;",,,,""PRICE"",""CLOSE"")"),"N/A")</f>
        <v>N/A</v>
      </c>
      <c r="BC789" s="646" t="str">
        <f aca="false">IFERROR(fds(MO.Ticker.FactSet,"P_PRICE_HIGH"&amp;"("&amp;INDEX(MO_SNA_FPStartDate,0,COLUMN())&amp;","&amp;INDEX(MO_Common_QEndDate,0,COLUMN())&amp;",,,,""PRICE"",""CLOSE"")"),"N/A")</f>
        <v>N/A</v>
      </c>
      <c r="BD789" s="646" t="str">
        <f aca="false">IFERROR(fds(MO.Ticker.FactSet,"P_PRICE_HIGH"&amp;"("&amp;INDEX(MO_SNA_FPStartDate,0,COLUMN())&amp;","&amp;INDEX(MO_Common_QEndDate,0,COLUMN())&amp;",,,,""PRICE"",""CLOSE"")"),"N/A")</f>
        <v>N/A</v>
      </c>
      <c r="BE789" s="646" t="str">
        <f aca="false">IFERROR(fds(MO.Ticker.FactSet,"P_PRICE_HIGH"&amp;"("&amp;INDEX(MO_SNA_FPStartDate,0,COLUMN())&amp;","&amp;INDEX(MO_Common_QEndDate,0,COLUMN())&amp;",,,,""PRICE"",""CLOSE"")"),"N/A")</f>
        <v>N/A</v>
      </c>
      <c r="BF789" s="646" t="str">
        <f aca="false">IFERROR(fds(MO.Ticker.FactSet,"P_PRICE_HIGH"&amp;"("&amp;INDEX(MO_SNA_FPStartDate,0,COLUMN())&amp;","&amp;INDEX(MO_Common_QEndDate,0,COLUMN())&amp;",,,,""PRICE"",""CLOSE"")"),"N/A")</f>
        <v>N/A</v>
      </c>
      <c r="BG789" s="646" t="str">
        <f aca="false">IFERROR(fds(MO.Ticker.FactSet,"P_PRICE_HIGH"&amp;"("&amp;INDEX(MO_SNA_FPStartDate,0,COLUMN())&amp;","&amp;INDEX(MO_Common_QEndDate,0,COLUMN())&amp;",,,,""PRICE"",""CLOSE"")"),"N/A")</f>
        <v>N/A</v>
      </c>
      <c r="BH789" s="646" t="str">
        <f aca="false">IFERROR(fds(MO.Ticker.FactSet,"P_PRICE_HIGH"&amp;"("&amp;INDEX(MO_SNA_FPStartDate,0,COLUMN())&amp;","&amp;INDEX(MO_Common_QEndDate,0,COLUMN())&amp;",,,,""PRICE"",""CLOSE"")"),"N/A")</f>
        <v>N/A</v>
      </c>
      <c r="BI789" s="646" t="str">
        <f aca="false">IFERROR(fds(MO.Ticker.FactSet,"P_PRICE_HIGH"&amp;"("&amp;INDEX(MO_SNA_FPStartDate,0,COLUMN())&amp;","&amp;INDEX(MO_Common_QEndDate,0,COLUMN())&amp;",,,,""PRICE"",""CLOSE"")"),"N/A")</f>
        <v>N/A</v>
      </c>
      <c r="BJ789" s="646" t="str">
        <f aca="false">IFERROR(fds(MO.Ticker.FactSet,"P_PRICE_HIGH"&amp;"("&amp;INDEX(MO_SNA_FPStartDate,0,COLUMN())&amp;","&amp;INDEX(MO_Common_QEndDate,0,COLUMN())&amp;",,,,""PRICE"",""CLOSE"")"),"N/A")</f>
        <v>N/A</v>
      </c>
      <c r="BK789" s="646" t="str">
        <f aca="false">IFERROR(fds(MO.Ticker.FactSet,"P_PRICE_HIGH"&amp;"("&amp;INDEX(MO_SNA_FPStartDate,0,COLUMN())&amp;","&amp;INDEX(MO_Common_QEndDate,0,COLUMN())&amp;",,,,""PRICE"",""CLOSE"")"),"N/A")</f>
        <v>N/A</v>
      </c>
      <c r="BL789" s="646" t="str">
        <f aca="false">IFERROR(fds(MO.Ticker.FactSet,"P_PRICE_HIGH"&amp;"("&amp;INDEX(MO_SNA_FPStartDate,0,COLUMN())&amp;","&amp;INDEX(MO_Common_QEndDate,0,COLUMN())&amp;",,,,""PRICE"",""CLOSE"")"),"N/A")</f>
        <v>N/A</v>
      </c>
      <c r="BM789" s="646" t="str">
        <f aca="false">IFERROR(fds(MO.Ticker.FactSet,"P_PRICE_HIGH"&amp;"("&amp;INDEX(MO_SNA_FPStartDate,0,COLUMN())&amp;","&amp;INDEX(MO_Common_QEndDate,0,COLUMN())&amp;",,,,""PRICE"",""CLOSE"")"),"N/A")</f>
        <v>N/A</v>
      </c>
      <c r="BN789" s="646" t="str">
        <f aca="false">IFERROR(fds(MO.Ticker.FactSet,"P_PRICE_HIGH"&amp;"("&amp;INDEX(MO_SNA_FPStartDate,0,COLUMN())&amp;","&amp;INDEX(MO_Common_QEndDate,0,COLUMN())&amp;",,,,""PRICE"",""CLOSE"")"),"N/A")</f>
        <v>N/A</v>
      </c>
      <c r="BO789" s="647" t="str">
        <f aca="false">IFERROR(fds(MO.Ticker.FactSet,"P_PRICE_HIGH"&amp;"("&amp;INDEX(MO_SNA_FPStartDate,0,COLUMN())&amp;","&amp;INDEX(MO_Common_QEndDate,0,COLUMN())&amp;",,,,""PRICE"",""CLOSE"")"),"N/A")</f>
        <v>N/A</v>
      </c>
      <c r="BP789" s="646" t="str">
        <f aca="false">IFERROR(fds(MO.Ticker.FactSet,"P_PRICE_HIGH"&amp;"("&amp;INDEX(MO_SNA_FPStartDate,0,COLUMN())&amp;","&amp;INDEX(MO_Common_QEndDate,0,COLUMN())&amp;",,,,""PRICE"",""CLOSE"")"),"N/A")</f>
        <v>N/A</v>
      </c>
      <c r="BQ789" s="646" t="str">
        <f aca="false">IFERROR(fds(MO.Ticker.FactSet,"P_PRICE_HIGH"&amp;"("&amp;INDEX(MO_SNA_FPStartDate,0,COLUMN())&amp;","&amp;INDEX(MO_Common_QEndDate,0,COLUMN())&amp;",,,,""PRICE"",""CLOSE"")"),"N/A")</f>
        <v>N/A</v>
      </c>
      <c r="BR789" s="646" t="str">
        <f aca="false">IFERROR(fds(MO.Ticker.FactSet,"P_PRICE_HIGH"&amp;"("&amp;INDEX(MO_SNA_FPStartDate,0,COLUMN())&amp;","&amp;INDEX(MO_Common_QEndDate,0,COLUMN())&amp;",,,,""PRICE"",""CLOSE"")"),"N/A")</f>
        <v>N/A</v>
      </c>
      <c r="BS789" s="646" t="str">
        <f aca="false">IFERROR(fds(MO.Ticker.FactSet,"P_PRICE_HIGH"&amp;"("&amp;INDEX(MO_SNA_FPStartDate,0,COLUMN())&amp;","&amp;INDEX(MO_Common_QEndDate,0,COLUMN())&amp;",,,,""PRICE"",""CLOSE"")"),"N/A")</f>
        <v>N/A</v>
      </c>
      <c r="BT789" s="646" t="str">
        <f aca="false">IFERROR(fds(MO.Ticker.FactSet,"P_PRICE_HIGH"&amp;"("&amp;INDEX(MO_SNA_FPStartDate,0,COLUMN())&amp;","&amp;INDEX(MO_Common_QEndDate,0,COLUMN())&amp;",,,,""PRICE"",""CLOSE"")"),"N/A")</f>
        <v>N/A</v>
      </c>
      <c r="BU789" s="646" t="str">
        <f aca="false">IFERROR(fds(MO.Ticker.FactSet,"P_PRICE_HIGH"&amp;"("&amp;INDEX(MO_SNA_FPStartDate,0,COLUMN())&amp;","&amp;INDEX(MO_Common_QEndDate,0,COLUMN())&amp;",,,,""PRICE"",""CLOSE"")"),"N/A")</f>
        <v>N/A</v>
      </c>
      <c r="BV789" s="646" t="str">
        <f aca="false">IFERROR(fds(MO.Ticker.FactSet,"P_PRICE_HIGH"&amp;"("&amp;INDEX(MO_SNA_FPStartDate,0,COLUMN())&amp;","&amp;INDEX(MO_Common_QEndDate,0,COLUMN())&amp;",,,,""PRICE"",""CLOSE"")"),"N/A")</f>
        <v>N/A</v>
      </c>
      <c r="BW789" s="646" t="str">
        <f aca="false">IFERROR(fds(MO.Ticker.FactSet,"P_PRICE_HIGH"&amp;"("&amp;INDEX(MO_SNA_FPStartDate,0,COLUMN())&amp;","&amp;INDEX(MO_Common_QEndDate,0,COLUMN())&amp;",,,,""PRICE"",""CLOSE"")"),"N/A")</f>
        <v>N/A</v>
      </c>
      <c r="BX789" s="646" t="str">
        <f aca="false">IFERROR(fds(MO.Ticker.FactSet,"P_PRICE_HIGH"&amp;"("&amp;INDEX(MO_SNA_FPStartDate,0,COLUMN())&amp;","&amp;INDEX(MO_Common_QEndDate,0,COLUMN())&amp;",,,,""PRICE"",""CLOSE"")"),"N/A")</f>
        <v>N/A</v>
      </c>
      <c r="BY789" s="646" t="str">
        <f aca="false">IFERROR(fds(MO.Ticker.FactSet,"P_PRICE_HIGH"&amp;"("&amp;INDEX(MO_SNA_FPStartDate,0,COLUMN())&amp;","&amp;INDEX(MO_Common_QEndDate,0,COLUMN())&amp;",,,,""PRICE"",""CLOSE"")"),"N/A")</f>
        <v>N/A</v>
      </c>
      <c r="BZ789" s="646" t="str">
        <f aca="false">IFERROR(fds(MO.Ticker.FactSet,"P_PRICE_HIGH"&amp;"("&amp;INDEX(MO_SNA_FPStartDate,0,COLUMN())&amp;","&amp;INDEX(MO_Common_QEndDate,0,COLUMN())&amp;",,,,""PRICE"",""CLOSE"")"),"N/A")</f>
        <v>N/A</v>
      </c>
      <c r="CA789" s="646" t="str">
        <f aca="false">IFERROR(fds(MO.Ticker.FactSet,"P_PRICE_HIGH"&amp;"("&amp;INDEX(MO_SNA_FPStartDate,0,COLUMN())&amp;","&amp;INDEX(MO_Common_QEndDate,0,COLUMN())&amp;",,,,""PRICE"",""CLOSE"")"),"N/A")</f>
        <v>N/A</v>
      </c>
      <c r="CB789" s="648" t="str">
        <f aca="false">IFERROR(fds(MO.Ticker.FactSet,"P_PRICE_HIGH"&amp;"("&amp;INDEX(MO_SNA_FPStartDate,0,COLUMN())&amp;","&amp;INDEX(MO_Common_QEndDate,0,COLUMN())&amp;",,,,""PRICE"",""CLOSE"")"),"N/A")</f>
        <v>N/A</v>
      </c>
      <c r="CC789" s="649"/>
    </row>
    <row r="790" s="46" customFormat="true" ht="15" hidden="true" customHeight="true" outlineLevel="1" collapsed="false">
      <c r="A790" s="650" t="s">
        <v>706</v>
      </c>
      <c r="B790" s="646"/>
      <c r="C790" s="646" t="str">
        <f aca="false">IFERROR(_xll.tr(MO.Ticker.Thomson,"MAX(TR.Pricehigh)","sdate:#1 edate:#2",,INDEX(MO_SNA_FPStartDate,0,COLUMN()),INDEX(MO_Common_QEndDate,0,COLUMN())),"N/A")</f>
        <v>N/A</v>
      </c>
      <c r="D790" s="646" t="str">
        <f aca="false">IFERROR(_xll.tr(MO.Ticker.Thomson,"MAX(TR.Pricehigh)","sdate:#1 edate:#2",,INDEX(MO_SNA_FPStartDate,0,COLUMN()),INDEX(MO_Common_QEndDate,0,COLUMN())),"N/A")</f>
        <v>N/A</v>
      </c>
      <c r="E790" s="646" t="str">
        <f aca="false">IFERROR(_xll.tr(MO.Ticker.Thomson,"MAX(TR.Pricehigh)","sdate:#1 edate:#2",,INDEX(MO_SNA_FPStartDate,0,COLUMN()),INDEX(MO_Common_QEndDate,0,COLUMN())),"N/A")</f>
        <v>N/A</v>
      </c>
      <c r="F790" s="646" t="str">
        <f aca="false">IFERROR(_xll.tr(MO.Ticker.Thomson,"MAX(TR.Pricehigh)","sdate:#1 edate:#2",,INDEX(MO_SNA_FPStartDate,0,COLUMN()),INDEX(MO_Common_QEndDate,0,COLUMN())),"N/A")</f>
        <v>N/A</v>
      </c>
      <c r="G790" s="646" t="str">
        <f aca="false">IFERROR(_xll.tr(MO.Ticker.Thomson,"MAX(TR.Pricehigh)","sdate:#1 edate:#2",,INDEX(MO_SNA_FPStartDate,0,COLUMN()),INDEX(MO_Common_QEndDate,0,COLUMN())),"N/A")</f>
        <v>N/A</v>
      </c>
      <c r="H790" s="646" t="str">
        <f aca="false">IFERROR(_xll.tr(MO.Ticker.Thomson,"MAX(TR.Pricehigh)","sdate:#1 edate:#2",,INDEX(MO_SNA_FPStartDate,0,COLUMN()),INDEX(MO_Common_QEndDate,0,COLUMN())),"N/A")</f>
        <v>N/A</v>
      </c>
      <c r="I790" s="646" t="str">
        <f aca="false">IFERROR(_xll.tr(MO.Ticker.Thomson,"MAX(TR.Pricehigh)","sdate:#1 edate:#2",,INDEX(MO_SNA_FPStartDate,0,COLUMN()),INDEX(MO_Common_QEndDate,0,COLUMN())),"N/A")</f>
        <v>N/A</v>
      </c>
      <c r="J790" s="646" t="str">
        <f aca="false">IFERROR(_xll.tr(MO.Ticker.Thomson,"MAX(TR.Pricehigh)","sdate:#1 edate:#2",,INDEX(MO_SNA_FPStartDate,0,COLUMN()),INDEX(MO_Common_QEndDate,0,COLUMN())),"N/A")</f>
        <v>N/A</v>
      </c>
      <c r="K790" s="646" t="str">
        <f aca="false">IFERROR(_xll.tr(MO.Ticker.Thomson,"MAX(TR.Pricehigh)","sdate:#1 edate:#2",,INDEX(MO_SNA_FPStartDate,0,COLUMN()),INDEX(MO_Common_QEndDate,0,COLUMN())),"N/A")</f>
        <v>N/A</v>
      </c>
      <c r="L790" s="646" t="str">
        <f aca="false">IFERROR(_xll.tr(MO.Ticker.Thomson,"MAX(TR.Pricehigh)","sdate:#1 edate:#2",,INDEX(MO_SNA_FPStartDate,0,COLUMN()),INDEX(MO_Common_QEndDate,0,COLUMN())),"N/A")</f>
        <v>N/A</v>
      </c>
      <c r="M790" s="646" t="str">
        <f aca="false">IFERROR(_xll.tr(MO.Ticker.Thomson,"MAX(TR.Pricehigh)","sdate:#1 edate:#2",,INDEX(MO_SNA_FPStartDate,0,COLUMN()),INDEX(MO_Common_QEndDate,0,COLUMN())),"N/A")</f>
        <v>N/A</v>
      </c>
      <c r="N790" s="646" t="str">
        <f aca="false">IFERROR(_xll.tr(MO.Ticker.Thomson,"MAX(TR.Pricehigh)","sdate:#1 edate:#2",,INDEX(MO_SNA_FPStartDate,0,COLUMN()),INDEX(MO_Common_QEndDate,0,COLUMN())),"N/A")</f>
        <v>N/A</v>
      </c>
      <c r="O790" s="646" t="str">
        <f aca="false">IFERROR(_xll.tr(MO.Ticker.Thomson,"MAX(TR.Pricehigh)","sdate:#1 edate:#2",,INDEX(MO_SNA_FPStartDate,0,COLUMN()),INDEX(MO_Common_QEndDate,0,COLUMN())),"N/A")</f>
        <v>N/A</v>
      </c>
      <c r="P790" s="646" t="str">
        <f aca="false">IFERROR(_xll.tr(MO.Ticker.Thomson,"MAX(TR.Pricehigh)","sdate:#1 edate:#2",,INDEX(MO_SNA_FPStartDate,0,COLUMN()),INDEX(MO_Common_QEndDate,0,COLUMN())),"N/A")</f>
        <v>N/A</v>
      </c>
      <c r="Q790" s="646" t="str">
        <f aca="false">IFERROR(_xll.tr(MO.Ticker.Thomson,"MAX(TR.Pricehigh)","sdate:#1 edate:#2",,INDEX(MO_SNA_FPStartDate,0,COLUMN()),INDEX(MO_Common_QEndDate,0,COLUMN())),"N/A")</f>
        <v>N/A</v>
      </c>
      <c r="R790" s="646" t="str">
        <f aca="false">IFERROR(_xll.tr(MO.Ticker.Thomson,"MAX(TR.Pricehigh)","sdate:#1 edate:#2",,INDEX(MO_SNA_FPStartDate,0,COLUMN()),INDEX(MO_Common_QEndDate,0,COLUMN())),"N/A")</f>
        <v>N/A</v>
      </c>
      <c r="S790" s="646" t="str">
        <f aca="false">IFERROR(_xll.tr(MO.Ticker.Thomson,"MAX(TR.Pricehigh)","sdate:#1 edate:#2",,INDEX(MO_SNA_FPStartDate,0,COLUMN()),INDEX(MO_Common_QEndDate,0,COLUMN())),"N/A")</f>
        <v>N/A</v>
      </c>
      <c r="T790" s="646" t="str">
        <f aca="false">IFERROR(_xll.tr(MO.Ticker.Thomson,"MAX(TR.Pricehigh)","sdate:#1 edate:#2",,INDEX(MO_SNA_FPStartDate,0,COLUMN()),INDEX(MO_Common_QEndDate,0,COLUMN())),"N/A")</f>
        <v>N/A</v>
      </c>
      <c r="U790" s="646" t="str">
        <f aca="false">IFERROR(_xll.tr(MO.Ticker.Thomson,"MAX(TR.Pricehigh)","sdate:#1 edate:#2",,INDEX(MO_SNA_FPStartDate,0,COLUMN()),INDEX(MO_Common_QEndDate,0,COLUMN())),"N/A")</f>
        <v>N/A</v>
      </c>
      <c r="V790" s="646" t="str">
        <f aca="false">IFERROR(_xll.tr(MO.Ticker.Thomson,"MAX(TR.Pricehigh)","sdate:#1 edate:#2",,INDEX(MO_SNA_FPStartDate,0,COLUMN()),INDEX(MO_Common_QEndDate,0,COLUMN())),"N/A")</f>
        <v>N/A</v>
      </c>
      <c r="W790" s="646" t="str">
        <f aca="false">IFERROR(_xll.tr(MO.Ticker.Thomson,"MAX(TR.Pricehigh)","sdate:#1 edate:#2",,INDEX(MO_SNA_FPStartDate,0,COLUMN()),INDEX(MO_Common_QEndDate,0,COLUMN())),"N/A")</f>
        <v>N/A</v>
      </c>
      <c r="X790" s="646" t="str">
        <f aca="false">IFERROR(_xll.tr(MO.Ticker.Thomson,"MAX(TR.Pricehigh)","sdate:#1 edate:#2",,INDEX(MO_SNA_FPStartDate,0,COLUMN()),INDEX(MO_Common_QEndDate,0,COLUMN())),"N/A")</f>
        <v>N/A</v>
      </c>
      <c r="Y790" s="646" t="str">
        <f aca="false">IFERROR(_xll.tr(MO.Ticker.Thomson,"MAX(TR.Pricehigh)","sdate:#1 edate:#2",,INDEX(MO_SNA_FPStartDate,0,COLUMN()),INDEX(MO_Common_QEndDate,0,COLUMN())),"N/A")</f>
        <v>N/A</v>
      </c>
      <c r="Z790" s="646" t="str">
        <f aca="false">IFERROR(_xll.tr(MO.Ticker.Thomson,"MAX(TR.Pricehigh)","sdate:#1 edate:#2",,INDEX(MO_SNA_FPStartDate,0,COLUMN()),INDEX(MO_Common_QEndDate,0,COLUMN())),"N/A")</f>
        <v>N/A</v>
      </c>
      <c r="AA790" s="646" t="str">
        <f aca="false">IFERROR(_xll.tr(MO.Ticker.Thomson,"MAX(TR.Pricehigh)","sdate:#1 edate:#2",,INDEX(MO_SNA_FPStartDate,0,COLUMN()),INDEX(MO_Common_QEndDate,0,COLUMN())),"N/A")</f>
        <v>N/A</v>
      </c>
      <c r="AB790" s="646" t="str">
        <f aca="false">IFERROR(_xll.tr(MO.Ticker.Thomson,"MAX(TR.Pricehigh)","sdate:#1 edate:#2",,INDEX(MO_SNA_FPStartDate,0,COLUMN()),INDEX(MO_Common_QEndDate,0,COLUMN())),"N/A")</f>
        <v>N/A</v>
      </c>
      <c r="AC790" s="646" t="str">
        <f aca="false">IFERROR(_xll.tr(MO.Ticker.Thomson,"MAX(TR.Pricehigh)","sdate:#1 edate:#2",,INDEX(MO_SNA_FPStartDate,0,COLUMN()),INDEX(MO_Common_QEndDate,0,COLUMN())),"N/A")</f>
        <v>N/A</v>
      </c>
      <c r="AD790" s="646" t="str">
        <f aca="false">IFERROR(_xll.tr(MO.Ticker.Thomson,"MAX(TR.Pricehigh)","sdate:#1 edate:#2",,INDEX(MO_SNA_FPStartDate,0,COLUMN()),INDEX(MO_Common_QEndDate,0,COLUMN())),"N/A")</f>
        <v>N/A</v>
      </c>
      <c r="AE790" s="646" t="str">
        <f aca="false">IFERROR(_xll.tr(MO.Ticker.Thomson,"MAX(TR.Pricehigh)","sdate:#1 edate:#2",,INDEX(MO_SNA_FPStartDate,0,COLUMN()),INDEX(MO_Common_QEndDate,0,COLUMN())),"N/A")</f>
        <v>N/A</v>
      </c>
      <c r="AF790" s="646" t="str">
        <f aca="false">IFERROR(_xll.tr(MO.Ticker.Thomson,"MAX(TR.Pricehigh)","sdate:#1 edate:#2",,INDEX(MO_SNA_FPStartDate,0,COLUMN()),INDEX(MO_Common_QEndDate,0,COLUMN())),"N/A")</f>
        <v>N/A</v>
      </c>
      <c r="AG790" s="646" t="str">
        <f aca="false">IFERROR(_xll.tr(MO.Ticker.Thomson,"MAX(TR.Pricehigh)","sdate:#1 edate:#2",,INDEX(MO_SNA_FPStartDate,0,COLUMN()),INDEX(MO_Common_QEndDate,0,COLUMN())),"N/A")</f>
        <v>N/A</v>
      </c>
      <c r="AH790" s="646" t="str">
        <f aca="false">IFERROR(_xll.tr(MO.Ticker.Thomson,"MAX(TR.Pricehigh)","sdate:#1 edate:#2",,INDEX(MO_SNA_FPStartDate,0,COLUMN()),INDEX(MO_Common_QEndDate,0,COLUMN())),"N/A")</f>
        <v>N/A</v>
      </c>
      <c r="AI790" s="646" t="str">
        <f aca="false">IFERROR(_xll.tr(MO.Ticker.Thomson,"MAX(TR.Pricehigh)","sdate:#1 edate:#2",,INDEX(MO_SNA_FPStartDate,0,COLUMN()),INDEX(MO_Common_QEndDate,0,COLUMN())),"N/A")</f>
        <v>N/A</v>
      </c>
      <c r="AJ790" s="646" t="str">
        <f aca="false">IFERROR(_xll.tr(MO.Ticker.Thomson,"MAX(TR.Pricehigh)","sdate:#1 edate:#2",,INDEX(MO_SNA_FPStartDate,0,COLUMN()),INDEX(MO_Common_QEndDate,0,COLUMN())),"N/A")</f>
        <v>N/A</v>
      </c>
      <c r="AK790" s="646" t="str">
        <f aca="false">IFERROR(_xll.tr(MO.Ticker.Thomson,"MAX(TR.Pricehigh)","sdate:#1 edate:#2",,INDEX(MO_SNA_FPStartDate,0,COLUMN()),INDEX(MO_Common_QEndDate,0,COLUMN())),"N/A")</f>
        <v>N/A</v>
      </c>
      <c r="AL790" s="646" t="str">
        <f aca="false">IFERROR(_xll.tr(MO.Ticker.Thomson,"MAX(TR.Pricehigh)","sdate:#1 edate:#2",,INDEX(MO_SNA_FPStartDate,0,COLUMN()),INDEX(MO_Common_QEndDate,0,COLUMN())),"N/A")</f>
        <v>N/A</v>
      </c>
      <c r="AM790" s="646" t="str">
        <f aca="false">IFERROR(_xll.tr(MO.Ticker.Thomson,"MAX(TR.Pricehigh)","sdate:#1 edate:#2",,INDEX(MO_SNA_FPStartDate,0,COLUMN()),INDEX(MO_Common_QEndDate,0,COLUMN())),"N/A")</f>
        <v>N/A</v>
      </c>
      <c r="AN790" s="646" t="str">
        <f aca="false">IFERROR(_xll.tr(MO.Ticker.Thomson,"MAX(TR.Pricehigh)","sdate:#1 edate:#2",,INDEX(MO_SNA_FPStartDate,0,COLUMN()),INDEX(MO_Common_QEndDate,0,COLUMN())),"N/A")</f>
        <v>N/A</v>
      </c>
      <c r="AO790" s="646" t="str">
        <f aca="false">IFERROR(_xll.tr(MO.Ticker.Thomson,"MAX(TR.Pricehigh)","sdate:#1 edate:#2",,INDEX(MO_SNA_FPStartDate,0,COLUMN()),INDEX(MO_Common_QEndDate,0,COLUMN())),"N/A")</f>
        <v>N/A</v>
      </c>
      <c r="AP790" s="646" t="str">
        <f aca="false">IFERROR(_xll.tr(MO.Ticker.Thomson,"MAX(TR.Pricehigh)","sdate:#1 edate:#2",,INDEX(MO_SNA_FPStartDate,0,COLUMN()),INDEX(MO_Common_QEndDate,0,COLUMN())),"N/A")</f>
        <v>N/A</v>
      </c>
      <c r="AQ790" s="646" t="str">
        <f aca="false">IFERROR(_xll.tr(MO.Ticker.Thomson,"MAX(TR.Pricehigh)","sdate:#1 edate:#2",,INDEX(MO_SNA_FPStartDate,0,COLUMN()),INDEX(MO_Common_QEndDate,0,COLUMN())),"N/A")</f>
        <v>N/A</v>
      </c>
      <c r="AR790" s="646" t="str">
        <f aca="false">IFERROR(_xll.tr(MO.Ticker.Thomson,"MAX(TR.Pricehigh)","sdate:#1 edate:#2",,INDEX(MO_SNA_FPStartDate,0,COLUMN()),INDEX(MO_Common_QEndDate,0,COLUMN())),"N/A")</f>
        <v>N/A</v>
      </c>
      <c r="AS790" s="646" t="str">
        <f aca="false">IFERROR(_xll.tr(MO.Ticker.Thomson,"MAX(TR.Pricehigh)","sdate:#1 edate:#2",,INDEX(MO_SNA_FPStartDate,0,COLUMN()),INDEX(MO_Common_QEndDate,0,COLUMN())),"N/A")</f>
        <v>N/A</v>
      </c>
      <c r="AT790" s="646" t="str">
        <f aca="false">IFERROR(_xll.tr(MO.Ticker.Thomson,"MAX(TR.Pricehigh)","sdate:#1 edate:#2",,INDEX(MO_SNA_FPStartDate,0,COLUMN()),INDEX(MO_Common_QEndDate,0,COLUMN())),"N/A")</f>
        <v>N/A</v>
      </c>
      <c r="AU790" s="646" t="str">
        <f aca="false">IFERROR(_xll.tr(MO.Ticker.Thomson,"MAX(TR.Pricehigh)","sdate:#1 edate:#2",,INDEX(MO_SNA_FPStartDate,0,COLUMN()),INDEX(MO_Common_QEndDate,0,COLUMN())),"N/A")</f>
        <v>N/A</v>
      </c>
      <c r="AV790" s="646" t="str">
        <f aca="false">IFERROR(_xll.tr(MO.Ticker.Thomson,"MAX(TR.Pricehigh)","sdate:#1 edate:#2",,INDEX(MO_SNA_FPStartDate,0,COLUMN()),INDEX(MO_Common_QEndDate,0,COLUMN())),"N/A")</f>
        <v>N/A</v>
      </c>
      <c r="AW790" s="646" t="str">
        <f aca="false">IFERROR(_xll.tr(MO.Ticker.Thomson,"MAX(TR.Pricehigh)","sdate:#1 edate:#2",,INDEX(MO_SNA_FPStartDate,0,COLUMN()),INDEX(MO_Common_QEndDate,0,COLUMN())),"N/A")</f>
        <v>N/A</v>
      </c>
      <c r="AX790" s="646" t="str">
        <f aca="false">IFERROR(_xll.tr(MO.Ticker.Thomson,"MAX(TR.Pricehigh)","sdate:#1 edate:#2",,INDEX(MO_SNA_FPStartDate,0,COLUMN()),INDEX(MO_Common_QEndDate,0,COLUMN())),"N/A")</f>
        <v>N/A</v>
      </c>
      <c r="AY790" s="646" t="str">
        <f aca="false">IFERROR(_xll.tr(MO.Ticker.Thomson,"MAX(TR.Pricehigh)","sdate:#1 edate:#2",,INDEX(MO_SNA_FPStartDate,0,COLUMN()),INDEX(MO_Common_QEndDate,0,COLUMN())),"N/A")</f>
        <v>N/A</v>
      </c>
      <c r="AZ790" s="646" t="str">
        <f aca="false">IFERROR(_xll.tr(MO.Ticker.Thomson,"MAX(TR.Pricehigh)","sdate:#1 edate:#2",,INDEX(MO_SNA_FPStartDate,0,COLUMN()),INDEX(MO_Common_QEndDate,0,COLUMN())),"N/A")</f>
        <v>N/A</v>
      </c>
      <c r="BA790" s="646" t="str">
        <f aca="false">IFERROR(_xll.tr(MO.Ticker.Thomson,"MAX(TR.Pricehigh)","sdate:#1 edate:#2",,INDEX(MO_SNA_FPStartDate,0,COLUMN()),INDEX(MO_Common_QEndDate,0,COLUMN())),"N/A")</f>
        <v>N/A</v>
      </c>
      <c r="BB790" s="646" t="str">
        <f aca="false">IFERROR(_xll.tr(MO.Ticker.Thomson,"MAX(TR.Pricehigh)","sdate:#1 edate:#2",,INDEX(MO_SNA_FPStartDate,0,COLUMN()),INDEX(MO_Common_QEndDate,0,COLUMN())),"N/A")</f>
        <v>N/A</v>
      </c>
      <c r="BC790" s="646" t="str">
        <f aca="false">IFERROR(_xll.tr(MO.Ticker.Thomson,"MAX(TR.Pricehigh)","sdate:#1 edate:#2",,INDEX(MO_SNA_FPStartDate,0,COLUMN()),INDEX(MO_Common_QEndDate,0,COLUMN())),"N/A")</f>
        <v>N/A</v>
      </c>
      <c r="BD790" s="646" t="str">
        <f aca="false">IFERROR(_xll.tr(MO.Ticker.Thomson,"MAX(TR.Pricehigh)","sdate:#1 edate:#2",,INDEX(MO_SNA_FPStartDate,0,COLUMN()),INDEX(MO_Common_QEndDate,0,COLUMN())),"N/A")</f>
        <v>N/A</v>
      </c>
      <c r="BE790" s="646" t="str">
        <f aca="false">IFERROR(_xll.tr(MO.Ticker.Thomson,"MAX(TR.Pricehigh)","sdate:#1 edate:#2",,INDEX(MO_SNA_FPStartDate,0,COLUMN()),INDEX(MO_Common_QEndDate,0,COLUMN())),"N/A")</f>
        <v>N/A</v>
      </c>
      <c r="BF790" s="646" t="str">
        <f aca="false">IFERROR(_xll.tr(MO.Ticker.Thomson,"MAX(TR.Pricehigh)","sdate:#1 edate:#2",,INDEX(MO_SNA_FPStartDate,0,COLUMN()),INDEX(MO_Common_QEndDate,0,COLUMN())),"N/A")</f>
        <v>N/A</v>
      </c>
      <c r="BG790" s="646" t="str">
        <f aca="false">IFERROR(_xll.tr(MO.Ticker.Thomson,"MAX(TR.Pricehigh)","sdate:#1 edate:#2",,INDEX(MO_SNA_FPStartDate,0,COLUMN()),INDEX(MO_Common_QEndDate,0,COLUMN())),"N/A")</f>
        <v>N/A</v>
      </c>
      <c r="BH790" s="646" t="str">
        <f aca="false">IFERROR(_xll.tr(MO.Ticker.Thomson,"MAX(TR.Pricehigh)","sdate:#1 edate:#2",,INDEX(MO_SNA_FPStartDate,0,COLUMN()),INDEX(MO_Common_QEndDate,0,COLUMN())),"N/A")</f>
        <v>N/A</v>
      </c>
      <c r="BI790" s="646" t="str">
        <f aca="false">IFERROR(_xll.tr(MO.Ticker.Thomson,"MAX(TR.Pricehigh)","sdate:#1 edate:#2",,INDEX(MO_SNA_FPStartDate,0,COLUMN()),INDEX(MO_Common_QEndDate,0,COLUMN())),"N/A")</f>
        <v>N/A</v>
      </c>
      <c r="BJ790" s="646" t="str">
        <f aca="false">IFERROR(_xll.tr(MO.Ticker.Thomson,"MAX(TR.Pricehigh)","sdate:#1 edate:#2",,INDEX(MO_SNA_FPStartDate,0,COLUMN()),INDEX(MO_Common_QEndDate,0,COLUMN())),"N/A")</f>
        <v>N/A</v>
      </c>
      <c r="BK790" s="646" t="str">
        <f aca="false">IFERROR(_xll.tr(MO.Ticker.Thomson,"MAX(TR.Pricehigh)","sdate:#1 edate:#2",,INDEX(MO_SNA_FPStartDate,0,COLUMN()),INDEX(MO_Common_QEndDate,0,COLUMN())),"N/A")</f>
        <v>N/A</v>
      </c>
      <c r="BL790" s="646" t="str">
        <f aca="false">IFERROR(_xll.tr(MO.Ticker.Thomson,"MAX(TR.Pricehigh)","sdate:#1 edate:#2",,INDEX(MO_SNA_FPStartDate,0,COLUMN()),INDEX(MO_Common_QEndDate,0,COLUMN())),"N/A")</f>
        <v>N/A</v>
      </c>
      <c r="BM790" s="646" t="str">
        <f aca="false">IFERROR(_xll.tr(MO.Ticker.Thomson,"MAX(TR.Pricehigh)","sdate:#1 edate:#2",,INDEX(MO_SNA_FPStartDate,0,COLUMN()),INDEX(MO_Common_QEndDate,0,COLUMN())),"N/A")</f>
        <v>N/A</v>
      </c>
      <c r="BN790" s="646" t="str">
        <f aca="false">IFERROR(_xll.tr(MO.Ticker.Thomson,"MAX(TR.Pricehigh)","sdate:#1 edate:#2",,INDEX(MO_SNA_FPStartDate,0,COLUMN()),INDEX(MO_Common_QEndDate,0,COLUMN())),"N/A")</f>
        <v>N/A</v>
      </c>
      <c r="BO790" s="647" t="str">
        <f aca="false">IFERROR(_xll.tr(MO.Ticker.Thomson,"MAX(TR.Pricehigh)","sdate:#1 edate:#2",,INDEX(MO_SNA_FPStartDate,0,COLUMN()),INDEX(MO_Common_QEndDate,0,COLUMN())),"N/A")</f>
        <v>N/A</v>
      </c>
      <c r="BP790" s="646" t="str">
        <f aca="false">IFERROR(_xll.tr(MO.Ticker.Thomson,"MAX(TR.Pricehigh)","sdate:#1 edate:#2",,INDEX(MO_SNA_FPStartDate,0,COLUMN()),INDEX(MO_Common_QEndDate,0,COLUMN())),"N/A")</f>
        <v>N/A</v>
      </c>
      <c r="BQ790" s="646" t="str">
        <f aca="false">IFERROR(_xll.tr(MO.Ticker.Thomson,"MAX(TR.Pricehigh)","sdate:#1 edate:#2",,INDEX(MO_SNA_FPStartDate,0,COLUMN()),INDEX(MO_Common_QEndDate,0,COLUMN())),"N/A")</f>
        <v>N/A</v>
      </c>
      <c r="BR790" s="646" t="str">
        <f aca="false">IFERROR(_xll.tr(MO.Ticker.Thomson,"MAX(TR.Pricehigh)","sdate:#1 edate:#2",,INDEX(MO_SNA_FPStartDate,0,COLUMN()),INDEX(MO_Common_QEndDate,0,COLUMN())),"N/A")</f>
        <v>N/A</v>
      </c>
      <c r="BS790" s="646" t="str">
        <f aca="false">IFERROR(_xll.tr(MO.Ticker.Thomson,"MAX(TR.Pricehigh)","sdate:#1 edate:#2",,INDEX(MO_SNA_FPStartDate,0,COLUMN()),INDEX(MO_Common_QEndDate,0,COLUMN())),"N/A")</f>
        <v>N/A</v>
      </c>
      <c r="BT790" s="646" t="str">
        <f aca="false">IFERROR(_xll.tr(MO.Ticker.Thomson,"MAX(TR.Pricehigh)","sdate:#1 edate:#2",,INDEX(MO_SNA_FPStartDate,0,COLUMN()),INDEX(MO_Common_QEndDate,0,COLUMN())),"N/A")</f>
        <v>N/A</v>
      </c>
      <c r="BU790" s="646" t="str">
        <f aca="false">IFERROR(_xll.tr(MO.Ticker.Thomson,"MAX(TR.Pricehigh)","sdate:#1 edate:#2",,INDEX(MO_SNA_FPStartDate,0,COLUMN()),INDEX(MO_Common_QEndDate,0,COLUMN())),"N/A")</f>
        <v>N/A</v>
      </c>
      <c r="BV790" s="646" t="str">
        <f aca="false">IFERROR(_xll.tr(MO.Ticker.Thomson,"MAX(TR.Pricehigh)","sdate:#1 edate:#2",,INDEX(MO_SNA_FPStartDate,0,COLUMN()),INDEX(MO_Common_QEndDate,0,COLUMN())),"N/A")</f>
        <v>N/A</v>
      </c>
      <c r="BW790" s="646" t="str">
        <f aca="false">IFERROR(_xll.tr(MO.Ticker.Thomson,"MAX(TR.Pricehigh)","sdate:#1 edate:#2",,INDEX(MO_SNA_FPStartDate,0,COLUMN()),INDEX(MO_Common_QEndDate,0,COLUMN())),"N/A")</f>
        <v>N/A</v>
      </c>
      <c r="BX790" s="646" t="str">
        <f aca="false">IFERROR(_xll.tr(MO.Ticker.Thomson,"MAX(TR.Pricehigh)","sdate:#1 edate:#2",,INDEX(MO_SNA_FPStartDate,0,COLUMN()),INDEX(MO_Common_QEndDate,0,COLUMN())),"N/A")</f>
        <v>N/A</v>
      </c>
      <c r="BY790" s="646" t="str">
        <f aca="false">IFERROR(_xll.tr(MO.Ticker.Thomson,"MAX(TR.Pricehigh)","sdate:#1 edate:#2",,INDEX(MO_SNA_FPStartDate,0,COLUMN()),INDEX(MO_Common_QEndDate,0,COLUMN())),"N/A")</f>
        <v>N/A</v>
      </c>
      <c r="BZ790" s="646" t="str">
        <f aca="false">IFERROR(_xll.tr(MO.Ticker.Thomson,"MAX(TR.Pricehigh)","sdate:#1 edate:#2",,INDEX(MO_SNA_FPStartDate,0,COLUMN()),INDEX(MO_Common_QEndDate,0,COLUMN())),"N/A")</f>
        <v>N/A</v>
      </c>
      <c r="CA790" s="646" t="str">
        <f aca="false">IFERROR(_xll.tr(MO.Ticker.Thomson,"MAX(TR.Pricehigh)","sdate:#1 edate:#2",,INDEX(MO_SNA_FPStartDate,0,COLUMN()),INDEX(MO_Common_QEndDate,0,COLUMN())),"N/A")</f>
        <v>N/A</v>
      </c>
      <c r="CB790" s="648" t="str">
        <f aca="false">IFERROR(_xll.tr(MO.Ticker.Thomson,"MAX(TR.Pricehigh)","sdate:#1 edate:#2",,INDEX(MO_SNA_FPStartDate,0,COLUMN()),INDEX(MO_Common_QEndDate,0,COLUMN())),"N/A")</f>
        <v>N/A</v>
      </c>
      <c r="CC790" s="649"/>
    </row>
    <row r="791" s="46" customFormat="true" ht="15" hidden="true" customHeight="true" outlineLevel="1" collapsed="false">
      <c r="A791" s="645"/>
      <c r="B791" s="646"/>
      <c r="C791" s="646"/>
      <c r="D791" s="646"/>
      <c r="E791" s="646"/>
      <c r="F791" s="646"/>
      <c r="G791" s="646"/>
      <c r="H791" s="646"/>
      <c r="I791" s="646"/>
      <c r="J791" s="646"/>
      <c r="K791" s="646"/>
      <c r="L791" s="646"/>
      <c r="M791" s="646"/>
      <c r="N791" s="646"/>
      <c r="O791" s="646"/>
      <c r="P791" s="646"/>
      <c r="Q791" s="646"/>
      <c r="R791" s="646"/>
      <c r="S791" s="646"/>
      <c r="T791" s="646"/>
      <c r="U791" s="646"/>
      <c r="V791" s="646"/>
      <c r="W791" s="646"/>
      <c r="X791" s="646"/>
      <c r="Y791" s="646"/>
      <c r="Z791" s="646"/>
      <c r="AA791" s="646"/>
      <c r="AB791" s="646"/>
      <c r="AC791" s="646"/>
      <c r="AD791" s="646"/>
      <c r="AE791" s="646"/>
      <c r="AF791" s="646"/>
      <c r="AG791" s="646"/>
      <c r="AH791" s="646"/>
      <c r="AI791" s="646"/>
      <c r="AJ791" s="646"/>
      <c r="AK791" s="646"/>
      <c r="AL791" s="646"/>
      <c r="AM791" s="646"/>
      <c r="AN791" s="646"/>
      <c r="AO791" s="646"/>
      <c r="AP791" s="646"/>
      <c r="AQ791" s="646"/>
      <c r="AR791" s="646"/>
      <c r="AS791" s="646"/>
      <c r="AT791" s="646"/>
      <c r="AU791" s="646"/>
      <c r="AV791" s="646"/>
      <c r="AW791" s="646"/>
      <c r="AX791" s="646"/>
      <c r="AY791" s="646"/>
      <c r="AZ791" s="646"/>
      <c r="BA791" s="646"/>
      <c r="BB791" s="646"/>
      <c r="BC791" s="646"/>
      <c r="BD791" s="646"/>
      <c r="BE791" s="646"/>
      <c r="BF791" s="646"/>
      <c r="BG791" s="646"/>
      <c r="BH791" s="646"/>
      <c r="BI791" s="646"/>
      <c r="BJ791" s="646"/>
      <c r="BK791" s="646"/>
      <c r="BL791" s="646"/>
      <c r="BM791" s="646"/>
      <c r="BN791" s="646"/>
      <c r="BO791" s="647"/>
      <c r="BP791" s="646"/>
      <c r="BQ791" s="646"/>
      <c r="BR791" s="646"/>
      <c r="BS791" s="646"/>
      <c r="BT791" s="646"/>
      <c r="BU791" s="646"/>
      <c r="BV791" s="646"/>
      <c r="BW791" s="646"/>
      <c r="BX791" s="646"/>
      <c r="BY791" s="646"/>
      <c r="BZ791" s="646"/>
      <c r="CA791" s="646"/>
      <c r="CB791" s="648"/>
      <c r="CC791" s="649"/>
    </row>
    <row r="792" s="46" customFormat="true" ht="15" hidden="false" customHeight="true" outlineLevel="0" collapsed="false">
      <c r="A792" s="645" t="str">
        <f aca="false">"Stock Low: "&amp;IF(OR(MO.RealTimeStockPriceToggle=FALSE(),VLOOKUP(MO.DataSourceName,MO_SPT_StockLow_Sources,COLUMN()+2,FALSE())="N/A"),"Real-Time Off Source",MO.DataSourceName)</f>
        <v>Stock Low: Real-Time Off Source</v>
      </c>
      <c r="B792" s="646"/>
      <c r="C792" s="646" t="n">
        <f aca="false">IF(OR(MO.RealTimeStockPriceToggle=FALSE(),VLOOKUP(MO.DataSourceName,MO_SPT_StockLow_Sources,COLUMN(),FALSE())="N/A"),VLOOKUP("Real-Time Off Source",MO_SPT_StockLow_Sources,COLUMN(),FALSE()),VLOOKUP(MO.DataSourceName,MO_SPT_StockLow_Sources,COLUMN(),FALSE()))</f>
        <v>11.618601289</v>
      </c>
      <c r="D792" s="646" t="n">
        <f aca="false">IF(OR(MO.RealTimeStockPriceToggle=FALSE(),VLOOKUP(MO.DataSourceName,MO_SPT_StockLow_Sources,COLUMN(),FALSE())="N/A"),VLOOKUP("Real-Time Off Source",MO_SPT_StockLow_Sources,COLUMN(),FALSE()),VLOOKUP(MO.DataSourceName,MO_SPT_StockLow_Sources,COLUMN(),FALSE()))</f>
        <v>19.947070477</v>
      </c>
      <c r="E792" s="646" t="n">
        <f aca="false">IF(OR(MO.RealTimeStockPriceToggle=FALSE(),VLOOKUP(MO.DataSourceName,MO_SPT_StockLow_Sources,COLUMN(),FALSE())="N/A"),VLOOKUP("Real-Time Off Source",MO_SPT_StockLow_Sources,COLUMN(),FALSE()),VLOOKUP(MO.DataSourceName,MO_SPT_StockLow_Sources,COLUMN(),FALSE()))</f>
        <v>21.886082499</v>
      </c>
      <c r="F792" s="646" t="n">
        <f aca="false">IF(OR(MO.RealTimeStockPriceToggle=FALSE(),VLOOKUP(MO.DataSourceName,MO_SPT_StockLow_Sources,COLUMN(),FALSE())="N/A"),VLOOKUP("Real-Time Off Source",MO_SPT_StockLow_Sources,COLUMN(),FALSE()),VLOOKUP(MO.DataSourceName,MO_SPT_StockLow_Sources,COLUMN(),FALSE()))</f>
        <v>32.725984811</v>
      </c>
      <c r="G792" s="646" t="n">
        <f aca="false">IF(OR(MO.RealTimeStockPriceToggle=FALSE(),VLOOKUP(MO.DataSourceName,MO_SPT_StockLow_Sources,COLUMN(),FALSE())="N/A"),VLOOKUP("Real-Time Off Source",MO_SPT_StockLow_Sources,COLUMN(),FALSE()),VLOOKUP(MO.DataSourceName,MO_SPT_StockLow_Sources,COLUMN(),FALSE()))</f>
        <v>45.68</v>
      </c>
      <c r="H792" s="646" t="n">
        <f aca="false">IF(OR(MO.RealTimeStockPriceToggle=FALSE(),VLOOKUP(MO.DataSourceName,MO_SPT_StockLow_Sources,COLUMN(),FALSE())="N/A"),VLOOKUP("Real-Time Off Source",MO_SPT_StockLow_Sources,COLUMN(),FALSE()),VLOOKUP(MO.DataSourceName,MO_SPT_StockLow_Sources,COLUMN(),FALSE()))</f>
        <v>61.09</v>
      </c>
      <c r="I792" s="646" t="n">
        <f aca="false">IF(OR(MO.RealTimeStockPriceToggle=FALSE(),VLOOKUP(MO.DataSourceName,MO_SPT_StockLow_Sources,COLUMN(),FALSE())="N/A"),VLOOKUP("Real-Time Off Source",MO_SPT_StockLow_Sources,COLUMN(),FALSE()),VLOOKUP(MO.DataSourceName,MO_SPT_StockLow_Sources,COLUMN(),FALSE()))</f>
        <v>57.51</v>
      </c>
      <c r="J792" s="646" t="n">
        <f aca="false">IF(OR(MO.RealTimeStockPriceToggle=FALSE(),VLOOKUP(MO.DataSourceName,MO_SPT_StockLow_Sources,COLUMN(),FALSE())="N/A"),VLOOKUP("Real-Time Off Source",MO_SPT_StockLow_Sources,COLUMN(),FALSE()),VLOOKUP(MO.DataSourceName,MO_SPT_StockLow_Sources,COLUMN(),FALSE()))</f>
        <v>61.58</v>
      </c>
      <c r="K792" s="646" t="n">
        <f aca="false">IF(OR(MO.RealTimeStockPriceToggle=FALSE(),VLOOKUP(MO.DataSourceName,MO_SPT_StockLow_Sources,COLUMN(),FALSE())="N/A"),VLOOKUP("Real-Time Off Source",MO_SPT_StockLow_Sources,COLUMN(),FALSE()),VLOOKUP(MO.DataSourceName,MO_SPT_StockLow_Sources,COLUMN(),FALSE()))</f>
        <v>68.29</v>
      </c>
      <c r="L792" s="646" t="n">
        <f aca="false">IF(OR(MO.RealTimeStockPriceToggle=FALSE(),VLOOKUP(MO.DataSourceName,MO_SPT_StockLow_Sources,COLUMN(),FALSE())="N/A"),VLOOKUP("Real-Time Off Source",MO_SPT_StockLow_Sources,COLUMN(),FALSE()),VLOOKUP(MO.DataSourceName,MO_SPT_StockLow_Sources,COLUMN(),FALSE()))</f>
        <v>57.51</v>
      </c>
      <c r="M792" s="646" t="n">
        <f aca="false">IF(OR(MO.RealTimeStockPriceToggle=FALSE(),VLOOKUP(MO.DataSourceName,MO_SPT_StockLow_Sources,COLUMN(),FALSE())="N/A"),VLOOKUP("Real-Time Off Source",MO_SPT_StockLow_Sources,COLUMN(),FALSE()),VLOOKUP(MO.DataSourceName,MO_SPT_StockLow_Sources,COLUMN(),FALSE()))</f>
        <v>84.67</v>
      </c>
      <c r="N792" s="646" t="n">
        <f aca="false">IF(OR(MO.RealTimeStockPriceToggle=FALSE(),VLOOKUP(MO.DataSourceName,MO_SPT_StockLow_Sources,COLUMN(),FALSE())="N/A"),VLOOKUP("Real-Time Off Source",MO_SPT_StockLow_Sources,COLUMN(),FALSE()),VLOOKUP(MO.DataSourceName,MO_SPT_StockLow_Sources,COLUMN(),FALSE()))</f>
        <v>86.94</v>
      </c>
      <c r="O792" s="646" t="n">
        <f aca="false">IF(OR(MO.RealTimeStockPriceToggle=FALSE(),VLOOKUP(MO.DataSourceName,MO_SPT_StockLow_Sources,COLUMN(),FALSE())="N/A"),VLOOKUP("Real-Time Off Source",MO_SPT_StockLow_Sources,COLUMN(),FALSE()),VLOOKUP(MO.DataSourceName,MO_SPT_StockLow_Sources,COLUMN(),FALSE()))</f>
        <v>70.25</v>
      </c>
      <c r="P792" s="646" t="n">
        <f aca="false">IF(OR(MO.RealTimeStockPriceToggle=FALSE(),VLOOKUP(MO.DataSourceName,MO_SPT_StockLow_Sources,COLUMN(),FALSE())="N/A"),VLOOKUP("Real-Time Off Source",MO_SPT_StockLow_Sources,COLUMN(),FALSE()),VLOOKUP(MO.DataSourceName,MO_SPT_StockLow_Sources,COLUMN(),FALSE()))</f>
        <v>72.16</v>
      </c>
      <c r="Q792" s="646" t="n">
        <f aca="false">IF(OR(MO.RealTimeStockPriceToggle=FALSE(),VLOOKUP(MO.DataSourceName,MO_SPT_StockLow_Sources,COLUMN(),FALSE())="N/A"),VLOOKUP("Real-Time Off Source",MO_SPT_StockLow_Sources,COLUMN(),FALSE()),VLOOKUP(MO.DataSourceName,MO_SPT_StockLow_Sources,COLUMN(),FALSE()))</f>
        <v>70.25</v>
      </c>
      <c r="R792" s="646" t="n">
        <f aca="false">IF(OR(MO.RealTimeStockPriceToggle=FALSE(),VLOOKUP(MO.DataSourceName,MO_SPT_StockLow_Sources,COLUMN(),FALSE())="N/A"),VLOOKUP("Real-Time Off Source",MO_SPT_StockLow_Sources,COLUMN(),FALSE()),VLOOKUP(MO.DataSourceName,MO_SPT_StockLow_Sources,COLUMN(),FALSE()))</f>
        <v>70.54</v>
      </c>
      <c r="S792" s="646" t="n">
        <f aca="false">IF(OR(MO.RealTimeStockPriceToggle=FALSE(),VLOOKUP(MO.DataSourceName,MO_SPT_StockLow_Sources,COLUMN(),FALSE())="N/A"),VLOOKUP("Real-Time Off Source",MO_SPT_StockLow_Sources,COLUMN(),FALSE()),VLOOKUP(MO.DataSourceName,MO_SPT_StockLow_Sources,COLUMN(),FALSE()))</f>
        <v>79.38</v>
      </c>
      <c r="T792" s="646" t="n">
        <f aca="false">IF(OR(MO.RealTimeStockPriceToggle=FALSE(),VLOOKUP(MO.DataSourceName,MO_SPT_StockLow_Sources,COLUMN(),FALSE())="N/A"),VLOOKUP("Real-Time Off Source",MO_SPT_StockLow_Sources,COLUMN(),FALSE()),VLOOKUP(MO.DataSourceName,MO_SPT_StockLow_Sources,COLUMN(),FALSE()))</f>
        <v>83.54</v>
      </c>
      <c r="U792" s="646" t="n">
        <f aca="false">IF(OR(MO.RealTimeStockPriceToggle=FALSE(),VLOOKUP(MO.DataSourceName,MO_SPT_StockLow_Sources,COLUMN(),FALSE())="N/A"),VLOOKUP("Real-Time Off Source",MO_SPT_StockLow_Sources,COLUMN(),FALSE()),VLOOKUP(MO.DataSourceName,MO_SPT_StockLow_Sources,COLUMN(),FALSE()))</f>
        <v>90.5</v>
      </c>
      <c r="V792" s="646" t="n">
        <f aca="false">IF(OR(MO.RealTimeStockPriceToggle=FALSE(),VLOOKUP(MO.DataSourceName,MO_SPT_StockLow_Sources,COLUMN(),FALSE())="N/A"),VLOOKUP("Real-Time Off Source",MO_SPT_StockLow_Sources,COLUMN(),FALSE()),VLOOKUP(MO.DataSourceName,MO_SPT_StockLow_Sources,COLUMN(),FALSE()))</f>
        <v>70.54</v>
      </c>
      <c r="W792" s="646" t="n">
        <f aca="false">IF(OR(MO.RealTimeStockPriceToggle=FALSE(),VLOOKUP(MO.DataSourceName,MO_SPT_StockLow_Sources,COLUMN(),FALSE())="N/A"),VLOOKUP("Real-Time Off Source",MO_SPT_StockLow_Sources,COLUMN(),FALSE()),VLOOKUP(MO.DataSourceName,MO_SPT_StockLow_Sources,COLUMN(),FALSE()))</f>
        <v>103.95</v>
      </c>
      <c r="X792" s="646" t="n">
        <f aca="false">IF(OR(MO.RealTimeStockPriceToggle=FALSE(),VLOOKUP(MO.DataSourceName,MO_SPT_StockLow_Sources,COLUMN(),FALSE())="N/A"),VLOOKUP("Real-Time Off Source",MO_SPT_StockLow_Sources,COLUMN(),FALSE()),VLOOKUP(MO.DataSourceName,MO_SPT_StockLow_Sources,COLUMN(),FALSE()))</f>
        <v>112.6</v>
      </c>
      <c r="Y792" s="646" t="n">
        <f aca="false">IF(OR(MO.RealTimeStockPriceToggle=FALSE(),VLOOKUP(MO.DataSourceName,MO_SPT_StockLow_Sources,COLUMN(),FALSE())="N/A"),VLOOKUP("Real-Time Off Source",MO_SPT_StockLow_Sources,COLUMN(),FALSE()),VLOOKUP(MO.DataSourceName,MO_SPT_StockLow_Sources,COLUMN(),FALSE()))</f>
        <v>113.75</v>
      </c>
      <c r="Z792" s="646" t="n">
        <f aca="false">IF(OR(MO.RealTimeStockPriceToggle=FALSE(),VLOOKUP(MO.DataSourceName,MO_SPT_StockLow_Sources,COLUMN(),FALSE())="N/A"),VLOOKUP("Real-Time Off Source",MO_SPT_StockLow_Sources,COLUMN(),FALSE()),VLOOKUP(MO.DataSourceName,MO_SPT_StockLow_Sources,COLUMN(),FALSE()))</f>
        <v>141.5</v>
      </c>
      <c r="AA792" s="646" t="n">
        <f aca="false">IF(OR(MO.RealTimeStockPriceToggle=FALSE(),VLOOKUP(MO.DataSourceName,MO_SPT_StockLow_Sources,COLUMN(),FALSE())="N/A"),VLOOKUP("Real-Time Off Source",MO_SPT_StockLow_Sources,COLUMN(),FALSE()),VLOOKUP(MO.DataSourceName,MO_SPT_StockLow_Sources,COLUMN(),FALSE()))</f>
        <v>103.95</v>
      </c>
      <c r="AB792" s="646" t="n">
        <f aca="false">IF(OR(MO.RealTimeStockPriceToggle=FALSE(),VLOOKUP(MO.DataSourceName,MO_SPT_StockLow_Sources,COLUMN(),FALSE())="N/A"),VLOOKUP("Real-Time Off Source",MO_SPT_StockLow_Sources,COLUMN(),FALSE()),VLOOKUP(MO.DataSourceName,MO_SPT_StockLow_Sources,COLUMN(),FALSE()))</f>
        <v>142.2</v>
      </c>
      <c r="AC792" s="646" t="n">
        <f aca="false">IF(OR(MO.RealTimeStockPriceToggle=FALSE(),VLOOKUP(MO.DataSourceName,MO_SPT_StockLow_Sources,COLUMN(),FALSE())="N/A"),VLOOKUP("Real-Time Off Source",MO_SPT_StockLow_Sources,COLUMN(),FALSE()),VLOOKUP(MO.DataSourceName,MO_SPT_StockLow_Sources,COLUMN(),FALSE()))</f>
        <v>155.5</v>
      </c>
      <c r="AD792" s="646" t="n">
        <f aca="false">IF(OR(MO.RealTimeStockPriceToggle=FALSE(),VLOOKUP(MO.DataSourceName,MO_SPT_StockLow_Sources,COLUMN(),FALSE())="N/A"),VLOOKUP("Real-Time Off Source",MO_SPT_StockLow_Sources,COLUMN(),FALSE()),VLOOKUP(MO.DataSourceName,MO_SPT_StockLow_Sources,COLUMN(),FALSE()))</f>
        <v>148.58</v>
      </c>
      <c r="AE792" s="646" t="n">
        <f aca="false">IF(OR(MO.RealTimeStockPriceToggle=FALSE(),VLOOKUP(MO.DataSourceName,MO_SPT_StockLow_Sources,COLUMN(),FALSE())="N/A"),VLOOKUP("Real-Time Off Source",MO_SPT_StockLow_Sources,COLUMN(),FALSE()),VLOOKUP(MO.DataSourceName,MO_SPT_StockLow_Sources,COLUMN(),FALSE()))</f>
        <v>130.3</v>
      </c>
      <c r="AF792" s="646" t="n">
        <f aca="false">IF(OR(MO.RealTimeStockPriceToggle=FALSE(),VLOOKUP(MO.DataSourceName,MO_SPT_StockLow_Sources,COLUMN(),FALSE())="N/A"),VLOOKUP("Real-Time Off Source",MO_SPT_StockLow_Sources,COLUMN(),FALSE()),VLOOKUP(MO.DataSourceName,MO_SPT_StockLow_Sources,COLUMN(),FALSE()))</f>
        <v>130.3</v>
      </c>
      <c r="AG792" s="646" t="n">
        <f aca="false">IF(OR(MO.RealTimeStockPriceToggle=FALSE(),VLOOKUP(MO.DataSourceName,MO_SPT_StockLow_Sources,COLUMN(),FALSE())="N/A"),VLOOKUP("Real-Time Off Source",MO_SPT_StockLow_Sources,COLUMN(),FALSE()),VLOOKUP(MO.DataSourceName,MO_SPT_StockLow_Sources,COLUMN(),FALSE()))</f>
        <v>130.12</v>
      </c>
      <c r="AH792" s="646" t="n">
        <f aca="false">IF(OR(MO.RealTimeStockPriceToggle=FALSE(),VLOOKUP(MO.DataSourceName,MO_SPT_StockLow_Sources,COLUMN(),FALSE())="N/A"),VLOOKUP("Real-Time Off Source",MO_SPT_StockLow_Sources,COLUMN(),FALSE()),VLOOKUP(MO.DataSourceName,MO_SPT_StockLow_Sources,COLUMN(),FALSE()))</f>
        <v>165.04</v>
      </c>
      <c r="AI792" s="646" t="n">
        <f aca="false">IF(OR(MO.RealTimeStockPriceToggle=FALSE(),VLOOKUP(MO.DataSourceName,MO_SPT_StockLow_Sources,COLUMN(),FALSE())="N/A"),VLOOKUP("Real-Time Off Source",MO_SPT_StockLow_Sources,COLUMN(),FALSE()),VLOOKUP(MO.DataSourceName,MO_SPT_StockLow_Sources,COLUMN(),FALSE()))</f>
        <v>182.14</v>
      </c>
      <c r="AJ792" s="646" t="n">
        <f aca="false">IF(OR(MO.RealTimeStockPriceToggle=FALSE(),VLOOKUP(MO.DataSourceName,MO_SPT_StockLow_Sources,COLUMN(),FALSE())="N/A"),VLOOKUP("Real-Time Off Source",MO_SPT_StockLow_Sources,COLUMN(),FALSE()),VLOOKUP(MO.DataSourceName,MO_SPT_StockLow_Sources,COLUMN(),FALSE()))</f>
        <v>217</v>
      </c>
      <c r="AK792" s="646" t="n">
        <f aca="false">IF(OR(MO.RealTimeStockPriceToggle=FALSE(),VLOOKUP(MO.DataSourceName,MO_SPT_StockLow_Sources,COLUMN(),FALSE())="N/A"),VLOOKUP("Real-Time Off Source",MO_SPT_StockLow_Sources,COLUMN(),FALSE()),VLOOKUP(MO.DataSourceName,MO_SPT_StockLow_Sources,COLUMN(),FALSE()))</f>
        <v>130.12</v>
      </c>
      <c r="AL792" s="646" t="n">
        <f aca="false">IF(OR(MO.RealTimeStockPriceToggle=FALSE(),VLOOKUP(MO.DataSourceName,MO_SPT_StockLow_Sources,COLUMN(),FALSE())="N/A"),VLOOKUP("Real-Time Off Source",MO_SPT_StockLow_Sources,COLUMN(),FALSE()),VLOOKUP(MO.DataSourceName,MO_SPT_StockLow_Sources,COLUMN(),FALSE()))</f>
        <v>177.52</v>
      </c>
      <c r="AM792" s="646" t="n">
        <f aca="false">IF(OR(MO.RealTimeStockPriceToggle=FALSE(),VLOOKUP(MO.DataSourceName,MO_SPT_StockLow_Sources,COLUMN(),FALSE())="N/A"),VLOOKUP("Real-Time Off Source",MO_SPT_StockLow_Sources,COLUMN(),FALSE()),VLOOKUP(MO.DataSourceName,MO_SPT_StockLow_Sources,COLUMN(),FALSE()))</f>
        <v>222.4</v>
      </c>
      <c r="AN792" s="646" t="n">
        <f aca="false">IF(OR(MO.RealTimeStockPriceToggle=FALSE(),VLOOKUP(MO.DataSourceName,MO_SPT_StockLow_Sources,COLUMN(),FALSE())="N/A"),VLOOKUP("Real-Time Off Source",MO_SPT_StockLow_Sources,COLUMN(),FALSE()),VLOOKUP(MO.DataSourceName,MO_SPT_StockLow_Sources,COLUMN(),FALSE()))</f>
        <v>289.2</v>
      </c>
      <c r="AO792" s="646" t="n">
        <f aca="false">IF(OR(MO.RealTimeStockPriceToggle=FALSE(),VLOOKUP(MO.DataSourceName,MO_SPT_StockLow_Sources,COLUMN(),FALSE())="N/A"),VLOOKUP("Real-Time Off Source",MO_SPT_StockLow_Sources,COLUMN(),FALSE()),VLOOKUP(MO.DataSourceName,MO_SPT_StockLow_Sources,COLUMN(),FALSE()))</f>
        <v>304.5</v>
      </c>
      <c r="AP792" s="646" t="n">
        <f aca="false">IF(OR(MO.RealTimeStockPriceToggle=FALSE(),VLOOKUP(MO.DataSourceName,MO_SPT_StockLow_Sources,COLUMN(),FALSE())="N/A"),VLOOKUP("Real-Time Off Source",MO_SPT_StockLow_Sources,COLUMN(),FALSE()),VLOOKUP(MO.DataSourceName,MO_SPT_StockLow_Sources,COLUMN(),FALSE()))</f>
        <v>177.52</v>
      </c>
      <c r="AQ792" s="646" t="n">
        <f aca="false">IF(OR(MO.RealTimeStockPriceToggle=FALSE(),VLOOKUP(MO.DataSourceName,MO_SPT_StockLow_Sources,COLUMN(),FALSE())="N/A"),VLOOKUP("Real-Time Off Source",MO_SPT_StockLow_Sources,COLUMN(),FALSE()),VLOOKUP(MO.DataSourceName,MO_SPT_StockLow_Sources,COLUMN(),FALSE()))</f>
        <v>399.2</v>
      </c>
      <c r="AR792" s="646" t="n">
        <f aca="false">IF(OR(MO.RealTimeStockPriceToggle=FALSE(),VLOOKUP(MO.DataSourceName,MO_SPT_StockLow_Sources,COLUMN(),FALSE())="N/A"),VLOOKUP("Real-Time Off Source",MO_SPT_StockLow_Sources,COLUMN(),FALSE()),VLOOKUP(MO.DataSourceName,MO_SPT_StockLow_Sources,COLUMN(),FALSE()))</f>
        <v>492.15</v>
      </c>
      <c r="AS792" s="646" t="n">
        <f aca="false">IF(OR(MO.RealTimeStockPriceToggle=FALSE(),VLOOKUP(MO.DataSourceName,MO_SPT_StockLow_Sources,COLUMN(),FALSE())="N/A"),VLOOKUP("Real-Time Off Source",MO_SPT_StockLow_Sources,COLUMN(),FALSE()),VLOOKUP(MO.DataSourceName,MO_SPT_StockLow_Sources,COLUMN(),FALSE()))</f>
        <v>559.7</v>
      </c>
      <c r="AT792" s="646" t="n">
        <f aca="false">IF(OR(MO.RealTimeStockPriceToggle=FALSE(),VLOOKUP(MO.DataSourceName,MO_SPT_StockLow_Sources,COLUMN(),FALSE())="N/A"),VLOOKUP("Real-Time Off Source",MO_SPT_StockLow_Sources,COLUMN(),FALSE()),VLOOKUP(MO.DataSourceName,MO_SPT_StockLow_Sources,COLUMN(),FALSE()))</f>
        <v>611.6</v>
      </c>
      <c r="AU792" s="646" t="n">
        <f aca="false">IF(OR(MO.RealTimeStockPriceToggle=FALSE(),VLOOKUP(MO.DataSourceName,MO_SPT_StockLow_Sources,COLUMN(),FALSE())="N/A"),VLOOKUP("Real-Time Off Source",MO_SPT_StockLow_Sources,COLUMN(),FALSE()),VLOOKUP(MO.DataSourceName,MO_SPT_StockLow_Sources,COLUMN(),FALSE()))</f>
        <v>402.85</v>
      </c>
      <c r="AV792" s="646" t="n">
        <f aca="false">IF(OR(MO.RealTimeStockPriceToggle=FALSE(),VLOOKUP(MO.DataSourceName,MO_SPT_StockLow_Sources,COLUMN(),FALSE())="N/A"),VLOOKUP("Real-Time Off Source",MO_SPT_StockLow_Sources,COLUMN(),FALSE()),VLOOKUP(MO.DataSourceName,MO_SPT_StockLow_Sources,COLUMN(),FALSE()))</f>
        <v>513.7</v>
      </c>
      <c r="AW792" s="646" t="n">
        <f aca="false">IF(OR(MO.RealTimeStockPriceToggle=FALSE(),VLOOKUP(MO.DataSourceName,MO_SPT_StockLow_Sources,COLUMN(),FALSE())="N/A"),VLOOKUP("Real-Time Off Source",MO_SPT_StockLow_Sources,COLUMN(),FALSE()),VLOOKUP(MO.DataSourceName,MO_SPT_StockLow_Sources,COLUMN(),FALSE()))</f>
        <v>442.2</v>
      </c>
      <c r="AX792" s="646" t="n">
        <f aca="false">IF(OR(MO.RealTimeStockPriceToggle=FALSE(),VLOOKUP(MO.DataSourceName,MO_SPT_StockLow_Sources,COLUMN(),FALSE())="N/A"),VLOOKUP("Real-Time Off Source",MO_SPT_StockLow_Sources,COLUMN(),FALSE()),VLOOKUP(MO.DataSourceName,MO_SPT_StockLow_Sources,COLUMN(),FALSE()))</f>
        <v>403.45</v>
      </c>
      <c r="AY792" s="646" t="n">
        <f aca="false">IF(OR(MO.RealTimeStockPriceToggle=FALSE(),VLOOKUP(MO.DataSourceName,MO_SPT_StockLow_Sources,COLUMN(),FALSE())="N/A"),VLOOKUP("Real-Time Off Source",MO_SPT_StockLow_Sources,COLUMN(),FALSE()),VLOOKUP(MO.DataSourceName,MO_SPT_StockLow_Sources,COLUMN(),FALSE()))</f>
        <v>377.99176</v>
      </c>
      <c r="AZ792" s="646" t="n">
        <f aca="false">IF(OR(MO.RealTimeStockPriceToggle=FALSE(),VLOOKUP(MO.DataSourceName,MO_SPT_StockLow_Sources,COLUMN(),FALSE())="N/A"),VLOOKUP("Real-Time Off Source",MO_SPT_StockLow_Sources,COLUMN(),FALSE()),VLOOKUP(MO.DataSourceName,MO_SPT_StockLow_Sources,COLUMN(),FALSE()))</f>
        <v>377.99176</v>
      </c>
      <c r="BA792" s="646" t="n">
        <f aca="false">IF(OR(MO.RealTimeStockPriceToggle=FALSE(),VLOOKUP(MO.DataSourceName,MO_SPT_StockLow_Sources,COLUMN(),FALSE())="N/A"),VLOOKUP("Real-Time Off Source",MO_SPT_StockLow_Sources,COLUMN(),FALSE()),VLOOKUP(MO.DataSourceName,MO_SPT_StockLow_Sources,COLUMN(),FALSE()))</f>
        <v>516.9</v>
      </c>
      <c r="BB792" s="646" t="n">
        <f aca="false">IF(OR(MO.RealTimeStockPriceToggle=FALSE(),VLOOKUP(MO.DataSourceName,MO_SPT_StockLow_Sources,COLUMN(),FALSE())="N/A"),VLOOKUP("Real-Time Off Source",MO_SPT_StockLow_Sources,COLUMN(),FALSE()),VLOOKUP(MO.DataSourceName,MO_SPT_StockLow_Sources,COLUMN(),FALSE()))</f>
        <v>556.6</v>
      </c>
      <c r="BC792" s="646" t="n">
        <f aca="false">IF(OR(MO.RealTimeStockPriceToggle=FALSE(),VLOOKUP(MO.DataSourceName,MO_SPT_StockLow_Sources,COLUMN(),FALSE())="N/A"),VLOOKUP("Real-Time Off Source",MO_SPT_StockLow_Sources,COLUMN(),FALSE()),VLOOKUP(MO.DataSourceName,MO_SPT_StockLow_Sources,COLUMN(),FALSE()))</f>
        <v>542.6</v>
      </c>
      <c r="BD792" s="646" t="n">
        <f aca="false">IF(OR(MO.RealTimeStockPriceToggle=FALSE(),VLOOKUP(MO.DataSourceName,MO_SPT_StockLow_Sources,COLUMN(),FALSE())="N/A"),VLOOKUP("Real-Time Off Source",MO_SPT_StockLow_Sources,COLUMN(),FALSE()),VLOOKUP(MO.DataSourceName,MO_SPT_StockLow_Sources,COLUMN(),FALSE()))</f>
        <v>547.1</v>
      </c>
      <c r="BE792" s="646" t="n">
        <f aca="false">IF(OR(MO.RealTimeStockPriceToggle=FALSE(),VLOOKUP(MO.DataSourceName,MO_SPT_StockLow_Sources,COLUMN(),FALSE())="N/A"),VLOOKUP("Real-Time Off Source",MO_SPT_StockLow_Sources,COLUMN(),FALSE()),VLOOKUP(MO.DataSourceName,MO_SPT_StockLow_Sources,COLUMN(),FALSE()))</f>
        <v>516.9</v>
      </c>
      <c r="BF792" s="646" t="n">
        <f aca="false">IF(OR(MO.RealTimeStockPriceToggle=FALSE(),VLOOKUP(MO.DataSourceName,MO_SPT_StockLow_Sources,COLUMN(),FALSE())="N/A"),VLOOKUP("Real-Time Off Source",MO_SPT_StockLow_Sources,COLUMN(),FALSE()),VLOOKUP(MO.DataSourceName,MO_SPT_StockLow_Sources,COLUMN(),FALSE()))</f>
        <v>644.2</v>
      </c>
      <c r="BG792" s="646" t="n">
        <f aca="false">IF(OR(MO.RealTimeStockPriceToggle=FALSE(),VLOOKUP(MO.DataSourceName,MO_SPT_StockLow_Sources,COLUMN(),FALSE())="N/A"),VLOOKUP("Real-Time Off Source",MO_SPT_StockLow_Sources,COLUMN(),FALSE()),VLOOKUP(MO.DataSourceName,MO_SPT_StockLow_Sources,COLUMN(),FALSE()))</f>
        <v>811.4</v>
      </c>
      <c r="BH792" s="646" t="n">
        <f aca="false">IF(OR(MO.RealTimeStockPriceToggle=FALSE(),VLOOKUP(MO.DataSourceName,MO_SPT_StockLow_Sources,COLUMN(),FALSE())="N/A"),VLOOKUP("Real-Time Off Source",MO_SPT_StockLow_Sources,COLUMN(),FALSE()),VLOOKUP(MO.DataSourceName,MO_SPT_StockLow_Sources,COLUMN(),FALSE()))</f>
        <v>672.5</v>
      </c>
      <c r="BI792" s="646" t="n">
        <f aca="false">IF(OR(MO.RealTimeStockPriceToggle=FALSE(),VLOOKUP(MO.DataSourceName,MO_SPT_StockLow_Sources,COLUMN(),FALSE())="N/A"),VLOOKUP("Real-Time Off Source",MO_SPT_StockLow_Sources,COLUMN(),FALSE()),VLOOKUP(MO.DataSourceName,MO_SPT_StockLow_Sources,COLUMN(),FALSE()))</f>
        <v>610.8</v>
      </c>
      <c r="BJ792" s="646" t="n">
        <f aca="false">IF(OR(MO.RealTimeStockPriceToggle=FALSE(),VLOOKUP(MO.DataSourceName,MO_SPT_StockLow_Sources,COLUMN(),FALSE())="N/A"),VLOOKUP("Real-Time Off Source",MO_SPT_StockLow_Sources,COLUMN(),FALSE()),VLOOKUP(MO.DataSourceName,MO_SPT_StockLow_Sources,COLUMN(),FALSE()))</f>
        <v>610.8</v>
      </c>
      <c r="BK792" s="646" t="n">
        <f aca="false">IF(OR(MO.RealTimeStockPriceToggle=FALSE(),VLOOKUP(MO.DataSourceName,MO_SPT_StockLow_Sources,COLUMN(),FALSE())="N/A"),VLOOKUP("Real-Time Off Source",MO_SPT_StockLow_Sources,COLUMN(),FALSE()),VLOOKUP(MO.DataSourceName,MO_SPT_StockLow_Sources,COLUMN(),FALSE()))</f>
        <v>625.6</v>
      </c>
      <c r="BL792" s="646" t="n">
        <f aca="false">IF(OR(MO.RealTimeStockPriceToggle=FALSE(),VLOOKUP(MO.DataSourceName,MO_SPT_StockLow_Sources,COLUMN(),FALSE())="N/A"),VLOOKUP("Real-Time Off Source",MO_SPT_StockLow_Sources,COLUMN(),FALSE()),VLOOKUP(MO.DataSourceName,MO_SPT_StockLow_Sources,COLUMN(),FALSE()))</f>
        <v>550</v>
      </c>
      <c r="BM792" s="646" t="n">
        <f aca="false">IF(OR(MO.RealTimeStockPriceToggle=FALSE(),VLOOKUP(MO.DataSourceName,MO_SPT_StockLow_Sources,COLUMN(),FALSE())="N/A"),VLOOKUP("Real-Time Off Source",MO_SPT_StockLow_Sources,COLUMN(),FALSE()),VLOOKUP(MO.DataSourceName,MO_SPT_StockLow_Sources,COLUMN(),FALSE()))</f>
        <v>592.9</v>
      </c>
      <c r="BN792" s="646" t="n">
        <f aca="false">IF(OR(MO.RealTimeStockPriceToggle=FALSE(),VLOOKUP(MO.DataSourceName,MO_SPT_StockLow_Sources,COLUMN(),FALSE())="N/A"),VLOOKUP("Real-Time Off Source",MO_SPT_StockLow_Sources,COLUMN(),FALSE()),VLOOKUP(MO.DataSourceName,MO_SPT_StockLow_Sources,COLUMN(),FALSE()))</f>
        <v>813.9</v>
      </c>
      <c r="BO792" s="647" t="n">
        <f aca="false">IF(OR(MO.RealTimeStockPriceToggle=FALSE(),VLOOKUP(MO.DataSourceName,MO_SPT_StockLow_Sources,COLUMN(),FALSE())="N/A"),VLOOKUP("Real-Time Off Source",MO_SPT_StockLow_Sources,COLUMN(),FALSE()),VLOOKUP(MO.DataSourceName,MO_SPT_StockLow_Sources,COLUMN(),FALSE()))</f>
        <v>550</v>
      </c>
      <c r="BP792" s="646" t="n">
        <f aca="false">IF(OR(MO.RealTimeStockPriceToggle=FALSE(),VLOOKUP(MO.DataSourceName,MO_SPT_StockLow_Sources,COLUMN(),FALSE())="N/A"),VLOOKUP("Real-Time Off Source",MO_SPT_StockLow_Sources,COLUMN(),FALSE()),VLOOKUP(MO.DataSourceName,MO_SPT_StockLow_Sources,COLUMN(),FALSE()))</f>
        <v>0</v>
      </c>
      <c r="BQ792" s="646" t="n">
        <f aca="false">IF(OR(MO.RealTimeStockPriceToggle=FALSE(),VLOOKUP(MO.DataSourceName,MO_SPT_StockLow_Sources,COLUMN(),FALSE())="N/A"),VLOOKUP("Real-Time Off Source",MO_SPT_StockLow_Sources,COLUMN(),FALSE()),VLOOKUP(MO.DataSourceName,MO_SPT_StockLow_Sources,COLUMN(),FALSE()))</f>
        <v>0</v>
      </c>
      <c r="BR792" s="646" t="n">
        <f aca="false">IF(OR(MO.RealTimeStockPriceToggle=FALSE(),VLOOKUP(MO.DataSourceName,MO_SPT_StockLow_Sources,COLUMN(),FALSE())="N/A"),VLOOKUP("Real-Time Off Source",MO_SPT_StockLow_Sources,COLUMN(),FALSE()),VLOOKUP(MO.DataSourceName,MO_SPT_StockLow_Sources,COLUMN(),FALSE()))</f>
        <v>0</v>
      </c>
      <c r="BS792" s="646" t="n">
        <f aca="false">IF(OR(MO.RealTimeStockPriceToggle=FALSE(),VLOOKUP(MO.DataSourceName,MO_SPT_StockLow_Sources,COLUMN(),FALSE())="N/A"),VLOOKUP("Real-Time Off Source",MO_SPT_StockLow_Sources,COLUMN(),FALSE()),VLOOKUP(MO.DataSourceName,MO_SPT_StockLow_Sources,COLUMN(),FALSE()))</f>
        <v>0</v>
      </c>
      <c r="BT792" s="646" t="n">
        <f aca="false">IF(OR(MO.RealTimeStockPriceToggle=FALSE(),VLOOKUP(MO.DataSourceName,MO_SPT_StockLow_Sources,COLUMN(),FALSE())="N/A"),VLOOKUP("Real-Time Off Source",MO_SPT_StockLow_Sources,COLUMN(),FALSE()),VLOOKUP(MO.DataSourceName,MO_SPT_StockLow_Sources,COLUMN(),FALSE()))</f>
        <v>0</v>
      </c>
      <c r="BU792" s="646" t="n">
        <f aca="false">IF(OR(MO.RealTimeStockPriceToggle=FALSE(),VLOOKUP(MO.DataSourceName,MO_SPT_StockLow_Sources,COLUMN(),FALSE())="N/A"),VLOOKUP("Real-Time Off Source",MO_SPT_StockLow_Sources,COLUMN(),FALSE()),VLOOKUP(MO.DataSourceName,MO_SPT_StockLow_Sources,COLUMN(),FALSE()))</f>
        <v>0</v>
      </c>
      <c r="BV792" s="646" t="n">
        <f aca="false">IF(OR(MO.RealTimeStockPriceToggle=FALSE(),VLOOKUP(MO.DataSourceName,MO_SPT_StockLow_Sources,COLUMN(),FALSE())="N/A"),VLOOKUP("Real-Time Off Source",MO_SPT_StockLow_Sources,COLUMN(),FALSE()),VLOOKUP(MO.DataSourceName,MO_SPT_StockLow_Sources,COLUMN(),FALSE()))</f>
        <v>0</v>
      </c>
      <c r="BW792" s="646" t="n">
        <f aca="false">IF(OR(MO.RealTimeStockPriceToggle=FALSE(),VLOOKUP(MO.DataSourceName,MO_SPT_StockLow_Sources,COLUMN(),FALSE())="N/A"),VLOOKUP("Real-Time Off Source",MO_SPT_StockLow_Sources,COLUMN(),FALSE()),VLOOKUP(MO.DataSourceName,MO_SPT_StockLow_Sources,COLUMN(),FALSE()))</f>
        <v>0</v>
      </c>
      <c r="BX792" s="646" t="n">
        <f aca="false">IF(OR(MO.RealTimeStockPriceToggle=FALSE(),VLOOKUP(MO.DataSourceName,MO_SPT_StockLow_Sources,COLUMN(),FALSE())="N/A"),VLOOKUP("Real-Time Off Source",MO_SPT_StockLow_Sources,COLUMN(),FALSE()),VLOOKUP(MO.DataSourceName,MO_SPT_StockLow_Sources,COLUMN(),FALSE()))</f>
        <v>0</v>
      </c>
      <c r="BY792" s="646" t="n">
        <f aca="false">IF(OR(MO.RealTimeStockPriceToggle=FALSE(),VLOOKUP(MO.DataSourceName,MO_SPT_StockLow_Sources,COLUMN(),FALSE())="N/A"),VLOOKUP("Real-Time Off Source",MO_SPT_StockLow_Sources,COLUMN(),FALSE()),VLOOKUP(MO.DataSourceName,MO_SPT_StockLow_Sources,COLUMN(),FALSE()))</f>
        <v>0</v>
      </c>
      <c r="BZ792" s="646" t="n">
        <f aca="false">IF(OR(MO.RealTimeStockPriceToggle=FALSE(),VLOOKUP(MO.DataSourceName,MO_SPT_StockLow_Sources,COLUMN(),FALSE())="N/A"),VLOOKUP("Real-Time Off Source",MO_SPT_StockLow_Sources,COLUMN(),FALSE()),VLOOKUP(MO.DataSourceName,MO_SPT_StockLow_Sources,COLUMN(),FALSE()))</f>
        <v>0</v>
      </c>
      <c r="CA792" s="646" t="n">
        <f aca="false">IF(OR(MO.RealTimeStockPriceToggle=FALSE(),VLOOKUP(MO.DataSourceName,MO_SPT_StockLow_Sources,COLUMN(),FALSE())="N/A"),VLOOKUP("Real-Time Off Source",MO_SPT_StockLow_Sources,COLUMN(),FALSE()),VLOOKUP(MO.DataSourceName,MO_SPT_StockLow_Sources,COLUMN(),FALSE()))</f>
        <v>0</v>
      </c>
      <c r="CB792" s="648" t="n">
        <f aca="false">IF(OR(MO.RealTimeStockPriceToggle=FALSE(),VLOOKUP(MO.DataSourceName,MO_SPT_StockLow_Sources,COLUMN(),FALSE())="N/A"),VLOOKUP("Real-Time Off Source",MO_SPT_StockLow_Sources,COLUMN(),FALSE()),VLOOKUP(MO.DataSourceName,MO_SPT_StockLow_Sources,COLUMN(),FALSE()))</f>
        <v>0</v>
      </c>
      <c r="CC792" s="649"/>
    </row>
    <row r="793" s="46" customFormat="true" ht="15" hidden="true" customHeight="true" outlineLevel="1" collapsed="false">
      <c r="A793" s="650" t="s">
        <v>703</v>
      </c>
      <c r="B793" s="646"/>
      <c r="C793" s="651" t="n">
        <v>11.618601289</v>
      </c>
      <c r="D793" s="651" t="n">
        <v>19.947070477</v>
      </c>
      <c r="E793" s="651" t="n">
        <v>21.886082499</v>
      </c>
      <c r="F793" s="651" t="n">
        <v>32.725984811</v>
      </c>
      <c r="G793" s="651" t="n">
        <v>45.68</v>
      </c>
      <c r="H793" s="651" t="n">
        <v>61.09</v>
      </c>
      <c r="I793" s="651" t="n">
        <v>57.51</v>
      </c>
      <c r="J793" s="651" t="n">
        <v>61.58</v>
      </c>
      <c r="K793" s="651" t="n">
        <v>68.29</v>
      </c>
      <c r="L793" s="651" t="n">
        <v>57.51</v>
      </c>
      <c r="M793" s="651" t="n">
        <v>84.67</v>
      </c>
      <c r="N793" s="651" t="n">
        <v>86.94</v>
      </c>
      <c r="O793" s="651" t="n">
        <v>70.25</v>
      </c>
      <c r="P793" s="651" t="n">
        <v>72.16</v>
      </c>
      <c r="Q793" s="651" t="n">
        <v>70.25</v>
      </c>
      <c r="R793" s="651" t="n">
        <v>70.54</v>
      </c>
      <c r="S793" s="651" t="n">
        <v>79.38</v>
      </c>
      <c r="T793" s="651" t="n">
        <v>83.54</v>
      </c>
      <c r="U793" s="651" t="n">
        <v>90.5</v>
      </c>
      <c r="V793" s="651" t="n">
        <v>70.54</v>
      </c>
      <c r="W793" s="651" t="n">
        <v>103.95</v>
      </c>
      <c r="X793" s="651" t="n">
        <v>112.6</v>
      </c>
      <c r="Y793" s="651" t="n">
        <v>113.75</v>
      </c>
      <c r="Z793" s="651" t="n">
        <v>141.5</v>
      </c>
      <c r="AA793" s="651" t="n">
        <v>103.95</v>
      </c>
      <c r="AB793" s="651" t="n">
        <v>142.2</v>
      </c>
      <c r="AC793" s="651" t="n">
        <v>155.5</v>
      </c>
      <c r="AD793" s="651" t="n">
        <v>148.58</v>
      </c>
      <c r="AE793" s="651" t="n">
        <v>130.3</v>
      </c>
      <c r="AF793" s="651" t="n">
        <v>130.3</v>
      </c>
      <c r="AG793" s="651" t="n">
        <v>130.12</v>
      </c>
      <c r="AH793" s="651" t="n">
        <v>165.04</v>
      </c>
      <c r="AI793" s="651" t="n">
        <v>182.14</v>
      </c>
      <c r="AJ793" s="651" t="n">
        <v>217</v>
      </c>
      <c r="AK793" s="651" t="n">
        <v>130.12</v>
      </c>
      <c r="AL793" s="651" t="n">
        <v>177.52</v>
      </c>
      <c r="AM793" s="651" t="n">
        <v>222.4</v>
      </c>
      <c r="AN793" s="651" t="n">
        <v>289.2</v>
      </c>
      <c r="AO793" s="651" t="n">
        <v>304.5</v>
      </c>
      <c r="AP793" s="651" t="n">
        <v>177.52</v>
      </c>
      <c r="AQ793" s="651" t="n">
        <v>399.2</v>
      </c>
      <c r="AR793" s="651" t="n">
        <v>492.15</v>
      </c>
      <c r="AS793" s="651" t="n">
        <v>559.7</v>
      </c>
      <c r="AT793" s="651" t="n">
        <v>611.6</v>
      </c>
      <c r="AU793" s="651" t="n">
        <v>402.85</v>
      </c>
      <c r="AV793" s="651" t="n">
        <v>513.7</v>
      </c>
      <c r="AW793" s="651" t="n">
        <v>442.2</v>
      </c>
      <c r="AX793" s="651" t="n">
        <v>403.45</v>
      </c>
      <c r="AY793" s="651" t="n">
        <v>377.99176</v>
      </c>
      <c r="AZ793" s="651" t="n">
        <v>377.99176</v>
      </c>
      <c r="BA793" s="651" t="n">
        <v>516.9</v>
      </c>
      <c r="BB793" s="651" t="n">
        <v>556.6</v>
      </c>
      <c r="BC793" s="651" t="n">
        <v>542.6</v>
      </c>
      <c r="BD793" s="651" t="n">
        <v>547.1</v>
      </c>
      <c r="BE793" s="651" t="n">
        <v>516.9</v>
      </c>
      <c r="BF793" s="651" t="n">
        <v>644.2</v>
      </c>
      <c r="BG793" s="651" t="n">
        <v>811.4</v>
      </c>
      <c r="BH793" s="651" t="n">
        <v>672.5</v>
      </c>
      <c r="BI793" s="651" t="n">
        <v>610.8</v>
      </c>
      <c r="BJ793" s="651" t="n">
        <v>610.8</v>
      </c>
      <c r="BK793" s="651" t="n">
        <v>625.6</v>
      </c>
      <c r="BL793" s="651" t="n">
        <v>550</v>
      </c>
      <c r="BM793" s="651" t="n">
        <v>592.9</v>
      </c>
      <c r="BN793" s="651" t="n">
        <v>813.9</v>
      </c>
      <c r="BO793" s="652" t="n">
        <v>550</v>
      </c>
      <c r="BP793" s="646"/>
      <c r="BQ793" s="646"/>
      <c r="BR793" s="646"/>
      <c r="BS793" s="646"/>
      <c r="BT793" s="646"/>
      <c r="BU793" s="646"/>
      <c r="BV793" s="646"/>
      <c r="BW793" s="646"/>
      <c r="BX793" s="646"/>
      <c r="BY793" s="646"/>
      <c r="BZ793" s="646"/>
      <c r="CA793" s="646"/>
      <c r="CB793" s="648"/>
      <c r="CC793" s="649"/>
    </row>
    <row r="794" s="46" customFormat="true" ht="15" hidden="true" customHeight="true" outlineLevel="1" collapsed="false">
      <c r="A794" s="650" t="s">
        <v>8</v>
      </c>
      <c r="B794" s="646"/>
      <c r="C794" s="646" t="str">
        <f aca="false">IFERROR(bdp(MO.Ticker.Bloomberg&amp;" Equity","INTERVAL_LOW","MARKET_DATA_OVERRIDE=PX_LAST","START_DATE_OVERRIDE",TEXT(INDEX(MO_SNA_FPStartDate,0,COLUMN()),"YYYYMMDD"),"END_DATE_OVERRIDE",TEXT(INDEX(MO_Common_QEndDate,0,COLUMN()),"YYYYMMDD")),"N/A")</f>
        <v>N/A</v>
      </c>
      <c r="D794" s="646" t="str">
        <f aca="false">IFERROR(bdp(MO.Ticker.Bloomberg&amp;" Equity","INTERVAL_LOW","MARKET_DATA_OVERRIDE=PX_LAST","START_DATE_OVERRIDE",TEXT(INDEX(MO_SNA_FPStartDate,0,COLUMN()),"YYYYMMDD"),"END_DATE_OVERRIDE",TEXT(INDEX(MO_Common_QEndDate,0,COLUMN()),"YYYYMMDD")),"N/A")</f>
        <v>N/A</v>
      </c>
      <c r="E794" s="646" t="str">
        <f aca="false">IFERROR(bdp(MO.Ticker.Bloomberg&amp;" Equity","INTERVAL_LOW","MARKET_DATA_OVERRIDE=PX_LAST","START_DATE_OVERRIDE",TEXT(INDEX(MO_SNA_FPStartDate,0,COLUMN()),"YYYYMMDD"),"END_DATE_OVERRIDE",TEXT(INDEX(MO_Common_QEndDate,0,COLUMN()),"YYYYMMDD")),"N/A")</f>
        <v>N/A</v>
      </c>
      <c r="F794" s="646" t="str">
        <f aca="false">IFERROR(bdp(MO.Ticker.Bloomberg&amp;" Equity","INTERVAL_LOW","MARKET_DATA_OVERRIDE=PX_LAST","START_DATE_OVERRIDE",TEXT(INDEX(MO_SNA_FPStartDate,0,COLUMN()),"YYYYMMDD"),"END_DATE_OVERRIDE",TEXT(INDEX(MO_Common_QEndDate,0,COLUMN()),"YYYYMMDD")),"N/A")</f>
        <v>N/A</v>
      </c>
      <c r="G794" s="646" t="str">
        <f aca="false">IFERROR(bdp(MO.Ticker.Bloomberg&amp;" Equity","INTERVAL_LOW","MARKET_DATA_OVERRIDE=PX_LAST","START_DATE_OVERRIDE",TEXT(INDEX(MO_SNA_FPStartDate,0,COLUMN()),"YYYYMMDD"),"END_DATE_OVERRIDE",TEXT(INDEX(MO_Common_QEndDate,0,COLUMN()),"YYYYMMDD")),"N/A")</f>
        <v>N/A</v>
      </c>
      <c r="H794" s="646" t="str">
        <f aca="false">IFERROR(bdp(MO.Ticker.Bloomberg&amp;" Equity","INTERVAL_LOW","MARKET_DATA_OVERRIDE=PX_LAST","START_DATE_OVERRIDE",TEXT(INDEX(MO_SNA_FPStartDate,0,COLUMN()),"YYYYMMDD"),"END_DATE_OVERRIDE",TEXT(INDEX(MO_Common_QEndDate,0,COLUMN()),"YYYYMMDD")),"N/A")</f>
        <v>N/A</v>
      </c>
      <c r="I794" s="646" t="str">
        <f aca="false">IFERROR(bdp(MO.Ticker.Bloomberg&amp;" Equity","INTERVAL_LOW","MARKET_DATA_OVERRIDE=PX_LAST","START_DATE_OVERRIDE",TEXT(INDEX(MO_SNA_FPStartDate,0,COLUMN()),"YYYYMMDD"),"END_DATE_OVERRIDE",TEXT(INDEX(MO_Common_QEndDate,0,COLUMN()),"YYYYMMDD")),"N/A")</f>
        <v>N/A</v>
      </c>
      <c r="J794" s="646" t="str">
        <f aca="false">IFERROR(bdp(MO.Ticker.Bloomberg&amp;" Equity","INTERVAL_LOW","MARKET_DATA_OVERRIDE=PX_LAST","START_DATE_OVERRIDE",TEXT(INDEX(MO_SNA_FPStartDate,0,COLUMN()),"YYYYMMDD"),"END_DATE_OVERRIDE",TEXT(INDEX(MO_Common_QEndDate,0,COLUMN()),"YYYYMMDD")),"N/A")</f>
        <v>N/A</v>
      </c>
      <c r="K794" s="646" t="str">
        <f aca="false">IFERROR(bdp(MO.Ticker.Bloomberg&amp;" Equity","INTERVAL_LOW","MARKET_DATA_OVERRIDE=PX_LAST","START_DATE_OVERRIDE",TEXT(INDEX(MO_SNA_FPStartDate,0,COLUMN()),"YYYYMMDD"),"END_DATE_OVERRIDE",TEXT(INDEX(MO_Common_QEndDate,0,COLUMN()),"YYYYMMDD")),"N/A")</f>
        <v>N/A</v>
      </c>
      <c r="L794" s="646" t="str">
        <f aca="false">IFERROR(bdp(MO.Ticker.Bloomberg&amp;" Equity","INTERVAL_LOW","MARKET_DATA_OVERRIDE=PX_LAST","START_DATE_OVERRIDE",TEXT(INDEX(MO_SNA_FPStartDate,0,COLUMN()),"YYYYMMDD"),"END_DATE_OVERRIDE",TEXT(INDEX(MO_Common_QEndDate,0,COLUMN()),"YYYYMMDD")),"N/A")</f>
        <v>N/A</v>
      </c>
      <c r="M794" s="646" t="str">
        <f aca="false">IFERROR(bdp(MO.Ticker.Bloomberg&amp;" Equity","INTERVAL_LOW","MARKET_DATA_OVERRIDE=PX_LAST","START_DATE_OVERRIDE",TEXT(INDEX(MO_SNA_FPStartDate,0,COLUMN()),"YYYYMMDD"),"END_DATE_OVERRIDE",TEXT(INDEX(MO_Common_QEndDate,0,COLUMN()),"YYYYMMDD")),"N/A")</f>
        <v>N/A</v>
      </c>
      <c r="N794" s="646" t="str">
        <f aca="false">IFERROR(bdp(MO.Ticker.Bloomberg&amp;" Equity","INTERVAL_LOW","MARKET_DATA_OVERRIDE=PX_LAST","START_DATE_OVERRIDE",TEXT(INDEX(MO_SNA_FPStartDate,0,COLUMN()),"YYYYMMDD"),"END_DATE_OVERRIDE",TEXT(INDEX(MO_Common_QEndDate,0,COLUMN()),"YYYYMMDD")),"N/A")</f>
        <v>N/A</v>
      </c>
      <c r="O794" s="646" t="str">
        <f aca="false">IFERROR(bdp(MO.Ticker.Bloomberg&amp;" Equity","INTERVAL_LOW","MARKET_DATA_OVERRIDE=PX_LAST","START_DATE_OVERRIDE",TEXT(INDEX(MO_SNA_FPStartDate,0,COLUMN()),"YYYYMMDD"),"END_DATE_OVERRIDE",TEXT(INDEX(MO_Common_QEndDate,0,COLUMN()),"YYYYMMDD")),"N/A")</f>
        <v>N/A</v>
      </c>
      <c r="P794" s="646" t="str">
        <f aca="false">IFERROR(bdp(MO.Ticker.Bloomberg&amp;" Equity","INTERVAL_LOW","MARKET_DATA_OVERRIDE=PX_LAST","START_DATE_OVERRIDE",TEXT(INDEX(MO_SNA_FPStartDate,0,COLUMN()),"YYYYMMDD"),"END_DATE_OVERRIDE",TEXT(INDEX(MO_Common_QEndDate,0,COLUMN()),"YYYYMMDD")),"N/A")</f>
        <v>N/A</v>
      </c>
      <c r="Q794" s="646" t="str">
        <f aca="false">IFERROR(bdp(MO.Ticker.Bloomberg&amp;" Equity","INTERVAL_LOW","MARKET_DATA_OVERRIDE=PX_LAST","START_DATE_OVERRIDE",TEXT(INDEX(MO_SNA_FPStartDate,0,COLUMN()),"YYYYMMDD"),"END_DATE_OVERRIDE",TEXT(INDEX(MO_Common_QEndDate,0,COLUMN()),"YYYYMMDD")),"N/A")</f>
        <v>N/A</v>
      </c>
      <c r="R794" s="646" t="str">
        <f aca="false">IFERROR(bdp(MO.Ticker.Bloomberg&amp;" Equity","INTERVAL_LOW","MARKET_DATA_OVERRIDE=PX_LAST","START_DATE_OVERRIDE",TEXT(INDEX(MO_SNA_FPStartDate,0,COLUMN()),"YYYYMMDD"),"END_DATE_OVERRIDE",TEXT(INDEX(MO_Common_QEndDate,0,COLUMN()),"YYYYMMDD")),"N/A")</f>
        <v>N/A</v>
      </c>
      <c r="S794" s="646" t="str">
        <f aca="false">IFERROR(bdp(MO.Ticker.Bloomberg&amp;" Equity","INTERVAL_LOW","MARKET_DATA_OVERRIDE=PX_LAST","START_DATE_OVERRIDE",TEXT(INDEX(MO_SNA_FPStartDate,0,COLUMN()),"YYYYMMDD"),"END_DATE_OVERRIDE",TEXT(INDEX(MO_Common_QEndDate,0,COLUMN()),"YYYYMMDD")),"N/A")</f>
        <v>N/A</v>
      </c>
      <c r="T794" s="646" t="str">
        <f aca="false">IFERROR(bdp(MO.Ticker.Bloomberg&amp;" Equity","INTERVAL_LOW","MARKET_DATA_OVERRIDE=PX_LAST","START_DATE_OVERRIDE",TEXT(INDEX(MO_SNA_FPStartDate,0,COLUMN()),"YYYYMMDD"),"END_DATE_OVERRIDE",TEXT(INDEX(MO_Common_QEndDate,0,COLUMN()),"YYYYMMDD")),"N/A")</f>
        <v>N/A</v>
      </c>
      <c r="U794" s="646" t="str">
        <f aca="false">IFERROR(bdp(MO.Ticker.Bloomberg&amp;" Equity","INTERVAL_LOW","MARKET_DATA_OVERRIDE=PX_LAST","START_DATE_OVERRIDE",TEXT(INDEX(MO_SNA_FPStartDate,0,COLUMN()),"YYYYMMDD"),"END_DATE_OVERRIDE",TEXT(INDEX(MO_Common_QEndDate,0,COLUMN()),"YYYYMMDD")),"N/A")</f>
        <v>N/A</v>
      </c>
      <c r="V794" s="646" t="str">
        <f aca="false">IFERROR(bdp(MO.Ticker.Bloomberg&amp;" Equity","INTERVAL_LOW","MARKET_DATA_OVERRIDE=PX_LAST","START_DATE_OVERRIDE",TEXT(INDEX(MO_SNA_FPStartDate,0,COLUMN()),"YYYYMMDD"),"END_DATE_OVERRIDE",TEXT(INDEX(MO_Common_QEndDate,0,COLUMN()),"YYYYMMDD")),"N/A")</f>
        <v>N/A</v>
      </c>
      <c r="W794" s="646" t="str">
        <f aca="false">IFERROR(bdp(MO.Ticker.Bloomberg&amp;" Equity","INTERVAL_LOW","MARKET_DATA_OVERRIDE=PX_LAST","START_DATE_OVERRIDE",TEXT(INDEX(MO_SNA_FPStartDate,0,COLUMN()),"YYYYMMDD"),"END_DATE_OVERRIDE",TEXT(INDEX(MO_Common_QEndDate,0,COLUMN()),"YYYYMMDD")),"N/A")</f>
        <v>N/A</v>
      </c>
      <c r="X794" s="646" t="str">
        <f aca="false">IFERROR(bdp(MO.Ticker.Bloomberg&amp;" Equity","INTERVAL_LOW","MARKET_DATA_OVERRIDE=PX_LAST","START_DATE_OVERRIDE",TEXT(INDEX(MO_SNA_FPStartDate,0,COLUMN()),"YYYYMMDD"),"END_DATE_OVERRIDE",TEXT(INDEX(MO_Common_QEndDate,0,COLUMN()),"YYYYMMDD")),"N/A")</f>
        <v>N/A</v>
      </c>
      <c r="Y794" s="646" t="str">
        <f aca="false">IFERROR(bdp(MO.Ticker.Bloomberg&amp;" Equity","INTERVAL_LOW","MARKET_DATA_OVERRIDE=PX_LAST","START_DATE_OVERRIDE",TEXT(INDEX(MO_SNA_FPStartDate,0,COLUMN()),"YYYYMMDD"),"END_DATE_OVERRIDE",TEXT(INDEX(MO_Common_QEndDate,0,COLUMN()),"YYYYMMDD")),"N/A")</f>
        <v>N/A</v>
      </c>
      <c r="Z794" s="646" t="str">
        <f aca="false">IFERROR(bdp(MO.Ticker.Bloomberg&amp;" Equity","INTERVAL_LOW","MARKET_DATA_OVERRIDE=PX_LAST","START_DATE_OVERRIDE",TEXT(INDEX(MO_SNA_FPStartDate,0,COLUMN()),"YYYYMMDD"),"END_DATE_OVERRIDE",TEXT(INDEX(MO_Common_QEndDate,0,COLUMN()),"YYYYMMDD")),"N/A")</f>
        <v>N/A</v>
      </c>
      <c r="AA794" s="646" t="str">
        <f aca="false">IFERROR(bdp(MO.Ticker.Bloomberg&amp;" Equity","INTERVAL_LOW","MARKET_DATA_OVERRIDE=PX_LAST","START_DATE_OVERRIDE",TEXT(INDEX(MO_SNA_FPStartDate,0,COLUMN()),"YYYYMMDD"),"END_DATE_OVERRIDE",TEXT(INDEX(MO_Common_QEndDate,0,COLUMN()),"YYYYMMDD")),"N/A")</f>
        <v>N/A</v>
      </c>
      <c r="AB794" s="646" t="str">
        <f aca="false">IFERROR(bdp(MO.Ticker.Bloomberg&amp;" Equity","INTERVAL_LOW","MARKET_DATA_OVERRIDE=PX_LAST","START_DATE_OVERRIDE",TEXT(INDEX(MO_SNA_FPStartDate,0,COLUMN()),"YYYYMMDD"),"END_DATE_OVERRIDE",TEXT(INDEX(MO_Common_QEndDate,0,COLUMN()),"YYYYMMDD")),"N/A")</f>
        <v>N/A</v>
      </c>
      <c r="AC794" s="646" t="str">
        <f aca="false">IFERROR(bdp(MO.Ticker.Bloomberg&amp;" Equity","INTERVAL_LOW","MARKET_DATA_OVERRIDE=PX_LAST","START_DATE_OVERRIDE",TEXT(INDEX(MO_SNA_FPStartDate,0,COLUMN()),"YYYYMMDD"),"END_DATE_OVERRIDE",TEXT(INDEX(MO_Common_QEndDate,0,COLUMN()),"YYYYMMDD")),"N/A")</f>
        <v>N/A</v>
      </c>
      <c r="AD794" s="646" t="str">
        <f aca="false">IFERROR(bdp(MO.Ticker.Bloomberg&amp;" Equity","INTERVAL_LOW","MARKET_DATA_OVERRIDE=PX_LAST","START_DATE_OVERRIDE",TEXT(INDEX(MO_SNA_FPStartDate,0,COLUMN()),"YYYYMMDD"),"END_DATE_OVERRIDE",TEXT(INDEX(MO_Common_QEndDate,0,COLUMN()),"YYYYMMDD")),"N/A")</f>
        <v>N/A</v>
      </c>
      <c r="AE794" s="646" t="str">
        <f aca="false">IFERROR(bdp(MO.Ticker.Bloomberg&amp;" Equity","INTERVAL_LOW","MARKET_DATA_OVERRIDE=PX_LAST","START_DATE_OVERRIDE",TEXT(INDEX(MO_SNA_FPStartDate,0,COLUMN()),"YYYYMMDD"),"END_DATE_OVERRIDE",TEXT(INDEX(MO_Common_QEndDate,0,COLUMN()),"YYYYMMDD")),"N/A")</f>
        <v>N/A</v>
      </c>
      <c r="AF794" s="646" t="str">
        <f aca="false">IFERROR(bdp(MO.Ticker.Bloomberg&amp;" Equity","INTERVAL_LOW","MARKET_DATA_OVERRIDE=PX_LAST","START_DATE_OVERRIDE",TEXT(INDEX(MO_SNA_FPStartDate,0,COLUMN()),"YYYYMMDD"),"END_DATE_OVERRIDE",TEXT(INDEX(MO_Common_QEndDate,0,COLUMN()),"YYYYMMDD")),"N/A")</f>
        <v>N/A</v>
      </c>
      <c r="AG794" s="646" t="str">
        <f aca="false">IFERROR(bdp(MO.Ticker.Bloomberg&amp;" Equity","INTERVAL_LOW","MARKET_DATA_OVERRIDE=PX_LAST","START_DATE_OVERRIDE",TEXT(INDEX(MO_SNA_FPStartDate,0,COLUMN()),"YYYYMMDD"),"END_DATE_OVERRIDE",TEXT(INDEX(MO_Common_QEndDate,0,COLUMN()),"YYYYMMDD")),"N/A")</f>
        <v>N/A</v>
      </c>
      <c r="AH794" s="646" t="str">
        <f aca="false">IFERROR(bdp(MO.Ticker.Bloomberg&amp;" Equity","INTERVAL_LOW","MARKET_DATA_OVERRIDE=PX_LAST","START_DATE_OVERRIDE",TEXT(INDEX(MO_SNA_FPStartDate,0,COLUMN()),"YYYYMMDD"),"END_DATE_OVERRIDE",TEXT(INDEX(MO_Common_QEndDate,0,COLUMN()),"YYYYMMDD")),"N/A")</f>
        <v>N/A</v>
      </c>
      <c r="AI794" s="646" t="str">
        <f aca="false">IFERROR(bdp(MO.Ticker.Bloomberg&amp;" Equity","INTERVAL_LOW","MARKET_DATA_OVERRIDE=PX_LAST","START_DATE_OVERRIDE",TEXT(INDEX(MO_SNA_FPStartDate,0,COLUMN()),"YYYYMMDD"),"END_DATE_OVERRIDE",TEXT(INDEX(MO_Common_QEndDate,0,COLUMN()),"YYYYMMDD")),"N/A")</f>
        <v>N/A</v>
      </c>
      <c r="AJ794" s="646" t="str">
        <f aca="false">IFERROR(bdp(MO.Ticker.Bloomberg&amp;" Equity","INTERVAL_LOW","MARKET_DATA_OVERRIDE=PX_LAST","START_DATE_OVERRIDE",TEXT(INDEX(MO_SNA_FPStartDate,0,COLUMN()),"YYYYMMDD"),"END_DATE_OVERRIDE",TEXT(INDEX(MO_Common_QEndDate,0,COLUMN()),"YYYYMMDD")),"N/A")</f>
        <v>N/A</v>
      </c>
      <c r="AK794" s="646" t="str">
        <f aca="false">IFERROR(bdp(MO.Ticker.Bloomberg&amp;" Equity","INTERVAL_LOW","MARKET_DATA_OVERRIDE=PX_LAST","START_DATE_OVERRIDE",TEXT(INDEX(MO_SNA_FPStartDate,0,COLUMN()),"YYYYMMDD"),"END_DATE_OVERRIDE",TEXT(INDEX(MO_Common_QEndDate,0,COLUMN()),"YYYYMMDD")),"N/A")</f>
        <v>N/A</v>
      </c>
      <c r="AL794" s="646" t="str">
        <f aca="false">IFERROR(bdp(MO.Ticker.Bloomberg&amp;" Equity","INTERVAL_LOW","MARKET_DATA_OVERRIDE=PX_LAST","START_DATE_OVERRIDE",TEXT(INDEX(MO_SNA_FPStartDate,0,COLUMN()),"YYYYMMDD"),"END_DATE_OVERRIDE",TEXT(INDEX(MO_Common_QEndDate,0,COLUMN()),"YYYYMMDD")),"N/A")</f>
        <v>N/A</v>
      </c>
      <c r="AM794" s="646" t="str">
        <f aca="false">IFERROR(bdp(MO.Ticker.Bloomberg&amp;" Equity","INTERVAL_LOW","MARKET_DATA_OVERRIDE=PX_LAST","START_DATE_OVERRIDE",TEXT(INDEX(MO_SNA_FPStartDate,0,COLUMN()),"YYYYMMDD"),"END_DATE_OVERRIDE",TEXT(INDEX(MO_Common_QEndDate,0,COLUMN()),"YYYYMMDD")),"N/A")</f>
        <v>N/A</v>
      </c>
      <c r="AN794" s="646" t="str">
        <f aca="false">IFERROR(bdp(MO.Ticker.Bloomberg&amp;" Equity","INTERVAL_LOW","MARKET_DATA_OVERRIDE=PX_LAST","START_DATE_OVERRIDE",TEXT(INDEX(MO_SNA_FPStartDate,0,COLUMN()),"YYYYMMDD"),"END_DATE_OVERRIDE",TEXT(INDEX(MO_Common_QEndDate,0,COLUMN()),"YYYYMMDD")),"N/A")</f>
        <v>N/A</v>
      </c>
      <c r="AO794" s="646" t="str">
        <f aca="false">IFERROR(bdp(MO.Ticker.Bloomberg&amp;" Equity","INTERVAL_LOW","MARKET_DATA_OVERRIDE=PX_LAST","START_DATE_OVERRIDE",TEXT(INDEX(MO_SNA_FPStartDate,0,COLUMN()),"YYYYMMDD"),"END_DATE_OVERRIDE",TEXT(INDEX(MO_Common_QEndDate,0,COLUMN()),"YYYYMMDD")),"N/A")</f>
        <v>N/A</v>
      </c>
      <c r="AP794" s="646" t="str">
        <f aca="false">IFERROR(bdp(MO.Ticker.Bloomberg&amp;" Equity","INTERVAL_LOW","MARKET_DATA_OVERRIDE=PX_LAST","START_DATE_OVERRIDE",TEXT(INDEX(MO_SNA_FPStartDate,0,COLUMN()),"YYYYMMDD"),"END_DATE_OVERRIDE",TEXT(INDEX(MO_Common_QEndDate,0,COLUMN()),"YYYYMMDD")),"N/A")</f>
        <v>N/A</v>
      </c>
      <c r="AQ794" s="646" t="str">
        <f aca="false">IFERROR(bdp(MO.Ticker.Bloomberg&amp;" Equity","INTERVAL_LOW","MARKET_DATA_OVERRIDE=PX_LAST","START_DATE_OVERRIDE",TEXT(INDEX(MO_SNA_FPStartDate,0,COLUMN()),"YYYYMMDD"),"END_DATE_OVERRIDE",TEXT(INDEX(MO_Common_QEndDate,0,COLUMN()),"YYYYMMDD")),"N/A")</f>
        <v>N/A</v>
      </c>
      <c r="AR794" s="646" t="str">
        <f aca="false">IFERROR(bdp(MO.Ticker.Bloomberg&amp;" Equity","INTERVAL_LOW","MARKET_DATA_OVERRIDE=PX_LAST","START_DATE_OVERRIDE",TEXT(INDEX(MO_SNA_FPStartDate,0,COLUMN()),"YYYYMMDD"),"END_DATE_OVERRIDE",TEXT(INDEX(MO_Common_QEndDate,0,COLUMN()),"YYYYMMDD")),"N/A")</f>
        <v>N/A</v>
      </c>
      <c r="AS794" s="646" t="str">
        <f aca="false">IFERROR(bdp(MO.Ticker.Bloomberg&amp;" Equity","INTERVAL_LOW","MARKET_DATA_OVERRIDE=PX_LAST","START_DATE_OVERRIDE",TEXT(INDEX(MO_SNA_FPStartDate,0,COLUMN()),"YYYYMMDD"),"END_DATE_OVERRIDE",TEXT(INDEX(MO_Common_QEndDate,0,COLUMN()),"YYYYMMDD")),"N/A")</f>
        <v>N/A</v>
      </c>
      <c r="AT794" s="646" t="str">
        <f aca="false">IFERROR(bdp(MO.Ticker.Bloomberg&amp;" Equity","INTERVAL_LOW","MARKET_DATA_OVERRIDE=PX_LAST","START_DATE_OVERRIDE",TEXT(INDEX(MO_SNA_FPStartDate,0,COLUMN()),"YYYYMMDD"),"END_DATE_OVERRIDE",TEXT(INDEX(MO_Common_QEndDate,0,COLUMN()),"YYYYMMDD")),"N/A")</f>
        <v>N/A</v>
      </c>
      <c r="AU794" s="646" t="str">
        <f aca="false">IFERROR(bdp(MO.Ticker.Bloomberg&amp;" Equity","INTERVAL_LOW","MARKET_DATA_OVERRIDE=PX_LAST","START_DATE_OVERRIDE",TEXT(INDEX(MO_SNA_FPStartDate,0,COLUMN()),"YYYYMMDD"),"END_DATE_OVERRIDE",TEXT(INDEX(MO_Common_QEndDate,0,COLUMN()),"YYYYMMDD")),"N/A")</f>
        <v>N/A</v>
      </c>
      <c r="AV794" s="646" t="str">
        <f aca="false">IFERROR(bdp(MO.Ticker.Bloomberg&amp;" Equity","INTERVAL_LOW","MARKET_DATA_OVERRIDE=PX_LAST","START_DATE_OVERRIDE",TEXT(INDEX(MO_SNA_FPStartDate,0,COLUMN()),"YYYYMMDD"),"END_DATE_OVERRIDE",TEXT(INDEX(MO_Common_QEndDate,0,COLUMN()),"YYYYMMDD")),"N/A")</f>
        <v>N/A</v>
      </c>
      <c r="AW794" s="646" t="str">
        <f aca="false">IFERROR(bdp(MO.Ticker.Bloomberg&amp;" Equity","INTERVAL_LOW","MARKET_DATA_OVERRIDE=PX_LAST","START_DATE_OVERRIDE",TEXT(INDEX(MO_SNA_FPStartDate,0,COLUMN()),"YYYYMMDD"),"END_DATE_OVERRIDE",TEXT(INDEX(MO_Common_QEndDate,0,COLUMN()),"YYYYMMDD")),"N/A")</f>
        <v>N/A</v>
      </c>
      <c r="AX794" s="646" t="str">
        <f aca="false">IFERROR(bdp(MO.Ticker.Bloomberg&amp;" Equity","INTERVAL_LOW","MARKET_DATA_OVERRIDE=PX_LAST","START_DATE_OVERRIDE",TEXT(INDEX(MO_SNA_FPStartDate,0,COLUMN()),"YYYYMMDD"),"END_DATE_OVERRIDE",TEXT(INDEX(MO_Common_QEndDate,0,COLUMN()),"YYYYMMDD")),"N/A")</f>
        <v>N/A</v>
      </c>
      <c r="AY794" s="646" t="str">
        <f aca="false">IFERROR(bdp(MO.Ticker.Bloomberg&amp;" Equity","INTERVAL_LOW","MARKET_DATA_OVERRIDE=PX_LAST","START_DATE_OVERRIDE",TEXT(INDEX(MO_SNA_FPStartDate,0,COLUMN()),"YYYYMMDD"),"END_DATE_OVERRIDE",TEXT(INDEX(MO_Common_QEndDate,0,COLUMN()),"YYYYMMDD")),"N/A")</f>
        <v>N/A</v>
      </c>
      <c r="AZ794" s="646" t="str">
        <f aca="false">IFERROR(bdp(MO.Ticker.Bloomberg&amp;" Equity","INTERVAL_LOW","MARKET_DATA_OVERRIDE=PX_LAST","START_DATE_OVERRIDE",TEXT(INDEX(MO_SNA_FPStartDate,0,COLUMN()),"YYYYMMDD"),"END_DATE_OVERRIDE",TEXT(INDEX(MO_Common_QEndDate,0,COLUMN()),"YYYYMMDD")),"N/A")</f>
        <v>N/A</v>
      </c>
      <c r="BA794" s="646" t="str">
        <f aca="false">IFERROR(bdp(MO.Ticker.Bloomberg&amp;" Equity","INTERVAL_LOW","MARKET_DATA_OVERRIDE=PX_LAST","START_DATE_OVERRIDE",TEXT(INDEX(MO_SNA_FPStartDate,0,COLUMN()),"YYYYMMDD"),"END_DATE_OVERRIDE",TEXT(INDEX(MO_Common_QEndDate,0,COLUMN()),"YYYYMMDD")),"N/A")</f>
        <v>N/A</v>
      </c>
      <c r="BB794" s="646" t="str">
        <f aca="false">IFERROR(bdp(MO.Ticker.Bloomberg&amp;" Equity","INTERVAL_LOW","MARKET_DATA_OVERRIDE=PX_LAST","START_DATE_OVERRIDE",TEXT(INDEX(MO_SNA_FPStartDate,0,COLUMN()),"YYYYMMDD"),"END_DATE_OVERRIDE",TEXT(INDEX(MO_Common_QEndDate,0,COLUMN()),"YYYYMMDD")),"N/A")</f>
        <v>N/A</v>
      </c>
      <c r="BC794" s="646" t="str">
        <f aca="false">IFERROR(bdp(MO.Ticker.Bloomberg&amp;" Equity","INTERVAL_LOW","MARKET_DATA_OVERRIDE=PX_LAST","START_DATE_OVERRIDE",TEXT(INDEX(MO_SNA_FPStartDate,0,COLUMN()),"YYYYMMDD"),"END_DATE_OVERRIDE",TEXT(INDEX(MO_Common_QEndDate,0,COLUMN()),"YYYYMMDD")),"N/A")</f>
        <v>N/A</v>
      </c>
      <c r="BD794" s="646" t="str">
        <f aca="false">IFERROR(bdp(MO.Ticker.Bloomberg&amp;" Equity","INTERVAL_LOW","MARKET_DATA_OVERRIDE=PX_LAST","START_DATE_OVERRIDE",TEXT(INDEX(MO_SNA_FPStartDate,0,COLUMN()),"YYYYMMDD"),"END_DATE_OVERRIDE",TEXT(INDEX(MO_Common_QEndDate,0,COLUMN()),"YYYYMMDD")),"N/A")</f>
        <v>N/A</v>
      </c>
      <c r="BE794" s="646" t="str">
        <f aca="false">IFERROR(bdp(MO.Ticker.Bloomberg&amp;" Equity","INTERVAL_LOW","MARKET_DATA_OVERRIDE=PX_LAST","START_DATE_OVERRIDE",TEXT(INDEX(MO_SNA_FPStartDate,0,COLUMN()),"YYYYMMDD"),"END_DATE_OVERRIDE",TEXT(INDEX(MO_Common_QEndDate,0,COLUMN()),"YYYYMMDD")),"N/A")</f>
        <v>N/A</v>
      </c>
      <c r="BF794" s="646" t="str">
        <f aca="false">IFERROR(bdp(MO.Ticker.Bloomberg&amp;" Equity","INTERVAL_LOW","MARKET_DATA_OVERRIDE=PX_LAST","START_DATE_OVERRIDE",TEXT(INDEX(MO_SNA_FPStartDate,0,COLUMN()),"YYYYMMDD"),"END_DATE_OVERRIDE",TEXT(INDEX(MO_Common_QEndDate,0,COLUMN()),"YYYYMMDD")),"N/A")</f>
        <v>N/A</v>
      </c>
      <c r="BG794" s="646" t="str">
        <f aca="false">IFERROR(bdp(MO.Ticker.Bloomberg&amp;" Equity","INTERVAL_LOW","MARKET_DATA_OVERRIDE=PX_LAST","START_DATE_OVERRIDE",TEXT(INDEX(MO_SNA_FPStartDate,0,COLUMN()),"YYYYMMDD"),"END_DATE_OVERRIDE",TEXT(INDEX(MO_Common_QEndDate,0,COLUMN()),"YYYYMMDD")),"N/A")</f>
        <v>N/A</v>
      </c>
      <c r="BH794" s="646" t="str">
        <f aca="false">IFERROR(bdp(MO.Ticker.Bloomberg&amp;" Equity","INTERVAL_LOW","MARKET_DATA_OVERRIDE=PX_LAST","START_DATE_OVERRIDE",TEXT(INDEX(MO_SNA_FPStartDate,0,COLUMN()),"YYYYMMDD"),"END_DATE_OVERRIDE",TEXT(INDEX(MO_Common_QEndDate,0,COLUMN()),"YYYYMMDD")),"N/A")</f>
        <v>N/A</v>
      </c>
      <c r="BI794" s="646" t="str">
        <f aca="false">IFERROR(bdp(MO.Ticker.Bloomberg&amp;" Equity","INTERVAL_LOW","MARKET_DATA_OVERRIDE=PX_LAST","START_DATE_OVERRIDE",TEXT(INDEX(MO_SNA_FPStartDate,0,COLUMN()),"YYYYMMDD"),"END_DATE_OVERRIDE",TEXT(INDEX(MO_Common_QEndDate,0,COLUMN()),"YYYYMMDD")),"N/A")</f>
        <v>N/A</v>
      </c>
      <c r="BJ794" s="646" t="str">
        <f aca="false">IFERROR(bdp(MO.Ticker.Bloomberg&amp;" Equity","INTERVAL_LOW","MARKET_DATA_OVERRIDE=PX_LAST","START_DATE_OVERRIDE",TEXT(INDEX(MO_SNA_FPStartDate,0,COLUMN()),"YYYYMMDD"),"END_DATE_OVERRIDE",TEXT(INDEX(MO_Common_QEndDate,0,COLUMN()),"YYYYMMDD")),"N/A")</f>
        <v>N/A</v>
      </c>
      <c r="BK794" s="646" t="str">
        <f aca="false">IFERROR(bdp(MO.Ticker.Bloomberg&amp;" Equity","INTERVAL_LOW","MARKET_DATA_OVERRIDE=PX_LAST","START_DATE_OVERRIDE",TEXT(INDEX(MO_SNA_FPStartDate,0,COLUMN()),"YYYYMMDD"),"END_DATE_OVERRIDE",TEXT(INDEX(MO_Common_QEndDate,0,COLUMN()),"YYYYMMDD")),"N/A")</f>
        <v>N/A</v>
      </c>
      <c r="BL794" s="646" t="str">
        <f aca="false">IFERROR(bdp(MO.Ticker.Bloomberg&amp;" Equity","INTERVAL_LOW","MARKET_DATA_OVERRIDE=PX_LAST","START_DATE_OVERRIDE",TEXT(INDEX(MO_SNA_FPStartDate,0,COLUMN()),"YYYYMMDD"),"END_DATE_OVERRIDE",TEXT(INDEX(MO_Common_QEndDate,0,COLUMN()),"YYYYMMDD")),"N/A")</f>
        <v>N/A</v>
      </c>
      <c r="BM794" s="646" t="str">
        <f aca="false">IFERROR(bdp(MO.Ticker.Bloomberg&amp;" Equity","INTERVAL_LOW","MARKET_DATA_OVERRIDE=PX_LAST","START_DATE_OVERRIDE",TEXT(INDEX(MO_SNA_FPStartDate,0,COLUMN()),"YYYYMMDD"),"END_DATE_OVERRIDE",TEXT(INDEX(MO_Common_QEndDate,0,COLUMN()),"YYYYMMDD")),"N/A")</f>
        <v>N/A</v>
      </c>
      <c r="BN794" s="646" t="str">
        <f aca="false">IFERROR(bdp(MO.Ticker.Bloomberg&amp;" Equity","INTERVAL_LOW","MARKET_DATA_OVERRIDE=PX_LAST","START_DATE_OVERRIDE",TEXT(INDEX(MO_SNA_FPStartDate,0,COLUMN()),"YYYYMMDD"),"END_DATE_OVERRIDE",TEXT(INDEX(MO_Common_QEndDate,0,COLUMN()),"YYYYMMDD")),"N/A")</f>
        <v>N/A</v>
      </c>
      <c r="BO794" s="647" t="str">
        <f aca="false">IFERROR(bdp(MO.Ticker.Bloomberg&amp;" Equity","INTERVAL_LOW","MARKET_DATA_OVERRIDE=PX_LAST","START_DATE_OVERRIDE",TEXT(INDEX(MO_SNA_FPStartDate,0,COLUMN()),"YYYYMMDD"),"END_DATE_OVERRIDE",TEXT(INDEX(MO_Common_QEndDate,0,COLUMN()),"YYYYMMDD")),"N/A")</f>
        <v>N/A</v>
      </c>
      <c r="BP794" s="646" t="str">
        <f aca="false">IFERROR(bdp(MO.Ticker.Bloomberg&amp;" Equity","INTERVAL_LOW","MARKET_DATA_OVERRIDE=PX_LAST","START_DATE_OVERRIDE",TEXT(INDEX(MO_SNA_FPStartDate,0,COLUMN()),"YYYYMMDD"),"END_DATE_OVERRIDE",TEXT(INDEX(MO_Common_QEndDate,0,COLUMN()),"YYYYMMDD")),"N/A")</f>
        <v>N/A</v>
      </c>
      <c r="BQ794" s="646" t="str">
        <f aca="false">IFERROR(bdp(MO.Ticker.Bloomberg&amp;" Equity","INTERVAL_LOW","MARKET_DATA_OVERRIDE=PX_LAST","START_DATE_OVERRIDE",TEXT(INDEX(MO_SNA_FPStartDate,0,COLUMN()),"YYYYMMDD"),"END_DATE_OVERRIDE",TEXT(INDEX(MO_Common_QEndDate,0,COLUMN()),"YYYYMMDD")),"N/A")</f>
        <v>N/A</v>
      </c>
      <c r="BR794" s="646" t="str">
        <f aca="false">IFERROR(bdp(MO.Ticker.Bloomberg&amp;" Equity","INTERVAL_LOW","MARKET_DATA_OVERRIDE=PX_LAST","START_DATE_OVERRIDE",TEXT(INDEX(MO_SNA_FPStartDate,0,COLUMN()),"YYYYMMDD"),"END_DATE_OVERRIDE",TEXT(INDEX(MO_Common_QEndDate,0,COLUMN()),"YYYYMMDD")),"N/A")</f>
        <v>N/A</v>
      </c>
      <c r="BS794" s="646" t="str">
        <f aca="false">IFERROR(bdp(MO.Ticker.Bloomberg&amp;" Equity","INTERVAL_LOW","MARKET_DATA_OVERRIDE=PX_LAST","START_DATE_OVERRIDE",TEXT(INDEX(MO_SNA_FPStartDate,0,COLUMN()),"YYYYMMDD"),"END_DATE_OVERRIDE",TEXT(INDEX(MO_Common_QEndDate,0,COLUMN()),"YYYYMMDD")),"N/A")</f>
        <v>N/A</v>
      </c>
      <c r="BT794" s="646" t="str">
        <f aca="false">IFERROR(bdp(MO.Ticker.Bloomberg&amp;" Equity","INTERVAL_LOW","MARKET_DATA_OVERRIDE=PX_LAST","START_DATE_OVERRIDE",TEXT(INDEX(MO_SNA_FPStartDate,0,COLUMN()),"YYYYMMDD"),"END_DATE_OVERRIDE",TEXT(INDEX(MO_Common_QEndDate,0,COLUMN()),"YYYYMMDD")),"N/A")</f>
        <v>N/A</v>
      </c>
      <c r="BU794" s="646" t="str">
        <f aca="false">IFERROR(bdp(MO.Ticker.Bloomberg&amp;" Equity","INTERVAL_LOW","MARKET_DATA_OVERRIDE=PX_LAST","START_DATE_OVERRIDE",TEXT(INDEX(MO_SNA_FPStartDate,0,COLUMN()),"YYYYMMDD"),"END_DATE_OVERRIDE",TEXT(INDEX(MO_Common_QEndDate,0,COLUMN()),"YYYYMMDD")),"N/A")</f>
        <v>N/A</v>
      </c>
      <c r="BV794" s="646" t="str">
        <f aca="false">IFERROR(bdp(MO.Ticker.Bloomberg&amp;" Equity","INTERVAL_LOW","MARKET_DATA_OVERRIDE=PX_LAST","START_DATE_OVERRIDE",TEXT(INDEX(MO_SNA_FPStartDate,0,COLUMN()),"YYYYMMDD"),"END_DATE_OVERRIDE",TEXT(INDEX(MO_Common_QEndDate,0,COLUMN()),"YYYYMMDD")),"N/A")</f>
        <v>N/A</v>
      </c>
      <c r="BW794" s="646" t="str">
        <f aca="false">IFERROR(bdp(MO.Ticker.Bloomberg&amp;" Equity","INTERVAL_LOW","MARKET_DATA_OVERRIDE=PX_LAST","START_DATE_OVERRIDE",TEXT(INDEX(MO_SNA_FPStartDate,0,COLUMN()),"YYYYMMDD"),"END_DATE_OVERRIDE",TEXT(INDEX(MO_Common_QEndDate,0,COLUMN()),"YYYYMMDD")),"N/A")</f>
        <v>N/A</v>
      </c>
      <c r="BX794" s="646" t="str">
        <f aca="false">IFERROR(bdp(MO.Ticker.Bloomberg&amp;" Equity","INTERVAL_LOW","MARKET_DATA_OVERRIDE=PX_LAST","START_DATE_OVERRIDE",TEXT(INDEX(MO_SNA_FPStartDate,0,COLUMN()),"YYYYMMDD"),"END_DATE_OVERRIDE",TEXT(INDEX(MO_Common_QEndDate,0,COLUMN()),"YYYYMMDD")),"N/A")</f>
        <v>N/A</v>
      </c>
      <c r="BY794" s="646" t="str">
        <f aca="false">IFERROR(bdp(MO.Ticker.Bloomberg&amp;" Equity","INTERVAL_LOW","MARKET_DATA_OVERRIDE=PX_LAST","START_DATE_OVERRIDE",TEXT(INDEX(MO_SNA_FPStartDate,0,COLUMN()),"YYYYMMDD"),"END_DATE_OVERRIDE",TEXT(INDEX(MO_Common_QEndDate,0,COLUMN()),"YYYYMMDD")),"N/A")</f>
        <v>N/A</v>
      </c>
      <c r="BZ794" s="646" t="str">
        <f aca="false">IFERROR(bdp(MO.Ticker.Bloomberg&amp;" Equity","INTERVAL_LOW","MARKET_DATA_OVERRIDE=PX_LAST","START_DATE_OVERRIDE",TEXT(INDEX(MO_SNA_FPStartDate,0,COLUMN()),"YYYYMMDD"),"END_DATE_OVERRIDE",TEXT(INDEX(MO_Common_QEndDate,0,COLUMN()),"YYYYMMDD")),"N/A")</f>
        <v>N/A</v>
      </c>
      <c r="CA794" s="646" t="str">
        <f aca="false">IFERROR(bdp(MO.Ticker.Bloomberg&amp;" Equity","INTERVAL_LOW","MARKET_DATA_OVERRIDE=PX_LAST","START_DATE_OVERRIDE",TEXT(INDEX(MO_SNA_FPStartDate,0,COLUMN()),"YYYYMMDD"),"END_DATE_OVERRIDE",TEXT(INDEX(MO_Common_QEndDate,0,COLUMN()),"YYYYMMDD")),"N/A")</f>
        <v>N/A</v>
      </c>
      <c r="CB794" s="648" t="str">
        <f aca="false">IFERROR(bdp(MO.Ticker.Bloomberg&amp;" Equity","INTERVAL_LOW","MARKET_DATA_OVERRIDE=PX_LAST","START_DATE_OVERRIDE",TEXT(INDEX(MO_SNA_FPStartDate,0,COLUMN()),"YYYYMMDD"),"END_DATE_OVERRIDE",TEXT(INDEX(MO_Common_QEndDate,0,COLUMN()),"YYYYMMDD")),"N/A")</f>
        <v>N/A</v>
      </c>
      <c r="CC794" s="649"/>
    </row>
    <row r="795" s="46" customFormat="true" ht="15" hidden="true" customHeight="true" outlineLevel="1" collapsed="false">
      <c r="A795" s="650" t="s">
        <v>704</v>
      </c>
      <c r="B795" s="646"/>
      <c r="C795" s="646" t="str">
        <f aca="false">IFERROR(ciqlo(MO.Ticker.CapIQ,"IQ_LASTSALEPRICE",INDEX(MO_SNA_FPStartDate,0,COLUMN()),INDEX(MO_Common_QEndDate,0,COLUMN())),"N/A")</f>
        <v>N/A</v>
      </c>
      <c r="D795" s="646" t="str">
        <f aca="false">IFERROR(ciqlo(MO.Ticker.CapIQ,"IQ_LASTSALEPRICE",INDEX(MO_SNA_FPStartDate,0,COLUMN()),INDEX(MO_Common_QEndDate,0,COLUMN())),"N/A")</f>
        <v>N/A</v>
      </c>
      <c r="E795" s="646" t="str">
        <f aca="false">IFERROR(ciqlo(MO.Ticker.CapIQ,"IQ_LASTSALEPRICE",INDEX(MO_SNA_FPStartDate,0,COLUMN()),INDEX(MO_Common_QEndDate,0,COLUMN())),"N/A")</f>
        <v>N/A</v>
      </c>
      <c r="F795" s="646" t="str">
        <f aca="false">IFERROR(ciqlo(MO.Ticker.CapIQ,"IQ_LASTSALEPRICE",INDEX(MO_SNA_FPStartDate,0,COLUMN()),INDEX(MO_Common_QEndDate,0,COLUMN())),"N/A")</f>
        <v>N/A</v>
      </c>
      <c r="G795" s="646" t="str">
        <f aca="false">IFERROR(ciqlo(MO.Ticker.CapIQ,"IQ_LASTSALEPRICE",INDEX(MO_SNA_FPStartDate,0,COLUMN()),INDEX(MO_Common_QEndDate,0,COLUMN())),"N/A")</f>
        <v>N/A</v>
      </c>
      <c r="H795" s="646" t="str">
        <f aca="false">IFERROR(ciqlo(MO.Ticker.CapIQ,"IQ_LASTSALEPRICE",INDEX(MO_SNA_FPStartDate,0,COLUMN()),INDEX(MO_Common_QEndDate,0,COLUMN())),"N/A")</f>
        <v>N/A</v>
      </c>
      <c r="I795" s="646" t="str">
        <f aca="false">IFERROR(ciqlo(MO.Ticker.CapIQ,"IQ_LASTSALEPRICE",INDEX(MO_SNA_FPStartDate,0,COLUMN()),INDEX(MO_Common_QEndDate,0,COLUMN())),"N/A")</f>
        <v>N/A</v>
      </c>
      <c r="J795" s="646" t="str">
        <f aca="false">IFERROR(ciqlo(MO.Ticker.CapIQ,"IQ_LASTSALEPRICE",INDEX(MO_SNA_FPStartDate,0,COLUMN()),INDEX(MO_Common_QEndDate,0,COLUMN())),"N/A")</f>
        <v>N/A</v>
      </c>
      <c r="K795" s="646" t="str">
        <f aca="false">IFERROR(ciqlo(MO.Ticker.CapIQ,"IQ_LASTSALEPRICE",INDEX(MO_SNA_FPStartDate,0,COLUMN()),INDEX(MO_Common_QEndDate,0,COLUMN())),"N/A")</f>
        <v>N/A</v>
      </c>
      <c r="L795" s="646" t="str">
        <f aca="false">IFERROR(ciqlo(MO.Ticker.CapIQ,"IQ_LASTSALEPRICE",INDEX(MO_SNA_FPStartDate,0,COLUMN()),INDEX(MO_Common_QEndDate,0,COLUMN())),"N/A")</f>
        <v>N/A</v>
      </c>
      <c r="M795" s="646" t="str">
        <f aca="false">IFERROR(ciqlo(MO.Ticker.CapIQ,"IQ_LASTSALEPRICE",INDEX(MO_SNA_FPStartDate,0,COLUMN()),INDEX(MO_Common_QEndDate,0,COLUMN())),"N/A")</f>
        <v>N/A</v>
      </c>
      <c r="N795" s="646" t="str">
        <f aca="false">IFERROR(ciqlo(MO.Ticker.CapIQ,"IQ_LASTSALEPRICE",INDEX(MO_SNA_FPStartDate,0,COLUMN()),INDEX(MO_Common_QEndDate,0,COLUMN())),"N/A")</f>
        <v>N/A</v>
      </c>
      <c r="O795" s="646" t="str">
        <f aca="false">IFERROR(ciqlo(MO.Ticker.CapIQ,"IQ_LASTSALEPRICE",INDEX(MO_SNA_FPStartDate,0,COLUMN()),INDEX(MO_Common_QEndDate,0,COLUMN())),"N/A")</f>
        <v>N/A</v>
      </c>
      <c r="P795" s="646" t="str">
        <f aca="false">IFERROR(ciqlo(MO.Ticker.CapIQ,"IQ_LASTSALEPRICE",INDEX(MO_SNA_FPStartDate,0,COLUMN()),INDEX(MO_Common_QEndDate,0,COLUMN())),"N/A")</f>
        <v>N/A</v>
      </c>
      <c r="Q795" s="646" t="str">
        <f aca="false">IFERROR(ciqlo(MO.Ticker.CapIQ,"IQ_LASTSALEPRICE",INDEX(MO_SNA_FPStartDate,0,COLUMN()),INDEX(MO_Common_QEndDate,0,COLUMN())),"N/A")</f>
        <v>N/A</v>
      </c>
      <c r="R795" s="646" t="str">
        <f aca="false">IFERROR(ciqlo(MO.Ticker.CapIQ,"IQ_LASTSALEPRICE",INDEX(MO_SNA_FPStartDate,0,COLUMN()),INDEX(MO_Common_QEndDate,0,COLUMN())),"N/A")</f>
        <v>N/A</v>
      </c>
      <c r="S795" s="646" t="str">
        <f aca="false">IFERROR(ciqlo(MO.Ticker.CapIQ,"IQ_LASTSALEPRICE",INDEX(MO_SNA_FPStartDate,0,COLUMN()),INDEX(MO_Common_QEndDate,0,COLUMN())),"N/A")</f>
        <v>N/A</v>
      </c>
      <c r="T795" s="646" t="str">
        <f aca="false">IFERROR(ciqlo(MO.Ticker.CapIQ,"IQ_LASTSALEPRICE",INDEX(MO_SNA_FPStartDate,0,COLUMN()),INDEX(MO_Common_QEndDate,0,COLUMN())),"N/A")</f>
        <v>N/A</v>
      </c>
      <c r="U795" s="646" t="str">
        <f aca="false">IFERROR(ciqlo(MO.Ticker.CapIQ,"IQ_LASTSALEPRICE",INDEX(MO_SNA_FPStartDate,0,COLUMN()),INDEX(MO_Common_QEndDate,0,COLUMN())),"N/A")</f>
        <v>N/A</v>
      </c>
      <c r="V795" s="646" t="str">
        <f aca="false">IFERROR(ciqlo(MO.Ticker.CapIQ,"IQ_LASTSALEPRICE",INDEX(MO_SNA_FPStartDate,0,COLUMN()),INDEX(MO_Common_QEndDate,0,COLUMN())),"N/A")</f>
        <v>N/A</v>
      </c>
      <c r="W795" s="646" t="str">
        <f aca="false">IFERROR(ciqlo(MO.Ticker.CapIQ,"IQ_LASTSALEPRICE",INDEX(MO_SNA_FPStartDate,0,COLUMN()),INDEX(MO_Common_QEndDate,0,COLUMN())),"N/A")</f>
        <v>N/A</v>
      </c>
      <c r="X795" s="646" t="str">
        <f aca="false">IFERROR(ciqlo(MO.Ticker.CapIQ,"IQ_LASTSALEPRICE",INDEX(MO_SNA_FPStartDate,0,COLUMN()),INDEX(MO_Common_QEndDate,0,COLUMN())),"N/A")</f>
        <v>N/A</v>
      </c>
      <c r="Y795" s="646" t="str">
        <f aca="false">IFERROR(ciqlo(MO.Ticker.CapIQ,"IQ_LASTSALEPRICE",INDEX(MO_SNA_FPStartDate,0,COLUMN()),INDEX(MO_Common_QEndDate,0,COLUMN())),"N/A")</f>
        <v>N/A</v>
      </c>
      <c r="Z795" s="646" t="str">
        <f aca="false">IFERROR(ciqlo(MO.Ticker.CapIQ,"IQ_LASTSALEPRICE",INDEX(MO_SNA_FPStartDate,0,COLUMN()),INDEX(MO_Common_QEndDate,0,COLUMN())),"N/A")</f>
        <v>N/A</v>
      </c>
      <c r="AA795" s="646" t="str">
        <f aca="false">IFERROR(ciqlo(MO.Ticker.CapIQ,"IQ_LASTSALEPRICE",INDEX(MO_SNA_FPStartDate,0,COLUMN()),INDEX(MO_Common_QEndDate,0,COLUMN())),"N/A")</f>
        <v>N/A</v>
      </c>
      <c r="AB795" s="646" t="str">
        <f aca="false">IFERROR(ciqlo(MO.Ticker.CapIQ,"IQ_LASTSALEPRICE",INDEX(MO_SNA_FPStartDate,0,COLUMN()),INDEX(MO_Common_QEndDate,0,COLUMN())),"N/A")</f>
        <v>N/A</v>
      </c>
      <c r="AC795" s="646" t="str">
        <f aca="false">IFERROR(ciqlo(MO.Ticker.CapIQ,"IQ_LASTSALEPRICE",INDEX(MO_SNA_FPStartDate,0,COLUMN()),INDEX(MO_Common_QEndDate,0,COLUMN())),"N/A")</f>
        <v>N/A</v>
      </c>
      <c r="AD795" s="646" t="str">
        <f aca="false">IFERROR(ciqlo(MO.Ticker.CapIQ,"IQ_LASTSALEPRICE",INDEX(MO_SNA_FPStartDate,0,COLUMN()),INDEX(MO_Common_QEndDate,0,COLUMN())),"N/A")</f>
        <v>N/A</v>
      </c>
      <c r="AE795" s="646" t="str">
        <f aca="false">IFERROR(ciqlo(MO.Ticker.CapIQ,"IQ_LASTSALEPRICE",INDEX(MO_SNA_FPStartDate,0,COLUMN()),INDEX(MO_Common_QEndDate,0,COLUMN())),"N/A")</f>
        <v>N/A</v>
      </c>
      <c r="AF795" s="646" t="str">
        <f aca="false">IFERROR(ciqlo(MO.Ticker.CapIQ,"IQ_LASTSALEPRICE",INDEX(MO_SNA_FPStartDate,0,COLUMN()),INDEX(MO_Common_QEndDate,0,COLUMN())),"N/A")</f>
        <v>N/A</v>
      </c>
      <c r="AG795" s="646" t="str">
        <f aca="false">IFERROR(ciqlo(MO.Ticker.CapIQ,"IQ_LASTSALEPRICE",INDEX(MO_SNA_FPStartDate,0,COLUMN()),INDEX(MO_Common_QEndDate,0,COLUMN())),"N/A")</f>
        <v>N/A</v>
      </c>
      <c r="AH795" s="646" t="str">
        <f aca="false">IFERROR(ciqlo(MO.Ticker.CapIQ,"IQ_LASTSALEPRICE",INDEX(MO_SNA_FPStartDate,0,COLUMN()),INDEX(MO_Common_QEndDate,0,COLUMN())),"N/A")</f>
        <v>N/A</v>
      </c>
      <c r="AI795" s="646" t="str">
        <f aca="false">IFERROR(ciqlo(MO.Ticker.CapIQ,"IQ_LASTSALEPRICE",INDEX(MO_SNA_FPStartDate,0,COLUMN()),INDEX(MO_Common_QEndDate,0,COLUMN())),"N/A")</f>
        <v>N/A</v>
      </c>
      <c r="AJ795" s="646" t="str">
        <f aca="false">IFERROR(ciqlo(MO.Ticker.CapIQ,"IQ_LASTSALEPRICE",INDEX(MO_SNA_FPStartDate,0,COLUMN()),INDEX(MO_Common_QEndDate,0,COLUMN())),"N/A")</f>
        <v>N/A</v>
      </c>
      <c r="AK795" s="646" t="str">
        <f aca="false">IFERROR(ciqlo(MO.Ticker.CapIQ,"IQ_LASTSALEPRICE",INDEX(MO_SNA_FPStartDate,0,COLUMN()),INDEX(MO_Common_QEndDate,0,COLUMN())),"N/A")</f>
        <v>N/A</v>
      </c>
      <c r="AL795" s="646" t="str">
        <f aca="false">IFERROR(ciqlo(MO.Ticker.CapIQ,"IQ_LASTSALEPRICE",INDEX(MO_SNA_FPStartDate,0,COLUMN()),INDEX(MO_Common_QEndDate,0,COLUMN())),"N/A")</f>
        <v>N/A</v>
      </c>
      <c r="AM795" s="646" t="str">
        <f aca="false">IFERROR(ciqlo(MO.Ticker.CapIQ,"IQ_LASTSALEPRICE",INDEX(MO_SNA_FPStartDate,0,COLUMN()),INDEX(MO_Common_QEndDate,0,COLUMN())),"N/A")</f>
        <v>N/A</v>
      </c>
      <c r="AN795" s="646" t="str">
        <f aca="false">IFERROR(ciqlo(MO.Ticker.CapIQ,"IQ_LASTSALEPRICE",INDEX(MO_SNA_FPStartDate,0,COLUMN()),INDEX(MO_Common_QEndDate,0,COLUMN())),"N/A")</f>
        <v>N/A</v>
      </c>
      <c r="AO795" s="646" t="str">
        <f aca="false">IFERROR(ciqlo(MO.Ticker.CapIQ,"IQ_LASTSALEPRICE",INDEX(MO_SNA_FPStartDate,0,COLUMN()),INDEX(MO_Common_QEndDate,0,COLUMN())),"N/A")</f>
        <v>N/A</v>
      </c>
      <c r="AP795" s="646" t="str">
        <f aca="false">IFERROR(ciqlo(MO.Ticker.CapIQ,"IQ_LASTSALEPRICE",INDEX(MO_SNA_FPStartDate,0,COLUMN()),INDEX(MO_Common_QEndDate,0,COLUMN())),"N/A")</f>
        <v>N/A</v>
      </c>
      <c r="AQ795" s="646" t="str">
        <f aca="false">IFERROR(ciqlo(MO.Ticker.CapIQ,"IQ_LASTSALEPRICE",INDEX(MO_SNA_FPStartDate,0,COLUMN()),INDEX(MO_Common_QEndDate,0,COLUMN())),"N/A")</f>
        <v>N/A</v>
      </c>
      <c r="AR795" s="646" t="str">
        <f aca="false">IFERROR(ciqlo(MO.Ticker.CapIQ,"IQ_LASTSALEPRICE",INDEX(MO_SNA_FPStartDate,0,COLUMN()),INDEX(MO_Common_QEndDate,0,COLUMN())),"N/A")</f>
        <v>N/A</v>
      </c>
      <c r="AS795" s="646" t="str">
        <f aca="false">IFERROR(ciqlo(MO.Ticker.CapIQ,"IQ_LASTSALEPRICE",INDEX(MO_SNA_FPStartDate,0,COLUMN()),INDEX(MO_Common_QEndDate,0,COLUMN())),"N/A")</f>
        <v>N/A</v>
      </c>
      <c r="AT795" s="646" t="str">
        <f aca="false">IFERROR(ciqlo(MO.Ticker.CapIQ,"IQ_LASTSALEPRICE",INDEX(MO_SNA_FPStartDate,0,COLUMN()),INDEX(MO_Common_QEndDate,0,COLUMN())),"N/A")</f>
        <v>N/A</v>
      </c>
      <c r="AU795" s="646" t="str">
        <f aca="false">IFERROR(ciqlo(MO.Ticker.CapIQ,"IQ_LASTSALEPRICE",INDEX(MO_SNA_FPStartDate,0,COLUMN()),INDEX(MO_Common_QEndDate,0,COLUMN())),"N/A")</f>
        <v>N/A</v>
      </c>
      <c r="AV795" s="646" t="str">
        <f aca="false">IFERROR(ciqlo(MO.Ticker.CapIQ,"IQ_LASTSALEPRICE",INDEX(MO_SNA_FPStartDate,0,COLUMN()),INDEX(MO_Common_QEndDate,0,COLUMN())),"N/A")</f>
        <v>N/A</v>
      </c>
      <c r="AW795" s="646" t="str">
        <f aca="false">IFERROR(ciqlo(MO.Ticker.CapIQ,"IQ_LASTSALEPRICE",INDEX(MO_SNA_FPStartDate,0,COLUMN()),INDEX(MO_Common_QEndDate,0,COLUMN())),"N/A")</f>
        <v>N/A</v>
      </c>
      <c r="AX795" s="646" t="str">
        <f aca="false">IFERROR(ciqlo(MO.Ticker.CapIQ,"IQ_LASTSALEPRICE",INDEX(MO_SNA_FPStartDate,0,COLUMN()),INDEX(MO_Common_QEndDate,0,COLUMN())),"N/A")</f>
        <v>N/A</v>
      </c>
      <c r="AY795" s="646" t="str">
        <f aca="false">IFERROR(ciqlo(MO.Ticker.CapIQ,"IQ_LASTSALEPRICE",INDEX(MO_SNA_FPStartDate,0,COLUMN()),INDEX(MO_Common_QEndDate,0,COLUMN())),"N/A")</f>
        <v>N/A</v>
      </c>
      <c r="AZ795" s="646" t="str">
        <f aca="false">IFERROR(ciqlo(MO.Ticker.CapIQ,"IQ_LASTSALEPRICE",INDEX(MO_SNA_FPStartDate,0,COLUMN()),INDEX(MO_Common_QEndDate,0,COLUMN())),"N/A")</f>
        <v>N/A</v>
      </c>
      <c r="BA795" s="646" t="str">
        <f aca="false">IFERROR(ciqlo(MO.Ticker.CapIQ,"IQ_LASTSALEPRICE",INDEX(MO_SNA_FPStartDate,0,COLUMN()),INDEX(MO_Common_QEndDate,0,COLUMN())),"N/A")</f>
        <v>N/A</v>
      </c>
      <c r="BB795" s="646" t="str">
        <f aca="false">IFERROR(ciqlo(MO.Ticker.CapIQ,"IQ_LASTSALEPRICE",INDEX(MO_SNA_FPStartDate,0,COLUMN()),INDEX(MO_Common_QEndDate,0,COLUMN())),"N/A")</f>
        <v>N/A</v>
      </c>
      <c r="BC795" s="646" t="str">
        <f aca="false">IFERROR(ciqlo(MO.Ticker.CapIQ,"IQ_LASTSALEPRICE",INDEX(MO_SNA_FPStartDate,0,COLUMN()),INDEX(MO_Common_QEndDate,0,COLUMN())),"N/A")</f>
        <v>N/A</v>
      </c>
      <c r="BD795" s="646" t="str">
        <f aca="false">IFERROR(ciqlo(MO.Ticker.CapIQ,"IQ_LASTSALEPRICE",INDEX(MO_SNA_FPStartDate,0,COLUMN()),INDEX(MO_Common_QEndDate,0,COLUMN())),"N/A")</f>
        <v>N/A</v>
      </c>
      <c r="BE795" s="646" t="str">
        <f aca="false">IFERROR(ciqlo(MO.Ticker.CapIQ,"IQ_LASTSALEPRICE",INDEX(MO_SNA_FPStartDate,0,COLUMN()),INDEX(MO_Common_QEndDate,0,COLUMN())),"N/A")</f>
        <v>N/A</v>
      </c>
      <c r="BF795" s="646" t="str">
        <f aca="false">IFERROR(ciqlo(MO.Ticker.CapIQ,"IQ_LASTSALEPRICE",INDEX(MO_SNA_FPStartDate,0,COLUMN()),INDEX(MO_Common_QEndDate,0,COLUMN())),"N/A")</f>
        <v>N/A</v>
      </c>
      <c r="BG795" s="646" t="str">
        <f aca="false">IFERROR(ciqlo(MO.Ticker.CapIQ,"IQ_LASTSALEPRICE",INDEX(MO_SNA_FPStartDate,0,COLUMN()),INDEX(MO_Common_QEndDate,0,COLUMN())),"N/A")</f>
        <v>N/A</v>
      </c>
      <c r="BH795" s="646" t="str">
        <f aca="false">IFERROR(ciqlo(MO.Ticker.CapIQ,"IQ_LASTSALEPRICE",INDEX(MO_SNA_FPStartDate,0,COLUMN()),INDEX(MO_Common_QEndDate,0,COLUMN())),"N/A")</f>
        <v>N/A</v>
      </c>
      <c r="BI795" s="646" t="str">
        <f aca="false">IFERROR(ciqlo(MO.Ticker.CapIQ,"IQ_LASTSALEPRICE",INDEX(MO_SNA_FPStartDate,0,COLUMN()),INDEX(MO_Common_QEndDate,0,COLUMN())),"N/A")</f>
        <v>N/A</v>
      </c>
      <c r="BJ795" s="646" t="str">
        <f aca="false">IFERROR(ciqlo(MO.Ticker.CapIQ,"IQ_LASTSALEPRICE",INDEX(MO_SNA_FPStartDate,0,COLUMN()),INDEX(MO_Common_QEndDate,0,COLUMN())),"N/A")</f>
        <v>N/A</v>
      </c>
      <c r="BK795" s="646" t="str">
        <f aca="false">IFERROR(ciqlo(MO.Ticker.CapIQ,"IQ_LASTSALEPRICE",INDEX(MO_SNA_FPStartDate,0,COLUMN()),INDEX(MO_Common_QEndDate,0,COLUMN())),"N/A")</f>
        <v>N/A</v>
      </c>
      <c r="BL795" s="646" t="str">
        <f aca="false">IFERROR(ciqlo(MO.Ticker.CapIQ,"IQ_LASTSALEPRICE",INDEX(MO_SNA_FPStartDate,0,COLUMN()),INDEX(MO_Common_QEndDate,0,COLUMN())),"N/A")</f>
        <v>N/A</v>
      </c>
      <c r="BM795" s="646" t="str">
        <f aca="false">IFERROR(ciqlo(MO.Ticker.CapIQ,"IQ_LASTSALEPRICE",INDEX(MO_SNA_FPStartDate,0,COLUMN()),INDEX(MO_Common_QEndDate,0,COLUMN())),"N/A")</f>
        <v>N/A</v>
      </c>
      <c r="BN795" s="646" t="str">
        <f aca="false">IFERROR(ciqlo(MO.Ticker.CapIQ,"IQ_LASTSALEPRICE",INDEX(MO_SNA_FPStartDate,0,COLUMN()),INDEX(MO_Common_QEndDate,0,COLUMN())),"N/A")</f>
        <v>N/A</v>
      </c>
      <c r="BO795" s="647" t="str">
        <f aca="false">IFERROR(ciqlo(MO.Ticker.CapIQ,"IQ_LASTSALEPRICE",INDEX(MO_SNA_FPStartDate,0,COLUMN()),INDEX(MO_Common_QEndDate,0,COLUMN())),"N/A")</f>
        <v>N/A</v>
      </c>
      <c r="BP795" s="646" t="str">
        <f aca="false">IFERROR(ciqlo(MO.Ticker.CapIQ,"IQ_LASTSALEPRICE",INDEX(MO_SNA_FPStartDate,0,COLUMN()),INDEX(MO_Common_QEndDate,0,COLUMN())),"N/A")</f>
        <v>N/A</v>
      </c>
      <c r="BQ795" s="646" t="str">
        <f aca="false">IFERROR(ciqlo(MO.Ticker.CapIQ,"IQ_LASTSALEPRICE",INDEX(MO_SNA_FPStartDate,0,COLUMN()),INDEX(MO_Common_QEndDate,0,COLUMN())),"N/A")</f>
        <v>N/A</v>
      </c>
      <c r="BR795" s="646" t="str">
        <f aca="false">IFERROR(ciqlo(MO.Ticker.CapIQ,"IQ_LASTSALEPRICE",INDEX(MO_SNA_FPStartDate,0,COLUMN()),INDEX(MO_Common_QEndDate,0,COLUMN())),"N/A")</f>
        <v>N/A</v>
      </c>
      <c r="BS795" s="646" t="str">
        <f aca="false">IFERROR(ciqlo(MO.Ticker.CapIQ,"IQ_LASTSALEPRICE",INDEX(MO_SNA_FPStartDate,0,COLUMN()),INDEX(MO_Common_QEndDate,0,COLUMN())),"N/A")</f>
        <v>N/A</v>
      </c>
      <c r="BT795" s="646" t="str">
        <f aca="false">IFERROR(ciqlo(MO.Ticker.CapIQ,"IQ_LASTSALEPRICE",INDEX(MO_SNA_FPStartDate,0,COLUMN()),INDEX(MO_Common_QEndDate,0,COLUMN())),"N/A")</f>
        <v>N/A</v>
      </c>
      <c r="BU795" s="646" t="str">
        <f aca="false">IFERROR(ciqlo(MO.Ticker.CapIQ,"IQ_LASTSALEPRICE",INDEX(MO_SNA_FPStartDate,0,COLUMN()),INDEX(MO_Common_QEndDate,0,COLUMN())),"N/A")</f>
        <v>N/A</v>
      </c>
      <c r="BV795" s="646" t="str">
        <f aca="false">IFERROR(ciqlo(MO.Ticker.CapIQ,"IQ_LASTSALEPRICE",INDEX(MO_SNA_FPStartDate,0,COLUMN()),INDEX(MO_Common_QEndDate,0,COLUMN())),"N/A")</f>
        <v>N/A</v>
      </c>
      <c r="BW795" s="646" t="str">
        <f aca="false">IFERROR(ciqlo(MO.Ticker.CapIQ,"IQ_LASTSALEPRICE",INDEX(MO_SNA_FPStartDate,0,COLUMN()),INDEX(MO_Common_QEndDate,0,COLUMN())),"N/A")</f>
        <v>N/A</v>
      </c>
      <c r="BX795" s="646" t="str">
        <f aca="false">IFERROR(ciqlo(MO.Ticker.CapIQ,"IQ_LASTSALEPRICE",INDEX(MO_SNA_FPStartDate,0,COLUMN()),INDEX(MO_Common_QEndDate,0,COLUMN())),"N/A")</f>
        <v>N/A</v>
      </c>
      <c r="BY795" s="646" t="str">
        <f aca="false">IFERROR(ciqlo(MO.Ticker.CapIQ,"IQ_LASTSALEPRICE",INDEX(MO_SNA_FPStartDate,0,COLUMN()),INDEX(MO_Common_QEndDate,0,COLUMN())),"N/A")</f>
        <v>N/A</v>
      </c>
      <c r="BZ795" s="646" t="str">
        <f aca="false">IFERROR(ciqlo(MO.Ticker.CapIQ,"IQ_LASTSALEPRICE",INDEX(MO_SNA_FPStartDate,0,COLUMN()),INDEX(MO_Common_QEndDate,0,COLUMN())),"N/A")</f>
        <v>N/A</v>
      </c>
      <c r="CA795" s="646" t="str">
        <f aca="false">IFERROR(ciqlo(MO.Ticker.CapIQ,"IQ_LASTSALEPRICE",INDEX(MO_SNA_FPStartDate,0,COLUMN()),INDEX(MO_Common_QEndDate,0,COLUMN())),"N/A")</f>
        <v>N/A</v>
      </c>
      <c r="CB795" s="648" t="str">
        <f aca="false">IFERROR(ciqlo(MO.Ticker.CapIQ,"IQ_LASTSALEPRICE",INDEX(MO_SNA_FPStartDate,0,COLUMN()),INDEX(MO_Common_QEndDate,0,COLUMN())),"N/A")</f>
        <v>N/A</v>
      </c>
      <c r="CC795" s="649"/>
    </row>
    <row r="796" s="46" customFormat="true" ht="15" hidden="true" customHeight="true" outlineLevel="1" collapsed="false">
      <c r="A796" s="650" t="s">
        <v>705</v>
      </c>
      <c r="B796" s="646"/>
      <c r="C796" s="646" t="str">
        <f aca="false">IFERROR(fds(MO.Ticker.FactSet,"P_PRICE_LOW"&amp;"("&amp;INDEX(MO_SNA_FPStartDate,0,COLUMN())&amp;","&amp;INDEX(MO_Common_QEndDate,0,COLUMN())&amp;",,,,""PRICE"",""CLOSE"")"),"N/A")</f>
        <v>N/A</v>
      </c>
      <c r="D796" s="646" t="str">
        <f aca="false">IFERROR(fds(MO.Ticker.FactSet,"P_PRICE_LOW"&amp;"("&amp;INDEX(MO_SNA_FPStartDate,0,COLUMN())&amp;","&amp;INDEX(MO_Common_QEndDate,0,COLUMN())&amp;",,,,""PRICE"",""CLOSE"")"),"N/A")</f>
        <v>N/A</v>
      </c>
      <c r="E796" s="646" t="str">
        <f aca="false">IFERROR(fds(MO.Ticker.FactSet,"P_PRICE_LOW"&amp;"("&amp;INDEX(MO_SNA_FPStartDate,0,COLUMN())&amp;","&amp;INDEX(MO_Common_QEndDate,0,COLUMN())&amp;",,,,""PRICE"",""CLOSE"")"),"N/A")</f>
        <v>N/A</v>
      </c>
      <c r="F796" s="646" t="str">
        <f aca="false">IFERROR(fds(MO.Ticker.FactSet,"P_PRICE_LOW"&amp;"("&amp;INDEX(MO_SNA_FPStartDate,0,COLUMN())&amp;","&amp;INDEX(MO_Common_QEndDate,0,COLUMN())&amp;",,,,""PRICE"",""CLOSE"")"),"N/A")</f>
        <v>N/A</v>
      </c>
      <c r="G796" s="646" t="str">
        <f aca="false">IFERROR(fds(MO.Ticker.FactSet,"P_PRICE_LOW"&amp;"("&amp;INDEX(MO_SNA_FPStartDate,0,COLUMN())&amp;","&amp;INDEX(MO_Common_QEndDate,0,COLUMN())&amp;",,,,""PRICE"",""CLOSE"")"),"N/A")</f>
        <v>N/A</v>
      </c>
      <c r="H796" s="646" t="str">
        <f aca="false">IFERROR(fds(MO.Ticker.FactSet,"P_PRICE_LOW"&amp;"("&amp;INDEX(MO_SNA_FPStartDate,0,COLUMN())&amp;","&amp;INDEX(MO_Common_QEndDate,0,COLUMN())&amp;",,,,""PRICE"",""CLOSE"")"),"N/A")</f>
        <v>N/A</v>
      </c>
      <c r="I796" s="646" t="str">
        <f aca="false">IFERROR(fds(MO.Ticker.FactSet,"P_PRICE_LOW"&amp;"("&amp;INDEX(MO_SNA_FPStartDate,0,COLUMN())&amp;","&amp;INDEX(MO_Common_QEndDate,0,COLUMN())&amp;",,,,""PRICE"",""CLOSE"")"),"N/A")</f>
        <v>N/A</v>
      </c>
      <c r="J796" s="646" t="str">
        <f aca="false">IFERROR(fds(MO.Ticker.FactSet,"P_PRICE_LOW"&amp;"("&amp;INDEX(MO_SNA_FPStartDate,0,COLUMN())&amp;","&amp;INDEX(MO_Common_QEndDate,0,COLUMN())&amp;",,,,""PRICE"",""CLOSE"")"),"N/A")</f>
        <v>N/A</v>
      </c>
      <c r="K796" s="646" t="str">
        <f aca="false">IFERROR(fds(MO.Ticker.FactSet,"P_PRICE_LOW"&amp;"("&amp;INDEX(MO_SNA_FPStartDate,0,COLUMN())&amp;","&amp;INDEX(MO_Common_QEndDate,0,COLUMN())&amp;",,,,""PRICE"",""CLOSE"")"),"N/A")</f>
        <v>N/A</v>
      </c>
      <c r="L796" s="646" t="str">
        <f aca="false">IFERROR(fds(MO.Ticker.FactSet,"P_PRICE_LOW"&amp;"("&amp;INDEX(MO_SNA_FPStartDate,0,COLUMN())&amp;","&amp;INDEX(MO_Common_QEndDate,0,COLUMN())&amp;",,,,""PRICE"",""CLOSE"")"),"N/A")</f>
        <v>N/A</v>
      </c>
      <c r="M796" s="646" t="str">
        <f aca="false">IFERROR(fds(MO.Ticker.FactSet,"P_PRICE_LOW"&amp;"("&amp;INDEX(MO_SNA_FPStartDate,0,COLUMN())&amp;","&amp;INDEX(MO_Common_QEndDate,0,COLUMN())&amp;",,,,""PRICE"",""CLOSE"")"),"N/A")</f>
        <v>N/A</v>
      </c>
      <c r="N796" s="646" t="str">
        <f aca="false">IFERROR(fds(MO.Ticker.FactSet,"P_PRICE_LOW"&amp;"("&amp;INDEX(MO_SNA_FPStartDate,0,COLUMN())&amp;","&amp;INDEX(MO_Common_QEndDate,0,COLUMN())&amp;",,,,""PRICE"",""CLOSE"")"),"N/A")</f>
        <v>N/A</v>
      </c>
      <c r="O796" s="646" t="str">
        <f aca="false">IFERROR(fds(MO.Ticker.FactSet,"P_PRICE_LOW"&amp;"("&amp;INDEX(MO_SNA_FPStartDate,0,COLUMN())&amp;","&amp;INDEX(MO_Common_QEndDate,0,COLUMN())&amp;",,,,""PRICE"",""CLOSE"")"),"N/A")</f>
        <v>N/A</v>
      </c>
      <c r="P796" s="646" t="str">
        <f aca="false">IFERROR(fds(MO.Ticker.FactSet,"P_PRICE_LOW"&amp;"("&amp;INDEX(MO_SNA_FPStartDate,0,COLUMN())&amp;","&amp;INDEX(MO_Common_QEndDate,0,COLUMN())&amp;",,,,""PRICE"",""CLOSE"")"),"N/A")</f>
        <v>N/A</v>
      </c>
      <c r="Q796" s="646" t="str">
        <f aca="false">IFERROR(fds(MO.Ticker.FactSet,"P_PRICE_LOW"&amp;"("&amp;INDEX(MO_SNA_FPStartDate,0,COLUMN())&amp;","&amp;INDEX(MO_Common_QEndDate,0,COLUMN())&amp;",,,,""PRICE"",""CLOSE"")"),"N/A")</f>
        <v>N/A</v>
      </c>
      <c r="R796" s="646" t="str">
        <f aca="false">IFERROR(fds(MO.Ticker.FactSet,"P_PRICE_LOW"&amp;"("&amp;INDEX(MO_SNA_FPStartDate,0,COLUMN())&amp;","&amp;INDEX(MO_Common_QEndDate,0,COLUMN())&amp;",,,,""PRICE"",""CLOSE"")"),"N/A")</f>
        <v>N/A</v>
      </c>
      <c r="S796" s="646" t="str">
        <f aca="false">IFERROR(fds(MO.Ticker.FactSet,"P_PRICE_LOW"&amp;"("&amp;INDEX(MO_SNA_FPStartDate,0,COLUMN())&amp;","&amp;INDEX(MO_Common_QEndDate,0,COLUMN())&amp;",,,,""PRICE"",""CLOSE"")"),"N/A")</f>
        <v>N/A</v>
      </c>
      <c r="T796" s="646" t="str">
        <f aca="false">IFERROR(fds(MO.Ticker.FactSet,"P_PRICE_LOW"&amp;"("&amp;INDEX(MO_SNA_FPStartDate,0,COLUMN())&amp;","&amp;INDEX(MO_Common_QEndDate,0,COLUMN())&amp;",,,,""PRICE"",""CLOSE"")"),"N/A")</f>
        <v>N/A</v>
      </c>
      <c r="U796" s="646" t="str">
        <f aca="false">IFERROR(fds(MO.Ticker.FactSet,"P_PRICE_LOW"&amp;"("&amp;INDEX(MO_SNA_FPStartDate,0,COLUMN())&amp;","&amp;INDEX(MO_Common_QEndDate,0,COLUMN())&amp;",,,,""PRICE"",""CLOSE"")"),"N/A")</f>
        <v>N/A</v>
      </c>
      <c r="V796" s="646" t="str">
        <f aca="false">IFERROR(fds(MO.Ticker.FactSet,"P_PRICE_LOW"&amp;"("&amp;INDEX(MO_SNA_FPStartDate,0,COLUMN())&amp;","&amp;INDEX(MO_Common_QEndDate,0,COLUMN())&amp;",,,,""PRICE"",""CLOSE"")"),"N/A")</f>
        <v>N/A</v>
      </c>
      <c r="W796" s="646" t="str">
        <f aca="false">IFERROR(fds(MO.Ticker.FactSet,"P_PRICE_LOW"&amp;"("&amp;INDEX(MO_SNA_FPStartDate,0,COLUMN())&amp;","&amp;INDEX(MO_Common_QEndDate,0,COLUMN())&amp;",,,,""PRICE"",""CLOSE"")"),"N/A")</f>
        <v>N/A</v>
      </c>
      <c r="X796" s="646" t="str">
        <f aca="false">IFERROR(fds(MO.Ticker.FactSet,"P_PRICE_LOW"&amp;"("&amp;INDEX(MO_SNA_FPStartDate,0,COLUMN())&amp;","&amp;INDEX(MO_Common_QEndDate,0,COLUMN())&amp;",,,,""PRICE"",""CLOSE"")"),"N/A")</f>
        <v>N/A</v>
      </c>
      <c r="Y796" s="646" t="str">
        <f aca="false">IFERROR(fds(MO.Ticker.FactSet,"P_PRICE_LOW"&amp;"("&amp;INDEX(MO_SNA_FPStartDate,0,COLUMN())&amp;","&amp;INDEX(MO_Common_QEndDate,0,COLUMN())&amp;",,,,""PRICE"",""CLOSE"")"),"N/A")</f>
        <v>N/A</v>
      </c>
      <c r="Z796" s="646" t="str">
        <f aca="false">IFERROR(fds(MO.Ticker.FactSet,"P_PRICE_LOW"&amp;"("&amp;INDEX(MO_SNA_FPStartDate,0,COLUMN())&amp;","&amp;INDEX(MO_Common_QEndDate,0,COLUMN())&amp;",,,,""PRICE"",""CLOSE"")"),"N/A")</f>
        <v>N/A</v>
      </c>
      <c r="AA796" s="646" t="str">
        <f aca="false">IFERROR(fds(MO.Ticker.FactSet,"P_PRICE_LOW"&amp;"("&amp;INDEX(MO_SNA_FPStartDate,0,COLUMN())&amp;","&amp;INDEX(MO_Common_QEndDate,0,COLUMN())&amp;",,,,""PRICE"",""CLOSE"")"),"N/A")</f>
        <v>N/A</v>
      </c>
      <c r="AB796" s="646" t="str">
        <f aca="false">IFERROR(fds(MO.Ticker.FactSet,"P_PRICE_LOW"&amp;"("&amp;INDEX(MO_SNA_FPStartDate,0,COLUMN())&amp;","&amp;INDEX(MO_Common_QEndDate,0,COLUMN())&amp;",,,,""PRICE"",""CLOSE"")"),"N/A")</f>
        <v>N/A</v>
      </c>
      <c r="AC796" s="646" t="str">
        <f aca="false">IFERROR(fds(MO.Ticker.FactSet,"P_PRICE_LOW"&amp;"("&amp;INDEX(MO_SNA_FPStartDate,0,COLUMN())&amp;","&amp;INDEX(MO_Common_QEndDate,0,COLUMN())&amp;",,,,""PRICE"",""CLOSE"")"),"N/A")</f>
        <v>N/A</v>
      </c>
      <c r="AD796" s="646" t="str">
        <f aca="false">IFERROR(fds(MO.Ticker.FactSet,"P_PRICE_LOW"&amp;"("&amp;INDEX(MO_SNA_FPStartDate,0,COLUMN())&amp;","&amp;INDEX(MO_Common_QEndDate,0,COLUMN())&amp;",,,,""PRICE"",""CLOSE"")"),"N/A")</f>
        <v>N/A</v>
      </c>
      <c r="AE796" s="646" t="str">
        <f aca="false">IFERROR(fds(MO.Ticker.FactSet,"P_PRICE_LOW"&amp;"("&amp;INDEX(MO_SNA_FPStartDate,0,COLUMN())&amp;","&amp;INDEX(MO_Common_QEndDate,0,COLUMN())&amp;",,,,""PRICE"",""CLOSE"")"),"N/A")</f>
        <v>N/A</v>
      </c>
      <c r="AF796" s="646" t="str">
        <f aca="false">IFERROR(fds(MO.Ticker.FactSet,"P_PRICE_LOW"&amp;"("&amp;INDEX(MO_SNA_FPStartDate,0,COLUMN())&amp;","&amp;INDEX(MO_Common_QEndDate,0,COLUMN())&amp;",,,,""PRICE"",""CLOSE"")"),"N/A")</f>
        <v>N/A</v>
      </c>
      <c r="AG796" s="646" t="str">
        <f aca="false">IFERROR(fds(MO.Ticker.FactSet,"P_PRICE_LOW"&amp;"("&amp;INDEX(MO_SNA_FPStartDate,0,COLUMN())&amp;","&amp;INDEX(MO_Common_QEndDate,0,COLUMN())&amp;",,,,""PRICE"",""CLOSE"")"),"N/A")</f>
        <v>N/A</v>
      </c>
      <c r="AH796" s="646" t="str">
        <f aca="false">IFERROR(fds(MO.Ticker.FactSet,"P_PRICE_LOW"&amp;"("&amp;INDEX(MO_SNA_FPStartDate,0,COLUMN())&amp;","&amp;INDEX(MO_Common_QEndDate,0,COLUMN())&amp;",,,,""PRICE"",""CLOSE"")"),"N/A")</f>
        <v>N/A</v>
      </c>
      <c r="AI796" s="646" t="str">
        <f aca="false">IFERROR(fds(MO.Ticker.FactSet,"P_PRICE_LOW"&amp;"("&amp;INDEX(MO_SNA_FPStartDate,0,COLUMN())&amp;","&amp;INDEX(MO_Common_QEndDate,0,COLUMN())&amp;",,,,""PRICE"",""CLOSE"")"),"N/A")</f>
        <v>N/A</v>
      </c>
      <c r="AJ796" s="646" t="str">
        <f aca="false">IFERROR(fds(MO.Ticker.FactSet,"P_PRICE_LOW"&amp;"("&amp;INDEX(MO_SNA_FPStartDate,0,COLUMN())&amp;","&amp;INDEX(MO_Common_QEndDate,0,COLUMN())&amp;",,,,""PRICE"",""CLOSE"")"),"N/A")</f>
        <v>N/A</v>
      </c>
      <c r="AK796" s="646" t="str">
        <f aca="false">IFERROR(fds(MO.Ticker.FactSet,"P_PRICE_LOW"&amp;"("&amp;INDEX(MO_SNA_FPStartDate,0,COLUMN())&amp;","&amp;INDEX(MO_Common_QEndDate,0,COLUMN())&amp;",,,,""PRICE"",""CLOSE"")"),"N/A")</f>
        <v>N/A</v>
      </c>
      <c r="AL796" s="646" t="str">
        <f aca="false">IFERROR(fds(MO.Ticker.FactSet,"P_PRICE_LOW"&amp;"("&amp;INDEX(MO_SNA_FPStartDate,0,COLUMN())&amp;","&amp;INDEX(MO_Common_QEndDate,0,COLUMN())&amp;",,,,""PRICE"",""CLOSE"")"),"N/A")</f>
        <v>N/A</v>
      </c>
      <c r="AM796" s="646" t="str">
        <f aca="false">IFERROR(fds(MO.Ticker.FactSet,"P_PRICE_LOW"&amp;"("&amp;INDEX(MO_SNA_FPStartDate,0,COLUMN())&amp;","&amp;INDEX(MO_Common_QEndDate,0,COLUMN())&amp;",,,,""PRICE"",""CLOSE"")"),"N/A")</f>
        <v>N/A</v>
      </c>
      <c r="AN796" s="646" t="str">
        <f aca="false">IFERROR(fds(MO.Ticker.FactSet,"P_PRICE_LOW"&amp;"("&amp;INDEX(MO_SNA_FPStartDate,0,COLUMN())&amp;","&amp;INDEX(MO_Common_QEndDate,0,COLUMN())&amp;",,,,""PRICE"",""CLOSE"")"),"N/A")</f>
        <v>N/A</v>
      </c>
      <c r="AO796" s="646" t="str">
        <f aca="false">IFERROR(fds(MO.Ticker.FactSet,"P_PRICE_LOW"&amp;"("&amp;INDEX(MO_SNA_FPStartDate,0,COLUMN())&amp;","&amp;INDEX(MO_Common_QEndDate,0,COLUMN())&amp;",,,,""PRICE"",""CLOSE"")"),"N/A")</f>
        <v>N/A</v>
      </c>
      <c r="AP796" s="646" t="str">
        <f aca="false">IFERROR(fds(MO.Ticker.FactSet,"P_PRICE_LOW"&amp;"("&amp;INDEX(MO_SNA_FPStartDate,0,COLUMN())&amp;","&amp;INDEX(MO_Common_QEndDate,0,COLUMN())&amp;",,,,""PRICE"",""CLOSE"")"),"N/A")</f>
        <v>N/A</v>
      </c>
      <c r="AQ796" s="646" t="str">
        <f aca="false">IFERROR(fds(MO.Ticker.FactSet,"P_PRICE_LOW"&amp;"("&amp;INDEX(MO_SNA_FPStartDate,0,COLUMN())&amp;","&amp;INDEX(MO_Common_QEndDate,0,COLUMN())&amp;",,,,""PRICE"",""CLOSE"")"),"N/A")</f>
        <v>N/A</v>
      </c>
      <c r="AR796" s="646" t="str">
        <f aca="false">IFERROR(fds(MO.Ticker.FactSet,"P_PRICE_LOW"&amp;"("&amp;INDEX(MO_SNA_FPStartDate,0,COLUMN())&amp;","&amp;INDEX(MO_Common_QEndDate,0,COLUMN())&amp;",,,,""PRICE"",""CLOSE"")"),"N/A")</f>
        <v>N/A</v>
      </c>
      <c r="AS796" s="646" t="str">
        <f aca="false">IFERROR(fds(MO.Ticker.FactSet,"P_PRICE_LOW"&amp;"("&amp;INDEX(MO_SNA_FPStartDate,0,COLUMN())&amp;","&amp;INDEX(MO_Common_QEndDate,0,COLUMN())&amp;",,,,""PRICE"",""CLOSE"")"),"N/A")</f>
        <v>N/A</v>
      </c>
      <c r="AT796" s="646" t="str">
        <f aca="false">IFERROR(fds(MO.Ticker.FactSet,"P_PRICE_LOW"&amp;"("&amp;INDEX(MO_SNA_FPStartDate,0,COLUMN())&amp;","&amp;INDEX(MO_Common_QEndDate,0,COLUMN())&amp;",,,,""PRICE"",""CLOSE"")"),"N/A")</f>
        <v>N/A</v>
      </c>
      <c r="AU796" s="646" t="str">
        <f aca="false">IFERROR(fds(MO.Ticker.FactSet,"P_PRICE_LOW"&amp;"("&amp;INDEX(MO_SNA_FPStartDate,0,COLUMN())&amp;","&amp;INDEX(MO_Common_QEndDate,0,COLUMN())&amp;",,,,""PRICE"",""CLOSE"")"),"N/A")</f>
        <v>N/A</v>
      </c>
      <c r="AV796" s="646" t="str">
        <f aca="false">IFERROR(fds(MO.Ticker.FactSet,"P_PRICE_LOW"&amp;"("&amp;INDEX(MO_SNA_FPStartDate,0,COLUMN())&amp;","&amp;INDEX(MO_Common_QEndDate,0,COLUMN())&amp;",,,,""PRICE"",""CLOSE"")"),"N/A")</f>
        <v>N/A</v>
      </c>
      <c r="AW796" s="646" t="str">
        <f aca="false">IFERROR(fds(MO.Ticker.FactSet,"P_PRICE_LOW"&amp;"("&amp;INDEX(MO_SNA_FPStartDate,0,COLUMN())&amp;","&amp;INDEX(MO_Common_QEndDate,0,COLUMN())&amp;",,,,""PRICE"",""CLOSE"")"),"N/A")</f>
        <v>N/A</v>
      </c>
      <c r="AX796" s="646" t="str">
        <f aca="false">IFERROR(fds(MO.Ticker.FactSet,"P_PRICE_LOW"&amp;"("&amp;INDEX(MO_SNA_FPStartDate,0,COLUMN())&amp;","&amp;INDEX(MO_Common_QEndDate,0,COLUMN())&amp;",,,,""PRICE"",""CLOSE"")"),"N/A")</f>
        <v>N/A</v>
      </c>
      <c r="AY796" s="646" t="str">
        <f aca="false">IFERROR(fds(MO.Ticker.FactSet,"P_PRICE_LOW"&amp;"("&amp;INDEX(MO_SNA_FPStartDate,0,COLUMN())&amp;","&amp;INDEX(MO_Common_QEndDate,0,COLUMN())&amp;",,,,""PRICE"",""CLOSE"")"),"N/A")</f>
        <v>N/A</v>
      </c>
      <c r="AZ796" s="646" t="str">
        <f aca="false">IFERROR(fds(MO.Ticker.FactSet,"P_PRICE_LOW"&amp;"("&amp;INDEX(MO_SNA_FPStartDate,0,COLUMN())&amp;","&amp;INDEX(MO_Common_QEndDate,0,COLUMN())&amp;",,,,""PRICE"",""CLOSE"")"),"N/A")</f>
        <v>N/A</v>
      </c>
      <c r="BA796" s="646" t="str">
        <f aca="false">IFERROR(fds(MO.Ticker.FactSet,"P_PRICE_LOW"&amp;"("&amp;INDEX(MO_SNA_FPStartDate,0,COLUMN())&amp;","&amp;INDEX(MO_Common_QEndDate,0,COLUMN())&amp;",,,,""PRICE"",""CLOSE"")"),"N/A")</f>
        <v>N/A</v>
      </c>
      <c r="BB796" s="646" t="str">
        <f aca="false">IFERROR(fds(MO.Ticker.FactSet,"P_PRICE_LOW"&amp;"("&amp;INDEX(MO_SNA_FPStartDate,0,COLUMN())&amp;","&amp;INDEX(MO_Common_QEndDate,0,COLUMN())&amp;",,,,""PRICE"",""CLOSE"")"),"N/A")</f>
        <v>N/A</v>
      </c>
      <c r="BC796" s="646" t="str">
        <f aca="false">IFERROR(fds(MO.Ticker.FactSet,"P_PRICE_LOW"&amp;"("&amp;INDEX(MO_SNA_FPStartDate,0,COLUMN())&amp;","&amp;INDEX(MO_Common_QEndDate,0,COLUMN())&amp;",,,,""PRICE"",""CLOSE"")"),"N/A")</f>
        <v>N/A</v>
      </c>
      <c r="BD796" s="646" t="str">
        <f aca="false">IFERROR(fds(MO.Ticker.FactSet,"P_PRICE_LOW"&amp;"("&amp;INDEX(MO_SNA_FPStartDate,0,COLUMN())&amp;","&amp;INDEX(MO_Common_QEndDate,0,COLUMN())&amp;",,,,""PRICE"",""CLOSE"")"),"N/A")</f>
        <v>N/A</v>
      </c>
      <c r="BE796" s="646" t="str">
        <f aca="false">IFERROR(fds(MO.Ticker.FactSet,"P_PRICE_LOW"&amp;"("&amp;INDEX(MO_SNA_FPStartDate,0,COLUMN())&amp;","&amp;INDEX(MO_Common_QEndDate,0,COLUMN())&amp;",,,,""PRICE"",""CLOSE"")"),"N/A")</f>
        <v>N/A</v>
      </c>
      <c r="BF796" s="646" t="str">
        <f aca="false">IFERROR(fds(MO.Ticker.FactSet,"P_PRICE_LOW"&amp;"("&amp;INDEX(MO_SNA_FPStartDate,0,COLUMN())&amp;","&amp;INDEX(MO_Common_QEndDate,0,COLUMN())&amp;",,,,""PRICE"",""CLOSE"")"),"N/A")</f>
        <v>N/A</v>
      </c>
      <c r="BG796" s="646" t="str">
        <f aca="false">IFERROR(fds(MO.Ticker.FactSet,"P_PRICE_LOW"&amp;"("&amp;INDEX(MO_SNA_FPStartDate,0,COLUMN())&amp;","&amp;INDEX(MO_Common_QEndDate,0,COLUMN())&amp;",,,,""PRICE"",""CLOSE"")"),"N/A")</f>
        <v>N/A</v>
      </c>
      <c r="BH796" s="646" t="str">
        <f aca="false">IFERROR(fds(MO.Ticker.FactSet,"P_PRICE_LOW"&amp;"("&amp;INDEX(MO_SNA_FPStartDate,0,COLUMN())&amp;","&amp;INDEX(MO_Common_QEndDate,0,COLUMN())&amp;",,,,""PRICE"",""CLOSE"")"),"N/A")</f>
        <v>N/A</v>
      </c>
      <c r="BI796" s="646" t="str">
        <f aca="false">IFERROR(fds(MO.Ticker.FactSet,"P_PRICE_LOW"&amp;"("&amp;INDEX(MO_SNA_FPStartDate,0,COLUMN())&amp;","&amp;INDEX(MO_Common_QEndDate,0,COLUMN())&amp;",,,,""PRICE"",""CLOSE"")"),"N/A")</f>
        <v>N/A</v>
      </c>
      <c r="BJ796" s="646" t="str">
        <f aca="false">IFERROR(fds(MO.Ticker.FactSet,"P_PRICE_LOW"&amp;"("&amp;INDEX(MO_SNA_FPStartDate,0,COLUMN())&amp;","&amp;INDEX(MO_Common_QEndDate,0,COLUMN())&amp;",,,,""PRICE"",""CLOSE"")"),"N/A")</f>
        <v>N/A</v>
      </c>
      <c r="BK796" s="646" t="str">
        <f aca="false">IFERROR(fds(MO.Ticker.FactSet,"P_PRICE_LOW"&amp;"("&amp;INDEX(MO_SNA_FPStartDate,0,COLUMN())&amp;","&amp;INDEX(MO_Common_QEndDate,0,COLUMN())&amp;",,,,""PRICE"",""CLOSE"")"),"N/A")</f>
        <v>N/A</v>
      </c>
      <c r="BL796" s="646" t="str">
        <f aca="false">IFERROR(fds(MO.Ticker.FactSet,"P_PRICE_LOW"&amp;"("&amp;INDEX(MO_SNA_FPStartDate,0,COLUMN())&amp;","&amp;INDEX(MO_Common_QEndDate,0,COLUMN())&amp;",,,,""PRICE"",""CLOSE"")"),"N/A")</f>
        <v>N/A</v>
      </c>
      <c r="BM796" s="646" t="str">
        <f aca="false">IFERROR(fds(MO.Ticker.FactSet,"P_PRICE_LOW"&amp;"("&amp;INDEX(MO_SNA_FPStartDate,0,COLUMN())&amp;","&amp;INDEX(MO_Common_QEndDate,0,COLUMN())&amp;",,,,""PRICE"",""CLOSE"")"),"N/A")</f>
        <v>N/A</v>
      </c>
      <c r="BN796" s="646" t="str">
        <f aca="false">IFERROR(fds(MO.Ticker.FactSet,"P_PRICE_LOW"&amp;"("&amp;INDEX(MO_SNA_FPStartDate,0,COLUMN())&amp;","&amp;INDEX(MO_Common_QEndDate,0,COLUMN())&amp;",,,,""PRICE"",""CLOSE"")"),"N/A")</f>
        <v>N/A</v>
      </c>
      <c r="BO796" s="647" t="str">
        <f aca="false">IFERROR(fds(MO.Ticker.FactSet,"P_PRICE_LOW"&amp;"("&amp;INDEX(MO_SNA_FPStartDate,0,COLUMN())&amp;","&amp;INDEX(MO_Common_QEndDate,0,COLUMN())&amp;",,,,""PRICE"",""CLOSE"")"),"N/A")</f>
        <v>N/A</v>
      </c>
      <c r="BP796" s="646" t="str">
        <f aca="false">IFERROR(fds(MO.Ticker.FactSet,"P_PRICE_LOW"&amp;"("&amp;INDEX(MO_SNA_FPStartDate,0,COLUMN())&amp;","&amp;INDEX(MO_Common_QEndDate,0,COLUMN())&amp;",,,,""PRICE"",""CLOSE"")"),"N/A")</f>
        <v>N/A</v>
      </c>
      <c r="BQ796" s="646" t="str">
        <f aca="false">IFERROR(fds(MO.Ticker.FactSet,"P_PRICE_LOW"&amp;"("&amp;INDEX(MO_SNA_FPStartDate,0,COLUMN())&amp;","&amp;INDEX(MO_Common_QEndDate,0,COLUMN())&amp;",,,,""PRICE"",""CLOSE"")"),"N/A")</f>
        <v>N/A</v>
      </c>
      <c r="BR796" s="646" t="str">
        <f aca="false">IFERROR(fds(MO.Ticker.FactSet,"P_PRICE_LOW"&amp;"("&amp;INDEX(MO_SNA_FPStartDate,0,COLUMN())&amp;","&amp;INDEX(MO_Common_QEndDate,0,COLUMN())&amp;",,,,""PRICE"",""CLOSE"")"),"N/A")</f>
        <v>N/A</v>
      </c>
      <c r="BS796" s="646" t="str">
        <f aca="false">IFERROR(fds(MO.Ticker.FactSet,"P_PRICE_LOW"&amp;"("&amp;INDEX(MO_SNA_FPStartDate,0,COLUMN())&amp;","&amp;INDEX(MO_Common_QEndDate,0,COLUMN())&amp;",,,,""PRICE"",""CLOSE"")"),"N/A")</f>
        <v>N/A</v>
      </c>
      <c r="BT796" s="646" t="str">
        <f aca="false">IFERROR(fds(MO.Ticker.FactSet,"P_PRICE_LOW"&amp;"("&amp;INDEX(MO_SNA_FPStartDate,0,COLUMN())&amp;","&amp;INDEX(MO_Common_QEndDate,0,COLUMN())&amp;",,,,""PRICE"",""CLOSE"")"),"N/A")</f>
        <v>N/A</v>
      </c>
      <c r="BU796" s="646" t="str">
        <f aca="false">IFERROR(fds(MO.Ticker.FactSet,"P_PRICE_LOW"&amp;"("&amp;INDEX(MO_SNA_FPStartDate,0,COLUMN())&amp;","&amp;INDEX(MO_Common_QEndDate,0,COLUMN())&amp;",,,,""PRICE"",""CLOSE"")"),"N/A")</f>
        <v>N/A</v>
      </c>
      <c r="BV796" s="646" t="str">
        <f aca="false">IFERROR(fds(MO.Ticker.FactSet,"P_PRICE_LOW"&amp;"("&amp;INDEX(MO_SNA_FPStartDate,0,COLUMN())&amp;","&amp;INDEX(MO_Common_QEndDate,0,COLUMN())&amp;",,,,""PRICE"",""CLOSE"")"),"N/A")</f>
        <v>N/A</v>
      </c>
      <c r="BW796" s="646" t="str">
        <f aca="false">IFERROR(fds(MO.Ticker.FactSet,"P_PRICE_LOW"&amp;"("&amp;INDEX(MO_SNA_FPStartDate,0,COLUMN())&amp;","&amp;INDEX(MO_Common_QEndDate,0,COLUMN())&amp;",,,,""PRICE"",""CLOSE"")"),"N/A")</f>
        <v>N/A</v>
      </c>
      <c r="BX796" s="646" t="str">
        <f aca="false">IFERROR(fds(MO.Ticker.FactSet,"P_PRICE_LOW"&amp;"("&amp;INDEX(MO_SNA_FPStartDate,0,COLUMN())&amp;","&amp;INDEX(MO_Common_QEndDate,0,COLUMN())&amp;",,,,""PRICE"",""CLOSE"")"),"N/A")</f>
        <v>N/A</v>
      </c>
      <c r="BY796" s="646" t="str">
        <f aca="false">IFERROR(fds(MO.Ticker.FactSet,"P_PRICE_LOW"&amp;"("&amp;INDEX(MO_SNA_FPStartDate,0,COLUMN())&amp;","&amp;INDEX(MO_Common_QEndDate,0,COLUMN())&amp;",,,,""PRICE"",""CLOSE"")"),"N/A")</f>
        <v>N/A</v>
      </c>
      <c r="BZ796" s="646" t="str">
        <f aca="false">IFERROR(fds(MO.Ticker.FactSet,"P_PRICE_LOW"&amp;"("&amp;INDEX(MO_SNA_FPStartDate,0,COLUMN())&amp;","&amp;INDEX(MO_Common_QEndDate,0,COLUMN())&amp;",,,,""PRICE"",""CLOSE"")"),"N/A")</f>
        <v>N/A</v>
      </c>
      <c r="CA796" s="646" t="str">
        <f aca="false">IFERROR(fds(MO.Ticker.FactSet,"P_PRICE_LOW"&amp;"("&amp;INDEX(MO_SNA_FPStartDate,0,COLUMN())&amp;","&amp;INDEX(MO_Common_QEndDate,0,COLUMN())&amp;",,,,""PRICE"",""CLOSE"")"),"N/A")</f>
        <v>N/A</v>
      </c>
      <c r="CB796" s="648" t="str">
        <f aca="false">IFERROR(fds(MO.Ticker.FactSet,"P_PRICE_LOW"&amp;"("&amp;INDEX(MO_SNA_FPStartDate,0,COLUMN())&amp;","&amp;INDEX(MO_Common_QEndDate,0,COLUMN())&amp;",,,,""PRICE"",""CLOSE"")"),"N/A")</f>
        <v>N/A</v>
      </c>
      <c r="CC796" s="649"/>
    </row>
    <row r="797" s="46" customFormat="true" ht="15" hidden="true" customHeight="true" outlineLevel="1" collapsed="false">
      <c r="A797" s="650" t="s">
        <v>706</v>
      </c>
      <c r="B797" s="646"/>
      <c r="C797" s="646" t="str">
        <f aca="false">IFERROR(_xll.tr(MO.Ticker.Thomson,"Min(TR.PriceLow)","sdate:#1 edate:#2",,INDEX(MO_SNA_FPStartDate,0,COLUMN()),INDEX(MO_Common_QEndDate,0,COLUMN())),"N/A")</f>
        <v>N/A</v>
      </c>
      <c r="D797" s="646" t="str">
        <f aca="false">IFERROR(_xll.tr(MO.Ticker.Thomson,"Min(TR.PriceLow)","sdate:#1 edate:#2",,INDEX(MO_SNA_FPStartDate,0,COLUMN()),INDEX(MO_Common_QEndDate,0,COLUMN())),"N/A")</f>
        <v>N/A</v>
      </c>
      <c r="E797" s="646" t="str">
        <f aca="false">IFERROR(_xll.tr(MO.Ticker.Thomson,"Min(TR.PriceLow)","sdate:#1 edate:#2",,INDEX(MO_SNA_FPStartDate,0,COLUMN()),INDEX(MO_Common_QEndDate,0,COLUMN())),"N/A")</f>
        <v>N/A</v>
      </c>
      <c r="F797" s="646" t="str">
        <f aca="false">IFERROR(_xll.tr(MO.Ticker.Thomson,"Min(TR.PriceLow)","sdate:#1 edate:#2",,INDEX(MO_SNA_FPStartDate,0,COLUMN()),INDEX(MO_Common_QEndDate,0,COLUMN())),"N/A")</f>
        <v>N/A</v>
      </c>
      <c r="G797" s="646" t="str">
        <f aca="false">IFERROR(_xll.tr(MO.Ticker.Thomson,"Min(TR.PriceLow)","sdate:#1 edate:#2",,INDEX(MO_SNA_FPStartDate,0,COLUMN()),INDEX(MO_Common_QEndDate,0,COLUMN())),"N/A")</f>
        <v>N/A</v>
      </c>
      <c r="H797" s="646" t="str">
        <f aca="false">IFERROR(_xll.tr(MO.Ticker.Thomson,"Min(TR.PriceLow)","sdate:#1 edate:#2",,INDEX(MO_SNA_FPStartDate,0,COLUMN()),INDEX(MO_Common_QEndDate,0,COLUMN())),"N/A")</f>
        <v>N/A</v>
      </c>
      <c r="I797" s="646" t="str">
        <f aca="false">IFERROR(_xll.tr(MO.Ticker.Thomson,"Min(TR.PriceLow)","sdate:#1 edate:#2",,INDEX(MO_SNA_FPStartDate,0,COLUMN()),INDEX(MO_Common_QEndDate,0,COLUMN())),"N/A")</f>
        <v>N/A</v>
      </c>
      <c r="J797" s="646" t="str">
        <f aca="false">IFERROR(_xll.tr(MO.Ticker.Thomson,"Min(TR.PriceLow)","sdate:#1 edate:#2",,INDEX(MO_SNA_FPStartDate,0,COLUMN()),INDEX(MO_Common_QEndDate,0,COLUMN())),"N/A")</f>
        <v>N/A</v>
      </c>
      <c r="K797" s="646" t="str">
        <f aca="false">IFERROR(_xll.tr(MO.Ticker.Thomson,"Min(TR.PriceLow)","sdate:#1 edate:#2",,INDEX(MO_SNA_FPStartDate,0,COLUMN()),INDEX(MO_Common_QEndDate,0,COLUMN())),"N/A")</f>
        <v>N/A</v>
      </c>
      <c r="L797" s="646" t="str">
        <f aca="false">IFERROR(_xll.tr(MO.Ticker.Thomson,"Min(TR.PriceLow)","sdate:#1 edate:#2",,INDEX(MO_SNA_FPStartDate,0,COLUMN()),INDEX(MO_Common_QEndDate,0,COLUMN())),"N/A")</f>
        <v>N/A</v>
      </c>
      <c r="M797" s="646" t="str">
        <f aca="false">IFERROR(_xll.tr(MO.Ticker.Thomson,"Min(TR.PriceLow)","sdate:#1 edate:#2",,INDEX(MO_SNA_FPStartDate,0,COLUMN()),INDEX(MO_Common_QEndDate,0,COLUMN())),"N/A")</f>
        <v>N/A</v>
      </c>
      <c r="N797" s="646" t="str">
        <f aca="false">IFERROR(_xll.tr(MO.Ticker.Thomson,"Min(TR.PriceLow)","sdate:#1 edate:#2",,INDEX(MO_SNA_FPStartDate,0,COLUMN()),INDEX(MO_Common_QEndDate,0,COLUMN())),"N/A")</f>
        <v>N/A</v>
      </c>
      <c r="O797" s="646" t="str">
        <f aca="false">IFERROR(_xll.tr(MO.Ticker.Thomson,"Min(TR.PriceLow)","sdate:#1 edate:#2",,INDEX(MO_SNA_FPStartDate,0,COLUMN()),INDEX(MO_Common_QEndDate,0,COLUMN())),"N/A")</f>
        <v>N/A</v>
      </c>
      <c r="P797" s="646" t="str">
        <f aca="false">IFERROR(_xll.tr(MO.Ticker.Thomson,"Min(TR.PriceLow)","sdate:#1 edate:#2",,INDEX(MO_SNA_FPStartDate,0,COLUMN()),INDEX(MO_Common_QEndDate,0,COLUMN())),"N/A")</f>
        <v>N/A</v>
      </c>
      <c r="Q797" s="646" t="str">
        <f aca="false">IFERROR(_xll.tr(MO.Ticker.Thomson,"Min(TR.PriceLow)","sdate:#1 edate:#2",,INDEX(MO_SNA_FPStartDate,0,COLUMN()),INDEX(MO_Common_QEndDate,0,COLUMN())),"N/A")</f>
        <v>N/A</v>
      </c>
      <c r="R797" s="646" t="str">
        <f aca="false">IFERROR(_xll.tr(MO.Ticker.Thomson,"Min(TR.PriceLow)","sdate:#1 edate:#2",,INDEX(MO_SNA_FPStartDate,0,COLUMN()),INDEX(MO_Common_QEndDate,0,COLUMN())),"N/A")</f>
        <v>N/A</v>
      </c>
      <c r="S797" s="646" t="str">
        <f aca="false">IFERROR(_xll.tr(MO.Ticker.Thomson,"Min(TR.PriceLow)","sdate:#1 edate:#2",,INDEX(MO_SNA_FPStartDate,0,COLUMN()),INDEX(MO_Common_QEndDate,0,COLUMN())),"N/A")</f>
        <v>N/A</v>
      </c>
      <c r="T797" s="646" t="str">
        <f aca="false">IFERROR(_xll.tr(MO.Ticker.Thomson,"Min(TR.PriceLow)","sdate:#1 edate:#2",,INDEX(MO_SNA_FPStartDate,0,COLUMN()),INDEX(MO_Common_QEndDate,0,COLUMN())),"N/A")</f>
        <v>N/A</v>
      </c>
      <c r="U797" s="646" t="str">
        <f aca="false">IFERROR(_xll.tr(MO.Ticker.Thomson,"Min(TR.PriceLow)","sdate:#1 edate:#2",,INDEX(MO_SNA_FPStartDate,0,COLUMN()),INDEX(MO_Common_QEndDate,0,COLUMN())),"N/A")</f>
        <v>N/A</v>
      </c>
      <c r="V797" s="646" t="str">
        <f aca="false">IFERROR(_xll.tr(MO.Ticker.Thomson,"Min(TR.PriceLow)","sdate:#1 edate:#2",,INDEX(MO_SNA_FPStartDate,0,COLUMN()),INDEX(MO_Common_QEndDate,0,COLUMN())),"N/A")</f>
        <v>N/A</v>
      </c>
      <c r="W797" s="646" t="str">
        <f aca="false">IFERROR(_xll.tr(MO.Ticker.Thomson,"Min(TR.PriceLow)","sdate:#1 edate:#2",,INDEX(MO_SNA_FPStartDate,0,COLUMN()),INDEX(MO_Common_QEndDate,0,COLUMN())),"N/A")</f>
        <v>N/A</v>
      </c>
      <c r="X797" s="646" t="str">
        <f aca="false">IFERROR(_xll.tr(MO.Ticker.Thomson,"Min(TR.PriceLow)","sdate:#1 edate:#2",,INDEX(MO_SNA_FPStartDate,0,COLUMN()),INDEX(MO_Common_QEndDate,0,COLUMN())),"N/A")</f>
        <v>N/A</v>
      </c>
      <c r="Y797" s="646" t="str">
        <f aca="false">IFERROR(_xll.tr(MO.Ticker.Thomson,"Min(TR.PriceLow)","sdate:#1 edate:#2",,INDEX(MO_SNA_FPStartDate,0,COLUMN()),INDEX(MO_Common_QEndDate,0,COLUMN())),"N/A")</f>
        <v>N/A</v>
      </c>
      <c r="Z797" s="646" t="str">
        <f aca="false">IFERROR(_xll.tr(MO.Ticker.Thomson,"Min(TR.PriceLow)","sdate:#1 edate:#2",,INDEX(MO_SNA_FPStartDate,0,COLUMN()),INDEX(MO_Common_QEndDate,0,COLUMN())),"N/A")</f>
        <v>N/A</v>
      </c>
      <c r="AA797" s="646" t="str">
        <f aca="false">IFERROR(_xll.tr(MO.Ticker.Thomson,"Min(TR.PriceLow)","sdate:#1 edate:#2",,INDEX(MO_SNA_FPStartDate,0,COLUMN()),INDEX(MO_Common_QEndDate,0,COLUMN())),"N/A")</f>
        <v>N/A</v>
      </c>
      <c r="AB797" s="646" t="str">
        <f aca="false">IFERROR(_xll.tr(MO.Ticker.Thomson,"Min(TR.PriceLow)","sdate:#1 edate:#2",,INDEX(MO_SNA_FPStartDate,0,COLUMN()),INDEX(MO_Common_QEndDate,0,COLUMN())),"N/A")</f>
        <v>N/A</v>
      </c>
      <c r="AC797" s="646" t="str">
        <f aca="false">IFERROR(_xll.tr(MO.Ticker.Thomson,"Min(TR.PriceLow)","sdate:#1 edate:#2",,INDEX(MO_SNA_FPStartDate,0,COLUMN()),INDEX(MO_Common_QEndDate,0,COLUMN())),"N/A")</f>
        <v>N/A</v>
      </c>
      <c r="AD797" s="646" t="str">
        <f aca="false">IFERROR(_xll.tr(MO.Ticker.Thomson,"Min(TR.PriceLow)","sdate:#1 edate:#2",,INDEX(MO_SNA_FPStartDate,0,COLUMN()),INDEX(MO_Common_QEndDate,0,COLUMN())),"N/A")</f>
        <v>N/A</v>
      </c>
      <c r="AE797" s="646" t="str">
        <f aca="false">IFERROR(_xll.tr(MO.Ticker.Thomson,"Min(TR.PriceLow)","sdate:#1 edate:#2",,INDEX(MO_SNA_FPStartDate,0,COLUMN()),INDEX(MO_Common_QEndDate,0,COLUMN())),"N/A")</f>
        <v>N/A</v>
      </c>
      <c r="AF797" s="646" t="str">
        <f aca="false">IFERROR(_xll.tr(MO.Ticker.Thomson,"Min(TR.PriceLow)","sdate:#1 edate:#2",,INDEX(MO_SNA_FPStartDate,0,COLUMN()),INDEX(MO_Common_QEndDate,0,COLUMN())),"N/A")</f>
        <v>N/A</v>
      </c>
      <c r="AG797" s="646" t="str">
        <f aca="false">IFERROR(_xll.tr(MO.Ticker.Thomson,"Min(TR.PriceLow)","sdate:#1 edate:#2",,INDEX(MO_SNA_FPStartDate,0,COLUMN()),INDEX(MO_Common_QEndDate,0,COLUMN())),"N/A")</f>
        <v>N/A</v>
      </c>
      <c r="AH797" s="646" t="str">
        <f aca="false">IFERROR(_xll.tr(MO.Ticker.Thomson,"Min(TR.PriceLow)","sdate:#1 edate:#2",,INDEX(MO_SNA_FPStartDate,0,COLUMN()),INDEX(MO_Common_QEndDate,0,COLUMN())),"N/A")</f>
        <v>N/A</v>
      </c>
      <c r="AI797" s="646" t="str">
        <f aca="false">IFERROR(_xll.tr(MO.Ticker.Thomson,"Min(TR.PriceLow)","sdate:#1 edate:#2",,INDEX(MO_SNA_FPStartDate,0,COLUMN()),INDEX(MO_Common_QEndDate,0,COLUMN())),"N/A")</f>
        <v>N/A</v>
      </c>
      <c r="AJ797" s="646" t="str">
        <f aca="false">IFERROR(_xll.tr(MO.Ticker.Thomson,"Min(TR.PriceLow)","sdate:#1 edate:#2",,INDEX(MO_SNA_FPStartDate,0,COLUMN()),INDEX(MO_Common_QEndDate,0,COLUMN())),"N/A")</f>
        <v>N/A</v>
      </c>
      <c r="AK797" s="646" t="str">
        <f aca="false">IFERROR(_xll.tr(MO.Ticker.Thomson,"Min(TR.PriceLow)","sdate:#1 edate:#2",,INDEX(MO_SNA_FPStartDate,0,COLUMN()),INDEX(MO_Common_QEndDate,0,COLUMN())),"N/A")</f>
        <v>N/A</v>
      </c>
      <c r="AL797" s="646" t="str">
        <f aca="false">IFERROR(_xll.tr(MO.Ticker.Thomson,"Min(TR.PriceLow)","sdate:#1 edate:#2",,INDEX(MO_SNA_FPStartDate,0,COLUMN()),INDEX(MO_Common_QEndDate,0,COLUMN())),"N/A")</f>
        <v>N/A</v>
      </c>
      <c r="AM797" s="646" t="str">
        <f aca="false">IFERROR(_xll.tr(MO.Ticker.Thomson,"Min(TR.PriceLow)","sdate:#1 edate:#2",,INDEX(MO_SNA_FPStartDate,0,COLUMN()),INDEX(MO_Common_QEndDate,0,COLUMN())),"N/A")</f>
        <v>N/A</v>
      </c>
      <c r="AN797" s="646" t="str">
        <f aca="false">IFERROR(_xll.tr(MO.Ticker.Thomson,"Min(TR.PriceLow)","sdate:#1 edate:#2",,INDEX(MO_SNA_FPStartDate,0,COLUMN()),INDEX(MO_Common_QEndDate,0,COLUMN())),"N/A")</f>
        <v>N/A</v>
      </c>
      <c r="AO797" s="646" t="str">
        <f aca="false">IFERROR(_xll.tr(MO.Ticker.Thomson,"Min(TR.PriceLow)","sdate:#1 edate:#2",,INDEX(MO_SNA_FPStartDate,0,COLUMN()),INDEX(MO_Common_QEndDate,0,COLUMN())),"N/A")</f>
        <v>N/A</v>
      </c>
      <c r="AP797" s="646" t="str">
        <f aca="false">IFERROR(_xll.tr(MO.Ticker.Thomson,"Min(TR.PriceLow)","sdate:#1 edate:#2",,INDEX(MO_SNA_FPStartDate,0,COLUMN()),INDEX(MO_Common_QEndDate,0,COLUMN())),"N/A")</f>
        <v>N/A</v>
      </c>
      <c r="AQ797" s="646" t="str">
        <f aca="false">IFERROR(_xll.tr(MO.Ticker.Thomson,"Min(TR.PriceLow)","sdate:#1 edate:#2",,INDEX(MO_SNA_FPStartDate,0,COLUMN()),INDEX(MO_Common_QEndDate,0,COLUMN())),"N/A")</f>
        <v>N/A</v>
      </c>
      <c r="AR797" s="646" t="str">
        <f aca="false">IFERROR(_xll.tr(MO.Ticker.Thomson,"Min(TR.PriceLow)","sdate:#1 edate:#2",,INDEX(MO_SNA_FPStartDate,0,COLUMN()),INDEX(MO_Common_QEndDate,0,COLUMN())),"N/A")</f>
        <v>N/A</v>
      </c>
      <c r="AS797" s="646" t="str">
        <f aca="false">IFERROR(_xll.tr(MO.Ticker.Thomson,"Min(TR.PriceLow)","sdate:#1 edate:#2",,INDEX(MO_SNA_FPStartDate,0,COLUMN()),INDEX(MO_Common_QEndDate,0,COLUMN())),"N/A")</f>
        <v>N/A</v>
      </c>
      <c r="AT797" s="646" t="str">
        <f aca="false">IFERROR(_xll.tr(MO.Ticker.Thomson,"Min(TR.PriceLow)","sdate:#1 edate:#2",,INDEX(MO_SNA_FPStartDate,0,COLUMN()),INDEX(MO_Common_QEndDate,0,COLUMN())),"N/A")</f>
        <v>N/A</v>
      </c>
      <c r="AU797" s="646" t="str">
        <f aca="false">IFERROR(_xll.tr(MO.Ticker.Thomson,"Min(TR.PriceLow)","sdate:#1 edate:#2",,INDEX(MO_SNA_FPStartDate,0,COLUMN()),INDEX(MO_Common_QEndDate,0,COLUMN())),"N/A")</f>
        <v>N/A</v>
      </c>
      <c r="AV797" s="646" t="str">
        <f aca="false">IFERROR(_xll.tr(MO.Ticker.Thomson,"Min(TR.PriceLow)","sdate:#1 edate:#2",,INDEX(MO_SNA_FPStartDate,0,COLUMN()),INDEX(MO_Common_QEndDate,0,COLUMN())),"N/A")</f>
        <v>N/A</v>
      </c>
      <c r="AW797" s="646" t="str">
        <f aca="false">IFERROR(_xll.tr(MO.Ticker.Thomson,"Min(TR.PriceLow)","sdate:#1 edate:#2",,INDEX(MO_SNA_FPStartDate,0,COLUMN()),INDEX(MO_Common_QEndDate,0,COLUMN())),"N/A")</f>
        <v>N/A</v>
      </c>
      <c r="AX797" s="646" t="str">
        <f aca="false">IFERROR(_xll.tr(MO.Ticker.Thomson,"Min(TR.PriceLow)","sdate:#1 edate:#2",,INDEX(MO_SNA_FPStartDate,0,COLUMN()),INDEX(MO_Common_QEndDate,0,COLUMN())),"N/A")</f>
        <v>N/A</v>
      </c>
      <c r="AY797" s="646" t="str">
        <f aca="false">IFERROR(_xll.tr(MO.Ticker.Thomson,"Min(TR.PriceLow)","sdate:#1 edate:#2",,INDEX(MO_SNA_FPStartDate,0,COLUMN()),INDEX(MO_Common_QEndDate,0,COLUMN())),"N/A")</f>
        <v>N/A</v>
      </c>
      <c r="AZ797" s="646" t="str">
        <f aca="false">IFERROR(_xll.tr(MO.Ticker.Thomson,"Min(TR.PriceLow)","sdate:#1 edate:#2",,INDEX(MO_SNA_FPStartDate,0,COLUMN()),INDEX(MO_Common_QEndDate,0,COLUMN())),"N/A")</f>
        <v>N/A</v>
      </c>
      <c r="BA797" s="646" t="str">
        <f aca="false">IFERROR(_xll.tr(MO.Ticker.Thomson,"Min(TR.PriceLow)","sdate:#1 edate:#2",,INDEX(MO_SNA_FPStartDate,0,COLUMN()),INDEX(MO_Common_QEndDate,0,COLUMN())),"N/A")</f>
        <v>N/A</v>
      </c>
      <c r="BB797" s="646" t="str">
        <f aca="false">IFERROR(_xll.tr(MO.Ticker.Thomson,"Min(TR.PriceLow)","sdate:#1 edate:#2",,INDEX(MO_SNA_FPStartDate,0,COLUMN()),INDEX(MO_Common_QEndDate,0,COLUMN())),"N/A")</f>
        <v>N/A</v>
      </c>
      <c r="BC797" s="646" t="str">
        <f aca="false">IFERROR(_xll.tr(MO.Ticker.Thomson,"Min(TR.PriceLow)","sdate:#1 edate:#2",,INDEX(MO_SNA_FPStartDate,0,COLUMN()),INDEX(MO_Common_QEndDate,0,COLUMN())),"N/A")</f>
        <v>N/A</v>
      </c>
      <c r="BD797" s="646" t="str">
        <f aca="false">IFERROR(_xll.tr(MO.Ticker.Thomson,"Min(TR.PriceLow)","sdate:#1 edate:#2",,INDEX(MO_SNA_FPStartDate,0,COLUMN()),INDEX(MO_Common_QEndDate,0,COLUMN())),"N/A")</f>
        <v>N/A</v>
      </c>
      <c r="BE797" s="646" t="str">
        <f aca="false">IFERROR(_xll.tr(MO.Ticker.Thomson,"Min(TR.PriceLow)","sdate:#1 edate:#2",,INDEX(MO_SNA_FPStartDate,0,COLUMN()),INDEX(MO_Common_QEndDate,0,COLUMN())),"N/A")</f>
        <v>N/A</v>
      </c>
      <c r="BF797" s="646" t="str">
        <f aca="false">IFERROR(_xll.tr(MO.Ticker.Thomson,"Min(TR.PriceLow)","sdate:#1 edate:#2",,INDEX(MO_SNA_FPStartDate,0,COLUMN()),INDEX(MO_Common_QEndDate,0,COLUMN())),"N/A")</f>
        <v>N/A</v>
      </c>
      <c r="BG797" s="646" t="str">
        <f aca="false">IFERROR(_xll.tr(MO.Ticker.Thomson,"Min(TR.PriceLow)","sdate:#1 edate:#2",,INDEX(MO_SNA_FPStartDate,0,COLUMN()),INDEX(MO_Common_QEndDate,0,COLUMN())),"N/A")</f>
        <v>N/A</v>
      </c>
      <c r="BH797" s="646" t="str">
        <f aca="false">IFERROR(_xll.tr(MO.Ticker.Thomson,"Min(TR.PriceLow)","sdate:#1 edate:#2",,INDEX(MO_SNA_FPStartDate,0,COLUMN()),INDEX(MO_Common_QEndDate,0,COLUMN())),"N/A")</f>
        <v>N/A</v>
      </c>
      <c r="BI797" s="646" t="str">
        <f aca="false">IFERROR(_xll.tr(MO.Ticker.Thomson,"Min(TR.PriceLow)","sdate:#1 edate:#2",,INDEX(MO_SNA_FPStartDate,0,COLUMN()),INDEX(MO_Common_QEndDate,0,COLUMN())),"N/A")</f>
        <v>N/A</v>
      </c>
      <c r="BJ797" s="646" t="str">
        <f aca="false">IFERROR(_xll.tr(MO.Ticker.Thomson,"Min(TR.PriceLow)","sdate:#1 edate:#2",,INDEX(MO_SNA_FPStartDate,0,COLUMN()),INDEX(MO_Common_QEndDate,0,COLUMN())),"N/A")</f>
        <v>N/A</v>
      </c>
      <c r="BK797" s="646" t="str">
        <f aca="false">IFERROR(_xll.tr(MO.Ticker.Thomson,"Min(TR.PriceLow)","sdate:#1 edate:#2",,INDEX(MO_SNA_FPStartDate,0,COLUMN()),INDEX(MO_Common_QEndDate,0,COLUMN())),"N/A")</f>
        <v>N/A</v>
      </c>
      <c r="BL797" s="646" t="str">
        <f aca="false">IFERROR(_xll.tr(MO.Ticker.Thomson,"Min(TR.PriceLow)","sdate:#1 edate:#2",,INDEX(MO_SNA_FPStartDate,0,COLUMN()),INDEX(MO_Common_QEndDate,0,COLUMN())),"N/A")</f>
        <v>N/A</v>
      </c>
      <c r="BM797" s="646" t="str">
        <f aca="false">IFERROR(_xll.tr(MO.Ticker.Thomson,"Min(TR.PriceLow)","sdate:#1 edate:#2",,INDEX(MO_SNA_FPStartDate,0,COLUMN()),INDEX(MO_Common_QEndDate,0,COLUMN())),"N/A")</f>
        <v>N/A</v>
      </c>
      <c r="BN797" s="646" t="str">
        <f aca="false">IFERROR(_xll.tr(MO.Ticker.Thomson,"Min(TR.PriceLow)","sdate:#1 edate:#2",,INDEX(MO_SNA_FPStartDate,0,COLUMN()),INDEX(MO_Common_QEndDate,0,COLUMN())),"N/A")</f>
        <v>N/A</v>
      </c>
      <c r="BO797" s="647" t="str">
        <f aca="false">IFERROR(_xll.tr(MO.Ticker.Thomson,"Min(TR.PriceLow)","sdate:#1 edate:#2",,INDEX(MO_SNA_FPStartDate,0,COLUMN()),INDEX(MO_Common_QEndDate,0,COLUMN())),"N/A")</f>
        <v>N/A</v>
      </c>
      <c r="BP797" s="646" t="str">
        <f aca="false">IFERROR(_xll.tr(MO.Ticker.Thomson,"Min(TR.PriceLow)","sdate:#1 edate:#2",,INDEX(MO_SNA_FPStartDate,0,COLUMN()),INDEX(MO_Common_QEndDate,0,COLUMN())),"N/A")</f>
        <v>N/A</v>
      </c>
      <c r="BQ797" s="646" t="str">
        <f aca="false">IFERROR(_xll.tr(MO.Ticker.Thomson,"Min(TR.PriceLow)","sdate:#1 edate:#2",,INDEX(MO_SNA_FPStartDate,0,COLUMN()),INDEX(MO_Common_QEndDate,0,COLUMN())),"N/A")</f>
        <v>N/A</v>
      </c>
      <c r="BR797" s="646" t="str">
        <f aca="false">IFERROR(_xll.tr(MO.Ticker.Thomson,"Min(TR.PriceLow)","sdate:#1 edate:#2",,INDEX(MO_SNA_FPStartDate,0,COLUMN()),INDEX(MO_Common_QEndDate,0,COLUMN())),"N/A")</f>
        <v>N/A</v>
      </c>
      <c r="BS797" s="646" t="str">
        <f aca="false">IFERROR(_xll.tr(MO.Ticker.Thomson,"Min(TR.PriceLow)","sdate:#1 edate:#2",,INDEX(MO_SNA_FPStartDate,0,COLUMN()),INDEX(MO_Common_QEndDate,0,COLUMN())),"N/A")</f>
        <v>N/A</v>
      </c>
      <c r="BT797" s="646" t="str">
        <f aca="false">IFERROR(_xll.tr(MO.Ticker.Thomson,"Min(TR.PriceLow)","sdate:#1 edate:#2",,INDEX(MO_SNA_FPStartDate,0,COLUMN()),INDEX(MO_Common_QEndDate,0,COLUMN())),"N/A")</f>
        <v>N/A</v>
      </c>
      <c r="BU797" s="646" t="str">
        <f aca="false">IFERROR(_xll.tr(MO.Ticker.Thomson,"Min(TR.PriceLow)","sdate:#1 edate:#2",,INDEX(MO_SNA_FPStartDate,0,COLUMN()),INDEX(MO_Common_QEndDate,0,COLUMN())),"N/A")</f>
        <v>N/A</v>
      </c>
      <c r="BV797" s="646" t="str">
        <f aca="false">IFERROR(_xll.tr(MO.Ticker.Thomson,"Min(TR.PriceLow)","sdate:#1 edate:#2",,INDEX(MO_SNA_FPStartDate,0,COLUMN()),INDEX(MO_Common_QEndDate,0,COLUMN())),"N/A")</f>
        <v>N/A</v>
      </c>
      <c r="BW797" s="646" t="str">
        <f aca="false">IFERROR(_xll.tr(MO.Ticker.Thomson,"Min(TR.PriceLow)","sdate:#1 edate:#2",,INDEX(MO_SNA_FPStartDate,0,COLUMN()),INDEX(MO_Common_QEndDate,0,COLUMN())),"N/A")</f>
        <v>N/A</v>
      </c>
      <c r="BX797" s="646" t="str">
        <f aca="false">IFERROR(_xll.tr(MO.Ticker.Thomson,"Min(TR.PriceLow)","sdate:#1 edate:#2",,INDEX(MO_SNA_FPStartDate,0,COLUMN()),INDEX(MO_Common_QEndDate,0,COLUMN())),"N/A")</f>
        <v>N/A</v>
      </c>
      <c r="BY797" s="646" t="str">
        <f aca="false">IFERROR(_xll.tr(MO.Ticker.Thomson,"Min(TR.PriceLow)","sdate:#1 edate:#2",,INDEX(MO_SNA_FPStartDate,0,COLUMN()),INDEX(MO_Common_QEndDate,0,COLUMN())),"N/A")</f>
        <v>N/A</v>
      </c>
      <c r="BZ797" s="646" t="str">
        <f aca="false">IFERROR(_xll.tr(MO.Ticker.Thomson,"Min(TR.PriceLow)","sdate:#1 edate:#2",,INDEX(MO_SNA_FPStartDate,0,COLUMN()),INDEX(MO_Common_QEndDate,0,COLUMN())),"N/A")</f>
        <v>N/A</v>
      </c>
      <c r="CA797" s="646" t="str">
        <f aca="false">IFERROR(_xll.tr(MO.Ticker.Thomson,"Min(TR.PriceLow)","sdate:#1 edate:#2",,INDEX(MO_SNA_FPStartDate,0,COLUMN()),INDEX(MO_Common_QEndDate,0,COLUMN())),"N/A")</f>
        <v>N/A</v>
      </c>
      <c r="CB797" s="648" t="str">
        <f aca="false">IFERROR(_xll.tr(MO.Ticker.Thomson,"Min(TR.PriceLow)","sdate:#1 edate:#2",,INDEX(MO_SNA_FPStartDate,0,COLUMN()),INDEX(MO_Common_QEndDate,0,COLUMN())),"N/A")</f>
        <v>N/A</v>
      </c>
      <c r="CC797" s="649"/>
    </row>
    <row r="798" s="46" customFormat="true" ht="15" hidden="true" customHeight="true" outlineLevel="1" collapsed="false">
      <c r="A798" s="645"/>
      <c r="B798" s="646"/>
      <c r="C798" s="646"/>
      <c r="D798" s="646"/>
      <c r="E798" s="646"/>
      <c r="F798" s="646"/>
      <c r="G798" s="646"/>
      <c r="H798" s="646"/>
      <c r="I798" s="646"/>
      <c r="J798" s="646"/>
      <c r="K798" s="646"/>
      <c r="L798" s="646"/>
      <c r="M798" s="646"/>
      <c r="N798" s="646"/>
      <c r="O798" s="646"/>
      <c r="P798" s="646"/>
      <c r="Q798" s="646"/>
      <c r="R798" s="646"/>
      <c r="S798" s="646"/>
      <c r="T798" s="646"/>
      <c r="U798" s="646"/>
      <c r="V798" s="646"/>
      <c r="W798" s="646"/>
      <c r="X798" s="646"/>
      <c r="Y798" s="646"/>
      <c r="Z798" s="646"/>
      <c r="AA798" s="646"/>
      <c r="AB798" s="646"/>
      <c r="AC798" s="646"/>
      <c r="AD798" s="646"/>
      <c r="AE798" s="646"/>
      <c r="AF798" s="646"/>
      <c r="AG798" s="646"/>
      <c r="AH798" s="646"/>
      <c r="AI798" s="646"/>
      <c r="AJ798" s="646"/>
      <c r="AK798" s="646"/>
      <c r="AL798" s="646"/>
      <c r="AM798" s="646"/>
      <c r="AN798" s="646"/>
      <c r="AO798" s="646"/>
      <c r="AP798" s="646"/>
      <c r="AQ798" s="646"/>
      <c r="AR798" s="646"/>
      <c r="AS798" s="646"/>
      <c r="AT798" s="646"/>
      <c r="AU798" s="646"/>
      <c r="AV798" s="646"/>
      <c r="AW798" s="646"/>
      <c r="AX798" s="646"/>
      <c r="AY798" s="646"/>
      <c r="AZ798" s="646"/>
      <c r="BA798" s="646"/>
      <c r="BB798" s="646"/>
      <c r="BC798" s="646"/>
      <c r="BD798" s="646"/>
      <c r="BE798" s="646"/>
      <c r="BF798" s="646"/>
      <c r="BG798" s="646"/>
      <c r="BH798" s="646"/>
      <c r="BI798" s="646"/>
      <c r="BJ798" s="646"/>
      <c r="BK798" s="646"/>
      <c r="BL798" s="646"/>
      <c r="BM798" s="646"/>
      <c r="BN798" s="646"/>
      <c r="BO798" s="647"/>
      <c r="BP798" s="646"/>
      <c r="BQ798" s="646"/>
      <c r="BR798" s="646"/>
      <c r="BS798" s="646"/>
      <c r="BT798" s="646"/>
      <c r="BU798" s="646"/>
      <c r="BV798" s="646"/>
      <c r="BW798" s="646"/>
      <c r="BX798" s="646"/>
      <c r="BY798" s="646"/>
      <c r="BZ798" s="646"/>
      <c r="CA798" s="646"/>
      <c r="CB798" s="648"/>
      <c r="CC798" s="649"/>
    </row>
    <row r="799" s="46" customFormat="true" ht="15" hidden="false" customHeight="true" outlineLevel="0" collapsed="false">
      <c r="A799" s="645" t="str">
        <f aca="false">"Stock Average: "&amp;IF(OR(MO.RealTimeStockPriceToggle=FALSE(),VLOOKUP(MO.DataSourceName,MO_SPT_StockAverage_Sources,COLUMN()+2,FALSE())="N/A"),"Real-Time Off Source",MO.DataSourceName)</f>
        <v>Stock Average: Real-Time Off Source</v>
      </c>
      <c r="B799" s="646"/>
      <c r="C799" s="646" t="n">
        <f aca="false">IF(OR(MO.RealTimeStockPriceToggle=FALSE(),VLOOKUP(MO.DataSourceName,MO_SPT_StockAverage_Sources,COLUMN(),FALSE())="N/A"),VLOOKUP("Real-Time Off Source",MO_SPT_StockAverage_Sources,COLUMN(),FALSE()),VLOOKUP(MO.DataSourceName,MO_SPT_StockAverage_Sources,COLUMN(),FALSE()))</f>
        <v>17.2649534508281</v>
      </c>
      <c r="D799" s="646" t="n">
        <f aca="false">IF(OR(MO.RealTimeStockPriceToggle=FALSE(),VLOOKUP(MO.DataSourceName,MO_SPT_StockAverage_Sources,COLUMN(),FALSE())="N/A"),VLOOKUP("Real-Time Off Source",MO_SPT_StockAverage_Sources,COLUMN(),FALSE()),VLOOKUP(MO.DataSourceName,MO_SPT_StockAverage_Sources,COLUMN(),FALSE()))</f>
        <v>24.8111107562403</v>
      </c>
      <c r="E799" s="646" t="n">
        <f aca="false">IF(OR(MO.RealTimeStockPriceToggle=FALSE(),VLOOKUP(MO.DataSourceName,MO_SPT_StockAverage_Sources,COLUMN(),FALSE())="N/A"),VLOOKUP("Real-Time Off Source",MO_SPT_StockAverage_Sources,COLUMN(),FALSE()),VLOOKUP(MO.DataSourceName,MO_SPT_StockAverage_Sources,COLUMN(),FALSE()))</f>
        <v>28.9175494513463</v>
      </c>
      <c r="F799" s="646" t="n">
        <f aca="false">IF(OR(MO.RealTimeStockPriceToggle=FALSE(),VLOOKUP(MO.DataSourceName,MO_SPT_StockAverage_Sources,COLUMN(),FALSE())="N/A"),VLOOKUP("Real-Time Off Source",MO_SPT_StockAverage_Sources,COLUMN(),FALSE()),VLOOKUP(MO.DataSourceName,MO_SPT_StockAverage_Sources,COLUMN(),FALSE()))</f>
        <v>41.3919978909922</v>
      </c>
      <c r="G799" s="646" t="n">
        <f aca="false">IF(OR(MO.RealTimeStockPriceToggle=FALSE(),VLOOKUP(MO.DataSourceName,MO_SPT_StockAverage_Sources,COLUMN(),FALSE())="N/A"),VLOOKUP("Real-Time Off Source",MO_SPT_StockAverage_Sources,COLUMN(),FALSE()),VLOOKUP(MO.DataSourceName,MO_SPT_StockAverage_Sources,COLUMN(),FALSE()))</f>
        <v>62.0350588235294</v>
      </c>
      <c r="H799" s="646" t="n">
        <f aca="false">IF(OR(MO.RealTimeStockPriceToggle=FALSE(),VLOOKUP(MO.DataSourceName,MO_SPT_StockAverage_Sources,COLUMN(),FALSE())="N/A"),VLOOKUP("Real-Time Off Source",MO_SPT_StockAverage_Sources,COLUMN(),FALSE()),VLOOKUP(MO.DataSourceName,MO_SPT_StockAverage_Sources,COLUMN(),FALSE()))</f>
        <v>64.9831746031746</v>
      </c>
      <c r="I799" s="646" t="n">
        <f aca="false">IF(OR(MO.RealTimeStockPriceToggle=FALSE(),VLOOKUP(MO.DataSourceName,MO_SPT_StockAverage_Sources,COLUMN(),FALSE())="N/A"),VLOOKUP("Real-Time Off Source",MO_SPT_StockAverage_Sources,COLUMN(),FALSE()),VLOOKUP(MO.DataSourceName,MO_SPT_StockAverage_Sources,COLUMN(),FALSE()))</f>
        <v>63.1291935483871</v>
      </c>
      <c r="J799" s="646" t="n">
        <f aca="false">IF(OR(MO.RealTimeStockPriceToggle=FALSE(),VLOOKUP(MO.DataSourceName,MO_SPT_StockAverage_Sources,COLUMN(),FALSE())="N/A"),VLOOKUP("Real-Time Off Source",MO_SPT_StockAverage_Sources,COLUMN(),FALSE()),VLOOKUP(MO.DataSourceName,MO_SPT_StockAverage_Sources,COLUMN(),FALSE()))</f>
        <v>71.119393939394</v>
      </c>
      <c r="K799" s="646" t="n">
        <f aca="false">IF(OR(MO.RealTimeStockPriceToggle=FALSE(),VLOOKUP(MO.DataSourceName,MO_SPT_StockAverage_Sources,COLUMN(),FALSE())="N/A"),VLOOKUP("Real-Time Off Source",MO_SPT_StockAverage_Sources,COLUMN(),FALSE()),VLOOKUP(MO.DataSourceName,MO_SPT_StockAverage_Sources,COLUMN(),FALSE()))</f>
        <v>81.10328125</v>
      </c>
      <c r="L799" s="646" t="n">
        <f aca="false">IF(OR(MO.RealTimeStockPriceToggle=FALSE(),VLOOKUP(MO.DataSourceName,MO_SPT_StockAverage_Sources,COLUMN(),FALSE())="N/A"),VLOOKUP("Real-Time Off Source",MO_SPT_StockAverage_Sources,COLUMN(),FALSE()),VLOOKUP(MO.DataSourceName,MO_SPT_StockAverage_Sources,COLUMN(),FALSE()))</f>
        <v>70.1664313725491</v>
      </c>
      <c r="M799" s="646" t="n">
        <f aca="false">IF(OR(MO.RealTimeStockPriceToggle=FALSE(),VLOOKUP(MO.DataSourceName,MO_SPT_StockAverage_Sources,COLUMN(),FALSE())="N/A"),VLOOKUP("Real-Time Off Source",MO_SPT_StockAverage_Sources,COLUMN(),FALSE()),VLOOKUP(MO.DataSourceName,MO_SPT_StockAverage_Sources,COLUMN(),FALSE()))</f>
        <v>93.5625396825397</v>
      </c>
      <c r="N799" s="646" t="n">
        <f aca="false">IF(OR(MO.RealTimeStockPriceToggle=FALSE(),VLOOKUP(MO.DataSourceName,MO_SPT_StockAverage_Sources,COLUMN(),FALSE())="N/A"),VLOOKUP("Real-Time Off Source",MO_SPT_StockAverage_Sources,COLUMN(),FALSE()),VLOOKUP(MO.DataSourceName,MO_SPT_StockAverage_Sources,COLUMN(),FALSE()))</f>
        <v>96.8222580645161</v>
      </c>
      <c r="O799" s="646" t="n">
        <f aca="false">IF(OR(MO.RealTimeStockPriceToggle=FALSE(),VLOOKUP(MO.DataSourceName,MO_SPT_StockAverage_Sources,COLUMN(),FALSE())="N/A"),VLOOKUP("Real-Time Off Source",MO_SPT_StockAverage_Sources,COLUMN(),FALSE()),VLOOKUP(MO.DataSourceName,MO_SPT_StockAverage_Sources,COLUMN(),FALSE()))</f>
        <v>85.445</v>
      </c>
      <c r="P799" s="646" t="n">
        <f aca="false">IF(OR(MO.RealTimeStockPriceToggle=FALSE(),VLOOKUP(MO.DataSourceName,MO_SPT_StockAverage_Sources,COLUMN(),FALSE())="N/A"),VLOOKUP("Real-Time Off Source",MO_SPT_StockAverage_Sources,COLUMN(),FALSE()),VLOOKUP(MO.DataSourceName,MO_SPT_StockAverage_Sources,COLUMN(),FALSE()))</f>
        <v>83.1427692307692</v>
      </c>
      <c r="Q799" s="646" t="n">
        <f aca="false">IF(OR(MO.RealTimeStockPriceToggle=FALSE(),VLOOKUP(MO.DataSourceName,MO_SPT_StockAverage_Sources,COLUMN(),FALSE())="N/A"),VLOOKUP("Real-Time Off Source",MO_SPT_StockAverage_Sources,COLUMN(),FALSE()),VLOOKUP(MO.DataSourceName,MO_SPT_StockAverage_Sources,COLUMN(),FALSE()))</f>
        <v>89.6135546875</v>
      </c>
      <c r="R799" s="646" t="n">
        <f aca="false">IF(OR(MO.RealTimeStockPriceToggle=FALSE(),VLOOKUP(MO.DataSourceName,MO_SPT_StockAverage_Sources,COLUMN(),FALSE())="N/A"),VLOOKUP("Real-Time Off Source",MO_SPT_StockAverage_Sources,COLUMN(),FALSE()),VLOOKUP(MO.DataSourceName,MO_SPT_StockAverage_Sources,COLUMN(),FALSE()))</f>
        <v>81.3245161290322</v>
      </c>
      <c r="S799" s="646" t="n">
        <f aca="false">IF(OR(MO.RealTimeStockPriceToggle=FALSE(),VLOOKUP(MO.DataSourceName,MO_SPT_StockAverage_Sources,COLUMN(),FALSE())="N/A"),VLOOKUP("Real-Time Off Source",MO_SPT_StockAverage_Sources,COLUMN(),FALSE()),VLOOKUP(MO.DataSourceName,MO_SPT_StockAverage_Sources,COLUMN(),FALSE()))</f>
        <v>86.0596923076923</v>
      </c>
      <c r="T799" s="646" t="n">
        <f aca="false">IF(OR(MO.RealTimeStockPriceToggle=FALSE(),VLOOKUP(MO.DataSourceName,MO_SPT_StockAverage_Sources,COLUMN(),FALSE())="N/A"),VLOOKUP("Real-Time Off Source",MO_SPT_StockAverage_Sources,COLUMN(),FALSE()),VLOOKUP(MO.DataSourceName,MO_SPT_StockAverage_Sources,COLUMN(),FALSE()))</f>
        <v>94.7318181818182</v>
      </c>
      <c r="U799" s="646" t="n">
        <f aca="false">IF(OR(MO.RealTimeStockPriceToggle=FALSE(),VLOOKUP(MO.DataSourceName,MO_SPT_StockAverage_Sources,COLUMN(),FALSE())="N/A"),VLOOKUP("Real-Time Off Source",MO_SPT_StockAverage_Sources,COLUMN(),FALSE()),VLOOKUP(MO.DataSourceName,MO_SPT_StockAverage_Sources,COLUMN(),FALSE()))</f>
        <v>97.1596875</v>
      </c>
      <c r="V799" s="646" t="n">
        <f aca="false">IF(OR(MO.RealTimeStockPriceToggle=FALSE(),VLOOKUP(MO.DataSourceName,MO_SPT_StockAverage_Sources,COLUMN(),FALSE())="N/A"),VLOOKUP("Real-Time Off Source",MO_SPT_StockAverage_Sources,COLUMN(),FALSE()),VLOOKUP(MO.DataSourceName,MO_SPT_StockAverage_Sources,COLUMN(),FALSE()))</f>
        <v>89.9086381322956</v>
      </c>
      <c r="W799" s="646" t="n">
        <f aca="false">IF(OR(MO.RealTimeStockPriceToggle=FALSE(),VLOOKUP(MO.DataSourceName,MO_SPT_StockAverage_Sources,COLUMN(),FALSE())="N/A"),VLOOKUP("Real-Time Off Source",MO_SPT_StockAverage_Sources,COLUMN(),FALSE()),VLOOKUP(MO.DataSourceName,MO_SPT_StockAverage_Sources,COLUMN(),FALSE()))</f>
        <v>115.037692307692</v>
      </c>
      <c r="X799" s="646" t="n">
        <f aca="false">IF(OR(MO.RealTimeStockPriceToggle=FALSE(),VLOOKUP(MO.DataSourceName,MO_SPT_StockAverage_Sources,COLUMN(),FALSE())="N/A"),VLOOKUP("Real-Time Off Source",MO_SPT_StockAverage_Sources,COLUMN(),FALSE()),VLOOKUP(MO.DataSourceName,MO_SPT_StockAverage_Sources,COLUMN(),FALSE()))</f>
        <v>120.241935483871</v>
      </c>
      <c r="Y799" s="646" t="n">
        <f aca="false">IF(OR(MO.RealTimeStockPriceToggle=FALSE(),VLOOKUP(MO.DataSourceName,MO_SPT_StockAverage_Sources,COLUMN(),FALSE())="N/A"),VLOOKUP("Real-Time Off Source",MO_SPT_StockAverage_Sources,COLUMN(),FALSE()),VLOOKUP(MO.DataSourceName,MO_SPT_StockAverage_Sources,COLUMN(),FALSE()))</f>
        <v>129.830769230769</v>
      </c>
      <c r="Z799" s="646" t="n">
        <f aca="false">IF(OR(MO.RealTimeStockPriceToggle=FALSE(),VLOOKUP(MO.DataSourceName,MO_SPT_StockAverage_Sources,COLUMN(),FALSE())="N/A"),VLOOKUP("Real-Time Off Source",MO_SPT_StockAverage_Sources,COLUMN(),FALSE()),VLOOKUP(MO.DataSourceName,MO_SPT_StockAverage_Sources,COLUMN(),FALSE()))</f>
        <v>149.753968253968</v>
      </c>
      <c r="AA799" s="646" t="n">
        <f aca="false">IF(OR(MO.RealTimeStockPriceToggle=FALSE(),VLOOKUP(MO.DataSourceName,MO_SPT_StockAverage_Sources,COLUMN(),FALSE())="N/A"),VLOOKUP("Real-Time Off Source",MO_SPT_StockAverage_Sources,COLUMN(),FALSE()),VLOOKUP(MO.DataSourceName,MO_SPT_StockAverage_Sources,COLUMN(),FALSE()))</f>
        <v>128.650784313725</v>
      </c>
      <c r="AB799" s="646" t="n">
        <f aca="false">IF(OR(MO.RealTimeStockPriceToggle=FALSE(),VLOOKUP(MO.DataSourceName,MO_SPT_StockAverage_Sources,COLUMN(),FALSE())="N/A"),VLOOKUP("Real-Time Off Source",MO_SPT_StockAverage_Sources,COLUMN(),FALSE()),VLOOKUP(MO.DataSourceName,MO_SPT_StockAverage_Sources,COLUMN(),FALSE()))</f>
        <v>160.047619047619</v>
      </c>
      <c r="AC799" s="646" t="n">
        <f aca="false">IF(OR(MO.RealTimeStockPriceToggle=FALSE(),VLOOKUP(MO.DataSourceName,MO_SPT_StockAverage_Sources,COLUMN(),FALSE())="N/A"),VLOOKUP("Real-Time Off Source",MO_SPT_StockAverage_Sources,COLUMN(),FALSE()),VLOOKUP(MO.DataSourceName,MO_SPT_StockAverage_Sources,COLUMN(),FALSE()))</f>
        <v>168.905555555556</v>
      </c>
      <c r="AD799" s="646" t="n">
        <f aca="false">IF(OR(MO.RealTimeStockPriceToggle=FALSE(),VLOOKUP(MO.DataSourceName,MO_SPT_StockAverage_Sources,COLUMN(),FALSE())="N/A"),VLOOKUP("Real-Time Off Source",MO_SPT_StockAverage_Sources,COLUMN(),FALSE()),VLOOKUP(MO.DataSourceName,MO_SPT_StockAverage_Sources,COLUMN(),FALSE()))</f>
        <v>172.465692307692</v>
      </c>
      <c r="AE799" s="646" t="n">
        <f aca="false">IF(OR(MO.RealTimeStockPriceToggle=FALSE(),VLOOKUP(MO.DataSourceName,MO_SPT_StockAverage_Sources,COLUMN(),FALSE())="N/A"),VLOOKUP("Real-Time Off Source",MO_SPT_StockAverage_Sources,COLUMN(),FALSE()),VLOOKUP(MO.DataSourceName,MO_SPT_StockAverage_Sources,COLUMN(),FALSE()))</f>
        <v>148.7953125</v>
      </c>
      <c r="AF799" s="646" t="n">
        <f aca="false">IF(OR(MO.RealTimeStockPriceToggle=FALSE(),VLOOKUP(MO.DataSourceName,MO_SPT_StockAverage_Sources,COLUMN(),FALSE())="N/A"),VLOOKUP("Real-Time Off Source",MO_SPT_StockAverage_Sources,COLUMN(),FALSE()),VLOOKUP(MO.DataSourceName,MO_SPT_StockAverage_Sources,COLUMN(),FALSE()))</f>
        <v>162.577333333333</v>
      </c>
      <c r="AG799" s="646" t="n">
        <f aca="false">IF(OR(MO.RealTimeStockPriceToggle=FALSE(),VLOOKUP(MO.DataSourceName,MO_SPT_StockAverage_Sources,COLUMN(),FALSE())="N/A"),VLOOKUP("Real-Time Off Source",MO_SPT_StockAverage_Sources,COLUMN(),FALSE()),VLOOKUP(MO.DataSourceName,MO_SPT_StockAverage_Sources,COLUMN(),FALSE()))</f>
        <v>155.612380952381</v>
      </c>
      <c r="AH799" s="646" t="n">
        <f aca="false">IF(OR(MO.RealTimeStockPriceToggle=FALSE(),VLOOKUP(MO.DataSourceName,MO_SPT_StockAverage_Sources,COLUMN(),FALSE())="N/A"),VLOOKUP("Real-Time Off Source",MO_SPT_StockAverage_Sources,COLUMN(),FALSE()),VLOOKUP(MO.DataSourceName,MO_SPT_StockAverage_Sources,COLUMN(),FALSE()))</f>
        <v>176.773225806452</v>
      </c>
      <c r="AI799" s="646" t="n">
        <f aca="false">IF(OR(MO.RealTimeStockPriceToggle=FALSE(),VLOOKUP(MO.DataSourceName,MO_SPT_StockAverage_Sources,COLUMN(),FALSE())="N/A"),VLOOKUP("Real-Time Off Source",MO_SPT_StockAverage_Sources,COLUMN(),FALSE()),VLOOKUP(MO.DataSourceName,MO_SPT_StockAverage_Sources,COLUMN(),FALSE()))</f>
        <v>202.614848484848</v>
      </c>
      <c r="AJ799" s="646" t="n">
        <f aca="false">IF(OR(MO.RealTimeStockPriceToggle=FALSE(),VLOOKUP(MO.DataSourceName,MO_SPT_StockAverage_Sources,COLUMN(),FALSE())="N/A"),VLOOKUP("Real-Time Off Source",MO_SPT_StockAverage_Sources,COLUMN(),FALSE()),VLOOKUP(MO.DataSourceName,MO_SPT_StockAverage_Sources,COLUMN(),FALSE()))</f>
        <v>243.4921875</v>
      </c>
      <c r="AK799" s="646" t="n">
        <f aca="false">IF(OR(MO.RealTimeStockPriceToggle=FALSE(),VLOOKUP(MO.DataSourceName,MO_SPT_StockAverage_Sources,COLUMN(),FALSE())="N/A"),VLOOKUP("Real-Time Off Source",MO_SPT_StockAverage_Sources,COLUMN(),FALSE()),VLOOKUP(MO.DataSourceName,MO_SPT_StockAverage_Sources,COLUMN(),FALSE()))</f>
        <v>194.978823529412</v>
      </c>
      <c r="AL799" s="646" t="n">
        <f aca="false">IF(OR(MO.RealTimeStockPriceToggle=FALSE(),VLOOKUP(MO.DataSourceName,MO_SPT_StockAverage_Sources,COLUMN(),FALSE())="N/A"),VLOOKUP("Real-Time Off Source",MO_SPT_StockAverage_Sources,COLUMN(),FALSE()),VLOOKUP(MO.DataSourceName,MO_SPT_StockAverage_Sources,COLUMN(),FALSE()))</f>
        <v>258.9875</v>
      </c>
      <c r="AM799" s="646" t="n">
        <f aca="false">IF(OR(MO.RealTimeStockPriceToggle=FALSE(),VLOOKUP(MO.DataSourceName,MO_SPT_StockAverage_Sources,COLUMN(),FALSE())="N/A"),VLOOKUP("Real-Time Off Source",MO_SPT_StockAverage_Sources,COLUMN(),FALSE()),VLOOKUP(MO.DataSourceName,MO_SPT_StockAverage_Sources,COLUMN(),FALSE()))</f>
        <v>285.835483870968</v>
      </c>
      <c r="AN799" s="646" t="n">
        <f aca="false">IF(OR(MO.RealTimeStockPriceToggle=FALSE(),VLOOKUP(MO.DataSourceName,MO_SPT_StockAverage_Sources,COLUMN(),FALSE())="N/A"),VLOOKUP("Real-Time Off Source",MO_SPT_StockAverage_Sources,COLUMN(),FALSE()),VLOOKUP(MO.DataSourceName,MO_SPT_StockAverage_Sources,COLUMN(),FALSE()))</f>
        <v>319.692424242424</v>
      </c>
      <c r="AO799" s="646" t="n">
        <f aca="false">IF(OR(MO.RealTimeStockPriceToggle=FALSE(),VLOOKUP(MO.DataSourceName,MO_SPT_StockAverage_Sources,COLUMN(),FALSE())="N/A"),VLOOKUP("Real-Time Off Source",MO_SPT_StockAverage_Sources,COLUMN(),FALSE()),VLOOKUP(MO.DataSourceName,MO_SPT_StockAverage_Sources,COLUMN(),FALSE()))</f>
        <v>352.354615384615</v>
      </c>
      <c r="AP799" s="646" t="n">
        <f aca="false">IF(OR(MO.RealTimeStockPriceToggle=FALSE(),VLOOKUP(MO.DataSourceName,MO_SPT_StockAverage_Sources,COLUMN(),FALSE())="N/A"),VLOOKUP("Real-Time Off Source",MO_SPT_StockAverage_Sources,COLUMN(),FALSE()),VLOOKUP(MO.DataSourceName,MO_SPT_StockAverage_Sources,COLUMN(),FALSE()))</f>
        <v>304.668287937743</v>
      </c>
      <c r="AQ799" s="646" t="n">
        <f aca="false">IF(OR(MO.RealTimeStockPriceToggle=FALSE(),VLOOKUP(MO.DataSourceName,MO_SPT_StockAverage_Sources,COLUMN(),FALSE())="N/A"),VLOOKUP("Real-Time Off Source",MO_SPT_StockAverage_Sources,COLUMN(),FALSE()),VLOOKUP(MO.DataSourceName,MO_SPT_StockAverage_Sources,COLUMN(),FALSE()))</f>
        <v>460.376984126984</v>
      </c>
      <c r="AR799" s="646" t="n">
        <f aca="false">IF(OR(MO.RealTimeStockPriceToggle=FALSE(),VLOOKUP(MO.DataSourceName,MO_SPT_StockAverage_Sources,COLUMN(),FALSE())="N/A"),VLOOKUP("Real-Time Off Source",MO_SPT_StockAverage_Sources,COLUMN(),FALSE()),VLOOKUP(MO.DataSourceName,MO_SPT_StockAverage_Sources,COLUMN(),FALSE()))</f>
        <v>545.942857142857</v>
      </c>
      <c r="AS799" s="646" t="n">
        <f aca="false">IF(OR(MO.RealTimeStockPriceToggle=FALSE(),VLOOKUP(MO.DataSourceName,MO_SPT_StockAverage_Sources,COLUMN(),FALSE())="N/A"),VLOOKUP("Real-Time Off Source",MO_SPT_StockAverage_Sources,COLUMN(),FALSE()),VLOOKUP(MO.DataSourceName,MO_SPT_StockAverage_Sources,COLUMN(),FALSE()))</f>
        <v>666.209090909091</v>
      </c>
      <c r="AT799" s="646" t="n">
        <f aca="false">IF(OR(MO.RealTimeStockPriceToggle=FALSE(),VLOOKUP(MO.DataSourceName,MO_SPT_StockAverage_Sources,COLUMN(),FALSE())="N/A"),VLOOKUP("Real-Time Off Source",MO_SPT_StockAverage_Sources,COLUMN(),FALSE()),VLOOKUP(MO.DataSourceName,MO_SPT_StockAverage_Sources,COLUMN(),FALSE()))</f>
        <v>693.7</v>
      </c>
      <c r="AU799" s="646" t="n">
        <f aca="false">IF(OR(MO.RealTimeStockPriceToggle=FALSE(),VLOOKUP(MO.DataSourceName,MO_SPT_StockAverage_Sources,COLUMN(),FALSE())="N/A"),VLOOKUP("Real-Time Off Source",MO_SPT_StockAverage_Sources,COLUMN(),FALSE()),VLOOKUP(MO.DataSourceName,MO_SPT_StockAverage_Sources,COLUMN(),FALSE()))</f>
        <v>593.61</v>
      </c>
      <c r="AV799" s="646" t="n">
        <f aca="false">IF(OR(MO.RealTimeStockPriceToggle=FALSE(),VLOOKUP(MO.DataSourceName,MO_SPT_StockAverage_Sources,COLUMN(),FALSE())="N/A"),VLOOKUP("Real-Time Off Source",MO_SPT_StockAverage_Sources,COLUMN(),FALSE()),VLOOKUP(MO.DataSourceName,MO_SPT_StockAverage_Sources,COLUMN(),FALSE()))</f>
        <v>596.25</v>
      </c>
      <c r="AW799" s="646" t="n">
        <f aca="false">IF(OR(MO.RealTimeStockPriceToggle=FALSE(),VLOOKUP(MO.DataSourceName,MO_SPT_StockAverage_Sources,COLUMN(),FALSE())="N/A"),VLOOKUP("Real-Time Off Source",MO_SPT_StockAverage_Sources,COLUMN(),FALSE()),VLOOKUP(MO.DataSourceName,MO_SPT_StockAverage_Sources,COLUMN(),FALSE()))</f>
        <v>523.353968253968</v>
      </c>
      <c r="AX799" s="646" t="n">
        <f aca="false">IF(OR(MO.RealTimeStockPriceToggle=FALSE(),VLOOKUP(MO.DataSourceName,MO_SPT_StockAverage_Sources,COLUMN(),FALSE())="N/A"),VLOOKUP("Real-Time Off Source",MO_SPT_StockAverage_Sources,COLUMN(),FALSE()),VLOOKUP(MO.DataSourceName,MO_SPT_StockAverage_Sources,COLUMN(),FALSE()))</f>
        <v>495.160606060606</v>
      </c>
      <c r="AY799" s="646" t="n">
        <f aca="false">IF(OR(MO.RealTimeStockPriceToggle=FALSE(),VLOOKUP(MO.DataSourceName,MO_SPT_StockAverage_Sources,COLUMN(),FALSE())="N/A"),VLOOKUP("Real-Time Off Source",MO_SPT_StockAverage_Sources,COLUMN(),FALSE()),VLOOKUP(MO.DataSourceName,MO_SPT_StockAverage_Sources,COLUMN(),FALSE()))</f>
        <v>523.317617714286</v>
      </c>
      <c r="AZ799" s="646" t="n">
        <f aca="false">IF(OR(MO.RealTimeStockPriceToggle=FALSE(),VLOOKUP(MO.DataSourceName,MO_SPT_StockAverage_Sources,COLUMN(),FALSE())="N/A"),VLOOKUP("Real-Time Off Source",MO_SPT_StockAverage_Sources,COLUMN(),FALSE()),VLOOKUP(MO.DataSourceName,MO_SPT_StockAverage_Sources,COLUMN(),FALSE()))</f>
        <v>558.69047250996</v>
      </c>
      <c r="BA799" s="646" t="n">
        <f aca="false">IF(OR(MO.RealTimeStockPriceToggle=FALSE(),VLOOKUP(MO.DataSourceName,MO_SPT_StockAverage_Sources,COLUMN(),FALSE())="N/A"),VLOOKUP("Real-Time Off Source",MO_SPT_StockAverage_Sources,COLUMN(),FALSE()),VLOOKUP(MO.DataSourceName,MO_SPT_StockAverage_Sources,COLUMN(),FALSE()))</f>
        <v>596.383076923077</v>
      </c>
      <c r="BB799" s="646" t="n">
        <f aca="false">IF(OR(MO.RealTimeStockPriceToggle=FALSE(),VLOOKUP(MO.DataSourceName,MO_SPT_StockAverage_Sources,COLUMN(),FALSE())="N/A"),VLOOKUP("Real-Time Off Source",MO_SPT_StockAverage_Sources,COLUMN(),FALSE()),VLOOKUP(MO.DataSourceName,MO_SPT_StockAverage_Sources,COLUMN(),FALSE()))</f>
        <v>626.446774193548</v>
      </c>
      <c r="BC799" s="646" t="n">
        <f aca="false">IF(OR(MO.RealTimeStockPriceToggle=FALSE(),VLOOKUP(MO.DataSourceName,MO_SPT_StockAverage_Sources,COLUMN(),FALSE())="N/A"),VLOOKUP("Real-Time Off Source",MO_SPT_StockAverage_Sources,COLUMN(),FALSE()),VLOOKUP(MO.DataSourceName,MO_SPT_StockAverage_Sources,COLUMN(),FALSE()))</f>
        <v>611.198461538462</v>
      </c>
      <c r="BD799" s="646" t="n">
        <f aca="false">IF(OR(MO.RealTimeStockPriceToggle=FALSE(),VLOOKUP(MO.DataSourceName,MO_SPT_StockAverage_Sources,COLUMN(),FALSE())="N/A"),VLOOKUP("Real-Time Off Source",MO_SPT_StockAverage_Sources,COLUMN(),FALSE()),VLOOKUP(MO.DataSourceName,MO_SPT_StockAverage_Sources,COLUMN(),FALSE()))</f>
        <v>612.004761904762</v>
      </c>
      <c r="BE799" s="646" t="n">
        <f aca="false">IF(OR(MO.RealTimeStockPriceToggle=FALSE(),VLOOKUP(MO.DataSourceName,MO_SPT_StockAverage_Sources,COLUMN(),FALSE())="N/A"),VLOOKUP("Real-Time Off Source",MO_SPT_StockAverage_Sources,COLUMN(),FALSE()),VLOOKUP(MO.DataSourceName,MO_SPT_StockAverage_Sources,COLUMN(),FALSE()))</f>
        <v>611.328627450981</v>
      </c>
      <c r="BF799" s="646" t="n">
        <f aca="false">IF(OR(MO.RealTimeStockPriceToggle=FALSE(),VLOOKUP(MO.DataSourceName,MO_SPT_StockAverage_Sources,COLUMN(),FALSE())="N/A"),VLOOKUP("Real-Time Off Source",MO_SPT_StockAverage_Sources,COLUMN(),FALSE()),VLOOKUP(MO.DataSourceName,MO_SPT_StockAverage_Sources,COLUMN(),FALSE()))</f>
        <v>813.612698412699</v>
      </c>
      <c r="BG799" s="646" t="n">
        <f aca="false">IF(OR(MO.RealTimeStockPriceToggle=FALSE(),VLOOKUP(MO.DataSourceName,MO_SPT_StockAverage_Sources,COLUMN(),FALSE())="N/A"),VLOOKUP("Real-Time Off Source",MO_SPT_StockAverage_Sources,COLUMN(),FALSE()),VLOOKUP(MO.DataSourceName,MO_SPT_StockAverage_Sources,COLUMN(),FALSE()))</f>
        <v>894.15873015873</v>
      </c>
      <c r="BH799" s="646" t="n">
        <f aca="false">IF(OR(MO.RealTimeStockPriceToggle=FALSE(),VLOOKUP(MO.DataSourceName,MO_SPT_StockAverage_Sources,COLUMN(),FALSE())="N/A"),VLOOKUP("Real-Time Off Source",MO_SPT_StockAverage_Sources,COLUMN(),FALSE()),VLOOKUP(MO.DataSourceName,MO_SPT_StockAverage_Sources,COLUMN(),FALSE()))</f>
        <v>819.115384615385</v>
      </c>
      <c r="BI799" s="646" t="n">
        <f aca="false">IF(OR(MO.RealTimeStockPriceToggle=FALSE(),VLOOKUP(MO.DataSourceName,MO_SPT_StockAverage_Sources,COLUMN(),FALSE())="N/A"),VLOOKUP("Real-Time Off Source",MO_SPT_StockAverage_Sources,COLUMN(),FALSE()),VLOOKUP(MO.DataSourceName,MO_SPT_StockAverage_Sources,COLUMN(),FALSE()))</f>
        <v>673.523076923077</v>
      </c>
      <c r="BJ799" s="646" t="n">
        <f aca="false">IF(OR(MO.RealTimeStockPriceToggle=FALSE(),VLOOKUP(MO.DataSourceName,MO_SPT_StockAverage_Sources,COLUMN(),FALSE())="N/A"),VLOOKUP("Real-Time Off Source",MO_SPT_StockAverage_Sources,COLUMN(),FALSE()),VLOOKUP(MO.DataSourceName,MO_SPT_StockAverage_Sources,COLUMN(),FALSE()))</f>
        <v>799.262109375</v>
      </c>
      <c r="BK799" s="646" t="n">
        <f aca="false">IF(OR(MO.RealTimeStockPriceToggle=FALSE(),VLOOKUP(MO.DataSourceName,MO_SPT_StockAverage_Sources,COLUMN(),FALSE())="N/A"),VLOOKUP("Real-Time Off Source",MO_SPT_StockAverage_Sources,COLUMN(),FALSE()),VLOOKUP(MO.DataSourceName,MO_SPT_StockAverage_Sources,COLUMN(),FALSE()))</f>
        <v>696.237096774194</v>
      </c>
      <c r="BL799" s="646" t="n">
        <f aca="false">IF(OR(MO.RealTimeStockPriceToggle=FALSE(),VLOOKUP(MO.DataSourceName,MO_SPT_StockAverage_Sources,COLUMN(),FALSE())="N/A"),VLOOKUP("Real-Time Off Source",MO_SPT_StockAverage_Sources,COLUMN(),FALSE()),VLOOKUP(MO.DataSourceName,MO_SPT_StockAverage_Sources,COLUMN(),FALSE()))</f>
        <v>633.43870967742</v>
      </c>
      <c r="BM799" s="646" t="n">
        <f aca="false">IF(OR(MO.RealTimeStockPriceToggle=FALSE(),VLOOKUP(MO.DataSourceName,MO_SPT_StockAverage_Sources,COLUMN(),FALSE())="N/A"),VLOOKUP("Real-Time Off Source",MO_SPT_StockAverage_Sources,COLUMN(),FALSE()),VLOOKUP(MO.DataSourceName,MO_SPT_StockAverage_Sources,COLUMN(),FALSE()))</f>
        <v>666.3</v>
      </c>
      <c r="BN799" s="646" t="n">
        <f aca="false">IF(OR(MO.RealTimeStockPriceToggle=FALSE(),VLOOKUP(MO.DataSourceName,MO_SPT_StockAverage_Sources,COLUMN(),FALSE())="N/A"),VLOOKUP("Real-Time Off Source",MO_SPT_StockAverage_Sources,COLUMN(),FALSE()),VLOOKUP(MO.DataSourceName,MO_SPT_StockAverage_Sources,COLUMN(),FALSE()))</f>
        <v>894.351515151515</v>
      </c>
      <c r="BO799" s="647" t="n">
        <f aca="false">IF(OR(MO.RealTimeStockPriceToggle=FALSE(),VLOOKUP(MO.DataSourceName,MO_SPT_StockAverage_Sources,COLUMN(),FALSE())="N/A"),VLOOKUP("Real-Time Off Source",MO_SPT_StockAverage_Sources,COLUMN(),FALSE()),VLOOKUP(MO.DataSourceName,MO_SPT_StockAverage_Sources,COLUMN(),FALSE()))</f>
        <v>724.614117647059</v>
      </c>
      <c r="BP799" s="646" t="n">
        <f aca="false">IF(OR(MO.RealTimeStockPriceToggle=FALSE(),VLOOKUP(MO.DataSourceName,MO_SPT_StockAverage_Sources,COLUMN(),FALSE())="N/A"),VLOOKUP("Real-Time Off Source",MO_SPT_StockAverage_Sources,COLUMN(),FALSE()),VLOOKUP(MO.DataSourceName,MO_SPT_StockAverage_Sources,COLUMN(),FALSE()))</f>
        <v>0</v>
      </c>
      <c r="BQ799" s="646" t="n">
        <f aca="false">IF(OR(MO.RealTimeStockPriceToggle=FALSE(),VLOOKUP(MO.DataSourceName,MO_SPT_StockAverage_Sources,COLUMN(),FALSE())="N/A"),VLOOKUP("Real-Time Off Source",MO_SPT_StockAverage_Sources,COLUMN(),FALSE()),VLOOKUP(MO.DataSourceName,MO_SPT_StockAverage_Sources,COLUMN(),FALSE()))</f>
        <v>0</v>
      </c>
      <c r="BR799" s="646" t="n">
        <f aca="false">IF(OR(MO.RealTimeStockPriceToggle=FALSE(),VLOOKUP(MO.DataSourceName,MO_SPT_StockAverage_Sources,COLUMN(),FALSE())="N/A"),VLOOKUP("Real-Time Off Source",MO_SPT_StockAverage_Sources,COLUMN(),FALSE()),VLOOKUP(MO.DataSourceName,MO_SPT_StockAverage_Sources,COLUMN(),FALSE()))</f>
        <v>0</v>
      </c>
      <c r="BS799" s="646" t="n">
        <f aca="false">IF(OR(MO.RealTimeStockPriceToggle=FALSE(),VLOOKUP(MO.DataSourceName,MO_SPT_StockAverage_Sources,COLUMN(),FALSE())="N/A"),VLOOKUP("Real-Time Off Source",MO_SPT_StockAverage_Sources,COLUMN(),FALSE()),VLOOKUP(MO.DataSourceName,MO_SPT_StockAverage_Sources,COLUMN(),FALSE()))</f>
        <v>0</v>
      </c>
      <c r="BT799" s="646" t="n">
        <f aca="false">IF(OR(MO.RealTimeStockPriceToggle=FALSE(),VLOOKUP(MO.DataSourceName,MO_SPT_StockAverage_Sources,COLUMN(),FALSE())="N/A"),VLOOKUP("Real-Time Off Source",MO_SPT_StockAverage_Sources,COLUMN(),FALSE()),VLOOKUP(MO.DataSourceName,MO_SPT_StockAverage_Sources,COLUMN(),FALSE()))</f>
        <v>0</v>
      </c>
      <c r="BU799" s="646" t="n">
        <f aca="false">IF(OR(MO.RealTimeStockPriceToggle=FALSE(),VLOOKUP(MO.DataSourceName,MO_SPT_StockAverage_Sources,COLUMN(),FALSE())="N/A"),VLOOKUP("Real-Time Off Source",MO_SPT_StockAverage_Sources,COLUMN(),FALSE()),VLOOKUP(MO.DataSourceName,MO_SPT_StockAverage_Sources,COLUMN(),FALSE()))</f>
        <v>0</v>
      </c>
      <c r="BV799" s="646" t="n">
        <f aca="false">IF(OR(MO.RealTimeStockPriceToggle=FALSE(),VLOOKUP(MO.DataSourceName,MO_SPT_StockAverage_Sources,COLUMN(),FALSE())="N/A"),VLOOKUP("Real-Time Off Source",MO_SPT_StockAverage_Sources,COLUMN(),FALSE()),VLOOKUP(MO.DataSourceName,MO_SPT_StockAverage_Sources,COLUMN(),FALSE()))</f>
        <v>0</v>
      </c>
      <c r="BW799" s="646" t="n">
        <f aca="false">IF(OR(MO.RealTimeStockPriceToggle=FALSE(),VLOOKUP(MO.DataSourceName,MO_SPT_StockAverage_Sources,COLUMN(),FALSE())="N/A"),VLOOKUP("Real-Time Off Source",MO_SPT_StockAverage_Sources,COLUMN(),FALSE()),VLOOKUP(MO.DataSourceName,MO_SPT_StockAverage_Sources,COLUMN(),FALSE()))</f>
        <v>0</v>
      </c>
      <c r="BX799" s="646" t="n">
        <f aca="false">IF(OR(MO.RealTimeStockPriceToggle=FALSE(),VLOOKUP(MO.DataSourceName,MO_SPT_StockAverage_Sources,COLUMN(),FALSE())="N/A"),VLOOKUP("Real-Time Off Source",MO_SPT_StockAverage_Sources,COLUMN(),FALSE()),VLOOKUP(MO.DataSourceName,MO_SPT_StockAverage_Sources,COLUMN(),FALSE()))</f>
        <v>0</v>
      </c>
      <c r="BY799" s="646" t="n">
        <f aca="false">IF(OR(MO.RealTimeStockPriceToggle=FALSE(),VLOOKUP(MO.DataSourceName,MO_SPT_StockAverage_Sources,COLUMN(),FALSE())="N/A"),VLOOKUP("Real-Time Off Source",MO_SPT_StockAverage_Sources,COLUMN(),FALSE()),VLOOKUP(MO.DataSourceName,MO_SPT_StockAverage_Sources,COLUMN(),FALSE()))</f>
        <v>0</v>
      </c>
      <c r="BZ799" s="646" t="n">
        <f aca="false">IF(OR(MO.RealTimeStockPriceToggle=FALSE(),VLOOKUP(MO.DataSourceName,MO_SPT_StockAverage_Sources,COLUMN(),FALSE())="N/A"),VLOOKUP("Real-Time Off Source",MO_SPT_StockAverage_Sources,COLUMN(),FALSE()),VLOOKUP(MO.DataSourceName,MO_SPT_StockAverage_Sources,COLUMN(),FALSE()))</f>
        <v>0</v>
      </c>
      <c r="CA799" s="646" t="n">
        <f aca="false">IF(OR(MO.RealTimeStockPriceToggle=FALSE(),VLOOKUP(MO.DataSourceName,MO_SPT_StockAverage_Sources,COLUMN(),FALSE())="N/A"),VLOOKUP("Real-Time Off Source",MO_SPT_StockAverage_Sources,COLUMN(),FALSE()),VLOOKUP(MO.DataSourceName,MO_SPT_StockAverage_Sources,COLUMN(),FALSE()))</f>
        <v>0</v>
      </c>
      <c r="CB799" s="648" t="n">
        <f aca="false">IF(OR(MO.RealTimeStockPriceToggle=FALSE(),VLOOKUP(MO.DataSourceName,MO_SPT_StockAverage_Sources,COLUMN(),FALSE())="N/A"),VLOOKUP("Real-Time Off Source",MO_SPT_StockAverage_Sources,COLUMN(),FALSE()),VLOOKUP(MO.DataSourceName,MO_SPT_StockAverage_Sources,COLUMN(),FALSE()))</f>
        <v>0</v>
      </c>
      <c r="CC799" s="649"/>
    </row>
    <row r="800" s="46" customFormat="true" ht="15" hidden="true" customHeight="true" outlineLevel="1" collapsed="false">
      <c r="A800" s="650" t="s">
        <v>703</v>
      </c>
      <c r="B800" s="646"/>
      <c r="C800" s="651" t="n">
        <v>17.2649534508281</v>
      </c>
      <c r="D800" s="651" t="n">
        <v>24.8111107562403</v>
      </c>
      <c r="E800" s="651" t="n">
        <v>28.9175494513463</v>
      </c>
      <c r="F800" s="651" t="n">
        <v>41.3919978909922</v>
      </c>
      <c r="G800" s="651" t="n">
        <v>62.0350588235294</v>
      </c>
      <c r="H800" s="651" t="n">
        <v>64.9831746031746</v>
      </c>
      <c r="I800" s="651" t="n">
        <v>63.1291935483871</v>
      </c>
      <c r="J800" s="651" t="n">
        <v>71.119393939394</v>
      </c>
      <c r="K800" s="651" t="n">
        <v>81.10328125</v>
      </c>
      <c r="L800" s="651" t="n">
        <v>70.1664313725491</v>
      </c>
      <c r="M800" s="651" t="n">
        <v>93.5625396825397</v>
      </c>
      <c r="N800" s="651" t="n">
        <v>96.8222580645161</v>
      </c>
      <c r="O800" s="651" t="n">
        <v>85.445</v>
      </c>
      <c r="P800" s="651" t="n">
        <v>83.1427692307692</v>
      </c>
      <c r="Q800" s="651" t="n">
        <v>89.6135546875</v>
      </c>
      <c r="R800" s="651" t="n">
        <v>81.3245161290322</v>
      </c>
      <c r="S800" s="651" t="n">
        <v>86.0596923076923</v>
      </c>
      <c r="T800" s="651" t="n">
        <v>94.7318181818182</v>
      </c>
      <c r="U800" s="651" t="n">
        <v>97.1596875</v>
      </c>
      <c r="V800" s="651" t="n">
        <v>89.9086381322956</v>
      </c>
      <c r="W800" s="651" t="n">
        <v>115.037692307692</v>
      </c>
      <c r="X800" s="651" t="n">
        <v>120.241935483871</v>
      </c>
      <c r="Y800" s="651" t="n">
        <v>129.830769230769</v>
      </c>
      <c r="Z800" s="651" t="n">
        <v>149.753968253968</v>
      </c>
      <c r="AA800" s="651" t="n">
        <v>128.650784313725</v>
      </c>
      <c r="AB800" s="651" t="n">
        <v>160.047619047619</v>
      </c>
      <c r="AC800" s="651" t="n">
        <v>168.905555555556</v>
      </c>
      <c r="AD800" s="651" t="n">
        <v>172.465692307692</v>
      </c>
      <c r="AE800" s="651" t="n">
        <v>148.7953125</v>
      </c>
      <c r="AF800" s="651" t="n">
        <v>162.577333333333</v>
      </c>
      <c r="AG800" s="651" t="n">
        <v>155.612380952381</v>
      </c>
      <c r="AH800" s="651" t="n">
        <v>176.773225806452</v>
      </c>
      <c r="AI800" s="651" t="n">
        <v>202.614848484848</v>
      </c>
      <c r="AJ800" s="651" t="n">
        <v>243.4921875</v>
      </c>
      <c r="AK800" s="651" t="n">
        <v>194.978823529412</v>
      </c>
      <c r="AL800" s="651" t="n">
        <v>258.9875</v>
      </c>
      <c r="AM800" s="651" t="n">
        <v>285.835483870968</v>
      </c>
      <c r="AN800" s="651" t="n">
        <v>319.692424242424</v>
      </c>
      <c r="AO800" s="651" t="n">
        <v>352.354615384615</v>
      </c>
      <c r="AP800" s="651" t="n">
        <v>304.668287937743</v>
      </c>
      <c r="AQ800" s="651" t="n">
        <v>460.376984126984</v>
      </c>
      <c r="AR800" s="651" t="n">
        <v>545.942857142857</v>
      </c>
      <c r="AS800" s="651" t="n">
        <v>666.209090909091</v>
      </c>
      <c r="AT800" s="651" t="n">
        <v>693.7</v>
      </c>
      <c r="AU800" s="651" t="n">
        <v>593.61</v>
      </c>
      <c r="AV800" s="651" t="n">
        <v>596.25</v>
      </c>
      <c r="AW800" s="651" t="n">
        <v>523.353968253968</v>
      </c>
      <c r="AX800" s="651" t="n">
        <v>495.160606060606</v>
      </c>
      <c r="AY800" s="651" t="n">
        <v>523.317617714286</v>
      </c>
      <c r="AZ800" s="651" t="n">
        <v>558.69047250996</v>
      </c>
      <c r="BA800" s="651" t="n">
        <v>596.383076923077</v>
      </c>
      <c r="BB800" s="651" t="n">
        <v>626.446774193548</v>
      </c>
      <c r="BC800" s="651" t="n">
        <v>611.198461538462</v>
      </c>
      <c r="BD800" s="651" t="n">
        <v>612.004761904762</v>
      </c>
      <c r="BE800" s="651" t="n">
        <v>611.328627450981</v>
      </c>
      <c r="BF800" s="651" t="n">
        <v>813.612698412699</v>
      </c>
      <c r="BG800" s="651" t="n">
        <v>894.15873015873</v>
      </c>
      <c r="BH800" s="651" t="n">
        <v>819.115384615385</v>
      </c>
      <c r="BI800" s="651" t="n">
        <v>673.523076923077</v>
      </c>
      <c r="BJ800" s="651" t="n">
        <v>799.262109375</v>
      </c>
      <c r="BK800" s="651" t="n">
        <v>696.237096774194</v>
      </c>
      <c r="BL800" s="651" t="n">
        <v>633.43870967742</v>
      </c>
      <c r="BM800" s="651" t="n">
        <v>666.3</v>
      </c>
      <c r="BN800" s="651" t="n">
        <v>894.351515151515</v>
      </c>
      <c r="BO800" s="652" t="n">
        <v>724.614117647059</v>
      </c>
      <c r="BP800" s="646"/>
      <c r="BQ800" s="646"/>
      <c r="BR800" s="646"/>
      <c r="BS800" s="646"/>
      <c r="BT800" s="646"/>
      <c r="BU800" s="646"/>
      <c r="BV800" s="646"/>
      <c r="BW800" s="646"/>
      <c r="BX800" s="646"/>
      <c r="BY800" s="646"/>
      <c r="BZ800" s="646"/>
      <c r="CA800" s="646"/>
      <c r="CB800" s="648"/>
      <c r="CC800" s="649"/>
    </row>
    <row r="801" s="46" customFormat="true" ht="15" hidden="true" customHeight="true" outlineLevel="1" collapsed="false">
      <c r="A801" s="650" t="s">
        <v>8</v>
      </c>
      <c r="B801" s="646"/>
      <c r="C801" s="646" t="str">
        <f aca="false">IFERROR(bdp(MO.Ticker.Bloomberg&amp;" Equity","INTERVAL_AVG","MARKET_DATA_OVERRIDE=PX_LAST","START_DATE_OVERRIDE",TEXT(INDEX(MO_SNA_FPStartDate,0,COLUMN()),"YYYYMMDD"),"END_DATE_OVERRIDE",TEXT(INDEX(MO_Common_QEndDate,0,COLUMN()),"YYYYMMDD")),"N/A")</f>
        <v>N/A</v>
      </c>
      <c r="D801" s="646" t="str">
        <f aca="false">IFERROR(bdp(MO.Ticker.Bloomberg&amp;" Equity","INTERVAL_AVG","MARKET_DATA_OVERRIDE=PX_LAST","START_DATE_OVERRIDE",TEXT(INDEX(MO_SNA_FPStartDate,0,COLUMN()),"YYYYMMDD"),"END_DATE_OVERRIDE",TEXT(INDEX(MO_Common_QEndDate,0,COLUMN()),"YYYYMMDD")),"N/A")</f>
        <v>N/A</v>
      </c>
      <c r="E801" s="646" t="str">
        <f aca="false">IFERROR(bdp(MO.Ticker.Bloomberg&amp;" Equity","INTERVAL_AVG","MARKET_DATA_OVERRIDE=PX_LAST","START_DATE_OVERRIDE",TEXT(INDEX(MO_SNA_FPStartDate,0,COLUMN()),"YYYYMMDD"),"END_DATE_OVERRIDE",TEXT(INDEX(MO_Common_QEndDate,0,COLUMN()),"YYYYMMDD")),"N/A")</f>
        <v>N/A</v>
      </c>
      <c r="F801" s="646" t="str">
        <f aca="false">IFERROR(bdp(MO.Ticker.Bloomberg&amp;" Equity","INTERVAL_AVG","MARKET_DATA_OVERRIDE=PX_LAST","START_DATE_OVERRIDE",TEXT(INDEX(MO_SNA_FPStartDate,0,COLUMN()),"YYYYMMDD"),"END_DATE_OVERRIDE",TEXT(INDEX(MO_Common_QEndDate,0,COLUMN()),"YYYYMMDD")),"N/A")</f>
        <v>N/A</v>
      </c>
      <c r="G801" s="646" t="str">
        <f aca="false">IFERROR(bdp(MO.Ticker.Bloomberg&amp;" Equity","INTERVAL_AVG","MARKET_DATA_OVERRIDE=PX_LAST","START_DATE_OVERRIDE",TEXT(INDEX(MO_SNA_FPStartDate,0,COLUMN()),"YYYYMMDD"),"END_DATE_OVERRIDE",TEXT(INDEX(MO_Common_QEndDate,0,COLUMN()),"YYYYMMDD")),"N/A")</f>
        <v>N/A</v>
      </c>
      <c r="H801" s="646" t="str">
        <f aca="false">IFERROR(bdp(MO.Ticker.Bloomberg&amp;" Equity","INTERVAL_AVG","MARKET_DATA_OVERRIDE=PX_LAST","START_DATE_OVERRIDE",TEXT(INDEX(MO_SNA_FPStartDate,0,COLUMN()),"YYYYMMDD"),"END_DATE_OVERRIDE",TEXT(INDEX(MO_Common_QEndDate,0,COLUMN()),"YYYYMMDD")),"N/A")</f>
        <v>N/A</v>
      </c>
      <c r="I801" s="646" t="str">
        <f aca="false">IFERROR(bdp(MO.Ticker.Bloomberg&amp;" Equity","INTERVAL_AVG","MARKET_DATA_OVERRIDE=PX_LAST","START_DATE_OVERRIDE",TEXT(INDEX(MO_SNA_FPStartDate,0,COLUMN()),"YYYYMMDD"),"END_DATE_OVERRIDE",TEXT(INDEX(MO_Common_QEndDate,0,COLUMN()),"YYYYMMDD")),"N/A")</f>
        <v>N/A</v>
      </c>
      <c r="J801" s="646" t="str">
        <f aca="false">IFERROR(bdp(MO.Ticker.Bloomberg&amp;" Equity","INTERVAL_AVG","MARKET_DATA_OVERRIDE=PX_LAST","START_DATE_OVERRIDE",TEXT(INDEX(MO_SNA_FPStartDate,0,COLUMN()),"YYYYMMDD"),"END_DATE_OVERRIDE",TEXT(INDEX(MO_Common_QEndDate,0,COLUMN()),"YYYYMMDD")),"N/A")</f>
        <v>N/A</v>
      </c>
      <c r="K801" s="646" t="str">
        <f aca="false">IFERROR(bdp(MO.Ticker.Bloomberg&amp;" Equity","INTERVAL_AVG","MARKET_DATA_OVERRIDE=PX_LAST","START_DATE_OVERRIDE",TEXT(INDEX(MO_SNA_FPStartDate,0,COLUMN()),"YYYYMMDD"),"END_DATE_OVERRIDE",TEXT(INDEX(MO_Common_QEndDate,0,COLUMN()),"YYYYMMDD")),"N/A")</f>
        <v>N/A</v>
      </c>
      <c r="L801" s="646" t="str">
        <f aca="false">IFERROR(bdp(MO.Ticker.Bloomberg&amp;" Equity","INTERVAL_AVG","MARKET_DATA_OVERRIDE=PX_LAST","START_DATE_OVERRIDE",TEXT(INDEX(MO_SNA_FPStartDate,0,COLUMN()),"YYYYMMDD"),"END_DATE_OVERRIDE",TEXT(INDEX(MO_Common_QEndDate,0,COLUMN()),"YYYYMMDD")),"N/A")</f>
        <v>N/A</v>
      </c>
      <c r="M801" s="646" t="str">
        <f aca="false">IFERROR(bdp(MO.Ticker.Bloomberg&amp;" Equity","INTERVAL_AVG","MARKET_DATA_OVERRIDE=PX_LAST","START_DATE_OVERRIDE",TEXT(INDEX(MO_SNA_FPStartDate,0,COLUMN()),"YYYYMMDD"),"END_DATE_OVERRIDE",TEXT(INDEX(MO_Common_QEndDate,0,COLUMN()),"YYYYMMDD")),"N/A")</f>
        <v>N/A</v>
      </c>
      <c r="N801" s="646" t="str">
        <f aca="false">IFERROR(bdp(MO.Ticker.Bloomberg&amp;" Equity","INTERVAL_AVG","MARKET_DATA_OVERRIDE=PX_LAST","START_DATE_OVERRIDE",TEXT(INDEX(MO_SNA_FPStartDate,0,COLUMN()),"YYYYMMDD"),"END_DATE_OVERRIDE",TEXT(INDEX(MO_Common_QEndDate,0,COLUMN()),"YYYYMMDD")),"N/A")</f>
        <v>N/A</v>
      </c>
      <c r="O801" s="646" t="str">
        <f aca="false">IFERROR(bdp(MO.Ticker.Bloomberg&amp;" Equity","INTERVAL_AVG","MARKET_DATA_OVERRIDE=PX_LAST","START_DATE_OVERRIDE",TEXT(INDEX(MO_SNA_FPStartDate,0,COLUMN()),"YYYYMMDD"),"END_DATE_OVERRIDE",TEXT(INDEX(MO_Common_QEndDate,0,COLUMN()),"YYYYMMDD")),"N/A")</f>
        <v>N/A</v>
      </c>
      <c r="P801" s="646" t="str">
        <f aca="false">IFERROR(bdp(MO.Ticker.Bloomberg&amp;" Equity","INTERVAL_AVG","MARKET_DATA_OVERRIDE=PX_LAST","START_DATE_OVERRIDE",TEXT(INDEX(MO_SNA_FPStartDate,0,COLUMN()),"YYYYMMDD"),"END_DATE_OVERRIDE",TEXT(INDEX(MO_Common_QEndDate,0,COLUMN()),"YYYYMMDD")),"N/A")</f>
        <v>N/A</v>
      </c>
      <c r="Q801" s="646" t="str">
        <f aca="false">IFERROR(bdp(MO.Ticker.Bloomberg&amp;" Equity","INTERVAL_AVG","MARKET_DATA_OVERRIDE=PX_LAST","START_DATE_OVERRIDE",TEXT(INDEX(MO_SNA_FPStartDate,0,COLUMN()),"YYYYMMDD"),"END_DATE_OVERRIDE",TEXT(INDEX(MO_Common_QEndDate,0,COLUMN()),"YYYYMMDD")),"N/A")</f>
        <v>N/A</v>
      </c>
      <c r="R801" s="646" t="str">
        <f aca="false">IFERROR(bdp(MO.Ticker.Bloomberg&amp;" Equity","INTERVAL_AVG","MARKET_DATA_OVERRIDE=PX_LAST","START_DATE_OVERRIDE",TEXT(INDEX(MO_SNA_FPStartDate,0,COLUMN()),"YYYYMMDD"),"END_DATE_OVERRIDE",TEXT(INDEX(MO_Common_QEndDate,0,COLUMN()),"YYYYMMDD")),"N/A")</f>
        <v>N/A</v>
      </c>
      <c r="S801" s="646" t="str">
        <f aca="false">IFERROR(bdp(MO.Ticker.Bloomberg&amp;" Equity","INTERVAL_AVG","MARKET_DATA_OVERRIDE=PX_LAST","START_DATE_OVERRIDE",TEXT(INDEX(MO_SNA_FPStartDate,0,COLUMN()),"YYYYMMDD"),"END_DATE_OVERRIDE",TEXT(INDEX(MO_Common_QEndDate,0,COLUMN()),"YYYYMMDD")),"N/A")</f>
        <v>N/A</v>
      </c>
      <c r="T801" s="646" t="str">
        <f aca="false">IFERROR(bdp(MO.Ticker.Bloomberg&amp;" Equity","INTERVAL_AVG","MARKET_DATA_OVERRIDE=PX_LAST","START_DATE_OVERRIDE",TEXT(INDEX(MO_SNA_FPStartDate,0,COLUMN()),"YYYYMMDD"),"END_DATE_OVERRIDE",TEXT(INDEX(MO_Common_QEndDate,0,COLUMN()),"YYYYMMDD")),"N/A")</f>
        <v>N/A</v>
      </c>
      <c r="U801" s="646" t="str">
        <f aca="false">IFERROR(bdp(MO.Ticker.Bloomberg&amp;" Equity","INTERVAL_AVG","MARKET_DATA_OVERRIDE=PX_LAST","START_DATE_OVERRIDE",TEXT(INDEX(MO_SNA_FPStartDate,0,COLUMN()),"YYYYMMDD"),"END_DATE_OVERRIDE",TEXT(INDEX(MO_Common_QEndDate,0,COLUMN()),"YYYYMMDD")),"N/A")</f>
        <v>N/A</v>
      </c>
      <c r="V801" s="646" t="str">
        <f aca="false">IFERROR(bdp(MO.Ticker.Bloomberg&amp;" Equity","INTERVAL_AVG","MARKET_DATA_OVERRIDE=PX_LAST","START_DATE_OVERRIDE",TEXT(INDEX(MO_SNA_FPStartDate,0,COLUMN()),"YYYYMMDD"),"END_DATE_OVERRIDE",TEXT(INDEX(MO_Common_QEndDate,0,COLUMN()),"YYYYMMDD")),"N/A")</f>
        <v>N/A</v>
      </c>
      <c r="W801" s="646" t="str">
        <f aca="false">IFERROR(bdp(MO.Ticker.Bloomberg&amp;" Equity","INTERVAL_AVG","MARKET_DATA_OVERRIDE=PX_LAST","START_DATE_OVERRIDE",TEXT(INDEX(MO_SNA_FPStartDate,0,COLUMN()),"YYYYMMDD"),"END_DATE_OVERRIDE",TEXT(INDEX(MO_Common_QEndDate,0,COLUMN()),"YYYYMMDD")),"N/A")</f>
        <v>N/A</v>
      </c>
      <c r="X801" s="646" t="str">
        <f aca="false">IFERROR(bdp(MO.Ticker.Bloomberg&amp;" Equity","INTERVAL_AVG","MARKET_DATA_OVERRIDE=PX_LAST","START_DATE_OVERRIDE",TEXT(INDEX(MO_SNA_FPStartDate,0,COLUMN()),"YYYYMMDD"),"END_DATE_OVERRIDE",TEXT(INDEX(MO_Common_QEndDate,0,COLUMN()),"YYYYMMDD")),"N/A")</f>
        <v>N/A</v>
      </c>
      <c r="Y801" s="646" t="str">
        <f aca="false">IFERROR(bdp(MO.Ticker.Bloomberg&amp;" Equity","INTERVAL_AVG","MARKET_DATA_OVERRIDE=PX_LAST","START_DATE_OVERRIDE",TEXT(INDEX(MO_SNA_FPStartDate,0,COLUMN()),"YYYYMMDD"),"END_DATE_OVERRIDE",TEXT(INDEX(MO_Common_QEndDate,0,COLUMN()),"YYYYMMDD")),"N/A")</f>
        <v>N/A</v>
      </c>
      <c r="Z801" s="646" t="str">
        <f aca="false">IFERROR(bdp(MO.Ticker.Bloomberg&amp;" Equity","INTERVAL_AVG","MARKET_DATA_OVERRIDE=PX_LAST","START_DATE_OVERRIDE",TEXT(INDEX(MO_SNA_FPStartDate,0,COLUMN()),"YYYYMMDD"),"END_DATE_OVERRIDE",TEXT(INDEX(MO_Common_QEndDate,0,COLUMN()),"YYYYMMDD")),"N/A")</f>
        <v>N/A</v>
      </c>
      <c r="AA801" s="646" t="str">
        <f aca="false">IFERROR(bdp(MO.Ticker.Bloomberg&amp;" Equity","INTERVAL_AVG","MARKET_DATA_OVERRIDE=PX_LAST","START_DATE_OVERRIDE",TEXT(INDEX(MO_SNA_FPStartDate,0,COLUMN()),"YYYYMMDD"),"END_DATE_OVERRIDE",TEXT(INDEX(MO_Common_QEndDate,0,COLUMN()),"YYYYMMDD")),"N/A")</f>
        <v>N/A</v>
      </c>
      <c r="AB801" s="646" t="str">
        <f aca="false">IFERROR(bdp(MO.Ticker.Bloomberg&amp;" Equity","INTERVAL_AVG","MARKET_DATA_OVERRIDE=PX_LAST","START_DATE_OVERRIDE",TEXT(INDEX(MO_SNA_FPStartDate,0,COLUMN()),"YYYYMMDD"),"END_DATE_OVERRIDE",TEXT(INDEX(MO_Common_QEndDate,0,COLUMN()),"YYYYMMDD")),"N/A")</f>
        <v>N/A</v>
      </c>
      <c r="AC801" s="646" t="str">
        <f aca="false">IFERROR(bdp(MO.Ticker.Bloomberg&amp;" Equity","INTERVAL_AVG","MARKET_DATA_OVERRIDE=PX_LAST","START_DATE_OVERRIDE",TEXT(INDEX(MO_SNA_FPStartDate,0,COLUMN()),"YYYYMMDD"),"END_DATE_OVERRIDE",TEXT(INDEX(MO_Common_QEndDate,0,COLUMN()),"YYYYMMDD")),"N/A")</f>
        <v>N/A</v>
      </c>
      <c r="AD801" s="646" t="str">
        <f aca="false">IFERROR(bdp(MO.Ticker.Bloomberg&amp;" Equity","INTERVAL_AVG","MARKET_DATA_OVERRIDE=PX_LAST","START_DATE_OVERRIDE",TEXT(INDEX(MO_SNA_FPStartDate,0,COLUMN()),"YYYYMMDD"),"END_DATE_OVERRIDE",TEXT(INDEX(MO_Common_QEndDate,0,COLUMN()),"YYYYMMDD")),"N/A")</f>
        <v>N/A</v>
      </c>
      <c r="AE801" s="646" t="str">
        <f aca="false">IFERROR(bdp(MO.Ticker.Bloomberg&amp;" Equity","INTERVAL_AVG","MARKET_DATA_OVERRIDE=PX_LAST","START_DATE_OVERRIDE",TEXT(INDEX(MO_SNA_FPStartDate,0,COLUMN()),"YYYYMMDD"),"END_DATE_OVERRIDE",TEXT(INDEX(MO_Common_QEndDate,0,COLUMN()),"YYYYMMDD")),"N/A")</f>
        <v>N/A</v>
      </c>
      <c r="AF801" s="646" t="str">
        <f aca="false">IFERROR(bdp(MO.Ticker.Bloomberg&amp;" Equity","INTERVAL_AVG","MARKET_DATA_OVERRIDE=PX_LAST","START_DATE_OVERRIDE",TEXT(INDEX(MO_SNA_FPStartDate,0,COLUMN()),"YYYYMMDD"),"END_DATE_OVERRIDE",TEXT(INDEX(MO_Common_QEndDate,0,COLUMN()),"YYYYMMDD")),"N/A")</f>
        <v>N/A</v>
      </c>
      <c r="AG801" s="646" t="str">
        <f aca="false">IFERROR(bdp(MO.Ticker.Bloomberg&amp;" Equity","INTERVAL_AVG","MARKET_DATA_OVERRIDE=PX_LAST","START_DATE_OVERRIDE",TEXT(INDEX(MO_SNA_FPStartDate,0,COLUMN()),"YYYYMMDD"),"END_DATE_OVERRIDE",TEXT(INDEX(MO_Common_QEndDate,0,COLUMN()),"YYYYMMDD")),"N/A")</f>
        <v>N/A</v>
      </c>
      <c r="AH801" s="646" t="str">
        <f aca="false">IFERROR(bdp(MO.Ticker.Bloomberg&amp;" Equity","INTERVAL_AVG","MARKET_DATA_OVERRIDE=PX_LAST","START_DATE_OVERRIDE",TEXT(INDEX(MO_SNA_FPStartDate,0,COLUMN()),"YYYYMMDD"),"END_DATE_OVERRIDE",TEXT(INDEX(MO_Common_QEndDate,0,COLUMN()),"YYYYMMDD")),"N/A")</f>
        <v>N/A</v>
      </c>
      <c r="AI801" s="646" t="str">
        <f aca="false">IFERROR(bdp(MO.Ticker.Bloomberg&amp;" Equity","INTERVAL_AVG","MARKET_DATA_OVERRIDE=PX_LAST","START_DATE_OVERRIDE",TEXT(INDEX(MO_SNA_FPStartDate,0,COLUMN()),"YYYYMMDD"),"END_DATE_OVERRIDE",TEXT(INDEX(MO_Common_QEndDate,0,COLUMN()),"YYYYMMDD")),"N/A")</f>
        <v>N/A</v>
      </c>
      <c r="AJ801" s="646" t="str">
        <f aca="false">IFERROR(bdp(MO.Ticker.Bloomberg&amp;" Equity","INTERVAL_AVG","MARKET_DATA_OVERRIDE=PX_LAST","START_DATE_OVERRIDE",TEXT(INDEX(MO_SNA_FPStartDate,0,COLUMN()),"YYYYMMDD"),"END_DATE_OVERRIDE",TEXT(INDEX(MO_Common_QEndDate,0,COLUMN()),"YYYYMMDD")),"N/A")</f>
        <v>N/A</v>
      </c>
      <c r="AK801" s="646" t="str">
        <f aca="false">IFERROR(bdp(MO.Ticker.Bloomberg&amp;" Equity","INTERVAL_AVG","MARKET_DATA_OVERRIDE=PX_LAST","START_DATE_OVERRIDE",TEXT(INDEX(MO_SNA_FPStartDate,0,COLUMN()),"YYYYMMDD"),"END_DATE_OVERRIDE",TEXT(INDEX(MO_Common_QEndDate,0,COLUMN()),"YYYYMMDD")),"N/A")</f>
        <v>N/A</v>
      </c>
      <c r="AL801" s="646" t="str">
        <f aca="false">IFERROR(bdp(MO.Ticker.Bloomberg&amp;" Equity","INTERVAL_AVG","MARKET_DATA_OVERRIDE=PX_LAST","START_DATE_OVERRIDE",TEXT(INDEX(MO_SNA_FPStartDate,0,COLUMN()),"YYYYMMDD"),"END_DATE_OVERRIDE",TEXT(INDEX(MO_Common_QEndDate,0,COLUMN()),"YYYYMMDD")),"N/A")</f>
        <v>N/A</v>
      </c>
      <c r="AM801" s="646" t="str">
        <f aca="false">IFERROR(bdp(MO.Ticker.Bloomberg&amp;" Equity","INTERVAL_AVG","MARKET_DATA_OVERRIDE=PX_LAST","START_DATE_OVERRIDE",TEXT(INDEX(MO_SNA_FPStartDate,0,COLUMN()),"YYYYMMDD"),"END_DATE_OVERRIDE",TEXT(INDEX(MO_Common_QEndDate,0,COLUMN()),"YYYYMMDD")),"N/A")</f>
        <v>N/A</v>
      </c>
      <c r="AN801" s="646" t="str">
        <f aca="false">IFERROR(bdp(MO.Ticker.Bloomberg&amp;" Equity","INTERVAL_AVG","MARKET_DATA_OVERRIDE=PX_LAST","START_DATE_OVERRIDE",TEXT(INDEX(MO_SNA_FPStartDate,0,COLUMN()),"YYYYMMDD"),"END_DATE_OVERRIDE",TEXT(INDEX(MO_Common_QEndDate,0,COLUMN()),"YYYYMMDD")),"N/A")</f>
        <v>N/A</v>
      </c>
      <c r="AO801" s="646" t="str">
        <f aca="false">IFERROR(bdp(MO.Ticker.Bloomberg&amp;" Equity","INTERVAL_AVG","MARKET_DATA_OVERRIDE=PX_LAST","START_DATE_OVERRIDE",TEXT(INDEX(MO_SNA_FPStartDate,0,COLUMN()),"YYYYMMDD"),"END_DATE_OVERRIDE",TEXT(INDEX(MO_Common_QEndDate,0,COLUMN()),"YYYYMMDD")),"N/A")</f>
        <v>N/A</v>
      </c>
      <c r="AP801" s="646" t="str">
        <f aca="false">IFERROR(bdp(MO.Ticker.Bloomberg&amp;" Equity","INTERVAL_AVG","MARKET_DATA_OVERRIDE=PX_LAST","START_DATE_OVERRIDE",TEXT(INDEX(MO_SNA_FPStartDate,0,COLUMN()),"YYYYMMDD"),"END_DATE_OVERRIDE",TEXT(INDEX(MO_Common_QEndDate,0,COLUMN()),"YYYYMMDD")),"N/A")</f>
        <v>N/A</v>
      </c>
      <c r="AQ801" s="646" t="str">
        <f aca="false">IFERROR(bdp(MO.Ticker.Bloomberg&amp;" Equity","INTERVAL_AVG","MARKET_DATA_OVERRIDE=PX_LAST","START_DATE_OVERRIDE",TEXT(INDEX(MO_SNA_FPStartDate,0,COLUMN()),"YYYYMMDD"),"END_DATE_OVERRIDE",TEXT(INDEX(MO_Common_QEndDate,0,COLUMN()),"YYYYMMDD")),"N/A")</f>
        <v>N/A</v>
      </c>
      <c r="AR801" s="646" t="str">
        <f aca="false">IFERROR(bdp(MO.Ticker.Bloomberg&amp;" Equity","INTERVAL_AVG","MARKET_DATA_OVERRIDE=PX_LAST","START_DATE_OVERRIDE",TEXT(INDEX(MO_SNA_FPStartDate,0,COLUMN()),"YYYYMMDD"),"END_DATE_OVERRIDE",TEXT(INDEX(MO_Common_QEndDate,0,COLUMN()),"YYYYMMDD")),"N/A")</f>
        <v>N/A</v>
      </c>
      <c r="AS801" s="646" t="str">
        <f aca="false">IFERROR(bdp(MO.Ticker.Bloomberg&amp;" Equity","INTERVAL_AVG","MARKET_DATA_OVERRIDE=PX_LAST","START_DATE_OVERRIDE",TEXT(INDEX(MO_SNA_FPStartDate,0,COLUMN()),"YYYYMMDD"),"END_DATE_OVERRIDE",TEXT(INDEX(MO_Common_QEndDate,0,COLUMN()),"YYYYMMDD")),"N/A")</f>
        <v>N/A</v>
      </c>
      <c r="AT801" s="646" t="str">
        <f aca="false">IFERROR(bdp(MO.Ticker.Bloomberg&amp;" Equity","INTERVAL_AVG","MARKET_DATA_OVERRIDE=PX_LAST","START_DATE_OVERRIDE",TEXT(INDEX(MO_SNA_FPStartDate,0,COLUMN()),"YYYYMMDD"),"END_DATE_OVERRIDE",TEXT(INDEX(MO_Common_QEndDate,0,COLUMN()),"YYYYMMDD")),"N/A")</f>
        <v>N/A</v>
      </c>
      <c r="AU801" s="646" t="str">
        <f aca="false">IFERROR(bdp(MO.Ticker.Bloomberg&amp;" Equity","INTERVAL_AVG","MARKET_DATA_OVERRIDE=PX_LAST","START_DATE_OVERRIDE",TEXT(INDEX(MO_SNA_FPStartDate,0,COLUMN()),"YYYYMMDD"),"END_DATE_OVERRIDE",TEXT(INDEX(MO_Common_QEndDate,0,COLUMN()),"YYYYMMDD")),"N/A")</f>
        <v>N/A</v>
      </c>
      <c r="AV801" s="646" t="str">
        <f aca="false">IFERROR(bdp(MO.Ticker.Bloomberg&amp;" Equity","INTERVAL_AVG","MARKET_DATA_OVERRIDE=PX_LAST","START_DATE_OVERRIDE",TEXT(INDEX(MO_SNA_FPStartDate,0,COLUMN()),"YYYYMMDD"),"END_DATE_OVERRIDE",TEXT(INDEX(MO_Common_QEndDate,0,COLUMN()),"YYYYMMDD")),"N/A")</f>
        <v>N/A</v>
      </c>
      <c r="AW801" s="646" t="str">
        <f aca="false">IFERROR(bdp(MO.Ticker.Bloomberg&amp;" Equity","INTERVAL_AVG","MARKET_DATA_OVERRIDE=PX_LAST","START_DATE_OVERRIDE",TEXT(INDEX(MO_SNA_FPStartDate,0,COLUMN()),"YYYYMMDD"),"END_DATE_OVERRIDE",TEXT(INDEX(MO_Common_QEndDate,0,COLUMN()),"YYYYMMDD")),"N/A")</f>
        <v>N/A</v>
      </c>
      <c r="AX801" s="646" t="str">
        <f aca="false">IFERROR(bdp(MO.Ticker.Bloomberg&amp;" Equity","INTERVAL_AVG","MARKET_DATA_OVERRIDE=PX_LAST","START_DATE_OVERRIDE",TEXT(INDEX(MO_SNA_FPStartDate,0,COLUMN()),"YYYYMMDD"),"END_DATE_OVERRIDE",TEXT(INDEX(MO_Common_QEndDate,0,COLUMN()),"YYYYMMDD")),"N/A")</f>
        <v>N/A</v>
      </c>
      <c r="AY801" s="646" t="str">
        <f aca="false">IFERROR(bdp(MO.Ticker.Bloomberg&amp;" Equity","INTERVAL_AVG","MARKET_DATA_OVERRIDE=PX_LAST","START_DATE_OVERRIDE",TEXT(INDEX(MO_SNA_FPStartDate,0,COLUMN()),"YYYYMMDD"),"END_DATE_OVERRIDE",TEXT(INDEX(MO_Common_QEndDate,0,COLUMN()),"YYYYMMDD")),"N/A")</f>
        <v>N/A</v>
      </c>
      <c r="AZ801" s="646" t="str">
        <f aca="false">IFERROR(bdp(MO.Ticker.Bloomberg&amp;" Equity","INTERVAL_AVG","MARKET_DATA_OVERRIDE=PX_LAST","START_DATE_OVERRIDE",TEXT(INDEX(MO_SNA_FPStartDate,0,COLUMN()),"YYYYMMDD"),"END_DATE_OVERRIDE",TEXT(INDEX(MO_Common_QEndDate,0,COLUMN()),"YYYYMMDD")),"N/A")</f>
        <v>N/A</v>
      </c>
      <c r="BA801" s="646" t="str">
        <f aca="false">IFERROR(bdp(MO.Ticker.Bloomberg&amp;" Equity","INTERVAL_AVG","MARKET_DATA_OVERRIDE=PX_LAST","START_DATE_OVERRIDE",TEXT(INDEX(MO_SNA_FPStartDate,0,COLUMN()),"YYYYMMDD"),"END_DATE_OVERRIDE",TEXT(INDEX(MO_Common_QEndDate,0,COLUMN()),"YYYYMMDD")),"N/A")</f>
        <v>N/A</v>
      </c>
      <c r="BB801" s="646" t="str">
        <f aca="false">IFERROR(bdp(MO.Ticker.Bloomberg&amp;" Equity","INTERVAL_AVG","MARKET_DATA_OVERRIDE=PX_LAST","START_DATE_OVERRIDE",TEXT(INDEX(MO_SNA_FPStartDate,0,COLUMN()),"YYYYMMDD"),"END_DATE_OVERRIDE",TEXT(INDEX(MO_Common_QEndDate,0,COLUMN()),"YYYYMMDD")),"N/A")</f>
        <v>N/A</v>
      </c>
      <c r="BC801" s="646" t="str">
        <f aca="false">IFERROR(bdp(MO.Ticker.Bloomberg&amp;" Equity","INTERVAL_AVG","MARKET_DATA_OVERRIDE=PX_LAST","START_DATE_OVERRIDE",TEXT(INDEX(MO_SNA_FPStartDate,0,COLUMN()),"YYYYMMDD"),"END_DATE_OVERRIDE",TEXT(INDEX(MO_Common_QEndDate,0,COLUMN()),"YYYYMMDD")),"N/A")</f>
        <v>N/A</v>
      </c>
      <c r="BD801" s="646" t="str">
        <f aca="false">IFERROR(bdp(MO.Ticker.Bloomberg&amp;" Equity","INTERVAL_AVG","MARKET_DATA_OVERRIDE=PX_LAST","START_DATE_OVERRIDE",TEXT(INDEX(MO_SNA_FPStartDate,0,COLUMN()),"YYYYMMDD"),"END_DATE_OVERRIDE",TEXT(INDEX(MO_Common_QEndDate,0,COLUMN()),"YYYYMMDD")),"N/A")</f>
        <v>N/A</v>
      </c>
      <c r="BE801" s="646" t="str">
        <f aca="false">IFERROR(bdp(MO.Ticker.Bloomberg&amp;" Equity","INTERVAL_AVG","MARKET_DATA_OVERRIDE=PX_LAST","START_DATE_OVERRIDE",TEXT(INDEX(MO_SNA_FPStartDate,0,COLUMN()),"YYYYMMDD"),"END_DATE_OVERRIDE",TEXT(INDEX(MO_Common_QEndDate,0,COLUMN()),"YYYYMMDD")),"N/A")</f>
        <v>N/A</v>
      </c>
      <c r="BF801" s="646" t="str">
        <f aca="false">IFERROR(bdp(MO.Ticker.Bloomberg&amp;" Equity","INTERVAL_AVG","MARKET_DATA_OVERRIDE=PX_LAST","START_DATE_OVERRIDE",TEXT(INDEX(MO_SNA_FPStartDate,0,COLUMN()),"YYYYMMDD"),"END_DATE_OVERRIDE",TEXT(INDEX(MO_Common_QEndDate,0,COLUMN()),"YYYYMMDD")),"N/A")</f>
        <v>N/A</v>
      </c>
      <c r="BG801" s="646" t="str">
        <f aca="false">IFERROR(bdp(MO.Ticker.Bloomberg&amp;" Equity","INTERVAL_AVG","MARKET_DATA_OVERRIDE=PX_LAST","START_DATE_OVERRIDE",TEXT(INDEX(MO_SNA_FPStartDate,0,COLUMN()),"YYYYMMDD"),"END_DATE_OVERRIDE",TEXT(INDEX(MO_Common_QEndDate,0,COLUMN()),"YYYYMMDD")),"N/A")</f>
        <v>N/A</v>
      </c>
      <c r="BH801" s="646" t="str">
        <f aca="false">IFERROR(bdp(MO.Ticker.Bloomberg&amp;" Equity","INTERVAL_AVG","MARKET_DATA_OVERRIDE=PX_LAST","START_DATE_OVERRIDE",TEXT(INDEX(MO_SNA_FPStartDate,0,COLUMN()),"YYYYMMDD"),"END_DATE_OVERRIDE",TEXT(INDEX(MO_Common_QEndDate,0,COLUMN()),"YYYYMMDD")),"N/A")</f>
        <v>N/A</v>
      </c>
      <c r="BI801" s="646" t="str">
        <f aca="false">IFERROR(bdp(MO.Ticker.Bloomberg&amp;" Equity","INTERVAL_AVG","MARKET_DATA_OVERRIDE=PX_LAST","START_DATE_OVERRIDE",TEXT(INDEX(MO_SNA_FPStartDate,0,COLUMN()),"YYYYMMDD"),"END_DATE_OVERRIDE",TEXT(INDEX(MO_Common_QEndDate,0,COLUMN()),"YYYYMMDD")),"N/A")</f>
        <v>N/A</v>
      </c>
      <c r="BJ801" s="646" t="str">
        <f aca="false">IFERROR(bdp(MO.Ticker.Bloomberg&amp;" Equity","INTERVAL_AVG","MARKET_DATA_OVERRIDE=PX_LAST","START_DATE_OVERRIDE",TEXT(INDEX(MO_SNA_FPStartDate,0,COLUMN()),"YYYYMMDD"),"END_DATE_OVERRIDE",TEXT(INDEX(MO_Common_QEndDate,0,COLUMN()),"YYYYMMDD")),"N/A")</f>
        <v>N/A</v>
      </c>
      <c r="BK801" s="646" t="str">
        <f aca="false">IFERROR(bdp(MO.Ticker.Bloomberg&amp;" Equity","INTERVAL_AVG","MARKET_DATA_OVERRIDE=PX_LAST","START_DATE_OVERRIDE",TEXT(INDEX(MO_SNA_FPStartDate,0,COLUMN()),"YYYYMMDD"),"END_DATE_OVERRIDE",TEXT(INDEX(MO_Common_QEndDate,0,COLUMN()),"YYYYMMDD")),"N/A")</f>
        <v>N/A</v>
      </c>
      <c r="BL801" s="646" t="str">
        <f aca="false">IFERROR(bdp(MO.Ticker.Bloomberg&amp;" Equity","INTERVAL_AVG","MARKET_DATA_OVERRIDE=PX_LAST","START_DATE_OVERRIDE",TEXT(INDEX(MO_SNA_FPStartDate,0,COLUMN()),"YYYYMMDD"),"END_DATE_OVERRIDE",TEXT(INDEX(MO_Common_QEndDate,0,COLUMN()),"YYYYMMDD")),"N/A")</f>
        <v>N/A</v>
      </c>
      <c r="BM801" s="646" t="str">
        <f aca="false">IFERROR(bdp(MO.Ticker.Bloomberg&amp;" Equity","INTERVAL_AVG","MARKET_DATA_OVERRIDE=PX_LAST","START_DATE_OVERRIDE",TEXT(INDEX(MO_SNA_FPStartDate,0,COLUMN()),"YYYYMMDD"),"END_DATE_OVERRIDE",TEXT(INDEX(MO_Common_QEndDate,0,COLUMN()),"YYYYMMDD")),"N/A")</f>
        <v>N/A</v>
      </c>
      <c r="BN801" s="646" t="str">
        <f aca="false">IFERROR(bdp(MO.Ticker.Bloomberg&amp;" Equity","INTERVAL_AVG","MARKET_DATA_OVERRIDE=PX_LAST","START_DATE_OVERRIDE",TEXT(INDEX(MO_SNA_FPStartDate,0,COLUMN()),"YYYYMMDD"),"END_DATE_OVERRIDE",TEXT(INDEX(MO_Common_QEndDate,0,COLUMN()),"YYYYMMDD")),"N/A")</f>
        <v>N/A</v>
      </c>
      <c r="BO801" s="647" t="str">
        <f aca="false">IFERROR(bdp(MO.Ticker.Bloomberg&amp;" Equity","INTERVAL_AVG","MARKET_DATA_OVERRIDE=PX_LAST","START_DATE_OVERRIDE",TEXT(INDEX(MO_SNA_FPStartDate,0,COLUMN()),"YYYYMMDD"),"END_DATE_OVERRIDE",TEXT(INDEX(MO_Common_QEndDate,0,COLUMN()),"YYYYMMDD")),"N/A")</f>
        <v>N/A</v>
      </c>
      <c r="BP801" s="646" t="str">
        <f aca="false">IFERROR(bdp(MO.Ticker.Bloomberg&amp;" Equity","INTERVAL_AVG","MARKET_DATA_OVERRIDE=PX_LAST","START_DATE_OVERRIDE",TEXT(INDEX(MO_SNA_FPStartDate,0,COLUMN()),"YYYYMMDD"),"END_DATE_OVERRIDE",TEXT(INDEX(MO_Common_QEndDate,0,COLUMN()),"YYYYMMDD")),"N/A")</f>
        <v>N/A</v>
      </c>
      <c r="BQ801" s="646" t="str">
        <f aca="false">IFERROR(bdp(MO.Ticker.Bloomberg&amp;" Equity","INTERVAL_AVG","MARKET_DATA_OVERRIDE=PX_LAST","START_DATE_OVERRIDE",TEXT(INDEX(MO_SNA_FPStartDate,0,COLUMN()),"YYYYMMDD"),"END_DATE_OVERRIDE",TEXT(INDEX(MO_Common_QEndDate,0,COLUMN()),"YYYYMMDD")),"N/A")</f>
        <v>N/A</v>
      </c>
      <c r="BR801" s="646" t="str">
        <f aca="false">IFERROR(bdp(MO.Ticker.Bloomberg&amp;" Equity","INTERVAL_AVG","MARKET_DATA_OVERRIDE=PX_LAST","START_DATE_OVERRIDE",TEXT(INDEX(MO_SNA_FPStartDate,0,COLUMN()),"YYYYMMDD"),"END_DATE_OVERRIDE",TEXT(INDEX(MO_Common_QEndDate,0,COLUMN()),"YYYYMMDD")),"N/A")</f>
        <v>N/A</v>
      </c>
      <c r="BS801" s="646" t="str">
        <f aca="false">IFERROR(bdp(MO.Ticker.Bloomberg&amp;" Equity","INTERVAL_AVG","MARKET_DATA_OVERRIDE=PX_LAST","START_DATE_OVERRIDE",TEXT(INDEX(MO_SNA_FPStartDate,0,COLUMN()),"YYYYMMDD"),"END_DATE_OVERRIDE",TEXT(INDEX(MO_Common_QEndDate,0,COLUMN()),"YYYYMMDD")),"N/A")</f>
        <v>N/A</v>
      </c>
      <c r="BT801" s="646" t="str">
        <f aca="false">IFERROR(bdp(MO.Ticker.Bloomberg&amp;" Equity","INTERVAL_AVG","MARKET_DATA_OVERRIDE=PX_LAST","START_DATE_OVERRIDE",TEXT(INDEX(MO_SNA_FPStartDate,0,COLUMN()),"YYYYMMDD"),"END_DATE_OVERRIDE",TEXT(INDEX(MO_Common_QEndDate,0,COLUMN()),"YYYYMMDD")),"N/A")</f>
        <v>N/A</v>
      </c>
      <c r="BU801" s="646" t="str">
        <f aca="false">IFERROR(bdp(MO.Ticker.Bloomberg&amp;" Equity","INTERVAL_AVG","MARKET_DATA_OVERRIDE=PX_LAST","START_DATE_OVERRIDE",TEXT(INDEX(MO_SNA_FPStartDate,0,COLUMN()),"YYYYMMDD"),"END_DATE_OVERRIDE",TEXT(INDEX(MO_Common_QEndDate,0,COLUMN()),"YYYYMMDD")),"N/A")</f>
        <v>N/A</v>
      </c>
      <c r="BV801" s="646" t="str">
        <f aca="false">IFERROR(bdp(MO.Ticker.Bloomberg&amp;" Equity","INTERVAL_AVG","MARKET_DATA_OVERRIDE=PX_LAST","START_DATE_OVERRIDE",TEXT(INDEX(MO_SNA_FPStartDate,0,COLUMN()),"YYYYMMDD"),"END_DATE_OVERRIDE",TEXT(INDEX(MO_Common_QEndDate,0,COLUMN()),"YYYYMMDD")),"N/A")</f>
        <v>N/A</v>
      </c>
      <c r="BW801" s="646" t="str">
        <f aca="false">IFERROR(bdp(MO.Ticker.Bloomberg&amp;" Equity","INTERVAL_AVG","MARKET_DATA_OVERRIDE=PX_LAST","START_DATE_OVERRIDE",TEXT(INDEX(MO_SNA_FPStartDate,0,COLUMN()),"YYYYMMDD"),"END_DATE_OVERRIDE",TEXT(INDEX(MO_Common_QEndDate,0,COLUMN()),"YYYYMMDD")),"N/A")</f>
        <v>N/A</v>
      </c>
      <c r="BX801" s="646" t="str">
        <f aca="false">IFERROR(bdp(MO.Ticker.Bloomberg&amp;" Equity","INTERVAL_AVG","MARKET_DATA_OVERRIDE=PX_LAST","START_DATE_OVERRIDE",TEXT(INDEX(MO_SNA_FPStartDate,0,COLUMN()),"YYYYMMDD"),"END_DATE_OVERRIDE",TEXT(INDEX(MO_Common_QEndDate,0,COLUMN()),"YYYYMMDD")),"N/A")</f>
        <v>N/A</v>
      </c>
      <c r="BY801" s="646" t="str">
        <f aca="false">IFERROR(bdp(MO.Ticker.Bloomberg&amp;" Equity","INTERVAL_AVG","MARKET_DATA_OVERRIDE=PX_LAST","START_DATE_OVERRIDE",TEXT(INDEX(MO_SNA_FPStartDate,0,COLUMN()),"YYYYMMDD"),"END_DATE_OVERRIDE",TEXT(INDEX(MO_Common_QEndDate,0,COLUMN()),"YYYYMMDD")),"N/A")</f>
        <v>N/A</v>
      </c>
      <c r="BZ801" s="646" t="str">
        <f aca="false">IFERROR(bdp(MO.Ticker.Bloomberg&amp;" Equity","INTERVAL_AVG","MARKET_DATA_OVERRIDE=PX_LAST","START_DATE_OVERRIDE",TEXT(INDEX(MO_SNA_FPStartDate,0,COLUMN()),"YYYYMMDD"),"END_DATE_OVERRIDE",TEXT(INDEX(MO_Common_QEndDate,0,COLUMN()),"YYYYMMDD")),"N/A")</f>
        <v>N/A</v>
      </c>
      <c r="CA801" s="646" t="str">
        <f aca="false">IFERROR(bdp(MO.Ticker.Bloomberg&amp;" Equity","INTERVAL_AVG","MARKET_DATA_OVERRIDE=PX_LAST","START_DATE_OVERRIDE",TEXT(INDEX(MO_SNA_FPStartDate,0,COLUMN()),"YYYYMMDD"),"END_DATE_OVERRIDE",TEXT(INDEX(MO_Common_QEndDate,0,COLUMN()),"YYYYMMDD")),"N/A")</f>
        <v>N/A</v>
      </c>
      <c r="CB801" s="648" t="str">
        <f aca="false">IFERROR(bdp(MO.Ticker.Bloomberg&amp;" Equity","INTERVAL_AVG","MARKET_DATA_OVERRIDE=PX_LAST","START_DATE_OVERRIDE",TEXT(INDEX(MO_SNA_FPStartDate,0,COLUMN()),"YYYYMMDD"),"END_DATE_OVERRIDE",TEXT(INDEX(MO_Common_QEndDate,0,COLUMN()),"YYYYMMDD")),"N/A")</f>
        <v>N/A</v>
      </c>
      <c r="CC801" s="649"/>
    </row>
    <row r="802" s="46" customFormat="true" ht="15" hidden="true" customHeight="true" outlineLevel="1" collapsed="false">
      <c r="A802" s="650" t="s">
        <v>704</v>
      </c>
      <c r="B802" s="646"/>
      <c r="C802" s="646" t="str">
        <f aca="false">IFERROR(ciqavg(MO.Ticker.CapIQ,"IQ_LASTSALEPRICE",INDEX(MO_SNA_FPStartDate,0,COLUMN()),INDEX(MO_Common_QEndDate,0,COLUMN())),"N/A")</f>
        <v>N/A</v>
      </c>
      <c r="D802" s="646" t="str">
        <f aca="false">IFERROR(ciqavg(MO.Ticker.CapIQ,"IQ_LASTSALEPRICE",INDEX(MO_SNA_FPStartDate,0,COLUMN()),INDEX(MO_Common_QEndDate,0,COLUMN())),"N/A")</f>
        <v>N/A</v>
      </c>
      <c r="E802" s="646" t="str">
        <f aca="false">IFERROR(ciqavg(MO.Ticker.CapIQ,"IQ_LASTSALEPRICE",INDEX(MO_SNA_FPStartDate,0,COLUMN()),INDEX(MO_Common_QEndDate,0,COLUMN())),"N/A")</f>
        <v>N/A</v>
      </c>
      <c r="F802" s="646" t="str">
        <f aca="false">IFERROR(ciqavg(MO.Ticker.CapIQ,"IQ_LASTSALEPRICE",INDEX(MO_SNA_FPStartDate,0,COLUMN()),INDEX(MO_Common_QEndDate,0,COLUMN())),"N/A")</f>
        <v>N/A</v>
      </c>
      <c r="G802" s="646" t="str">
        <f aca="false">IFERROR(ciqavg(MO.Ticker.CapIQ,"IQ_LASTSALEPRICE",INDEX(MO_SNA_FPStartDate,0,COLUMN()),INDEX(MO_Common_QEndDate,0,COLUMN())),"N/A")</f>
        <v>N/A</v>
      </c>
      <c r="H802" s="646" t="str">
        <f aca="false">IFERROR(ciqavg(MO.Ticker.CapIQ,"IQ_LASTSALEPRICE",INDEX(MO_SNA_FPStartDate,0,COLUMN()),INDEX(MO_Common_QEndDate,0,COLUMN())),"N/A")</f>
        <v>N/A</v>
      </c>
      <c r="I802" s="646" t="str">
        <f aca="false">IFERROR(ciqavg(MO.Ticker.CapIQ,"IQ_LASTSALEPRICE",INDEX(MO_SNA_FPStartDate,0,COLUMN()),INDEX(MO_Common_QEndDate,0,COLUMN())),"N/A")</f>
        <v>N/A</v>
      </c>
      <c r="J802" s="646" t="str">
        <f aca="false">IFERROR(ciqavg(MO.Ticker.CapIQ,"IQ_LASTSALEPRICE",INDEX(MO_SNA_FPStartDate,0,COLUMN()),INDEX(MO_Common_QEndDate,0,COLUMN())),"N/A")</f>
        <v>N/A</v>
      </c>
      <c r="K802" s="646" t="str">
        <f aca="false">IFERROR(ciqavg(MO.Ticker.CapIQ,"IQ_LASTSALEPRICE",INDEX(MO_SNA_FPStartDate,0,COLUMN()),INDEX(MO_Common_QEndDate,0,COLUMN())),"N/A")</f>
        <v>N/A</v>
      </c>
      <c r="L802" s="646" t="str">
        <f aca="false">IFERROR(ciqavg(MO.Ticker.CapIQ,"IQ_LASTSALEPRICE",INDEX(MO_SNA_FPStartDate,0,COLUMN()),INDEX(MO_Common_QEndDate,0,COLUMN())),"N/A")</f>
        <v>N/A</v>
      </c>
      <c r="M802" s="646" t="str">
        <f aca="false">IFERROR(ciqavg(MO.Ticker.CapIQ,"IQ_LASTSALEPRICE",INDEX(MO_SNA_FPStartDate,0,COLUMN()),INDEX(MO_Common_QEndDate,0,COLUMN())),"N/A")</f>
        <v>N/A</v>
      </c>
      <c r="N802" s="646" t="str">
        <f aca="false">IFERROR(ciqavg(MO.Ticker.CapIQ,"IQ_LASTSALEPRICE",INDEX(MO_SNA_FPStartDate,0,COLUMN()),INDEX(MO_Common_QEndDate,0,COLUMN())),"N/A")</f>
        <v>N/A</v>
      </c>
      <c r="O802" s="646" t="str">
        <f aca="false">IFERROR(ciqavg(MO.Ticker.CapIQ,"IQ_LASTSALEPRICE",INDEX(MO_SNA_FPStartDate,0,COLUMN()),INDEX(MO_Common_QEndDate,0,COLUMN())),"N/A")</f>
        <v>N/A</v>
      </c>
      <c r="P802" s="646" t="str">
        <f aca="false">IFERROR(ciqavg(MO.Ticker.CapIQ,"IQ_LASTSALEPRICE",INDEX(MO_SNA_FPStartDate,0,COLUMN()),INDEX(MO_Common_QEndDate,0,COLUMN())),"N/A")</f>
        <v>N/A</v>
      </c>
      <c r="Q802" s="646" t="str">
        <f aca="false">IFERROR(ciqavg(MO.Ticker.CapIQ,"IQ_LASTSALEPRICE",INDEX(MO_SNA_FPStartDate,0,COLUMN()),INDEX(MO_Common_QEndDate,0,COLUMN())),"N/A")</f>
        <v>N/A</v>
      </c>
      <c r="R802" s="646" t="str">
        <f aca="false">IFERROR(ciqavg(MO.Ticker.CapIQ,"IQ_LASTSALEPRICE",INDEX(MO_SNA_FPStartDate,0,COLUMN()),INDEX(MO_Common_QEndDate,0,COLUMN())),"N/A")</f>
        <v>N/A</v>
      </c>
      <c r="S802" s="646" t="str">
        <f aca="false">IFERROR(ciqavg(MO.Ticker.CapIQ,"IQ_LASTSALEPRICE",INDEX(MO_SNA_FPStartDate,0,COLUMN()),INDEX(MO_Common_QEndDate,0,COLUMN())),"N/A")</f>
        <v>N/A</v>
      </c>
      <c r="T802" s="646" t="str">
        <f aca="false">IFERROR(ciqavg(MO.Ticker.CapIQ,"IQ_LASTSALEPRICE",INDEX(MO_SNA_FPStartDate,0,COLUMN()),INDEX(MO_Common_QEndDate,0,COLUMN())),"N/A")</f>
        <v>N/A</v>
      </c>
      <c r="U802" s="646" t="str">
        <f aca="false">IFERROR(ciqavg(MO.Ticker.CapIQ,"IQ_LASTSALEPRICE",INDEX(MO_SNA_FPStartDate,0,COLUMN()),INDEX(MO_Common_QEndDate,0,COLUMN())),"N/A")</f>
        <v>N/A</v>
      </c>
      <c r="V802" s="646" t="str">
        <f aca="false">IFERROR(ciqavg(MO.Ticker.CapIQ,"IQ_LASTSALEPRICE",INDEX(MO_SNA_FPStartDate,0,COLUMN()),INDEX(MO_Common_QEndDate,0,COLUMN())),"N/A")</f>
        <v>N/A</v>
      </c>
      <c r="W802" s="646" t="str">
        <f aca="false">IFERROR(ciqavg(MO.Ticker.CapIQ,"IQ_LASTSALEPRICE",INDEX(MO_SNA_FPStartDate,0,COLUMN()),INDEX(MO_Common_QEndDate,0,COLUMN())),"N/A")</f>
        <v>N/A</v>
      </c>
      <c r="X802" s="646" t="str">
        <f aca="false">IFERROR(ciqavg(MO.Ticker.CapIQ,"IQ_LASTSALEPRICE",INDEX(MO_SNA_FPStartDate,0,COLUMN()),INDEX(MO_Common_QEndDate,0,COLUMN())),"N/A")</f>
        <v>N/A</v>
      </c>
      <c r="Y802" s="646" t="str">
        <f aca="false">IFERROR(ciqavg(MO.Ticker.CapIQ,"IQ_LASTSALEPRICE",INDEX(MO_SNA_FPStartDate,0,COLUMN()),INDEX(MO_Common_QEndDate,0,COLUMN())),"N/A")</f>
        <v>N/A</v>
      </c>
      <c r="Z802" s="646" t="str">
        <f aca="false">IFERROR(ciqavg(MO.Ticker.CapIQ,"IQ_LASTSALEPRICE",INDEX(MO_SNA_FPStartDate,0,COLUMN()),INDEX(MO_Common_QEndDate,0,COLUMN())),"N/A")</f>
        <v>N/A</v>
      </c>
      <c r="AA802" s="646" t="str">
        <f aca="false">IFERROR(ciqavg(MO.Ticker.CapIQ,"IQ_LASTSALEPRICE",INDEX(MO_SNA_FPStartDate,0,COLUMN()),INDEX(MO_Common_QEndDate,0,COLUMN())),"N/A")</f>
        <v>N/A</v>
      </c>
      <c r="AB802" s="646" t="str">
        <f aca="false">IFERROR(ciqavg(MO.Ticker.CapIQ,"IQ_LASTSALEPRICE",INDEX(MO_SNA_FPStartDate,0,COLUMN()),INDEX(MO_Common_QEndDate,0,COLUMN())),"N/A")</f>
        <v>N/A</v>
      </c>
      <c r="AC802" s="646" t="str">
        <f aca="false">IFERROR(ciqavg(MO.Ticker.CapIQ,"IQ_LASTSALEPRICE",INDEX(MO_SNA_FPStartDate,0,COLUMN()),INDEX(MO_Common_QEndDate,0,COLUMN())),"N/A")</f>
        <v>N/A</v>
      </c>
      <c r="AD802" s="646" t="str">
        <f aca="false">IFERROR(ciqavg(MO.Ticker.CapIQ,"IQ_LASTSALEPRICE",INDEX(MO_SNA_FPStartDate,0,COLUMN()),INDEX(MO_Common_QEndDate,0,COLUMN())),"N/A")</f>
        <v>N/A</v>
      </c>
      <c r="AE802" s="646" t="str">
        <f aca="false">IFERROR(ciqavg(MO.Ticker.CapIQ,"IQ_LASTSALEPRICE",INDEX(MO_SNA_FPStartDate,0,COLUMN()),INDEX(MO_Common_QEndDate,0,COLUMN())),"N/A")</f>
        <v>N/A</v>
      </c>
      <c r="AF802" s="646" t="str">
        <f aca="false">IFERROR(ciqavg(MO.Ticker.CapIQ,"IQ_LASTSALEPRICE",INDEX(MO_SNA_FPStartDate,0,COLUMN()),INDEX(MO_Common_QEndDate,0,COLUMN())),"N/A")</f>
        <v>N/A</v>
      </c>
      <c r="AG802" s="646" t="str">
        <f aca="false">IFERROR(ciqavg(MO.Ticker.CapIQ,"IQ_LASTSALEPRICE",INDEX(MO_SNA_FPStartDate,0,COLUMN()),INDEX(MO_Common_QEndDate,0,COLUMN())),"N/A")</f>
        <v>N/A</v>
      </c>
      <c r="AH802" s="646" t="str">
        <f aca="false">IFERROR(ciqavg(MO.Ticker.CapIQ,"IQ_LASTSALEPRICE",INDEX(MO_SNA_FPStartDate,0,COLUMN()),INDEX(MO_Common_QEndDate,0,COLUMN())),"N/A")</f>
        <v>N/A</v>
      </c>
      <c r="AI802" s="646" t="str">
        <f aca="false">IFERROR(ciqavg(MO.Ticker.CapIQ,"IQ_LASTSALEPRICE",INDEX(MO_SNA_FPStartDate,0,COLUMN()),INDEX(MO_Common_QEndDate,0,COLUMN())),"N/A")</f>
        <v>N/A</v>
      </c>
      <c r="AJ802" s="646" t="str">
        <f aca="false">IFERROR(ciqavg(MO.Ticker.CapIQ,"IQ_LASTSALEPRICE",INDEX(MO_SNA_FPStartDate,0,COLUMN()),INDEX(MO_Common_QEndDate,0,COLUMN())),"N/A")</f>
        <v>N/A</v>
      </c>
      <c r="AK802" s="646" t="str">
        <f aca="false">IFERROR(ciqavg(MO.Ticker.CapIQ,"IQ_LASTSALEPRICE",INDEX(MO_SNA_FPStartDate,0,COLUMN()),INDEX(MO_Common_QEndDate,0,COLUMN())),"N/A")</f>
        <v>N/A</v>
      </c>
      <c r="AL802" s="646" t="str">
        <f aca="false">IFERROR(ciqavg(MO.Ticker.CapIQ,"IQ_LASTSALEPRICE",INDEX(MO_SNA_FPStartDate,0,COLUMN()),INDEX(MO_Common_QEndDate,0,COLUMN())),"N/A")</f>
        <v>N/A</v>
      </c>
      <c r="AM802" s="646" t="str">
        <f aca="false">IFERROR(ciqavg(MO.Ticker.CapIQ,"IQ_LASTSALEPRICE",INDEX(MO_SNA_FPStartDate,0,COLUMN()),INDEX(MO_Common_QEndDate,0,COLUMN())),"N/A")</f>
        <v>N/A</v>
      </c>
      <c r="AN802" s="646" t="str">
        <f aca="false">IFERROR(ciqavg(MO.Ticker.CapIQ,"IQ_LASTSALEPRICE",INDEX(MO_SNA_FPStartDate,0,COLUMN()),INDEX(MO_Common_QEndDate,0,COLUMN())),"N/A")</f>
        <v>N/A</v>
      </c>
      <c r="AO802" s="646" t="str">
        <f aca="false">IFERROR(ciqavg(MO.Ticker.CapIQ,"IQ_LASTSALEPRICE",INDEX(MO_SNA_FPStartDate,0,COLUMN()),INDEX(MO_Common_QEndDate,0,COLUMN())),"N/A")</f>
        <v>N/A</v>
      </c>
      <c r="AP802" s="646" t="str">
        <f aca="false">IFERROR(ciqavg(MO.Ticker.CapIQ,"IQ_LASTSALEPRICE",INDEX(MO_SNA_FPStartDate,0,COLUMN()),INDEX(MO_Common_QEndDate,0,COLUMN())),"N/A")</f>
        <v>N/A</v>
      </c>
      <c r="AQ802" s="646" t="str">
        <f aca="false">IFERROR(ciqavg(MO.Ticker.CapIQ,"IQ_LASTSALEPRICE",INDEX(MO_SNA_FPStartDate,0,COLUMN()),INDEX(MO_Common_QEndDate,0,COLUMN())),"N/A")</f>
        <v>N/A</v>
      </c>
      <c r="AR802" s="646" t="str">
        <f aca="false">IFERROR(ciqavg(MO.Ticker.CapIQ,"IQ_LASTSALEPRICE",INDEX(MO_SNA_FPStartDate,0,COLUMN()),INDEX(MO_Common_QEndDate,0,COLUMN())),"N/A")</f>
        <v>N/A</v>
      </c>
      <c r="AS802" s="646" t="str">
        <f aca="false">IFERROR(ciqavg(MO.Ticker.CapIQ,"IQ_LASTSALEPRICE",INDEX(MO_SNA_FPStartDate,0,COLUMN()),INDEX(MO_Common_QEndDate,0,COLUMN())),"N/A")</f>
        <v>N/A</v>
      </c>
      <c r="AT802" s="646" t="str">
        <f aca="false">IFERROR(ciqavg(MO.Ticker.CapIQ,"IQ_LASTSALEPRICE",INDEX(MO_SNA_FPStartDate,0,COLUMN()),INDEX(MO_Common_QEndDate,0,COLUMN())),"N/A")</f>
        <v>N/A</v>
      </c>
      <c r="AU802" s="646" t="str">
        <f aca="false">IFERROR(ciqavg(MO.Ticker.CapIQ,"IQ_LASTSALEPRICE",INDEX(MO_SNA_FPStartDate,0,COLUMN()),INDEX(MO_Common_QEndDate,0,COLUMN())),"N/A")</f>
        <v>N/A</v>
      </c>
      <c r="AV802" s="646" t="str">
        <f aca="false">IFERROR(ciqavg(MO.Ticker.CapIQ,"IQ_LASTSALEPRICE",INDEX(MO_SNA_FPStartDate,0,COLUMN()),INDEX(MO_Common_QEndDate,0,COLUMN())),"N/A")</f>
        <v>N/A</v>
      </c>
      <c r="AW802" s="646" t="str">
        <f aca="false">IFERROR(ciqavg(MO.Ticker.CapIQ,"IQ_LASTSALEPRICE",INDEX(MO_SNA_FPStartDate,0,COLUMN()),INDEX(MO_Common_QEndDate,0,COLUMN())),"N/A")</f>
        <v>N/A</v>
      </c>
      <c r="AX802" s="646" t="str">
        <f aca="false">IFERROR(ciqavg(MO.Ticker.CapIQ,"IQ_LASTSALEPRICE",INDEX(MO_SNA_FPStartDate,0,COLUMN()),INDEX(MO_Common_QEndDate,0,COLUMN())),"N/A")</f>
        <v>N/A</v>
      </c>
      <c r="AY802" s="646" t="str">
        <f aca="false">IFERROR(ciqavg(MO.Ticker.CapIQ,"IQ_LASTSALEPRICE",INDEX(MO_SNA_FPStartDate,0,COLUMN()),INDEX(MO_Common_QEndDate,0,COLUMN())),"N/A")</f>
        <v>N/A</v>
      </c>
      <c r="AZ802" s="646" t="str">
        <f aca="false">IFERROR(ciqavg(MO.Ticker.CapIQ,"IQ_LASTSALEPRICE",INDEX(MO_SNA_FPStartDate,0,COLUMN()),INDEX(MO_Common_QEndDate,0,COLUMN())),"N/A")</f>
        <v>N/A</v>
      </c>
      <c r="BA802" s="646" t="str">
        <f aca="false">IFERROR(ciqavg(MO.Ticker.CapIQ,"IQ_LASTSALEPRICE",INDEX(MO_SNA_FPStartDate,0,COLUMN()),INDEX(MO_Common_QEndDate,0,COLUMN())),"N/A")</f>
        <v>N/A</v>
      </c>
      <c r="BB802" s="646" t="str">
        <f aca="false">IFERROR(ciqavg(MO.Ticker.CapIQ,"IQ_LASTSALEPRICE",INDEX(MO_SNA_FPStartDate,0,COLUMN()),INDEX(MO_Common_QEndDate,0,COLUMN())),"N/A")</f>
        <v>N/A</v>
      </c>
      <c r="BC802" s="646" t="str">
        <f aca="false">IFERROR(ciqavg(MO.Ticker.CapIQ,"IQ_LASTSALEPRICE",INDEX(MO_SNA_FPStartDate,0,COLUMN()),INDEX(MO_Common_QEndDate,0,COLUMN())),"N/A")</f>
        <v>N/A</v>
      </c>
      <c r="BD802" s="646" t="str">
        <f aca="false">IFERROR(ciqavg(MO.Ticker.CapIQ,"IQ_LASTSALEPRICE",INDEX(MO_SNA_FPStartDate,0,COLUMN()),INDEX(MO_Common_QEndDate,0,COLUMN())),"N/A")</f>
        <v>N/A</v>
      </c>
      <c r="BE802" s="646" t="str">
        <f aca="false">IFERROR(ciqavg(MO.Ticker.CapIQ,"IQ_LASTSALEPRICE",INDEX(MO_SNA_FPStartDate,0,COLUMN()),INDEX(MO_Common_QEndDate,0,COLUMN())),"N/A")</f>
        <v>N/A</v>
      </c>
      <c r="BF802" s="646" t="str">
        <f aca="false">IFERROR(ciqavg(MO.Ticker.CapIQ,"IQ_LASTSALEPRICE",INDEX(MO_SNA_FPStartDate,0,COLUMN()),INDEX(MO_Common_QEndDate,0,COLUMN())),"N/A")</f>
        <v>N/A</v>
      </c>
      <c r="BG802" s="646" t="str">
        <f aca="false">IFERROR(ciqavg(MO.Ticker.CapIQ,"IQ_LASTSALEPRICE",INDEX(MO_SNA_FPStartDate,0,COLUMN()),INDEX(MO_Common_QEndDate,0,COLUMN())),"N/A")</f>
        <v>N/A</v>
      </c>
      <c r="BH802" s="646" t="str">
        <f aca="false">IFERROR(ciqavg(MO.Ticker.CapIQ,"IQ_LASTSALEPRICE",INDEX(MO_SNA_FPStartDate,0,COLUMN()),INDEX(MO_Common_QEndDate,0,COLUMN())),"N/A")</f>
        <v>N/A</v>
      </c>
      <c r="BI802" s="646" t="str">
        <f aca="false">IFERROR(ciqavg(MO.Ticker.CapIQ,"IQ_LASTSALEPRICE",INDEX(MO_SNA_FPStartDate,0,COLUMN()),INDEX(MO_Common_QEndDate,0,COLUMN())),"N/A")</f>
        <v>N/A</v>
      </c>
      <c r="BJ802" s="646" t="str">
        <f aca="false">IFERROR(ciqavg(MO.Ticker.CapIQ,"IQ_LASTSALEPRICE",INDEX(MO_SNA_FPStartDate,0,COLUMN()),INDEX(MO_Common_QEndDate,0,COLUMN())),"N/A")</f>
        <v>N/A</v>
      </c>
      <c r="BK802" s="646" t="str">
        <f aca="false">IFERROR(ciqavg(MO.Ticker.CapIQ,"IQ_LASTSALEPRICE",INDEX(MO_SNA_FPStartDate,0,COLUMN()),INDEX(MO_Common_QEndDate,0,COLUMN())),"N/A")</f>
        <v>N/A</v>
      </c>
      <c r="BL802" s="646" t="str">
        <f aca="false">IFERROR(ciqavg(MO.Ticker.CapIQ,"IQ_LASTSALEPRICE",INDEX(MO_SNA_FPStartDate,0,COLUMN()),INDEX(MO_Common_QEndDate,0,COLUMN())),"N/A")</f>
        <v>N/A</v>
      </c>
      <c r="BM802" s="646" t="str">
        <f aca="false">IFERROR(ciqavg(MO.Ticker.CapIQ,"IQ_LASTSALEPRICE",INDEX(MO_SNA_FPStartDate,0,COLUMN()),INDEX(MO_Common_QEndDate,0,COLUMN())),"N/A")</f>
        <v>N/A</v>
      </c>
      <c r="BN802" s="646" t="str">
        <f aca="false">IFERROR(ciqavg(MO.Ticker.CapIQ,"IQ_LASTSALEPRICE",INDEX(MO_SNA_FPStartDate,0,COLUMN()),INDEX(MO_Common_QEndDate,0,COLUMN())),"N/A")</f>
        <v>N/A</v>
      </c>
      <c r="BO802" s="647" t="str">
        <f aca="false">IFERROR(ciqavg(MO.Ticker.CapIQ,"IQ_LASTSALEPRICE",INDEX(MO_SNA_FPStartDate,0,COLUMN()),INDEX(MO_Common_QEndDate,0,COLUMN())),"N/A")</f>
        <v>N/A</v>
      </c>
      <c r="BP802" s="646" t="str">
        <f aca="false">IFERROR(ciqavg(MO.Ticker.CapIQ,"IQ_LASTSALEPRICE",INDEX(MO_SNA_FPStartDate,0,COLUMN()),INDEX(MO_Common_QEndDate,0,COLUMN())),"N/A")</f>
        <v>N/A</v>
      </c>
      <c r="BQ802" s="646" t="str">
        <f aca="false">IFERROR(ciqavg(MO.Ticker.CapIQ,"IQ_LASTSALEPRICE",INDEX(MO_SNA_FPStartDate,0,COLUMN()),INDEX(MO_Common_QEndDate,0,COLUMN())),"N/A")</f>
        <v>N/A</v>
      </c>
      <c r="BR802" s="646" t="str">
        <f aca="false">IFERROR(ciqavg(MO.Ticker.CapIQ,"IQ_LASTSALEPRICE",INDEX(MO_SNA_FPStartDate,0,COLUMN()),INDEX(MO_Common_QEndDate,0,COLUMN())),"N/A")</f>
        <v>N/A</v>
      </c>
      <c r="BS802" s="646" t="str">
        <f aca="false">IFERROR(ciqavg(MO.Ticker.CapIQ,"IQ_LASTSALEPRICE",INDEX(MO_SNA_FPStartDate,0,COLUMN()),INDEX(MO_Common_QEndDate,0,COLUMN())),"N/A")</f>
        <v>N/A</v>
      </c>
      <c r="BT802" s="646" t="str">
        <f aca="false">IFERROR(ciqavg(MO.Ticker.CapIQ,"IQ_LASTSALEPRICE",INDEX(MO_SNA_FPStartDate,0,COLUMN()),INDEX(MO_Common_QEndDate,0,COLUMN())),"N/A")</f>
        <v>N/A</v>
      </c>
      <c r="BU802" s="646" t="str">
        <f aca="false">IFERROR(ciqavg(MO.Ticker.CapIQ,"IQ_LASTSALEPRICE",INDEX(MO_SNA_FPStartDate,0,COLUMN()),INDEX(MO_Common_QEndDate,0,COLUMN())),"N/A")</f>
        <v>N/A</v>
      </c>
      <c r="BV802" s="646" t="str">
        <f aca="false">IFERROR(ciqavg(MO.Ticker.CapIQ,"IQ_LASTSALEPRICE",INDEX(MO_SNA_FPStartDate,0,COLUMN()),INDEX(MO_Common_QEndDate,0,COLUMN())),"N/A")</f>
        <v>N/A</v>
      </c>
      <c r="BW802" s="646" t="str">
        <f aca="false">IFERROR(ciqavg(MO.Ticker.CapIQ,"IQ_LASTSALEPRICE",INDEX(MO_SNA_FPStartDate,0,COLUMN()),INDEX(MO_Common_QEndDate,0,COLUMN())),"N/A")</f>
        <v>N/A</v>
      </c>
      <c r="BX802" s="646" t="str">
        <f aca="false">IFERROR(ciqavg(MO.Ticker.CapIQ,"IQ_LASTSALEPRICE",INDEX(MO_SNA_FPStartDate,0,COLUMN()),INDEX(MO_Common_QEndDate,0,COLUMN())),"N/A")</f>
        <v>N/A</v>
      </c>
      <c r="BY802" s="646" t="str">
        <f aca="false">IFERROR(ciqavg(MO.Ticker.CapIQ,"IQ_LASTSALEPRICE",INDEX(MO_SNA_FPStartDate,0,COLUMN()),INDEX(MO_Common_QEndDate,0,COLUMN())),"N/A")</f>
        <v>N/A</v>
      </c>
      <c r="BZ802" s="646" t="str">
        <f aca="false">IFERROR(ciqavg(MO.Ticker.CapIQ,"IQ_LASTSALEPRICE",INDEX(MO_SNA_FPStartDate,0,COLUMN()),INDEX(MO_Common_QEndDate,0,COLUMN())),"N/A")</f>
        <v>N/A</v>
      </c>
      <c r="CA802" s="646" t="str">
        <f aca="false">IFERROR(ciqavg(MO.Ticker.CapIQ,"IQ_LASTSALEPRICE",INDEX(MO_SNA_FPStartDate,0,COLUMN()),INDEX(MO_Common_QEndDate,0,COLUMN())),"N/A")</f>
        <v>N/A</v>
      </c>
      <c r="CB802" s="648" t="str">
        <f aca="false">IFERROR(ciqavg(MO.Ticker.CapIQ,"IQ_LASTSALEPRICE",INDEX(MO_SNA_FPStartDate,0,COLUMN()),INDEX(MO_Common_QEndDate,0,COLUMN())),"N/A")</f>
        <v>N/A</v>
      </c>
      <c r="CC802" s="649"/>
    </row>
    <row r="803" s="46" customFormat="true" ht="15" hidden="true" customHeight="true" outlineLevel="1" collapsed="false">
      <c r="A803" s="650" t="s">
        <v>705</v>
      </c>
      <c r="B803" s="646"/>
      <c r="C803" s="646" t="str">
        <f aca="false">IFERROR(fds(MO.Ticker.FactSet,"P_PRICE_AVG"&amp;"("&amp;INDEX(MO_SNA_FPStartDate,0,COLUMN())&amp;","&amp;INDEX(MO_Common_QEndDate,0,COLUMN())&amp;",,,,""PRICE"",""CLOSE"")"),"N/A")</f>
        <v>N/A</v>
      </c>
      <c r="D803" s="646" t="str">
        <f aca="false">IFERROR(fds(MO.Ticker.FactSet,"P_PRICE_AVG"&amp;"("&amp;INDEX(MO_SNA_FPStartDate,0,COLUMN())&amp;","&amp;INDEX(MO_Common_QEndDate,0,COLUMN())&amp;",,,,""PRICE"",""CLOSE"")"),"N/A")</f>
        <v>N/A</v>
      </c>
      <c r="E803" s="646" t="str">
        <f aca="false">IFERROR(fds(MO.Ticker.FactSet,"P_PRICE_AVG"&amp;"("&amp;INDEX(MO_SNA_FPStartDate,0,COLUMN())&amp;","&amp;INDEX(MO_Common_QEndDate,0,COLUMN())&amp;",,,,""PRICE"",""CLOSE"")"),"N/A")</f>
        <v>N/A</v>
      </c>
      <c r="F803" s="646" t="str">
        <f aca="false">IFERROR(fds(MO.Ticker.FactSet,"P_PRICE_AVG"&amp;"("&amp;INDEX(MO_SNA_FPStartDate,0,COLUMN())&amp;","&amp;INDEX(MO_Common_QEndDate,0,COLUMN())&amp;",,,,""PRICE"",""CLOSE"")"),"N/A")</f>
        <v>N/A</v>
      </c>
      <c r="G803" s="646" t="str">
        <f aca="false">IFERROR(fds(MO.Ticker.FactSet,"P_PRICE_AVG"&amp;"("&amp;INDEX(MO_SNA_FPStartDate,0,COLUMN())&amp;","&amp;INDEX(MO_Common_QEndDate,0,COLUMN())&amp;",,,,""PRICE"",""CLOSE"")"),"N/A")</f>
        <v>N/A</v>
      </c>
      <c r="H803" s="646" t="str">
        <f aca="false">IFERROR(fds(MO.Ticker.FactSet,"P_PRICE_AVG"&amp;"("&amp;INDEX(MO_SNA_FPStartDate,0,COLUMN())&amp;","&amp;INDEX(MO_Common_QEndDate,0,COLUMN())&amp;",,,,""PRICE"",""CLOSE"")"),"N/A")</f>
        <v>N/A</v>
      </c>
      <c r="I803" s="646" t="str">
        <f aca="false">IFERROR(fds(MO.Ticker.FactSet,"P_PRICE_AVG"&amp;"("&amp;INDEX(MO_SNA_FPStartDate,0,COLUMN())&amp;","&amp;INDEX(MO_Common_QEndDate,0,COLUMN())&amp;",,,,""PRICE"",""CLOSE"")"),"N/A")</f>
        <v>N/A</v>
      </c>
      <c r="J803" s="646" t="str">
        <f aca="false">IFERROR(fds(MO.Ticker.FactSet,"P_PRICE_AVG"&amp;"("&amp;INDEX(MO_SNA_FPStartDate,0,COLUMN())&amp;","&amp;INDEX(MO_Common_QEndDate,0,COLUMN())&amp;",,,,""PRICE"",""CLOSE"")"),"N/A")</f>
        <v>N/A</v>
      </c>
      <c r="K803" s="646" t="str">
        <f aca="false">IFERROR(fds(MO.Ticker.FactSet,"P_PRICE_AVG"&amp;"("&amp;INDEX(MO_SNA_FPStartDate,0,COLUMN())&amp;","&amp;INDEX(MO_Common_QEndDate,0,COLUMN())&amp;",,,,""PRICE"",""CLOSE"")"),"N/A")</f>
        <v>N/A</v>
      </c>
      <c r="L803" s="646" t="str">
        <f aca="false">IFERROR(fds(MO.Ticker.FactSet,"P_PRICE_AVG"&amp;"("&amp;INDEX(MO_SNA_FPStartDate,0,COLUMN())&amp;","&amp;INDEX(MO_Common_QEndDate,0,COLUMN())&amp;",,,,""PRICE"",""CLOSE"")"),"N/A")</f>
        <v>N/A</v>
      </c>
      <c r="M803" s="646" t="str">
        <f aca="false">IFERROR(fds(MO.Ticker.FactSet,"P_PRICE_AVG"&amp;"("&amp;INDEX(MO_SNA_FPStartDate,0,COLUMN())&amp;","&amp;INDEX(MO_Common_QEndDate,0,COLUMN())&amp;",,,,""PRICE"",""CLOSE"")"),"N/A")</f>
        <v>N/A</v>
      </c>
      <c r="N803" s="646" t="str">
        <f aca="false">IFERROR(fds(MO.Ticker.FactSet,"P_PRICE_AVG"&amp;"("&amp;INDEX(MO_SNA_FPStartDate,0,COLUMN())&amp;","&amp;INDEX(MO_Common_QEndDate,0,COLUMN())&amp;",,,,""PRICE"",""CLOSE"")"),"N/A")</f>
        <v>N/A</v>
      </c>
      <c r="O803" s="646" t="str">
        <f aca="false">IFERROR(fds(MO.Ticker.FactSet,"P_PRICE_AVG"&amp;"("&amp;INDEX(MO_SNA_FPStartDate,0,COLUMN())&amp;","&amp;INDEX(MO_Common_QEndDate,0,COLUMN())&amp;",,,,""PRICE"",""CLOSE"")"),"N/A")</f>
        <v>N/A</v>
      </c>
      <c r="P803" s="646" t="str">
        <f aca="false">IFERROR(fds(MO.Ticker.FactSet,"P_PRICE_AVG"&amp;"("&amp;INDEX(MO_SNA_FPStartDate,0,COLUMN())&amp;","&amp;INDEX(MO_Common_QEndDate,0,COLUMN())&amp;",,,,""PRICE"",""CLOSE"")"),"N/A")</f>
        <v>N/A</v>
      </c>
      <c r="Q803" s="646" t="str">
        <f aca="false">IFERROR(fds(MO.Ticker.FactSet,"P_PRICE_AVG"&amp;"("&amp;INDEX(MO_SNA_FPStartDate,0,COLUMN())&amp;","&amp;INDEX(MO_Common_QEndDate,0,COLUMN())&amp;",,,,""PRICE"",""CLOSE"")"),"N/A")</f>
        <v>N/A</v>
      </c>
      <c r="R803" s="646" t="str">
        <f aca="false">IFERROR(fds(MO.Ticker.FactSet,"P_PRICE_AVG"&amp;"("&amp;INDEX(MO_SNA_FPStartDate,0,COLUMN())&amp;","&amp;INDEX(MO_Common_QEndDate,0,COLUMN())&amp;",,,,""PRICE"",""CLOSE"")"),"N/A")</f>
        <v>N/A</v>
      </c>
      <c r="S803" s="646" t="str">
        <f aca="false">IFERROR(fds(MO.Ticker.FactSet,"P_PRICE_AVG"&amp;"("&amp;INDEX(MO_SNA_FPStartDate,0,COLUMN())&amp;","&amp;INDEX(MO_Common_QEndDate,0,COLUMN())&amp;",,,,""PRICE"",""CLOSE"")"),"N/A")</f>
        <v>N/A</v>
      </c>
      <c r="T803" s="646" t="str">
        <f aca="false">IFERROR(fds(MO.Ticker.FactSet,"P_PRICE_AVG"&amp;"("&amp;INDEX(MO_SNA_FPStartDate,0,COLUMN())&amp;","&amp;INDEX(MO_Common_QEndDate,0,COLUMN())&amp;",,,,""PRICE"",""CLOSE"")"),"N/A")</f>
        <v>N/A</v>
      </c>
      <c r="U803" s="646" t="str">
        <f aca="false">IFERROR(fds(MO.Ticker.FactSet,"P_PRICE_AVG"&amp;"("&amp;INDEX(MO_SNA_FPStartDate,0,COLUMN())&amp;","&amp;INDEX(MO_Common_QEndDate,0,COLUMN())&amp;",,,,""PRICE"",""CLOSE"")"),"N/A")</f>
        <v>N/A</v>
      </c>
      <c r="V803" s="646" t="str">
        <f aca="false">IFERROR(fds(MO.Ticker.FactSet,"P_PRICE_AVG"&amp;"("&amp;INDEX(MO_SNA_FPStartDate,0,COLUMN())&amp;","&amp;INDEX(MO_Common_QEndDate,0,COLUMN())&amp;",,,,""PRICE"",""CLOSE"")"),"N/A")</f>
        <v>N/A</v>
      </c>
      <c r="W803" s="646" t="str">
        <f aca="false">IFERROR(fds(MO.Ticker.FactSet,"P_PRICE_AVG"&amp;"("&amp;INDEX(MO_SNA_FPStartDate,0,COLUMN())&amp;","&amp;INDEX(MO_Common_QEndDate,0,COLUMN())&amp;",,,,""PRICE"",""CLOSE"")"),"N/A")</f>
        <v>N/A</v>
      </c>
      <c r="X803" s="646" t="str">
        <f aca="false">IFERROR(fds(MO.Ticker.FactSet,"P_PRICE_AVG"&amp;"("&amp;INDEX(MO_SNA_FPStartDate,0,COLUMN())&amp;","&amp;INDEX(MO_Common_QEndDate,0,COLUMN())&amp;",,,,""PRICE"",""CLOSE"")"),"N/A")</f>
        <v>N/A</v>
      </c>
      <c r="Y803" s="646" t="str">
        <f aca="false">IFERROR(fds(MO.Ticker.FactSet,"P_PRICE_AVG"&amp;"("&amp;INDEX(MO_SNA_FPStartDate,0,COLUMN())&amp;","&amp;INDEX(MO_Common_QEndDate,0,COLUMN())&amp;",,,,""PRICE"",""CLOSE"")"),"N/A")</f>
        <v>N/A</v>
      </c>
      <c r="Z803" s="646" t="str">
        <f aca="false">IFERROR(fds(MO.Ticker.FactSet,"P_PRICE_AVG"&amp;"("&amp;INDEX(MO_SNA_FPStartDate,0,COLUMN())&amp;","&amp;INDEX(MO_Common_QEndDate,0,COLUMN())&amp;",,,,""PRICE"",""CLOSE"")"),"N/A")</f>
        <v>N/A</v>
      </c>
      <c r="AA803" s="646" t="str">
        <f aca="false">IFERROR(fds(MO.Ticker.FactSet,"P_PRICE_AVG"&amp;"("&amp;INDEX(MO_SNA_FPStartDate,0,COLUMN())&amp;","&amp;INDEX(MO_Common_QEndDate,0,COLUMN())&amp;",,,,""PRICE"",""CLOSE"")"),"N/A")</f>
        <v>N/A</v>
      </c>
      <c r="AB803" s="646" t="str">
        <f aca="false">IFERROR(fds(MO.Ticker.FactSet,"P_PRICE_AVG"&amp;"("&amp;INDEX(MO_SNA_FPStartDate,0,COLUMN())&amp;","&amp;INDEX(MO_Common_QEndDate,0,COLUMN())&amp;",,,,""PRICE"",""CLOSE"")"),"N/A")</f>
        <v>N/A</v>
      </c>
      <c r="AC803" s="646" t="str">
        <f aca="false">IFERROR(fds(MO.Ticker.FactSet,"P_PRICE_AVG"&amp;"("&amp;INDEX(MO_SNA_FPStartDate,0,COLUMN())&amp;","&amp;INDEX(MO_Common_QEndDate,0,COLUMN())&amp;",,,,""PRICE"",""CLOSE"")"),"N/A")</f>
        <v>N/A</v>
      </c>
      <c r="AD803" s="646" t="str">
        <f aca="false">IFERROR(fds(MO.Ticker.FactSet,"P_PRICE_AVG"&amp;"("&amp;INDEX(MO_SNA_FPStartDate,0,COLUMN())&amp;","&amp;INDEX(MO_Common_QEndDate,0,COLUMN())&amp;",,,,""PRICE"",""CLOSE"")"),"N/A")</f>
        <v>N/A</v>
      </c>
      <c r="AE803" s="646" t="str">
        <f aca="false">IFERROR(fds(MO.Ticker.FactSet,"P_PRICE_AVG"&amp;"("&amp;INDEX(MO_SNA_FPStartDate,0,COLUMN())&amp;","&amp;INDEX(MO_Common_QEndDate,0,COLUMN())&amp;",,,,""PRICE"",""CLOSE"")"),"N/A")</f>
        <v>N/A</v>
      </c>
      <c r="AF803" s="646" t="str">
        <f aca="false">IFERROR(fds(MO.Ticker.FactSet,"P_PRICE_AVG"&amp;"("&amp;INDEX(MO_SNA_FPStartDate,0,COLUMN())&amp;","&amp;INDEX(MO_Common_QEndDate,0,COLUMN())&amp;",,,,""PRICE"",""CLOSE"")"),"N/A")</f>
        <v>N/A</v>
      </c>
      <c r="AG803" s="646" t="str">
        <f aca="false">IFERROR(fds(MO.Ticker.FactSet,"P_PRICE_AVG"&amp;"("&amp;INDEX(MO_SNA_FPStartDate,0,COLUMN())&amp;","&amp;INDEX(MO_Common_QEndDate,0,COLUMN())&amp;",,,,""PRICE"",""CLOSE"")"),"N/A")</f>
        <v>N/A</v>
      </c>
      <c r="AH803" s="646" t="str">
        <f aca="false">IFERROR(fds(MO.Ticker.FactSet,"P_PRICE_AVG"&amp;"("&amp;INDEX(MO_SNA_FPStartDate,0,COLUMN())&amp;","&amp;INDEX(MO_Common_QEndDate,0,COLUMN())&amp;",,,,""PRICE"",""CLOSE"")"),"N/A")</f>
        <v>N/A</v>
      </c>
      <c r="AI803" s="646" t="str">
        <f aca="false">IFERROR(fds(MO.Ticker.FactSet,"P_PRICE_AVG"&amp;"("&amp;INDEX(MO_SNA_FPStartDate,0,COLUMN())&amp;","&amp;INDEX(MO_Common_QEndDate,0,COLUMN())&amp;",,,,""PRICE"",""CLOSE"")"),"N/A")</f>
        <v>N/A</v>
      </c>
      <c r="AJ803" s="646" t="str">
        <f aca="false">IFERROR(fds(MO.Ticker.FactSet,"P_PRICE_AVG"&amp;"("&amp;INDEX(MO_SNA_FPStartDate,0,COLUMN())&amp;","&amp;INDEX(MO_Common_QEndDate,0,COLUMN())&amp;",,,,""PRICE"",""CLOSE"")"),"N/A")</f>
        <v>N/A</v>
      </c>
      <c r="AK803" s="646" t="str">
        <f aca="false">IFERROR(fds(MO.Ticker.FactSet,"P_PRICE_AVG"&amp;"("&amp;INDEX(MO_SNA_FPStartDate,0,COLUMN())&amp;","&amp;INDEX(MO_Common_QEndDate,0,COLUMN())&amp;",,,,""PRICE"",""CLOSE"")"),"N/A")</f>
        <v>N/A</v>
      </c>
      <c r="AL803" s="646" t="str">
        <f aca="false">IFERROR(fds(MO.Ticker.FactSet,"P_PRICE_AVG"&amp;"("&amp;INDEX(MO_SNA_FPStartDate,0,COLUMN())&amp;","&amp;INDEX(MO_Common_QEndDate,0,COLUMN())&amp;",,,,""PRICE"",""CLOSE"")"),"N/A")</f>
        <v>N/A</v>
      </c>
      <c r="AM803" s="646" t="str">
        <f aca="false">IFERROR(fds(MO.Ticker.FactSet,"P_PRICE_AVG"&amp;"("&amp;INDEX(MO_SNA_FPStartDate,0,COLUMN())&amp;","&amp;INDEX(MO_Common_QEndDate,0,COLUMN())&amp;",,,,""PRICE"",""CLOSE"")"),"N/A")</f>
        <v>N/A</v>
      </c>
      <c r="AN803" s="646" t="str">
        <f aca="false">IFERROR(fds(MO.Ticker.FactSet,"P_PRICE_AVG"&amp;"("&amp;INDEX(MO_SNA_FPStartDate,0,COLUMN())&amp;","&amp;INDEX(MO_Common_QEndDate,0,COLUMN())&amp;",,,,""PRICE"",""CLOSE"")"),"N/A")</f>
        <v>N/A</v>
      </c>
      <c r="AO803" s="646" t="str">
        <f aca="false">IFERROR(fds(MO.Ticker.FactSet,"P_PRICE_AVG"&amp;"("&amp;INDEX(MO_SNA_FPStartDate,0,COLUMN())&amp;","&amp;INDEX(MO_Common_QEndDate,0,COLUMN())&amp;",,,,""PRICE"",""CLOSE"")"),"N/A")</f>
        <v>N/A</v>
      </c>
      <c r="AP803" s="646" t="str">
        <f aca="false">IFERROR(fds(MO.Ticker.FactSet,"P_PRICE_AVG"&amp;"("&amp;INDEX(MO_SNA_FPStartDate,0,COLUMN())&amp;","&amp;INDEX(MO_Common_QEndDate,0,COLUMN())&amp;",,,,""PRICE"",""CLOSE"")"),"N/A")</f>
        <v>N/A</v>
      </c>
      <c r="AQ803" s="646" t="str">
        <f aca="false">IFERROR(fds(MO.Ticker.FactSet,"P_PRICE_AVG"&amp;"("&amp;INDEX(MO_SNA_FPStartDate,0,COLUMN())&amp;","&amp;INDEX(MO_Common_QEndDate,0,COLUMN())&amp;",,,,""PRICE"",""CLOSE"")"),"N/A")</f>
        <v>N/A</v>
      </c>
      <c r="AR803" s="646" t="str">
        <f aca="false">IFERROR(fds(MO.Ticker.FactSet,"P_PRICE_AVG"&amp;"("&amp;INDEX(MO_SNA_FPStartDate,0,COLUMN())&amp;","&amp;INDEX(MO_Common_QEndDate,0,COLUMN())&amp;",,,,""PRICE"",""CLOSE"")"),"N/A")</f>
        <v>N/A</v>
      </c>
      <c r="AS803" s="646" t="str">
        <f aca="false">IFERROR(fds(MO.Ticker.FactSet,"P_PRICE_AVG"&amp;"("&amp;INDEX(MO_SNA_FPStartDate,0,COLUMN())&amp;","&amp;INDEX(MO_Common_QEndDate,0,COLUMN())&amp;",,,,""PRICE"",""CLOSE"")"),"N/A")</f>
        <v>N/A</v>
      </c>
      <c r="AT803" s="646" t="str">
        <f aca="false">IFERROR(fds(MO.Ticker.FactSet,"P_PRICE_AVG"&amp;"("&amp;INDEX(MO_SNA_FPStartDate,0,COLUMN())&amp;","&amp;INDEX(MO_Common_QEndDate,0,COLUMN())&amp;",,,,""PRICE"",""CLOSE"")"),"N/A")</f>
        <v>N/A</v>
      </c>
      <c r="AU803" s="646" t="str">
        <f aca="false">IFERROR(fds(MO.Ticker.FactSet,"P_PRICE_AVG"&amp;"("&amp;INDEX(MO_SNA_FPStartDate,0,COLUMN())&amp;","&amp;INDEX(MO_Common_QEndDate,0,COLUMN())&amp;",,,,""PRICE"",""CLOSE"")"),"N/A")</f>
        <v>N/A</v>
      </c>
      <c r="AV803" s="646" t="str">
        <f aca="false">IFERROR(fds(MO.Ticker.FactSet,"P_PRICE_AVG"&amp;"("&amp;INDEX(MO_SNA_FPStartDate,0,COLUMN())&amp;","&amp;INDEX(MO_Common_QEndDate,0,COLUMN())&amp;",,,,""PRICE"",""CLOSE"")"),"N/A")</f>
        <v>N/A</v>
      </c>
      <c r="AW803" s="646" t="str">
        <f aca="false">IFERROR(fds(MO.Ticker.FactSet,"P_PRICE_AVG"&amp;"("&amp;INDEX(MO_SNA_FPStartDate,0,COLUMN())&amp;","&amp;INDEX(MO_Common_QEndDate,0,COLUMN())&amp;",,,,""PRICE"",""CLOSE"")"),"N/A")</f>
        <v>N/A</v>
      </c>
      <c r="AX803" s="646" t="str">
        <f aca="false">IFERROR(fds(MO.Ticker.FactSet,"P_PRICE_AVG"&amp;"("&amp;INDEX(MO_SNA_FPStartDate,0,COLUMN())&amp;","&amp;INDEX(MO_Common_QEndDate,0,COLUMN())&amp;",,,,""PRICE"",""CLOSE"")"),"N/A")</f>
        <v>N/A</v>
      </c>
      <c r="AY803" s="646" t="str">
        <f aca="false">IFERROR(fds(MO.Ticker.FactSet,"P_PRICE_AVG"&amp;"("&amp;INDEX(MO_SNA_FPStartDate,0,COLUMN())&amp;","&amp;INDEX(MO_Common_QEndDate,0,COLUMN())&amp;",,,,""PRICE"",""CLOSE"")"),"N/A")</f>
        <v>N/A</v>
      </c>
      <c r="AZ803" s="646" t="str">
        <f aca="false">IFERROR(fds(MO.Ticker.FactSet,"P_PRICE_AVG"&amp;"("&amp;INDEX(MO_SNA_FPStartDate,0,COLUMN())&amp;","&amp;INDEX(MO_Common_QEndDate,0,COLUMN())&amp;",,,,""PRICE"",""CLOSE"")"),"N/A")</f>
        <v>N/A</v>
      </c>
      <c r="BA803" s="646" t="str">
        <f aca="false">IFERROR(fds(MO.Ticker.FactSet,"P_PRICE_AVG"&amp;"("&amp;INDEX(MO_SNA_FPStartDate,0,COLUMN())&amp;","&amp;INDEX(MO_Common_QEndDate,0,COLUMN())&amp;",,,,""PRICE"",""CLOSE"")"),"N/A")</f>
        <v>N/A</v>
      </c>
      <c r="BB803" s="646" t="str">
        <f aca="false">IFERROR(fds(MO.Ticker.FactSet,"P_PRICE_AVG"&amp;"("&amp;INDEX(MO_SNA_FPStartDate,0,COLUMN())&amp;","&amp;INDEX(MO_Common_QEndDate,0,COLUMN())&amp;",,,,""PRICE"",""CLOSE"")"),"N/A")</f>
        <v>N/A</v>
      </c>
      <c r="BC803" s="646" t="str">
        <f aca="false">IFERROR(fds(MO.Ticker.FactSet,"P_PRICE_AVG"&amp;"("&amp;INDEX(MO_SNA_FPStartDate,0,COLUMN())&amp;","&amp;INDEX(MO_Common_QEndDate,0,COLUMN())&amp;",,,,""PRICE"",""CLOSE"")"),"N/A")</f>
        <v>N/A</v>
      </c>
      <c r="BD803" s="646" t="str">
        <f aca="false">IFERROR(fds(MO.Ticker.FactSet,"P_PRICE_AVG"&amp;"("&amp;INDEX(MO_SNA_FPStartDate,0,COLUMN())&amp;","&amp;INDEX(MO_Common_QEndDate,0,COLUMN())&amp;",,,,""PRICE"",""CLOSE"")"),"N/A")</f>
        <v>N/A</v>
      </c>
      <c r="BE803" s="646" t="str">
        <f aca="false">IFERROR(fds(MO.Ticker.FactSet,"P_PRICE_AVG"&amp;"("&amp;INDEX(MO_SNA_FPStartDate,0,COLUMN())&amp;","&amp;INDEX(MO_Common_QEndDate,0,COLUMN())&amp;",,,,""PRICE"",""CLOSE"")"),"N/A")</f>
        <v>N/A</v>
      </c>
      <c r="BF803" s="646" t="str">
        <f aca="false">IFERROR(fds(MO.Ticker.FactSet,"P_PRICE_AVG"&amp;"("&amp;INDEX(MO_SNA_FPStartDate,0,COLUMN())&amp;","&amp;INDEX(MO_Common_QEndDate,0,COLUMN())&amp;",,,,""PRICE"",""CLOSE"")"),"N/A")</f>
        <v>N/A</v>
      </c>
      <c r="BG803" s="646" t="str">
        <f aca="false">IFERROR(fds(MO.Ticker.FactSet,"P_PRICE_AVG"&amp;"("&amp;INDEX(MO_SNA_FPStartDate,0,COLUMN())&amp;","&amp;INDEX(MO_Common_QEndDate,0,COLUMN())&amp;",,,,""PRICE"",""CLOSE"")"),"N/A")</f>
        <v>N/A</v>
      </c>
      <c r="BH803" s="646" t="str">
        <f aca="false">IFERROR(fds(MO.Ticker.FactSet,"P_PRICE_AVG"&amp;"("&amp;INDEX(MO_SNA_FPStartDate,0,COLUMN())&amp;","&amp;INDEX(MO_Common_QEndDate,0,COLUMN())&amp;",,,,""PRICE"",""CLOSE"")"),"N/A")</f>
        <v>N/A</v>
      </c>
      <c r="BI803" s="646" t="str">
        <f aca="false">IFERROR(fds(MO.Ticker.FactSet,"P_PRICE_AVG"&amp;"("&amp;INDEX(MO_SNA_FPStartDate,0,COLUMN())&amp;","&amp;INDEX(MO_Common_QEndDate,0,COLUMN())&amp;",,,,""PRICE"",""CLOSE"")"),"N/A")</f>
        <v>N/A</v>
      </c>
      <c r="BJ803" s="646" t="str">
        <f aca="false">IFERROR(fds(MO.Ticker.FactSet,"P_PRICE_AVG"&amp;"("&amp;INDEX(MO_SNA_FPStartDate,0,COLUMN())&amp;","&amp;INDEX(MO_Common_QEndDate,0,COLUMN())&amp;",,,,""PRICE"",""CLOSE"")"),"N/A")</f>
        <v>N/A</v>
      </c>
      <c r="BK803" s="646" t="str">
        <f aca="false">IFERROR(fds(MO.Ticker.FactSet,"P_PRICE_AVG"&amp;"("&amp;INDEX(MO_SNA_FPStartDate,0,COLUMN())&amp;","&amp;INDEX(MO_Common_QEndDate,0,COLUMN())&amp;",,,,""PRICE"",""CLOSE"")"),"N/A")</f>
        <v>N/A</v>
      </c>
      <c r="BL803" s="646" t="str">
        <f aca="false">IFERROR(fds(MO.Ticker.FactSet,"P_PRICE_AVG"&amp;"("&amp;INDEX(MO_SNA_FPStartDate,0,COLUMN())&amp;","&amp;INDEX(MO_Common_QEndDate,0,COLUMN())&amp;",,,,""PRICE"",""CLOSE"")"),"N/A")</f>
        <v>N/A</v>
      </c>
      <c r="BM803" s="646" t="str">
        <f aca="false">IFERROR(fds(MO.Ticker.FactSet,"P_PRICE_AVG"&amp;"("&amp;INDEX(MO_SNA_FPStartDate,0,COLUMN())&amp;","&amp;INDEX(MO_Common_QEndDate,0,COLUMN())&amp;",,,,""PRICE"",""CLOSE"")"),"N/A")</f>
        <v>N/A</v>
      </c>
      <c r="BN803" s="646" t="str">
        <f aca="false">IFERROR(fds(MO.Ticker.FactSet,"P_PRICE_AVG"&amp;"("&amp;INDEX(MO_SNA_FPStartDate,0,COLUMN())&amp;","&amp;INDEX(MO_Common_QEndDate,0,COLUMN())&amp;",,,,""PRICE"",""CLOSE"")"),"N/A")</f>
        <v>N/A</v>
      </c>
      <c r="BO803" s="647" t="str">
        <f aca="false">IFERROR(fds(MO.Ticker.FactSet,"P_PRICE_AVG"&amp;"("&amp;INDEX(MO_SNA_FPStartDate,0,COLUMN())&amp;","&amp;INDEX(MO_Common_QEndDate,0,COLUMN())&amp;",,,,""PRICE"",""CLOSE"")"),"N/A")</f>
        <v>N/A</v>
      </c>
      <c r="BP803" s="646" t="str">
        <f aca="false">IFERROR(fds(MO.Ticker.FactSet,"P_PRICE_AVG"&amp;"("&amp;INDEX(MO_SNA_FPStartDate,0,COLUMN())&amp;","&amp;INDEX(MO_Common_QEndDate,0,COLUMN())&amp;",,,,""PRICE"",""CLOSE"")"),"N/A")</f>
        <v>N/A</v>
      </c>
      <c r="BQ803" s="646" t="str">
        <f aca="false">IFERROR(fds(MO.Ticker.FactSet,"P_PRICE_AVG"&amp;"("&amp;INDEX(MO_SNA_FPStartDate,0,COLUMN())&amp;","&amp;INDEX(MO_Common_QEndDate,0,COLUMN())&amp;",,,,""PRICE"",""CLOSE"")"),"N/A")</f>
        <v>N/A</v>
      </c>
      <c r="BR803" s="646" t="str">
        <f aca="false">IFERROR(fds(MO.Ticker.FactSet,"P_PRICE_AVG"&amp;"("&amp;INDEX(MO_SNA_FPStartDate,0,COLUMN())&amp;","&amp;INDEX(MO_Common_QEndDate,0,COLUMN())&amp;",,,,""PRICE"",""CLOSE"")"),"N/A")</f>
        <v>N/A</v>
      </c>
      <c r="BS803" s="646" t="str">
        <f aca="false">IFERROR(fds(MO.Ticker.FactSet,"P_PRICE_AVG"&amp;"("&amp;INDEX(MO_SNA_FPStartDate,0,COLUMN())&amp;","&amp;INDEX(MO_Common_QEndDate,0,COLUMN())&amp;",,,,""PRICE"",""CLOSE"")"),"N/A")</f>
        <v>N/A</v>
      </c>
      <c r="BT803" s="646" t="str">
        <f aca="false">IFERROR(fds(MO.Ticker.FactSet,"P_PRICE_AVG"&amp;"("&amp;INDEX(MO_SNA_FPStartDate,0,COLUMN())&amp;","&amp;INDEX(MO_Common_QEndDate,0,COLUMN())&amp;",,,,""PRICE"",""CLOSE"")"),"N/A")</f>
        <v>N/A</v>
      </c>
      <c r="BU803" s="646" t="str">
        <f aca="false">IFERROR(fds(MO.Ticker.FactSet,"P_PRICE_AVG"&amp;"("&amp;INDEX(MO_SNA_FPStartDate,0,COLUMN())&amp;","&amp;INDEX(MO_Common_QEndDate,0,COLUMN())&amp;",,,,""PRICE"",""CLOSE"")"),"N/A")</f>
        <v>N/A</v>
      </c>
      <c r="BV803" s="646" t="str">
        <f aca="false">IFERROR(fds(MO.Ticker.FactSet,"P_PRICE_AVG"&amp;"("&amp;INDEX(MO_SNA_FPStartDate,0,COLUMN())&amp;","&amp;INDEX(MO_Common_QEndDate,0,COLUMN())&amp;",,,,""PRICE"",""CLOSE"")"),"N/A")</f>
        <v>N/A</v>
      </c>
      <c r="BW803" s="646" t="str">
        <f aca="false">IFERROR(fds(MO.Ticker.FactSet,"P_PRICE_AVG"&amp;"("&amp;INDEX(MO_SNA_FPStartDate,0,COLUMN())&amp;","&amp;INDEX(MO_Common_QEndDate,0,COLUMN())&amp;",,,,""PRICE"",""CLOSE"")"),"N/A")</f>
        <v>N/A</v>
      </c>
      <c r="BX803" s="646" t="str">
        <f aca="false">IFERROR(fds(MO.Ticker.FactSet,"P_PRICE_AVG"&amp;"("&amp;INDEX(MO_SNA_FPStartDate,0,COLUMN())&amp;","&amp;INDEX(MO_Common_QEndDate,0,COLUMN())&amp;",,,,""PRICE"",""CLOSE"")"),"N/A")</f>
        <v>N/A</v>
      </c>
      <c r="BY803" s="646" t="str">
        <f aca="false">IFERROR(fds(MO.Ticker.FactSet,"P_PRICE_AVG"&amp;"("&amp;INDEX(MO_SNA_FPStartDate,0,COLUMN())&amp;","&amp;INDEX(MO_Common_QEndDate,0,COLUMN())&amp;",,,,""PRICE"",""CLOSE"")"),"N/A")</f>
        <v>N/A</v>
      </c>
      <c r="BZ803" s="646" t="str">
        <f aca="false">IFERROR(fds(MO.Ticker.FactSet,"P_PRICE_AVG"&amp;"("&amp;INDEX(MO_SNA_FPStartDate,0,COLUMN())&amp;","&amp;INDEX(MO_Common_QEndDate,0,COLUMN())&amp;",,,,""PRICE"",""CLOSE"")"),"N/A")</f>
        <v>N/A</v>
      </c>
      <c r="CA803" s="646" t="str">
        <f aca="false">IFERROR(fds(MO.Ticker.FactSet,"P_PRICE_AVG"&amp;"("&amp;INDEX(MO_SNA_FPStartDate,0,COLUMN())&amp;","&amp;INDEX(MO_Common_QEndDate,0,COLUMN())&amp;",,,,""PRICE"",""CLOSE"")"),"N/A")</f>
        <v>N/A</v>
      </c>
      <c r="CB803" s="648" t="str">
        <f aca="false">IFERROR(fds(MO.Ticker.FactSet,"P_PRICE_AVG"&amp;"("&amp;INDEX(MO_SNA_FPStartDate,0,COLUMN())&amp;","&amp;INDEX(MO_Common_QEndDate,0,COLUMN())&amp;",,,,""PRICE"",""CLOSE"")"),"N/A")</f>
        <v>N/A</v>
      </c>
      <c r="CC803" s="649"/>
    </row>
    <row r="804" s="46" customFormat="true" ht="15" hidden="true" customHeight="true" outlineLevel="1" collapsed="false">
      <c r="A804" s="650" t="s">
        <v>706</v>
      </c>
      <c r="B804" s="646"/>
      <c r="C804" s="646" t="str">
        <f aca="false">IFERROR(_xll.tr(MO.Ticker.Thomson,"AVG(TR.Priceclose)","sdate:#1 edate:#2",,INDEX(MO_SNA_FPStartDate,0,COLUMN()),INDEX(MO_Common_QEndDate,0,COLUMN())),"N/A")</f>
        <v>N/A</v>
      </c>
      <c r="D804" s="646" t="str">
        <f aca="false">IFERROR(_xll.tr(MO.Ticker.Thomson,"AVG(TR.Priceclose)","sdate:#1 edate:#2",,INDEX(MO_SNA_FPStartDate,0,COLUMN()),INDEX(MO_Common_QEndDate,0,COLUMN())),"N/A")</f>
        <v>N/A</v>
      </c>
      <c r="E804" s="646" t="str">
        <f aca="false">IFERROR(_xll.tr(MO.Ticker.Thomson,"AVG(TR.Priceclose)","sdate:#1 edate:#2",,INDEX(MO_SNA_FPStartDate,0,COLUMN()),INDEX(MO_Common_QEndDate,0,COLUMN())),"N/A")</f>
        <v>N/A</v>
      </c>
      <c r="F804" s="646" t="str">
        <f aca="false">IFERROR(_xll.tr(MO.Ticker.Thomson,"AVG(TR.Priceclose)","sdate:#1 edate:#2",,INDEX(MO_SNA_FPStartDate,0,COLUMN()),INDEX(MO_Common_QEndDate,0,COLUMN())),"N/A")</f>
        <v>N/A</v>
      </c>
      <c r="G804" s="646" t="str">
        <f aca="false">IFERROR(_xll.tr(MO.Ticker.Thomson,"AVG(TR.Priceclose)","sdate:#1 edate:#2",,INDEX(MO_SNA_FPStartDate,0,COLUMN()),INDEX(MO_Common_QEndDate,0,COLUMN())),"N/A")</f>
        <v>N/A</v>
      </c>
      <c r="H804" s="646" t="str">
        <f aca="false">IFERROR(_xll.tr(MO.Ticker.Thomson,"AVG(TR.Priceclose)","sdate:#1 edate:#2",,INDEX(MO_SNA_FPStartDate,0,COLUMN()),INDEX(MO_Common_QEndDate,0,COLUMN())),"N/A")</f>
        <v>N/A</v>
      </c>
      <c r="I804" s="646" t="str">
        <f aca="false">IFERROR(_xll.tr(MO.Ticker.Thomson,"AVG(TR.Priceclose)","sdate:#1 edate:#2",,INDEX(MO_SNA_FPStartDate,0,COLUMN()),INDEX(MO_Common_QEndDate,0,COLUMN())),"N/A")</f>
        <v>N/A</v>
      </c>
      <c r="J804" s="646" t="str">
        <f aca="false">IFERROR(_xll.tr(MO.Ticker.Thomson,"AVG(TR.Priceclose)","sdate:#1 edate:#2",,INDEX(MO_SNA_FPStartDate,0,COLUMN()),INDEX(MO_Common_QEndDate,0,COLUMN())),"N/A")</f>
        <v>N/A</v>
      </c>
      <c r="K804" s="646" t="str">
        <f aca="false">IFERROR(_xll.tr(MO.Ticker.Thomson,"AVG(TR.Priceclose)","sdate:#1 edate:#2",,INDEX(MO_SNA_FPStartDate,0,COLUMN()),INDEX(MO_Common_QEndDate,0,COLUMN())),"N/A")</f>
        <v>N/A</v>
      </c>
      <c r="L804" s="646" t="str">
        <f aca="false">IFERROR(_xll.tr(MO.Ticker.Thomson,"AVG(TR.Priceclose)","sdate:#1 edate:#2",,INDEX(MO_SNA_FPStartDate,0,COLUMN()),INDEX(MO_Common_QEndDate,0,COLUMN())),"N/A")</f>
        <v>N/A</v>
      </c>
      <c r="M804" s="646" t="str">
        <f aca="false">IFERROR(_xll.tr(MO.Ticker.Thomson,"AVG(TR.Priceclose)","sdate:#1 edate:#2",,INDEX(MO_SNA_FPStartDate,0,COLUMN()),INDEX(MO_Common_QEndDate,0,COLUMN())),"N/A")</f>
        <v>N/A</v>
      </c>
      <c r="N804" s="646" t="str">
        <f aca="false">IFERROR(_xll.tr(MO.Ticker.Thomson,"AVG(TR.Priceclose)","sdate:#1 edate:#2",,INDEX(MO_SNA_FPStartDate,0,COLUMN()),INDEX(MO_Common_QEndDate,0,COLUMN())),"N/A")</f>
        <v>N/A</v>
      </c>
      <c r="O804" s="646" t="str">
        <f aca="false">IFERROR(_xll.tr(MO.Ticker.Thomson,"AVG(TR.Priceclose)","sdate:#1 edate:#2",,INDEX(MO_SNA_FPStartDate,0,COLUMN()),INDEX(MO_Common_QEndDate,0,COLUMN())),"N/A")</f>
        <v>N/A</v>
      </c>
      <c r="P804" s="646" t="str">
        <f aca="false">IFERROR(_xll.tr(MO.Ticker.Thomson,"AVG(TR.Priceclose)","sdate:#1 edate:#2",,INDEX(MO_SNA_FPStartDate,0,COLUMN()),INDEX(MO_Common_QEndDate,0,COLUMN())),"N/A")</f>
        <v>N/A</v>
      </c>
      <c r="Q804" s="646" t="str">
        <f aca="false">IFERROR(_xll.tr(MO.Ticker.Thomson,"AVG(TR.Priceclose)","sdate:#1 edate:#2",,INDEX(MO_SNA_FPStartDate,0,COLUMN()),INDEX(MO_Common_QEndDate,0,COLUMN())),"N/A")</f>
        <v>N/A</v>
      </c>
      <c r="R804" s="646" t="str">
        <f aca="false">IFERROR(_xll.tr(MO.Ticker.Thomson,"AVG(TR.Priceclose)","sdate:#1 edate:#2",,INDEX(MO_SNA_FPStartDate,0,COLUMN()),INDEX(MO_Common_QEndDate,0,COLUMN())),"N/A")</f>
        <v>N/A</v>
      </c>
      <c r="S804" s="646" t="str">
        <f aca="false">IFERROR(_xll.tr(MO.Ticker.Thomson,"AVG(TR.Priceclose)","sdate:#1 edate:#2",,INDEX(MO_SNA_FPStartDate,0,COLUMN()),INDEX(MO_Common_QEndDate,0,COLUMN())),"N/A")</f>
        <v>N/A</v>
      </c>
      <c r="T804" s="646" t="str">
        <f aca="false">IFERROR(_xll.tr(MO.Ticker.Thomson,"AVG(TR.Priceclose)","sdate:#1 edate:#2",,INDEX(MO_SNA_FPStartDate,0,COLUMN()),INDEX(MO_Common_QEndDate,0,COLUMN())),"N/A")</f>
        <v>N/A</v>
      </c>
      <c r="U804" s="646" t="str">
        <f aca="false">IFERROR(_xll.tr(MO.Ticker.Thomson,"AVG(TR.Priceclose)","sdate:#1 edate:#2",,INDEX(MO_SNA_FPStartDate,0,COLUMN()),INDEX(MO_Common_QEndDate,0,COLUMN())),"N/A")</f>
        <v>N/A</v>
      </c>
      <c r="V804" s="646" t="str">
        <f aca="false">IFERROR(_xll.tr(MO.Ticker.Thomson,"AVG(TR.Priceclose)","sdate:#1 edate:#2",,INDEX(MO_SNA_FPStartDate,0,COLUMN()),INDEX(MO_Common_QEndDate,0,COLUMN())),"N/A")</f>
        <v>N/A</v>
      </c>
      <c r="W804" s="646" t="str">
        <f aca="false">IFERROR(_xll.tr(MO.Ticker.Thomson,"AVG(TR.Priceclose)","sdate:#1 edate:#2",,INDEX(MO_SNA_FPStartDate,0,COLUMN()),INDEX(MO_Common_QEndDate,0,COLUMN())),"N/A")</f>
        <v>N/A</v>
      </c>
      <c r="X804" s="646" t="str">
        <f aca="false">IFERROR(_xll.tr(MO.Ticker.Thomson,"AVG(TR.Priceclose)","sdate:#1 edate:#2",,INDEX(MO_SNA_FPStartDate,0,COLUMN()),INDEX(MO_Common_QEndDate,0,COLUMN())),"N/A")</f>
        <v>N/A</v>
      </c>
      <c r="Y804" s="646" t="str">
        <f aca="false">IFERROR(_xll.tr(MO.Ticker.Thomson,"AVG(TR.Priceclose)","sdate:#1 edate:#2",,INDEX(MO_SNA_FPStartDate,0,COLUMN()),INDEX(MO_Common_QEndDate,0,COLUMN())),"N/A")</f>
        <v>N/A</v>
      </c>
      <c r="Z804" s="646" t="str">
        <f aca="false">IFERROR(_xll.tr(MO.Ticker.Thomson,"AVG(TR.Priceclose)","sdate:#1 edate:#2",,INDEX(MO_SNA_FPStartDate,0,COLUMN()),INDEX(MO_Common_QEndDate,0,COLUMN())),"N/A")</f>
        <v>N/A</v>
      </c>
      <c r="AA804" s="646" t="str">
        <f aca="false">IFERROR(_xll.tr(MO.Ticker.Thomson,"AVG(TR.Priceclose)","sdate:#1 edate:#2",,INDEX(MO_SNA_FPStartDate,0,COLUMN()),INDEX(MO_Common_QEndDate,0,COLUMN())),"N/A")</f>
        <v>N/A</v>
      </c>
      <c r="AB804" s="646" t="str">
        <f aca="false">IFERROR(_xll.tr(MO.Ticker.Thomson,"AVG(TR.Priceclose)","sdate:#1 edate:#2",,INDEX(MO_SNA_FPStartDate,0,COLUMN()),INDEX(MO_Common_QEndDate,0,COLUMN())),"N/A")</f>
        <v>N/A</v>
      </c>
      <c r="AC804" s="646" t="str">
        <f aca="false">IFERROR(_xll.tr(MO.Ticker.Thomson,"AVG(TR.Priceclose)","sdate:#1 edate:#2",,INDEX(MO_SNA_FPStartDate,0,COLUMN()),INDEX(MO_Common_QEndDate,0,COLUMN())),"N/A")</f>
        <v>N/A</v>
      </c>
      <c r="AD804" s="646" t="str">
        <f aca="false">IFERROR(_xll.tr(MO.Ticker.Thomson,"AVG(TR.Priceclose)","sdate:#1 edate:#2",,INDEX(MO_SNA_FPStartDate,0,COLUMN()),INDEX(MO_Common_QEndDate,0,COLUMN())),"N/A")</f>
        <v>N/A</v>
      </c>
      <c r="AE804" s="646" t="str">
        <f aca="false">IFERROR(_xll.tr(MO.Ticker.Thomson,"AVG(TR.Priceclose)","sdate:#1 edate:#2",,INDEX(MO_SNA_FPStartDate,0,COLUMN()),INDEX(MO_Common_QEndDate,0,COLUMN())),"N/A")</f>
        <v>N/A</v>
      </c>
      <c r="AF804" s="646" t="str">
        <f aca="false">IFERROR(_xll.tr(MO.Ticker.Thomson,"AVG(TR.Priceclose)","sdate:#1 edate:#2",,INDEX(MO_SNA_FPStartDate,0,COLUMN()),INDEX(MO_Common_QEndDate,0,COLUMN())),"N/A")</f>
        <v>N/A</v>
      </c>
      <c r="AG804" s="646" t="str">
        <f aca="false">IFERROR(_xll.tr(MO.Ticker.Thomson,"AVG(TR.Priceclose)","sdate:#1 edate:#2",,INDEX(MO_SNA_FPStartDate,0,COLUMN()),INDEX(MO_Common_QEndDate,0,COLUMN())),"N/A")</f>
        <v>N/A</v>
      </c>
      <c r="AH804" s="646" t="str">
        <f aca="false">IFERROR(_xll.tr(MO.Ticker.Thomson,"AVG(TR.Priceclose)","sdate:#1 edate:#2",,INDEX(MO_SNA_FPStartDate,0,COLUMN()),INDEX(MO_Common_QEndDate,0,COLUMN())),"N/A")</f>
        <v>N/A</v>
      </c>
      <c r="AI804" s="646" t="str">
        <f aca="false">IFERROR(_xll.tr(MO.Ticker.Thomson,"AVG(TR.Priceclose)","sdate:#1 edate:#2",,INDEX(MO_SNA_FPStartDate,0,COLUMN()),INDEX(MO_Common_QEndDate,0,COLUMN())),"N/A")</f>
        <v>N/A</v>
      </c>
      <c r="AJ804" s="646" t="str">
        <f aca="false">IFERROR(_xll.tr(MO.Ticker.Thomson,"AVG(TR.Priceclose)","sdate:#1 edate:#2",,INDEX(MO_SNA_FPStartDate,0,COLUMN()),INDEX(MO_Common_QEndDate,0,COLUMN())),"N/A")</f>
        <v>N/A</v>
      </c>
      <c r="AK804" s="646" t="str">
        <f aca="false">IFERROR(_xll.tr(MO.Ticker.Thomson,"AVG(TR.Priceclose)","sdate:#1 edate:#2",,INDEX(MO_SNA_FPStartDate,0,COLUMN()),INDEX(MO_Common_QEndDate,0,COLUMN())),"N/A")</f>
        <v>N/A</v>
      </c>
      <c r="AL804" s="646" t="str">
        <f aca="false">IFERROR(_xll.tr(MO.Ticker.Thomson,"AVG(TR.Priceclose)","sdate:#1 edate:#2",,INDEX(MO_SNA_FPStartDate,0,COLUMN()),INDEX(MO_Common_QEndDate,0,COLUMN())),"N/A")</f>
        <v>N/A</v>
      </c>
      <c r="AM804" s="646" t="str">
        <f aca="false">IFERROR(_xll.tr(MO.Ticker.Thomson,"AVG(TR.Priceclose)","sdate:#1 edate:#2",,INDEX(MO_SNA_FPStartDate,0,COLUMN()),INDEX(MO_Common_QEndDate,0,COLUMN())),"N/A")</f>
        <v>N/A</v>
      </c>
      <c r="AN804" s="646" t="str">
        <f aca="false">IFERROR(_xll.tr(MO.Ticker.Thomson,"AVG(TR.Priceclose)","sdate:#1 edate:#2",,INDEX(MO_SNA_FPStartDate,0,COLUMN()),INDEX(MO_Common_QEndDate,0,COLUMN())),"N/A")</f>
        <v>N/A</v>
      </c>
      <c r="AO804" s="646" t="str">
        <f aca="false">IFERROR(_xll.tr(MO.Ticker.Thomson,"AVG(TR.Priceclose)","sdate:#1 edate:#2",,INDEX(MO_SNA_FPStartDate,0,COLUMN()),INDEX(MO_Common_QEndDate,0,COLUMN())),"N/A")</f>
        <v>N/A</v>
      </c>
      <c r="AP804" s="646" t="str">
        <f aca="false">IFERROR(_xll.tr(MO.Ticker.Thomson,"AVG(TR.Priceclose)","sdate:#1 edate:#2",,INDEX(MO_SNA_FPStartDate,0,COLUMN()),INDEX(MO_Common_QEndDate,0,COLUMN())),"N/A")</f>
        <v>N/A</v>
      </c>
      <c r="AQ804" s="646" t="str">
        <f aca="false">IFERROR(_xll.tr(MO.Ticker.Thomson,"AVG(TR.Priceclose)","sdate:#1 edate:#2",,INDEX(MO_SNA_FPStartDate,0,COLUMN()),INDEX(MO_Common_QEndDate,0,COLUMN())),"N/A")</f>
        <v>N/A</v>
      </c>
      <c r="AR804" s="646" t="str">
        <f aca="false">IFERROR(_xll.tr(MO.Ticker.Thomson,"AVG(TR.Priceclose)","sdate:#1 edate:#2",,INDEX(MO_SNA_FPStartDate,0,COLUMN()),INDEX(MO_Common_QEndDate,0,COLUMN())),"N/A")</f>
        <v>N/A</v>
      </c>
      <c r="AS804" s="646" t="str">
        <f aca="false">IFERROR(_xll.tr(MO.Ticker.Thomson,"AVG(TR.Priceclose)","sdate:#1 edate:#2",,INDEX(MO_SNA_FPStartDate,0,COLUMN()),INDEX(MO_Common_QEndDate,0,COLUMN())),"N/A")</f>
        <v>N/A</v>
      </c>
      <c r="AT804" s="646" t="str">
        <f aca="false">IFERROR(_xll.tr(MO.Ticker.Thomson,"AVG(TR.Priceclose)","sdate:#1 edate:#2",,INDEX(MO_SNA_FPStartDate,0,COLUMN()),INDEX(MO_Common_QEndDate,0,COLUMN())),"N/A")</f>
        <v>N/A</v>
      </c>
      <c r="AU804" s="646" t="str">
        <f aca="false">IFERROR(_xll.tr(MO.Ticker.Thomson,"AVG(TR.Priceclose)","sdate:#1 edate:#2",,INDEX(MO_SNA_FPStartDate,0,COLUMN()),INDEX(MO_Common_QEndDate,0,COLUMN())),"N/A")</f>
        <v>N/A</v>
      </c>
      <c r="AV804" s="646" t="str">
        <f aca="false">IFERROR(_xll.tr(MO.Ticker.Thomson,"AVG(TR.Priceclose)","sdate:#1 edate:#2",,INDEX(MO_SNA_FPStartDate,0,COLUMN()),INDEX(MO_Common_QEndDate,0,COLUMN())),"N/A")</f>
        <v>N/A</v>
      </c>
      <c r="AW804" s="646" t="str">
        <f aca="false">IFERROR(_xll.tr(MO.Ticker.Thomson,"AVG(TR.Priceclose)","sdate:#1 edate:#2",,INDEX(MO_SNA_FPStartDate,0,COLUMN()),INDEX(MO_Common_QEndDate,0,COLUMN())),"N/A")</f>
        <v>N/A</v>
      </c>
      <c r="AX804" s="646" t="str">
        <f aca="false">IFERROR(_xll.tr(MO.Ticker.Thomson,"AVG(TR.Priceclose)","sdate:#1 edate:#2",,INDEX(MO_SNA_FPStartDate,0,COLUMN()),INDEX(MO_Common_QEndDate,0,COLUMN())),"N/A")</f>
        <v>N/A</v>
      </c>
      <c r="AY804" s="646" t="str">
        <f aca="false">IFERROR(_xll.tr(MO.Ticker.Thomson,"AVG(TR.Priceclose)","sdate:#1 edate:#2",,INDEX(MO_SNA_FPStartDate,0,COLUMN()),INDEX(MO_Common_QEndDate,0,COLUMN())),"N/A")</f>
        <v>N/A</v>
      </c>
      <c r="AZ804" s="646" t="str">
        <f aca="false">IFERROR(_xll.tr(MO.Ticker.Thomson,"AVG(TR.Priceclose)","sdate:#1 edate:#2",,INDEX(MO_SNA_FPStartDate,0,COLUMN()),INDEX(MO_Common_QEndDate,0,COLUMN())),"N/A")</f>
        <v>N/A</v>
      </c>
      <c r="BA804" s="646" t="str">
        <f aca="false">IFERROR(_xll.tr(MO.Ticker.Thomson,"AVG(TR.Priceclose)","sdate:#1 edate:#2",,INDEX(MO_SNA_FPStartDate,0,COLUMN()),INDEX(MO_Common_QEndDate,0,COLUMN())),"N/A")</f>
        <v>N/A</v>
      </c>
      <c r="BB804" s="646" t="str">
        <f aca="false">IFERROR(_xll.tr(MO.Ticker.Thomson,"AVG(TR.Priceclose)","sdate:#1 edate:#2",,INDEX(MO_SNA_FPStartDate,0,COLUMN()),INDEX(MO_Common_QEndDate,0,COLUMN())),"N/A")</f>
        <v>N/A</v>
      </c>
      <c r="BC804" s="646" t="str">
        <f aca="false">IFERROR(_xll.tr(MO.Ticker.Thomson,"AVG(TR.Priceclose)","sdate:#1 edate:#2",,INDEX(MO_SNA_FPStartDate,0,COLUMN()),INDEX(MO_Common_QEndDate,0,COLUMN())),"N/A")</f>
        <v>N/A</v>
      </c>
      <c r="BD804" s="646" t="str">
        <f aca="false">IFERROR(_xll.tr(MO.Ticker.Thomson,"AVG(TR.Priceclose)","sdate:#1 edate:#2",,INDEX(MO_SNA_FPStartDate,0,COLUMN()),INDEX(MO_Common_QEndDate,0,COLUMN())),"N/A")</f>
        <v>N/A</v>
      </c>
      <c r="BE804" s="646" t="str">
        <f aca="false">IFERROR(_xll.tr(MO.Ticker.Thomson,"AVG(TR.Priceclose)","sdate:#1 edate:#2",,INDEX(MO_SNA_FPStartDate,0,COLUMN()),INDEX(MO_Common_QEndDate,0,COLUMN())),"N/A")</f>
        <v>N/A</v>
      </c>
      <c r="BF804" s="646" t="str">
        <f aca="false">IFERROR(_xll.tr(MO.Ticker.Thomson,"AVG(TR.Priceclose)","sdate:#1 edate:#2",,INDEX(MO_SNA_FPStartDate,0,COLUMN()),INDEX(MO_Common_QEndDate,0,COLUMN())),"N/A")</f>
        <v>N/A</v>
      </c>
      <c r="BG804" s="646" t="str">
        <f aca="false">IFERROR(_xll.tr(MO.Ticker.Thomson,"AVG(TR.Priceclose)","sdate:#1 edate:#2",,INDEX(MO_SNA_FPStartDate,0,COLUMN()),INDEX(MO_Common_QEndDate,0,COLUMN())),"N/A")</f>
        <v>N/A</v>
      </c>
      <c r="BH804" s="646" t="str">
        <f aca="false">IFERROR(_xll.tr(MO.Ticker.Thomson,"AVG(TR.Priceclose)","sdate:#1 edate:#2",,INDEX(MO_SNA_FPStartDate,0,COLUMN()),INDEX(MO_Common_QEndDate,0,COLUMN())),"N/A")</f>
        <v>N/A</v>
      </c>
      <c r="BI804" s="646" t="str">
        <f aca="false">IFERROR(_xll.tr(MO.Ticker.Thomson,"AVG(TR.Priceclose)","sdate:#1 edate:#2",,INDEX(MO_SNA_FPStartDate,0,COLUMN()),INDEX(MO_Common_QEndDate,0,COLUMN())),"N/A")</f>
        <v>N/A</v>
      </c>
      <c r="BJ804" s="646" t="str">
        <f aca="false">IFERROR(_xll.tr(MO.Ticker.Thomson,"AVG(TR.Priceclose)","sdate:#1 edate:#2",,INDEX(MO_SNA_FPStartDate,0,COLUMN()),INDEX(MO_Common_QEndDate,0,COLUMN())),"N/A")</f>
        <v>N/A</v>
      </c>
      <c r="BK804" s="646" t="str">
        <f aca="false">IFERROR(_xll.tr(MO.Ticker.Thomson,"AVG(TR.Priceclose)","sdate:#1 edate:#2",,INDEX(MO_SNA_FPStartDate,0,COLUMN()),INDEX(MO_Common_QEndDate,0,COLUMN())),"N/A")</f>
        <v>N/A</v>
      </c>
      <c r="BL804" s="646" t="str">
        <f aca="false">IFERROR(_xll.tr(MO.Ticker.Thomson,"AVG(TR.Priceclose)","sdate:#1 edate:#2",,INDEX(MO_SNA_FPStartDate,0,COLUMN()),INDEX(MO_Common_QEndDate,0,COLUMN())),"N/A")</f>
        <v>N/A</v>
      </c>
      <c r="BM804" s="646" t="str">
        <f aca="false">IFERROR(_xll.tr(MO.Ticker.Thomson,"AVG(TR.Priceclose)","sdate:#1 edate:#2",,INDEX(MO_SNA_FPStartDate,0,COLUMN()),INDEX(MO_Common_QEndDate,0,COLUMN())),"N/A")</f>
        <v>N/A</v>
      </c>
      <c r="BN804" s="646" t="str">
        <f aca="false">IFERROR(_xll.tr(MO.Ticker.Thomson,"AVG(TR.Priceclose)","sdate:#1 edate:#2",,INDEX(MO_SNA_FPStartDate,0,COLUMN()),INDEX(MO_Common_QEndDate,0,COLUMN())),"N/A")</f>
        <v>N/A</v>
      </c>
      <c r="BO804" s="647" t="str">
        <f aca="false">IFERROR(_xll.tr(MO.Ticker.Thomson,"AVG(TR.Priceclose)","sdate:#1 edate:#2",,INDEX(MO_SNA_FPStartDate,0,COLUMN()),INDEX(MO_Common_QEndDate,0,COLUMN())),"N/A")</f>
        <v>N/A</v>
      </c>
      <c r="BP804" s="646" t="str">
        <f aca="false">IFERROR(_xll.tr(MO.Ticker.Thomson,"AVG(TR.Priceclose)","sdate:#1 edate:#2",,INDEX(MO_SNA_FPStartDate,0,COLUMN()),INDEX(MO_Common_QEndDate,0,COLUMN())),"N/A")</f>
        <v>N/A</v>
      </c>
      <c r="BQ804" s="646" t="str">
        <f aca="false">IFERROR(_xll.tr(MO.Ticker.Thomson,"AVG(TR.Priceclose)","sdate:#1 edate:#2",,INDEX(MO_SNA_FPStartDate,0,COLUMN()),INDEX(MO_Common_QEndDate,0,COLUMN())),"N/A")</f>
        <v>N/A</v>
      </c>
      <c r="BR804" s="646" t="str">
        <f aca="false">IFERROR(_xll.tr(MO.Ticker.Thomson,"AVG(TR.Priceclose)","sdate:#1 edate:#2",,INDEX(MO_SNA_FPStartDate,0,COLUMN()),INDEX(MO_Common_QEndDate,0,COLUMN())),"N/A")</f>
        <v>N/A</v>
      </c>
      <c r="BS804" s="646" t="str">
        <f aca="false">IFERROR(_xll.tr(MO.Ticker.Thomson,"AVG(TR.Priceclose)","sdate:#1 edate:#2",,INDEX(MO_SNA_FPStartDate,0,COLUMN()),INDEX(MO_Common_QEndDate,0,COLUMN())),"N/A")</f>
        <v>N/A</v>
      </c>
      <c r="BT804" s="646" t="str">
        <f aca="false">IFERROR(_xll.tr(MO.Ticker.Thomson,"AVG(TR.Priceclose)","sdate:#1 edate:#2",,INDEX(MO_SNA_FPStartDate,0,COLUMN()),INDEX(MO_Common_QEndDate,0,COLUMN())),"N/A")</f>
        <v>N/A</v>
      </c>
      <c r="BU804" s="646" t="str">
        <f aca="false">IFERROR(_xll.tr(MO.Ticker.Thomson,"AVG(TR.Priceclose)","sdate:#1 edate:#2",,INDEX(MO_SNA_FPStartDate,0,COLUMN()),INDEX(MO_Common_QEndDate,0,COLUMN())),"N/A")</f>
        <v>N/A</v>
      </c>
      <c r="BV804" s="646" t="str">
        <f aca="false">IFERROR(_xll.tr(MO.Ticker.Thomson,"AVG(TR.Priceclose)","sdate:#1 edate:#2",,INDEX(MO_SNA_FPStartDate,0,COLUMN()),INDEX(MO_Common_QEndDate,0,COLUMN())),"N/A")</f>
        <v>N/A</v>
      </c>
      <c r="BW804" s="646" t="str">
        <f aca="false">IFERROR(_xll.tr(MO.Ticker.Thomson,"AVG(TR.Priceclose)","sdate:#1 edate:#2",,INDEX(MO_SNA_FPStartDate,0,COLUMN()),INDEX(MO_Common_QEndDate,0,COLUMN())),"N/A")</f>
        <v>N/A</v>
      </c>
      <c r="BX804" s="646" t="str">
        <f aca="false">IFERROR(_xll.tr(MO.Ticker.Thomson,"AVG(TR.Priceclose)","sdate:#1 edate:#2",,INDEX(MO_SNA_FPStartDate,0,COLUMN()),INDEX(MO_Common_QEndDate,0,COLUMN())),"N/A")</f>
        <v>N/A</v>
      </c>
      <c r="BY804" s="646" t="str">
        <f aca="false">IFERROR(_xll.tr(MO.Ticker.Thomson,"AVG(TR.Priceclose)","sdate:#1 edate:#2",,INDEX(MO_SNA_FPStartDate,0,COLUMN()),INDEX(MO_Common_QEndDate,0,COLUMN())),"N/A")</f>
        <v>N/A</v>
      </c>
      <c r="BZ804" s="646" t="str">
        <f aca="false">IFERROR(_xll.tr(MO.Ticker.Thomson,"AVG(TR.Priceclose)","sdate:#1 edate:#2",,INDEX(MO_SNA_FPStartDate,0,COLUMN()),INDEX(MO_Common_QEndDate,0,COLUMN())),"N/A")</f>
        <v>N/A</v>
      </c>
      <c r="CA804" s="646" t="str">
        <f aca="false">IFERROR(_xll.tr(MO.Ticker.Thomson,"AVG(TR.Priceclose)","sdate:#1 edate:#2",,INDEX(MO_SNA_FPStartDate,0,COLUMN()),INDEX(MO_Common_QEndDate,0,COLUMN())),"N/A")</f>
        <v>N/A</v>
      </c>
      <c r="CB804" s="648" t="str">
        <f aca="false">IFERROR(_xll.tr(MO.Ticker.Thomson,"AVG(TR.Priceclose)","sdate:#1 edate:#2",,INDEX(MO_SNA_FPStartDate,0,COLUMN()),INDEX(MO_Common_QEndDate,0,COLUMN())),"N/A")</f>
        <v>N/A</v>
      </c>
      <c r="CC804" s="649"/>
    </row>
    <row r="805" s="51" customFormat="true" ht="15" hidden="true" customHeight="true" outlineLevel="1" collapsed="false">
      <c r="A805" s="596"/>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9"/>
      <c r="BP805" s="48"/>
      <c r="BQ805" s="48"/>
      <c r="BR805" s="48"/>
      <c r="BS805" s="48"/>
      <c r="BT805" s="48"/>
      <c r="BU805" s="48"/>
      <c r="BV805" s="48"/>
      <c r="BW805" s="48"/>
      <c r="BX805" s="48"/>
      <c r="BY805" s="48"/>
      <c r="BZ805" s="48"/>
      <c r="CA805" s="48"/>
      <c r="CB805" s="627"/>
      <c r="CC805" s="621"/>
    </row>
    <row r="806" s="543" customFormat="true" ht="15" hidden="false" customHeight="true" outlineLevel="0" collapsed="false">
      <c r="A806" s="653" t="str">
        <f aca="false">"FX Average: "&amp;IF(OR(MO.RealTimeStockPriceToggle=FALSE(),VLOOKUP(MO.DataSourceName,MO_SPT_FXAverage_Sources,COLUMN()+2,FALSE())="N/A"),"Real-Time Off Source",MO.DataSourceName)</f>
        <v>FX Average: Real-Time Off Source</v>
      </c>
      <c r="B806" s="654"/>
      <c r="C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E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F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G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H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I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J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K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L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M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N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O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P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Q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R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S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T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U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V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W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X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Y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Z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A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B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C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D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E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F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G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H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I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K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L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M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N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O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P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Q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R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S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T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U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V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W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X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Y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Z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A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B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C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D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E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F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G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H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I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J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K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L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M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N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O806" s="65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Q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R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S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T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V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W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X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Y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A806" s="654"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B806" s="65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C806" s="657"/>
    </row>
    <row r="807" s="543" customFormat="true" ht="15" hidden="true" customHeight="true" outlineLevel="1" collapsed="false">
      <c r="A807" s="658" t="s">
        <v>703</v>
      </c>
      <c r="B807" s="654"/>
      <c r="C807" s="659" t="n">
        <v>1</v>
      </c>
      <c r="D807" s="659" t="n">
        <v>1</v>
      </c>
      <c r="E807" s="659" t="n">
        <v>1</v>
      </c>
      <c r="F807" s="659" t="n">
        <v>1</v>
      </c>
      <c r="G807" s="659" t="n">
        <v>1</v>
      </c>
      <c r="H807" s="659" t="n">
        <v>1</v>
      </c>
      <c r="I807" s="659" t="n">
        <v>1</v>
      </c>
      <c r="J807" s="659" t="n">
        <v>1</v>
      </c>
      <c r="K807" s="659" t="n">
        <v>1</v>
      </c>
      <c r="L807" s="659" t="n">
        <v>1</v>
      </c>
      <c r="M807" s="659" t="n">
        <v>1</v>
      </c>
      <c r="N807" s="659" t="n">
        <v>1</v>
      </c>
      <c r="O807" s="659" t="n">
        <v>1</v>
      </c>
      <c r="P807" s="659" t="n">
        <v>1</v>
      </c>
      <c r="Q807" s="659" t="n">
        <v>1</v>
      </c>
      <c r="R807" s="659" t="n">
        <v>1</v>
      </c>
      <c r="S807" s="659" t="n">
        <v>1</v>
      </c>
      <c r="T807" s="659" t="n">
        <v>1</v>
      </c>
      <c r="U807" s="659" t="n">
        <v>1</v>
      </c>
      <c r="V807" s="659" t="n">
        <v>1</v>
      </c>
      <c r="W807" s="659" t="n">
        <v>1</v>
      </c>
      <c r="X807" s="659" t="n">
        <v>1</v>
      </c>
      <c r="Y807" s="659" t="n">
        <v>1</v>
      </c>
      <c r="Z807" s="659" t="n">
        <v>1</v>
      </c>
      <c r="AA807" s="659" t="n">
        <v>1</v>
      </c>
      <c r="AB807" s="659" t="n">
        <v>1</v>
      </c>
      <c r="AC807" s="659" t="n">
        <v>1</v>
      </c>
      <c r="AD807" s="659" t="n">
        <v>1</v>
      </c>
      <c r="AE807" s="659" t="n">
        <v>1</v>
      </c>
      <c r="AF807" s="659" t="n">
        <v>1</v>
      </c>
      <c r="AG807" s="659" t="n">
        <v>1</v>
      </c>
      <c r="AH807" s="659" t="n">
        <v>1</v>
      </c>
      <c r="AI807" s="659" t="n">
        <v>1</v>
      </c>
      <c r="AJ807" s="659" t="n">
        <v>1</v>
      </c>
      <c r="AK807" s="659" t="n">
        <v>1</v>
      </c>
      <c r="AL807" s="659" t="n">
        <v>1</v>
      </c>
      <c r="AM807" s="659" t="n">
        <v>1</v>
      </c>
      <c r="AN807" s="659" t="n">
        <v>1</v>
      </c>
      <c r="AO807" s="659" t="n">
        <v>1</v>
      </c>
      <c r="AP807" s="659" t="n">
        <v>1</v>
      </c>
      <c r="AQ807" s="659" t="n">
        <v>1</v>
      </c>
      <c r="AR807" s="659" t="n">
        <v>1</v>
      </c>
      <c r="AS807" s="659" t="n">
        <v>1</v>
      </c>
      <c r="AT807" s="659" t="n">
        <v>1</v>
      </c>
      <c r="AU807" s="659" t="n">
        <v>1</v>
      </c>
      <c r="AV807" s="659" t="n">
        <v>1</v>
      </c>
      <c r="AW807" s="659" t="n">
        <v>1</v>
      </c>
      <c r="AX807" s="659" t="n">
        <v>1</v>
      </c>
      <c r="AY807" s="659" t="n">
        <v>1</v>
      </c>
      <c r="AZ807" s="659" t="n">
        <v>1</v>
      </c>
      <c r="BA807" s="659" t="n">
        <v>1</v>
      </c>
      <c r="BB807" s="659" t="n">
        <v>1</v>
      </c>
      <c r="BC807" s="659" t="n">
        <v>1</v>
      </c>
      <c r="BD807" s="659" t="n">
        <v>1</v>
      </c>
      <c r="BE807" s="659" t="n">
        <v>1</v>
      </c>
      <c r="BF807" s="659" t="n">
        <v>1</v>
      </c>
      <c r="BG807" s="659" t="n">
        <v>1</v>
      </c>
      <c r="BH807" s="659" t="n">
        <v>1</v>
      </c>
      <c r="BI807" s="659" t="n">
        <v>1</v>
      </c>
      <c r="BJ807" s="659" t="n">
        <v>1</v>
      </c>
      <c r="BK807" s="659" t="n">
        <v>1</v>
      </c>
      <c r="BL807" s="659" t="n">
        <v>1</v>
      </c>
      <c r="BM807" s="659" t="n">
        <v>1</v>
      </c>
      <c r="BN807" s="659" t="n">
        <v>1</v>
      </c>
      <c r="BO807" s="660" t="n">
        <v>1</v>
      </c>
      <c r="BP807" s="654" t="n">
        <f aca="false">MO.MRFX.Hardcoded</f>
        <v>1</v>
      </c>
      <c r="BQ807" s="654" t="n">
        <f aca="false">MO.MRFX.Hardcoded</f>
        <v>1</v>
      </c>
      <c r="BR807" s="654" t="n">
        <f aca="false">MO.MRFX.Hardcoded</f>
        <v>1</v>
      </c>
      <c r="BS807" s="654" t="n">
        <f aca="false">MO.MRFX.Hardcoded</f>
        <v>1</v>
      </c>
      <c r="BT807" s="654" t="n">
        <f aca="false">MO.MRFX.Hardcoded</f>
        <v>1</v>
      </c>
      <c r="BU807" s="654" t="n">
        <f aca="false">MO.MRFX.Hardcoded</f>
        <v>1</v>
      </c>
      <c r="BV807" s="654" t="n">
        <f aca="false">MO.MRFX.Hardcoded</f>
        <v>1</v>
      </c>
      <c r="BW807" s="654" t="n">
        <f aca="false">MO.MRFX.Hardcoded</f>
        <v>1</v>
      </c>
      <c r="BX807" s="654" t="n">
        <f aca="false">MO.MRFX.Hardcoded</f>
        <v>1</v>
      </c>
      <c r="BY807" s="654" t="n">
        <f aca="false">MO.MRFX.Hardcoded</f>
        <v>1</v>
      </c>
      <c r="BZ807" s="654" t="n">
        <f aca="false">MO.MRFX.Hardcoded</f>
        <v>1</v>
      </c>
      <c r="CA807" s="654" t="n">
        <f aca="false">MO.MRFX.Hardcoded</f>
        <v>1</v>
      </c>
      <c r="CB807" s="656" t="n">
        <f aca="false">MO.MRFX.Hardcoded</f>
        <v>1</v>
      </c>
      <c r="CC807" s="657"/>
    </row>
    <row r="808" s="543" customFormat="true" ht="15" hidden="true" customHeight="true" outlineLevel="1" collapsed="false">
      <c r="A808" s="658" t="s">
        <v>8</v>
      </c>
      <c r="B808" s="654"/>
      <c r="C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D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E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F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G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H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I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J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K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L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M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N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O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P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Q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R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S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T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U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V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W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X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Y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Z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A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B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C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D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E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F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G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H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I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J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K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L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M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N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O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P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Q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R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S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T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U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V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W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X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Y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Z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A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B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C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D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E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F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G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H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I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J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K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L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M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N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O808" s="655"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P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Q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R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S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T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U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V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W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X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Y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Z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A808" s="654"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B808" s="656" t="str">
        <f aca="false">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C808" s="657"/>
    </row>
    <row r="809" s="543" customFormat="true" ht="15" hidden="true" customHeight="true" outlineLevel="1" collapsed="false">
      <c r="A809" s="658" t="s">
        <v>704</v>
      </c>
      <c r="B809" s="654"/>
      <c r="C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D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E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F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G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H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I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J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K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L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M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N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O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P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Q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R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S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T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U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V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W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X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Y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Z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A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B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C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D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E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F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G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H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I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J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K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L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M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N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O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P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Q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R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S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T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U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V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W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X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Y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AZ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A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B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C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D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E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F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G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H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I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J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K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L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M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N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O809" s="655"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P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Q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R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S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T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U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V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W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X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Y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BZ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CA809" s="654"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CB809" s="656" t="str">
        <f aca="false">IFERROR(IF(INDEX(MO_Common_QEndDate,0,COLUMN())&gt;TODAY(),_xll.ciqfunctions.udf.ciq("$"&amp;HP.TradeCurrency&amp;MO.ReportCurrency,"IQ_LASTSALEPRICE"),_xll.ciqfunctions.udf.ciqavg("$"&amp;HP.TradeCurrency&amp;MO.ReportCurrency,"IQ_LASTSALEPRICE",INDEX(MO_SNA_FPStartDate,0,COLUMN()),INDEX(MO_Common_QEndDate,0,COLUMN()))),"N/A")</f>
        <v>N/A</v>
      </c>
      <c r="CC809" s="657"/>
    </row>
    <row r="810" s="543" customFormat="true" ht="15" hidden="true" customHeight="true" outlineLevel="1" collapsed="false">
      <c r="A810" s="658" t="s">
        <v>705</v>
      </c>
      <c r="B810" s="654"/>
      <c r="C810" s="654" t="str">
        <f aca="false">IFERROR(IF(INDEX(MO_Common_QEndDate,0,COLUMN())&gt;TODAY(),fds(MO.ReportCurrency&amp;HP.TradeCurrency,"FG_PRICE(NOW)"),fds(MO.ReportCurrency&amp;HP.TradeCurrency,"P_PRICE_AVG("&amp;INDEX(MO_SNA_FPStartDate,0,COLUMN())&amp;","&amp;INDEX(MO_Common_QEndDate,0,COLUMN())&amp;",,,,0)")),"N/A")</f>
        <v>N/A</v>
      </c>
      <c r="D810" s="654" t="str">
        <f aca="false">IFERROR(IF(INDEX(MO_Common_QEndDate,0,COLUMN())&gt;TODAY(),fds(MO.ReportCurrency&amp;HP.TradeCurrency,"FG_PRICE(NOW)"),fds(MO.ReportCurrency&amp;HP.TradeCurrency,"P_PRICE_AVG("&amp;INDEX(MO_SNA_FPStartDate,0,COLUMN())&amp;","&amp;INDEX(MO_Common_QEndDate,0,COLUMN())&amp;",,,,0)")),"N/A")</f>
        <v>N/A</v>
      </c>
      <c r="E810" s="654" t="str">
        <f aca="false">IFERROR(IF(INDEX(MO_Common_QEndDate,0,COLUMN())&gt;TODAY(),fds(MO.ReportCurrency&amp;HP.TradeCurrency,"FG_PRICE(NOW)"),fds(MO.ReportCurrency&amp;HP.TradeCurrency,"P_PRICE_AVG("&amp;INDEX(MO_SNA_FPStartDate,0,COLUMN())&amp;","&amp;INDEX(MO_Common_QEndDate,0,COLUMN())&amp;",,,,0)")),"N/A")</f>
        <v>N/A</v>
      </c>
      <c r="F810" s="654" t="str">
        <f aca="false">IFERROR(IF(INDEX(MO_Common_QEndDate,0,COLUMN())&gt;TODAY(),fds(MO.ReportCurrency&amp;HP.TradeCurrency,"FG_PRICE(NOW)"),fds(MO.ReportCurrency&amp;HP.TradeCurrency,"P_PRICE_AVG("&amp;INDEX(MO_SNA_FPStartDate,0,COLUMN())&amp;","&amp;INDEX(MO_Common_QEndDate,0,COLUMN())&amp;",,,,0)")),"N/A")</f>
        <v>N/A</v>
      </c>
      <c r="G810" s="654" t="str">
        <f aca="false">IFERROR(IF(INDEX(MO_Common_QEndDate,0,COLUMN())&gt;TODAY(),fds(MO.ReportCurrency&amp;HP.TradeCurrency,"FG_PRICE(NOW)"),fds(MO.ReportCurrency&amp;HP.TradeCurrency,"P_PRICE_AVG("&amp;INDEX(MO_SNA_FPStartDate,0,COLUMN())&amp;","&amp;INDEX(MO_Common_QEndDate,0,COLUMN())&amp;",,,,0)")),"N/A")</f>
        <v>N/A</v>
      </c>
      <c r="H810" s="654" t="str">
        <f aca="false">IFERROR(IF(INDEX(MO_Common_QEndDate,0,COLUMN())&gt;TODAY(),fds(MO.ReportCurrency&amp;HP.TradeCurrency,"FG_PRICE(NOW)"),fds(MO.ReportCurrency&amp;HP.TradeCurrency,"P_PRICE_AVG("&amp;INDEX(MO_SNA_FPStartDate,0,COLUMN())&amp;","&amp;INDEX(MO_Common_QEndDate,0,COLUMN())&amp;",,,,0)")),"N/A")</f>
        <v>N/A</v>
      </c>
      <c r="I810" s="654" t="str">
        <f aca="false">IFERROR(IF(INDEX(MO_Common_QEndDate,0,COLUMN())&gt;TODAY(),fds(MO.ReportCurrency&amp;HP.TradeCurrency,"FG_PRICE(NOW)"),fds(MO.ReportCurrency&amp;HP.TradeCurrency,"P_PRICE_AVG("&amp;INDEX(MO_SNA_FPStartDate,0,COLUMN())&amp;","&amp;INDEX(MO_Common_QEndDate,0,COLUMN())&amp;",,,,0)")),"N/A")</f>
        <v>N/A</v>
      </c>
      <c r="J810" s="654" t="str">
        <f aca="false">IFERROR(IF(INDEX(MO_Common_QEndDate,0,COLUMN())&gt;TODAY(),fds(MO.ReportCurrency&amp;HP.TradeCurrency,"FG_PRICE(NOW)"),fds(MO.ReportCurrency&amp;HP.TradeCurrency,"P_PRICE_AVG("&amp;INDEX(MO_SNA_FPStartDate,0,COLUMN())&amp;","&amp;INDEX(MO_Common_QEndDate,0,COLUMN())&amp;",,,,0)")),"N/A")</f>
        <v>N/A</v>
      </c>
      <c r="K810" s="654" t="str">
        <f aca="false">IFERROR(IF(INDEX(MO_Common_QEndDate,0,COLUMN())&gt;TODAY(),fds(MO.ReportCurrency&amp;HP.TradeCurrency,"FG_PRICE(NOW)"),fds(MO.ReportCurrency&amp;HP.TradeCurrency,"P_PRICE_AVG("&amp;INDEX(MO_SNA_FPStartDate,0,COLUMN())&amp;","&amp;INDEX(MO_Common_QEndDate,0,COLUMN())&amp;",,,,0)")),"N/A")</f>
        <v>N/A</v>
      </c>
      <c r="L810" s="654" t="str">
        <f aca="false">IFERROR(IF(INDEX(MO_Common_QEndDate,0,COLUMN())&gt;TODAY(),fds(MO.ReportCurrency&amp;HP.TradeCurrency,"FG_PRICE(NOW)"),fds(MO.ReportCurrency&amp;HP.TradeCurrency,"P_PRICE_AVG("&amp;INDEX(MO_SNA_FPStartDate,0,COLUMN())&amp;","&amp;INDEX(MO_Common_QEndDate,0,COLUMN())&amp;",,,,0)")),"N/A")</f>
        <v>N/A</v>
      </c>
      <c r="M810" s="654" t="str">
        <f aca="false">IFERROR(IF(INDEX(MO_Common_QEndDate,0,COLUMN())&gt;TODAY(),fds(MO.ReportCurrency&amp;HP.TradeCurrency,"FG_PRICE(NOW)"),fds(MO.ReportCurrency&amp;HP.TradeCurrency,"P_PRICE_AVG("&amp;INDEX(MO_SNA_FPStartDate,0,COLUMN())&amp;","&amp;INDEX(MO_Common_QEndDate,0,COLUMN())&amp;",,,,0)")),"N/A")</f>
        <v>N/A</v>
      </c>
      <c r="N810" s="654" t="str">
        <f aca="false">IFERROR(IF(INDEX(MO_Common_QEndDate,0,COLUMN())&gt;TODAY(),fds(MO.ReportCurrency&amp;HP.TradeCurrency,"FG_PRICE(NOW)"),fds(MO.ReportCurrency&amp;HP.TradeCurrency,"P_PRICE_AVG("&amp;INDEX(MO_SNA_FPStartDate,0,COLUMN())&amp;","&amp;INDEX(MO_Common_QEndDate,0,COLUMN())&amp;",,,,0)")),"N/A")</f>
        <v>N/A</v>
      </c>
      <c r="O810" s="654" t="str">
        <f aca="false">IFERROR(IF(INDEX(MO_Common_QEndDate,0,COLUMN())&gt;TODAY(),fds(MO.ReportCurrency&amp;HP.TradeCurrency,"FG_PRICE(NOW)"),fds(MO.ReportCurrency&amp;HP.TradeCurrency,"P_PRICE_AVG("&amp;INDEX(MO_SNA_FPStartDate,0,COLUMN())&amp;","&amp;INDEX(MO_Common_QEndDate,0,COLUMN())&amp;",,,,0)")),"N/A")</f>
        <v>N/A</v>
      </c>
      <c r="P810" s="654" t="str">
        <f aca="false">IFERROR(IF(INDEX(MO_Common_QEndDate,0,COLUMN())&gt;TODAY(),fds(MO.ReportCurrency&amp;HP.TradeCurrency,"FG_PRICE(NOW)"),fds(MO.ReportCurrency&amp;HP.TradeCurrency,"P_PRICE_AVG("&amp;INDEX(MO_SNA_FPStartDate,0,COLUMN())&amp;","&amp;INDEX(MO_Common_QEndDate,0,COLUMN())&amp;",,,,0)")),"N/A")</f>
        <v>N/A</v>
      </c>
      <c r="Q810" s="654" t="str">
        <f aca="false">IFERROR(IF(INDEX(MO_Common_QEndDate,0,COLUMN())&gt;TODAY(),fds(MO.ReportCurrency&amp;HP.TradeCurrency,"FG_PRICE(NOW)"),fds(MO.ReportCurrency&amp;HP.TradeCurrency,"P_PRICE_AVG("&amp;INDEX(MO_SNA_FPStartDate,0,COLUMN())&amp;","&amp;INDEX(MO_Common_QEndDate,0,COLUMN())&amp;",,,,0)")),"N/A")</f>
        <v>N/A</v>
      </c>
      <c r="R810" s="654" t="str">
        <f aca="false">IFERROR(IF(INDEX(MO_Common_QEndDate,0,COLUMN())&gt;TODAY(),fds(MO.ReportCurrency&amp;HP.TradeCurrency,"FG_PRICE(NOW)"),fds(MO.ReportCurrency&amp;HP.TradeCurrency,"P_PRICE_AVG("&amp;INDEX(MO_SNA_FPStartDate,0,COLUMN())&amp;","&amp;INDEX(MO_Common_QEndDate,0,COLUMN())&amp;",,,,0)")),"N/A")</f>
        <v>N/A</v>
      </c>
      <c r="S810" s="654" t="str">
        <f aca="false">IFERROR(IF(INDEX(MO_Common_QEndDate,0,COLUMN())&gt;TODAY(),fds(MO.ReportCurrency&amp;HP.TradeCurrency,"FG_PRICE(NOW)"),fds(MO.ReportCurrency&amp;HP.TradeCurrency,"P_PRICE_AVG("&amp;INDEX(MO_SNA_FPStartDate,0,COLUMN())&amp;","&amp;INDEX(MO_Common_QEndDate,0,COLUMN())&amp;",,,,0)")),"N/A")</f>
        <v>N/A</v>
      </c>
      <c r="T810" s="654" t="str">
        <f aca="false">IFERROR(IF(INDEX(MO_Common_QEndDate,0,COLUMN())&gt;TODAY(),fds(MO.ReportCurrency&amp;HP.TradeCurrency,"FG_PRICE(NOW)"),fds(MO.ReportCurrency&amp;HP.TradeCurrency,"P_PRICE_AVG("&amp;INDEX(MO_SNA_FPStartDate,0,COLUMN())&amp;","&amp;INDEX(MO_Common_QEndDate,0,COLUMN())&amp;",,,,0)")),"N/A")</f>
        <v>N/A</v>
      </c>
      <c r="U810" s="654" t="str">
        <f aca="false">IFERROR(IF(INDEX(MO_Common_QEndDate,0,COLUMN())&gt;TODAY(),fds(MO.ReportCurrency&amp;HP.TradeCurrency,"FG_PRICE(NOW)"),fds(MO.ReportCurrency&amp;HP.TradeCurrency,"P_PRICE_AVG("&amp;INDEX(MO_SNA_FPStartDate,0,COLUMN())&amp;","&amp;INDEX(MO_Common_QEndDate,0,COLUMN())&amp;",,,,0)")),"N/A")</f>
        <v>N/A</v>
      </c>
      <c r="V810" s="654" t="str">
        <f aca="false">IFERROR(IF(INDEX(MO_Common_QEndDate,0,COLUMN())&gt;TODAY(),fds(MO.ReportCurrency&amp;HP.TradeCurrency,"FG_PRICE(NOW)"),fds(MO.ReportCurrency&amp;HP.TradeCurrency,"P_PRICE_AVG("&amp;INDEX(MO_SNA_FPStartDate,0,COLUMN())&amp;","&amp;INDEX(MO_Common_QEndDate,0,COLUMN())&amp;",,,,0)")),"N/A")</f>
        <v>N/A</v>
      </c>
      <c r="W810" s="654" t="str">
        <f aca="false">IFERROR(IF(INDEX(MO_Common_QEndDate,0,COLUMN())&gt;TODAY(),fds(MO.ReportCurrency&amp;HP.TradeCurrency,"FG_PRICE(NOW)"),fds(MO.ReportCurrency&amp;HP.TradeCurrency,"P_PRICE_AVG("&amp;INDEX(MO_SNA_FPStartDate,0,COLUMN())&amp;","&amp;INDEX(MO_Common_QEndDate,0,COLUMN())&amp;",,,,0)")),"N/A")</f>
        <v>N/A</v>
      </c>
      <c r="X810" s="654" t="str">
        <f aca="false">IFERROR(IF(INDEX(MO_Common_QEndDate,0,COLUMN())&gt;TODAY(),fds(MO.ReportCurrency&amp;HP.TradeCurrency,"FG_PRICE(NOW)"),fds(MO.ReportCurrency&amp;HP.TradeCurrency,"P_PRICE_AVG("&amp;INDEX(MO_SNA_FPStartDate,0,COLUMN())&amp;","&amp;INDEX(MO_Common_QEndDate,0,COLUMN())&amp;",,,,0)")),"N/A")</f>
        <v>N/A</v>
      </c>
      <c r="Y810" s="654" t="str">
        <f aca="false">IFERROR(IF(INDEX(MO_Common_QEndDate,0,COLUMN())&gt;TODAY(),fds(MO.ReportCurrency&amp;HP.TradeCurrency,"FG_PRICE(NOW)"),fds(MO.ReportCurrency&amp;HP.TradeCurrency,"P_PRICE_AVG("&amp;INDEX(MO_SNA_FPStartDate,0,COLUMN())&amp;","&amp;INDEX(MO_Common_QEndDate,0,COLUMN())&amp;",,,,0)")),"N/A")</f>
        <v>N/A</v>
      </c>
      <c r="Z810" s="654" t="str">
        <f aca="false">IFERROR(IF(INDEX(MO_Common_QEndDate,0,COLUMN())&gt;TODAY(),fds(MO.ReportCurrency&amp;HP.TradeCurrency,"FG_PRICE(NOW)"),fds(MO.ReportCurrency&amp;HP.TradeCurrency,"P_PRICE_AVG("&amp;INDEX(MO_SNA_FPStartDate,0,COLUMN())&amp;","&amp;INDEX(MO_Common_QEndDate,0,COLUMN())&amp;",,,,0)")),"N/A")</f>
        <v>N/A</v>
      </c>
      <c r="AA810" s="654" t="str">
        <f aca="false">IFERROR(IF(INDEX(MO_Common_QEndDate,0,COLUMN())&gt;TODAY(),fds(MO.ReportCurrency&amp;HP.TradeCurrency,"FG_PRICE(NOW)"),fds(MO.ReportCurrency&amp;HP.TradeCurrency,"P_PRICE_AVG("&amp;INDEX(MO_SNA_FPStartDate,0,COLUMN())&amp;","&amp;INDEX(MO_Common_QEndDate,0,COLUMN())&amp;",,,,0)")),"N/A")</f>
        <v>N/A</v>
      </c>
      <c r="AB810" s="654" t="str">
        <f aca="false">IFERROR(IF(INDEX(MO_Common_QEndDate,0,COLUMN())&gt;TODAY(),fds(MO.ReportCurrency&amp;HP.TradeCurrency,"FG_PRICE(NOW)"),fds(MO.ReportCurrency&amp;HP.TradeCurrency,"P_PRICE_AVG("&amp;INDEX(MO_SNA_FPStartDate,0,COLUMN())&amp;","&amp;INDEX(MO_Common_QEndDate,0,COLUMN())&amp;",,,,0)")),"N/A")</f>
        <v>N/A</v>
      </c>
      <c r="AC810" s="654" t="str">
        <f aca="false">IFERROR(IF(INDEX(MO_Common_QEndDate,0,COLUMN())&gt;TODAY(),fds(MO.ReportCurrency&amp;HP.TradeCurrency,"FG_PRICE(NOW)"),fds(MO.ReportCurrency&amp;HP.TradeCurrency,"P_PRICE_AVG("&amp;INDEX(MO_SNA_FPStartDate,0,COLUMN())&amp;","&amp;INDEX(MO_Common_QEndDate,0,COLUMN())&amp;",,,,0)")),"N/A")</f>
        <v>N/A</v>
      </c>
      <c r="AD810" s="654" t="str">
        <f aca="false">IFERROR(IF(INDEX(MO_Common_QEndDate,0,COLUMN())&gt;TODAY(),fds(MO.ReportCurrency&amp;HP.TradeCurrency,"FG_PRICE(NOW)"),fds(MO.ReportCurrency&amp;HP.TradeCurrency,"P_PRICE_AVG("&amp;INDEX(MO_SNA_FPStartDate,0,COLUMN())&amp;","&amp;INDEX(MO_Common_QEndDate,0,COLUMN())&amp;",,,,0)")),"N/A")</f>
        <v>N/A</v>
      </c>
      <c r="AE810" s="654" t="str">
        <f aca="false">IFERROR(IF(INDEX(MO_Common_QEndDate,0,COLUMN())&gt;TODAY(),fds(MO.ReportCurrency&amp;HP.TradeCurrency,"FG_PRICE(NOW)"),fds(MO.ReportCurrency&amp;HP.TradeCurrency,"P_PRICE_AVG("&amp;INDEX(MO_SNA_FPStartDate,0,COLUMN())&amp;","&amp;INDEX(MO_Common_QEndDate,0,COLUMN())&amp;",,,,0)")),"N/A")</f>
        <v>N/A</v>
      </c>
      <c r="AF810" s="654" t="str">
        <f aca="false">IFERROR(IF(INDEX(MO_Common_QEndDate,0,COLUMN())&gt;TODAY(),fds(MO.ReportCurrency&amp;HP.TradeCurrency,"FG_PRICE(NOW)"),fds(MO.ReportCurrency&amp;HP.TradeCurrency,"P_PRICE_AVG("&amp;INDEX(MO_SNA_FPStartDate,0,COLUMN())&amp;","&amp;INDEX(MO_Common_QEndDate,0,COLUMN())&amp;",,,,0)")),"N/A")</f>
        <v>N/A</v>
      </c>
      <c r="AG810" s="654" t="str">
        <f aca="false">IFERROR(IF(INDEX(MO_Common_QEndDate,0,COLUMN())&gt;TODAY(),fds(MO.ReportCurrency&amp;HP.TradeCurrency,"FG_PRICE(NOW)"),fds(MO.ReportCurrency&amp;HP.TradeCurrency,"P_PRICE_AVG("&amp;INDEX(MO_SNA_FPStartDate,0,COLUMN())&amp;","&amp;INDEX(MO_Common_QEndDate,0,COLUMN())&amp;",,,,0)")),"N/A")</f>
        <v>N/A</v>
      </c>
      <c r="AH810" s="654" t="str">
        <f aca="false">IFERROR(IF(INDEX(MO_Common_QEndDate,0,COLUMN())&gt;TODAY(),fds(MO.ReportCurrency&amp;HP.TradeCurrency,"FG_PRICE(NOW)"),fds(MO.ReportCurrency&amp;HP.TradeCurrency,"P_PRICE_AVG("&amp;INDEX(MO_SNA_FPStartDate,0,COLUMN())&amp;","&amp;INDEX(MO_Common_QEndDate,0,COLUMN())&amp;",,,,0)")),"N/A")</f>
        <v>N/A</v>
      </c>
      <c r="AI810" s="654" t="str">
        <f aca="false">IFERROR(IF(INDEX(MO_Common_QEndDate,0,COLUMN())&gt;TODAY(),fds(MO.ReportCurrency&amp;HP.TradeCurrency,"FG_PRICE(NOW)"),fds(MO.ReportCurrency&amp;HP.TradeCurrency,"P_PRICE_AVG("&amp;INDEX(MO_SNA_FPStartDate,0,COLUMN())&amp;","&amp;INDEX(MO_Common_QEndDate,0,COLUMN())&amp;",,,,0)")),"N/A")</f>
        <v>N/A</v>
      </c>
      <c r="AJ810" s="654" t="str">
        <f aca="false">IFERROR(IF(INDEX(MO_Common_QEndDate,0,COLUMN())&gt;TODAY(),fds(MO.ReportCurrency&amp;HP.TradeCurrency,"FG_PRICE(NOW)"),fds(MO.ReportCurrency&amp;HP.TradeCurrency,"P_PRICE_AVG("&amp;INDEX(MO_SNA_FPStartDate,0,COLUMN())&amp;","&amp;INDEX(MO_Common_QEndDate,0,COLUMN())&amp;",,,,0)")),"N/A")</f>
        <v>N/A</v>
      </c>
      <c r="AK810" s="654" t="str">
        <f aca="false">IFERROR(IF(INDEX(MO_Common_QEndDate,0,COLUMN())&gt;TODAY(),fds(MO.ReportCurrency&amp;HP.TradeCurrency,"FG_PRICE(NOW)"),fds(MO.ReportCurrency&amp;HP.TradeCurrency,"P_PRICE_AVG("&amp;INDEX(MO_SNA_FPStartDate,0,COLUMN())&amp;","&amp;INDEX(MO_Common_QEndDate,0,COLUMN())&amp;",,,,0)")),"N/A")</f>
        <v>N/A</v>
      </c>
      <c r="AL810" s="654" t="str">
        <f aca="false">IFERROR(IF(INDEX(MO_Common_QEndDate,0,COLUMN())&gt;TODAY(),fds(MO.ReportCurrency&amp;HP.TradeCurrency,"FG_PRICE(NOW)"),fds(MO.ReportCurrency&amp;HP.TradeCurrency,"P_PRICE_AVG("&amp;INDEX(MO_SNA_FPStartDate,0,COLUMN())&amp;","&amp;INDEX(MO_Common_QEndDate,0,COLUMN())&amp;",,,,0)")),"N/A")</f>
        <v>N/A</v>
      </c>
      <c r="AM810" s="654" t="str">
        <f aca="false">IFERROR(IF(INDEX(MO_Common_QEndDate,0,COLUMN())&gt;TODAY(),fds(MO.ReportCurrency&amp;HP.TradeCurrency,"FG_PRICE(NOW)"),fds(MO.ReportCurrency&amp;HP.TradeCurrency,"P_PRICE_AVG("&amp;INDEX(MO_SNA_FPStartDate,0,COLUMN())&amp;","&amp;INDEX(MO_Common_QEndDate,0,COLUMN())&amp;",,,,0)")),"N/A")</f>
        <v>N/A</v>
      </c>
      <c r="AN810" s="654" t="str">
        <f aca="false">IFERROR(IF(INDEX(MO_Common_QEndDate,0,COLUMN())&gt;TODAY(),fds(MO.ReportCurrency&amp;HP.TradeCurrency,"FG_PRICE(NOW)"),fds(MO.ReportCurrency&amp;HP.TradeCurrency,"P_PRICE_AVG("&amp;INDEX(MO_SNA_FPStartDate,0,COLUMN())&amp;","&amp;INDEX(MO_Common_QEndDate,0,COLUMN())&amp;",,,,0)")),"N/A")</f>
        <v>N/A</v>
      </c>
      <c r="AO810" s="654" t="str">
        <f aca="false">IFERROR(IF(INDEX(MO_Common_QEndDate,0,COLUMN())&gt;TODAY(),fds(MO.ReportCurrency&amp;HP.TradeCurrency,"FG_PRICE(NOW)"),fds(MO.ReportCurrency&amp;HP.TradeCurrency,"P_PRICE_AVG("&amp;INDEX(MO_SNA_FPStartDate,0,COLUMN())&amp;","&amp;INDEX(MO_Common_QEndDate,0,COLUMN())&amp;",,,,0)")),"N/A")</f>
        <v>N/A</v>
      </c>
      <c r="AP810" s="654" t="str">
        <f aca="false">IFERROR(IF(INDEX(MO_Common_QEndDate,0,COLUMN())&gt;TODAY(),fds(MO.ReportCurrency&amp;HP.TradeCurrency,"FG_PRICE(NOW)"),fds(MO.ReportCurrency&amp;HP.TradeCurrency,"P_PRICE_AVG("&amp;INDEX(MO_SNA_FPStartDate,0,COLUMN())&amp;","&amp;INDEX(MO_Common_QEndDate,0,COLUMN())&amp;",,,,0)")),"N/A")</f>
        <v>N/A</v>
      </c>
      <c r="AQ810" s="654" t="str">
        <f aca="false">IFERROR(IF(INDEX(MO_Common_QEndDate,0,COLUMN())&gt;TODAY(),fds(MO.ReportCurrency&amp;HP.TradeCurrency,"FG_PRICE(NOW)"),fds(MO.ReportCurrency&amp;HP.TradeCurrency,"P_PRICE_AVG("&amp;INDEX(MO_SNA_FPStartDate,0,COLUMN())&amp;","&amp;INDEX(MO_Common_QEndDate,0,COLUMN())&amp;",,,,0)")),"N/A")</f>
        <v>N/A</v>
      </c>
      <c r="AR810" s="654" t="str">
        <f aca="false">IFERROR(IF(INDEX(MO_Common_QEndDate,0,COLUMN())&gt;TODAY(),fds(MO.ReportCurrency&amp;HP.TradeCurrency,"FG_PRICE(NOW)"),fds(MO.ReportCurrency&amp;HP.TradeCurrency,"P_PRICE_AVG("&amp;INDEX(MO_SNA_FPStartDate,0,COLUMN())&amp;","&amp;INDEX(MO_Common_QEndDate,0,COLUMN())&amp;",,,,0)")),"N/A")</f>
        <v>N/A</v>
      </c>
      <c r="AS810" s="654" t="str">
        <f aca="false">IFERROR(IF(INDEX(MO_Common_QEndDate,0,COLUMN())&gt;TODAY(),fds(MO.ReportCurrency&amp;HP.TradeCurrency,"FG_PRICE(NOW)"),fds(MO.ReportCurrency&amp;HP.TradeCurrency,"P_PRICE_AVG("&amp;INDEX(MO_SNA_FPStartDate,0,COLUMN())&amp;","&amp;INDEX(MO_Common_QEndDate,0,COLUMN())&amp;",,,,0)")),"N/A")</f>
        <v>N/A</v>
      </c>
      <c r="AT810" s="654" t="str">
        <f aca="false">IFERROR(IF(INDEX(MO_Common_QEndDate,0,COLUMN())&gt;TODAY(),fds(MO.ReportCurrency&amp;HP.TradeCurrency,"FG_PRICE(NOW)"),fds(MO.ReportCurrency&amp;HP.TradeCurrency,"P_PRICE_AVG("&amp;INDEX(MO_SNA_FPStartDate,0,COLUMN())&amp;","&amp;INDEX(MO_Common_QEndDate,0,COLUMN())&amp;",,,,0)")),"N/A")</f>
        <v>N/A</v>
      </c>
      <c r="AU810" s="654" t="str">
        <f aca="false">IFERROR(IF(INDEX(MO_Common_QEndDate,0,COLUMN())&gt;TODAY(),fds(MO.ReportCurrency&amp;HP.TradeCurrency,"FG_PRICE(NOW)"),fds(MO.ReportCurrency&amp;HP.TradeCurrency,"P_PRICE_AVG("&amp;INDEX(MO_SNA_FPStartDate,0,COLUMN())&amp;","&amp;INDEX(MO_Common_QEndDate,0,COLUMN())&amp;",,,,0)")),"N/A")</f>
        <v>N/A</v>
      </c>
      <c r="AV810" s="654" t="str">
        <f aca="false">IFERROR(IF(INDEX(MO_Common_QEndDate,0,COLUMN())&gt;TODAY(),fds(MO.ReportCurrency&amp;HP.TradeCurrency,"FG_PRICE(NOW)"),fds(MO.ReportCurrency&amp;HP.TradeCurrency,"P_PRICE_AVG("&amp;INDEX(MO_SNA_FPStartDate,0,COLUMN())&amp;","&amp;INDEX(MO_Common_QEndDate,0,COLUMN())&amp;",,,,0)")),"N/A")</f>
        <v>N/A</v>
      </c>
      <c r="AW810" s="654" t="str">
        <f aca="false">IFERROR(IF(INDEX(MO_Common_QEndDate,0,COLUMN())&gt;TODAY(),fds(MO.ReportCurrency&amp;HP.TradeCurrency,"FG_PRICE(NOW)"),fds(MO.ReportCurrency&amp;HP.TradeCurrency,"P_PRICE_AVG("&amp;INDEX(MO_SNA_FPStartDate,0,COLUMN())&amp;","&amp;INDEX(MO_Common_QEndDate,0,COLUMN())&amp;",,,,0)")),"N/A")</f>
        <v>N/A</v>
      </c>
      <c r="AX810" s="654" t="str">
        <f aca="false">IFERROR(IF(INDEX(MO_Common_QEndDate,0,COLUMN())&gt;TODAY(),fds(MO.ReportCurrency&amp;HP.TradeCurrency,"FG_PRICE(NOW)"),fds(MO.ReportCurrency&amp;HP.TradeCurrency,"P_PRICE_AVG("&amp;INDEX(MO_SNA_FPStartDate,0,COLUMN())&amp;","&amp;INDEX(MO_Common_QEndDate,0,COLUMN())&amp;",,,,0)")),"N/A")</f>
        <v>N/A</v>
      </c>
      <c r="AY810" s="654" t="str">
        <f aca="false">IFERROR(IF(INDEX(MO_Common_QEndDate,0,COLUMN())&gt;TODAY(),fds(MO.ReportCurrency&amp;HP.TradeCurrency,"FG_PRICE(NOW)"),fds(MO.ReportCurrency&amp;HP.TradeCurrency,"P_PRICE_AVG("&amp;INDEX(MO_SNA_FPStartDate,0,COLUMN())&amp;","&amp;INDEX(MO_Common_QEndDate,0,COLUMN())&amp;",,,,0)")),"N/A")</f>
        <v>N/A</v>
      </c>
      <c r="AZ810" s="654" t="str">
        <f aca="false">IFERROR(IF(INDEX(MO_Common_QEndDate,0,COLUMN())&gt;TODAY(),fds(MO.ReportCurrency&amp;HP.TradeCurrency,"FG_PRICE(NOW)"),fds(MO.ReportCurrency&amp;HP.TradeCurrency,"P_PRICE_AVG("&amp;INDEX(MO_SNA_FPStartDate,0,COLUMN())&amp;","&amp;INDEX(MO_Common_QEndDate,0,COLUMN())&amp;",,,,0)")),"N/A")</f>
        <v>N/A</v>
      </c>
      <c r="BA810" s="654" t="str">
        <f aca="false">IFERROR(IF(INDEX(MO_Common_QEndDate,0,COLUMN())&gt;TODAY(),fds(MO.ReportCurrency&amp;HP.TradeCurrency,"FG_PRICE(NOW)"),fds(MO.ReportCurrency&amp;HP.TradeCurrency,"P_PRICE_AVG("&amp;INDEX(MO_SNA_FPStartDate,0,COLUMN())&amp;","&amp;INDEX(MO_Common_QEndDate,0,COLUMN())&amp;",,,,0)")),"N/A")</f>
        <v>N/A</v>
      </c>
      <c r="BB810" s="654" t="str">
        <f aca="false">IFERROR(IF(INDEX(MO_Common_QEndDate,0,COLUMN())&gt;TODAY(),fds(MO.ReportCurrency&amp;HP.TradeCurrency,"FG_PRICE(NOW)"),fds(MO.ReportCurrency&amp;HP.TradeCurrency,"P_PRICE_AVG("&amp;INDEX(MO_SNA_FPStartDate,0,COLUMN())&amp;","&amp;INDEX(MO_Common_QEndDate,0,COLUMN())&amp;",,,,0)")),"N/A")</f>
        <v>N/A</v>
      </c>
      <c r="BC810" s="654" t="str">
        <f aca="false">IFERROR(IF(INDEX(MO_Common_QEndDate,0,COLUMN())&gt;TODAY(),fds(MO.ReportCurrency&amp;HP.TradeCurrency,"FG_PRICE(NOW)"),fds(MO.ReportCurrency&amp;HP.TradeCurrency,"P_PRICE_AVG("&amp;INDEX(MO_SNA_FPStartDate,0,COLUMN())&amp;","&amp;INDEX(MO_Common_QEndDate,0,COLUMN())&amp;",,,,0)")),"N/A")</f>
        <v>N/A</v>
      </c>
      <c r="BD810" s="654" t="str">
        <f aca="false">IFERROR(IF(INDEX(MO_Common_QEndDate,0,COLUMN())&gt;TODAY(),fds(MO.ReportCurrency&amp;HP.TradeCurrency,"FG_PRICE(NOW)"),fds(MO.ReportCurrency&amp;HP.TradeCurrency,"P_PRICE_AVG("&amp;INDEX(MO_SNA_FPStartDate,0,COLUMN())&amp;","&amp;INDEX(MO_Common_QEndDate,0,COLUMN())&amp;",,,,0)")),"N/A")</f>
        <v>N/A</v>
      </c>
      <c r="BE810" s="654" t="str">
        <f aca="false">IFERROR(IF(INDEX(MO_Common_QEndDate,0,COLUMN())&gt;TODAY(),fds(MO.ReportCurrency&amp;HP.TradeCurrency,"FG_PRICE(NOW)"),fds(MO.ReportCurrency&amp;HP.TradeCurrency,"P_PRICE_AVG("&amp;INDEX(MO_SNA_FPStartDate,0,COLUMN())&amp;","&amp;INDEX(MO_Common_QEndDate,0,COLUMN())&amp;",,,,0)")),"N/A")</f>
        <v>N/A</v>
      </c>
      <c r="BF810" s="654" t="str">
        <f aca="false">IFERROR(IF(INDEX(MO_Common_QEndDate,0,COLUMN())&gt;TODAY(),fds(MO.ReportCurrency&amp;HP.TradeCurrency,"FG_PRICE(NOW)"),fds(MO.ReportCurrency&amp;HP.TradeCurrency,"P_PRICE_AVG("&amp;INDEX(MO_SNA_FPStartDate,0,COLUMN())&amp;","&amp;INDEX(MO_Common_QEndDate,0,COLUMN())&amp;",,,,0)")),"N/A")</f>
        <v>N/A</v>
      </c>
      <c r="BG810" s="654" t="str">
        <f aca="false">IFERROR(IF(INDEX(MO_Common_QEndDate,0,COLUMN())&gt;TODAY(),fds(MO.ReportCurrency&amp;HP.TradeCurrency,"FG_PRICE(NOW)"),fds(MO.ReportCurrency&amp;HP.TradeCurrency,"P_PRICE_AVG("&amp;INDEX(MO_SNA_FPStartDate,0,COLUMN())&amp;","&amp;INDEX(MO_Common_QEndDate,0,COLUMN())&amp;",,,,0)")),"N/A")</f>
        <v>N/A</v>
      </c>
      <c r="BH810" s="654" t="str">
        <f aca="false">IFERROR(IF(INDEX(MO_Common_QEndDate,0,COLUMN())&gt;TODAY(),fds(MO.ReportCurrency&amp;HP.TradeCurrency,"FG_PRICE(NOW)"),fds(MO.ReportCurrency&amp;HP.TradeCurrency,"P_PRICE_AVG("&amp;INDEX(MO_SNA_FPStartDate,0,COLUMN())&amp;","&amp;INDEX(MO_Common_QEndDate,0,COLUMN())&amp;",,,,0)")),"N/A")</f>
        <v>N/A</v>
      </c>
      <c r="BI810" s="654" t="str">
        <f aca="false">IFERROR(IF(INDEX(MO_Common_QEndDate,0,COLUMN())&gt;TODAY(),fds(MO.ReportCurrency&amp;HP.TradeCurrency,"FG_PRICE(NOW)"),fds(MO.ReportCurrency&amp;HP.TradeCurrency,"P_PRICE_AVG("&amp;INDEX(MO_SNA_FPStartDate,0,COLUMN())&amp;","&amp;INDEX(MO_Common_QEndDate,0,COLUMN())&amp;",,,,0)")),"N/A")</f>
        <v>N/A</v>
      </c>
      <c r="BJ810" s="654" t="str">
        <f aca="false">IFERROR(IF(INDEX(MO_Common_QEndDate,0,COLUMN())&gt;TODAY(),fds(MO.ReportCurrency&amp;HP.TradeCurrency,"FG_PRICE(NOW)"),fds(MO.ReportCurrency&amp;HP.TradeCurrency,"P_PRICE_AVG("&amp;INDEX(MO_SNA_FPStartDate,0,COLUMN())&amp;","&amp;INDEX(MO_Common_QEndDate,0,COLUMN())&amp;",,,,0)")),"N/A")</f>
        <v>N/A</v>
      </c>
      <c r="BK810" s="654" t="str">
        <f aca="false">IFERROR(IF(INDEX(MO_Common_QEndDate,0,COLUMN())&gt;TODAY(),fds(MO.ReportCurrency&amp;HP.TradeCurrency,"FG_PRICE(NOW)"),fds(MO.ReportCurrency&amp;HP.TradeCurrency,"P_PRICE_AVG("&amp;INDEX(MO_SNA_FPStartDate,0,COLUMN())&amp;","&amp;INDEX(MO_Common_QEndDate,0,COLUMN())&amp;",,,,0)")),"N/A")</f>
        <v>N/A</v>
      </c>
      <c r="BL810" s="654" t="str">
        <f aca="false">IFERROR(IF(INDEX(MO_Common_QEndDate,0,COLUMN())&gt;TODAY(),fds(MO.ReportCurrency&amp;HP.TradeCurrency,"FG_PRICE(NOW)"),fds(MO.ReportCurrency&amp;HP.TradeCurrency,"P_PRICE_AVG("&amp;INDEX(MO_SNA_FPStartDate,0,COLUMN())&amp;","&amp;INDEX(MO_Common_QEndDate,0,COLUMN())&amp;",,,,0)")),"N/A")</f>
        <v>N/A</v>
      </c>
      <c r="BM810" s="654" t="str">
        <f aca="false">IFERROR(IF(INDEX(MO_Common_QEndDate,0,COLUMN())&gt;TODAY(),fds(MO.ReportCurrency&amp;HP.TradeCurrency,"FG_PRICE(NOW)"),fds(MO.ReportCurrency&amp;HP.TradeCurrency,"P_PRICE_AVG("&amp;INDEX(MO_SNA_FPStartDate,0,COLUMN())&amp;","&amp;INDEX(MO_Common_QEndDate,0,COLUMN())&amp;",,,,0)")),"N/A")</f>
        <v>N/A</v>
      </c>
      <c r="BN810" s="654" t="str">
        <f aca="false">IFERROR(IF(INDEX(MO_Common_QEndDate,0,COLUMN())&gt;TODAY(),fds(MO.ReportCurrency&amp;HP.TradeCurrency,"FG_PRICE(NOW)"),fds(MO.ReportCurrency&amp;HP.TradeCurrency,"P_PRICE_AVG("&amp;INDEX(MO_SNA_FPStartDate,0,COLUMN())&amp;","&amp;INDEX(MO_Common_QEndDate,0,COLUMN())&amp;",,,,0)")),"N/A")</f>
        <v>N/A</v>
      </c>
      <c r="BO810" s="655" t="str">
        <f aca="false">IFERROR(IF(INDEX(MO_Common_QEndDate,0,COLUMN())&gt;TODAY(),fds(MO.ReportCurrency&amp;HP.TradeCurrency,"FG_PRICE(NOW)"),fds(MO.ReportCurrency&amp;HP.TradeCurrency,"P_PRICE_AVG("&amp;INDEX(MO_SNA_FPStartDate,0,COLUMN())&amp;","&amp;INDEX(MO_Common_QEndDate,0,COLUMN())&amp;",,,,0)")),"N/A")</f>
        <v>N/A</v>
      </c>
      <c r="BP810" s="654" t="str">
        <f aca="false">IFERROR(IF(INDEX(MO_Common_QEndDate,0,COLUMN())&gt;TODAY(),fds(MO.ReportCurrency&amp;HP.TradeCurrency,"FG_PRICE(NOW)"),fds(MO.ReportCurrency&amp;HP.TradeCurrency,"P_PRICE_AVG("&amp;INDEX(MO_SNA_FPStartDate,0,COLUMN())&amp;","&amp;INDEX(MO_Common_QEndDate,0,COLUMN())&amp;",,,,0)")),"N/A")</f>
        <v>N/A</v>
      </c>
      <c r="BQ810" s="654" t="str">
        <f aca="false">IFERROR(IF(INDEX(MO_Common_QEndDate,0,COLUMN())&gt;TODAY(),fds(MO.ReportCurrency&amp;HP.TradeCurrency,"FG_PRICE(NOW)"),fds(MO.ReportCurrency&amp;HP.TradeCurrency,"P_PRICE_AVG("&amp;INDEX(MO_SNA_FPStartDate,0,COLUMN())&amp;","&amp;INDEX(MO_Common_QEndDate,0,COLUMN())&amp;",,,,0)")),"N/A")</f>
        <v>N/A</v>
      </c>
      <c r="BR810" s="654" t="str">
        <f aca="false">IFERROR(IF(INDEX(MO_Common_QEndDate,0,COLUMN())&gt;TODAY(),fds(MO.ReportCurrency&amp;HP.TradeCurrency,"FG_PRICE(NOW)"),fds(MO.ReportCurrency&amp;HP.TradeCurrency,"P_PRICE_AVG("&amp;INDEX(MO_SNA_FPStartDate,0,COLUMN())&amp;","&amp;INDEX(MO_Common_QEndDate,0,COLUMN())&amp;",,,,0)")),"N/A")</f>
        <v>N/A</v>
      </c>
      <c r="BS810" s="654" t="str">
        <f aca="false">IFERROR(IF(INDEX(MO_Common_QEndDate,0,COLUMN())&gt;TODAY(),fds(MO.ReportCurrency&amp;HP.TradeCurrency,"FG_PRICE(NOW)"),fds(MO.ReportCurrency&amp;HP.TradeCurrency,"P_PRICE_AVG("&amp;INDEX(MO_SNA_FPStartDate,0,COLUMN())&amp;","&amp;INDEX(MO_Common_QEndDate,0,COLUMN())&amp;",,,,0)")),"N/A")</f>
        <v>N/A</v>
      </c>
      <c r="BT810" s="654" t="str">
        <f aca="false">IFERROR(IF(INDEX(MO_Common_QEndDate,0,COLUMN())&gt;TODAY(),fds(MO.ReportCurrency&amp;HP.TradeCurrency,"FG_PRICE(NOW)"),fds(MO.ReportCurrency&amp;HP.TradeCurrency,"P_PRICE_AVG("&amp;INDEX(MO_SNA_FPStartDate,0,COLUMN())&amp;","&amp;INDEX(MO_Common_QEndDate,0,COLUMN())&amp;",,,,0)")),"N/A")</f>
        <v>N/A</v>
      </c>
      <c r="BU810" s="654" t="str">
        <f aca="false">IFERROR(IF(INDEX(MO_Common_QEndDate,0,COLUMN())&gt;TODAY(),fds(MO.ReportCurrency&amp;HP.TradeCurrency,"FG_PRICE(NOW)"),fds(MO.ReportCurrency&amp;HP.TradeCurrency,"P_PRICE_AVG("&amp;INDEX(MO_SNA_FPStartDate,0,COLUMN())&amp;","&amp;INDEX(MO_Common_QEndDate,0,COLUMN())&amp;",,,,0)")),"N/A")</f>
        <v>N/A</v>
      </c>
      <c r="BV810" s="654" t="str">
        <f aca="false">IFERROR(IF(INDEX(MO_Common_QEndDate,0,COLUMN())&gt;TODAY(),fds(MO.ReportCurrency&amp;HP.TradeCurrency,"FG_PRICE(NOW)"),fds(MO.ReportCurrency&amp;HP.TradeCurrency,"P_PRICE_AVG("&amp;INDEX(MO_SNA_FPStartDate,0,COLUMN())&amp;","&amp;INDEX(MO_Common_QEndDate,0,COLUMN())&amp;",,,,0)")),"N/A")</f>
        <v>N/A</v>
      </c>
      <c r="BW810" s="654" t="str">
        <f aca="false">IFERROR(IF(INDEX(MO_Common_QEndDate,0,COLUMN())&gt;TODAY(),fds(MO.ReportCurrency&amp;HP.TradeCurrency,"FG_PRICE(NOW)"),fds(MO.ReportCurrency&amp;HP.TradeCurrency,"P_PRICE_AVG("&amp;INDEX(MO_SNA_FPStartDate,0,COLUMN())&amp;","&amp;INDEX(MO_Common_QEndDate,0,COLUMN())&amp;",,,,0)")),"N/A")</f>
        <v>N/A</v>
      </c>
      <c r="BX810" s="654" t="str">
        <f aca="false">IFERROR(IF(INDEX(MO_Common_QEndDate,0,COLUMN())&gt;TODAY(),fds(MO.ReportCurrency&amp;HP.TradeCurrency,"FG_PRICE(NOW)"),fds(MO.ReportCurrency&amp;HP.TradeCurrency,"P_PRICE_AVG("&amp;INDEX(MO_SNA_FPStartDate,0,COLUMN())&amp;","&amp;INDEX(MO_Common_QEndDate,0,COLUMN())&amp;",,,,0)")),"N/A")</f>
        <v>N/A</v>
      </c>
      <c r="BY810" s="654" t="str">
        <f aca="false">IFERROR(IF(INDEX(MO_Common_QEndDate,0,COLUMN())&gt;TODAY(),fds(MO.ReportCurrency&amp;HP.TradeCurrency,"FG_PRICE(NOW)"),fds(MO.ReportCurrency&amp;HP.TradeCurrency,"P_PRICE_AVG("&amp;INDEX(MO_SNA_FPStartDate,0,COLUMN())&amp;","&amp;INDEX(MO_Common_QEndDate,0,COLUMN())&amp;",,,,0)")),"N/A")</f>
        <v>N/A</v>
      </c>
      <c r="BZ810" s="654" t="str">
        <f aca="false">IFERROR(IF(INDEX(MO_Common_QEndDate,0,COLUMN())&gt;TODAY(),fds(MO.ReportCurrency&amp;HP.TradeCurrency,"FG_PRICE(NOW)"),fds(MO.ReportCurrency&amp;HP.TradeCurrency,"P_PRICE_AVG("&amp;INDEX(MO_SNA_FPStartDate,0,COLUMN())&amp;","&amp;INDEX(MO_Common_QEndDate,0,COLUMN())&amp;",,,,0)")),"N/A")</f>
        <v>N/A</v>
      </c>
      <c r="CA810" s="654" t="str">
        <f aca="false">IFERROR(IF(INDEX(MO_Common_QEndDate,0,COLUMN())&gt;TODAY(),fds(MO.ReportCurrency&amp;HP.TradeCurrency,"FG_PRICE(NOW)"),fds(MO.ReportCurrency&amp;HP.TradeCurrency,"P_PRICE_AVG("&amp;INDEX(MO_SNA_FPStartDate,0,COLUMN())&amp;","&amp;INDEX(MO_Common_QEndDate,0,COLUMN())&amp;",,,,0)")),"N/A")</f>
        <v>N/A</v>
      </c>
      <c r="CB810" s="656" t="str">
        <f aca="false">IFERROR(IF(INDEX(MO_Common_QEndDate,0,COLUMN())&gt;TODAY(),fds(MO.ReportCurrency&amp;HP.TradeCurrency,"FG_PRICE(NOW)"),fds(MO.ReportCurrency&amp;HP.TradeCurrency,"P_PRICE_AVG("&amp;INDEX(MO_SNA_FPStartDate,0,COLUMN())&amp;","&amp;INDEX(MO_Common_QEndDate,0,COLUMN())&amp;",,,,0)")),"N/A")</f>
        <v>N/A</v>
      </c>
      <c r="CC810" s="657"/>
    </row>
    <row r="811" s="543" customFormat="true" ht="15" hidden="true" customHeight="true" outlineLevel="1" collapsed="false">
      <c r="A811" s="658" t="s">
        <v>706</v>
      </c>
      <c r="B811" s="654"/>
      <c r="C811" s="654" t="str">
        <f aca="false">"N/A"</f>
        <v>N/A</v>
      </c>
      <c r="D811" s="654" t="str">
        <f aca="false">"N/A"</f>
        <v>N/A</v>
      </c>
      <c r="E811" s="654" t="str">
        <f aca="false">"N/A"</f>
        <v>N/A</v>
      </c>
      <c r="F811" s="654" t="str">
        <f aca="false">"N/A"</f>
        <v>N/A</v>
      </c>
      <c r="G811" s="654" t="str">
        <f aca="false">"N/A"</f>
        <v>N/A</v>
      </c>
      <c r="H811" s="654" t="str">
        <f aca="false">"N/A"</f>
        <v>N/A</v>
      </c>
      <c r="I811" s="654" t="str">
        <f aca="false">"N/A"</f>
        <v>N/A</v>
      </c>
      <c r="J811" s="654" t="str">
        <f aca="false">"N/A"</f>
        <v>N/A</v>
      </c>
      <c r="K811" s="654" t="str">
        <f aca="false">"N/A"</f>
        <v>N/A</v>
      </c>
      <c r="L811" s="654" t="str">
        <f aca="false">"N/A"</f>
        <v>N/A</v>
      </c>
      <c r="M811" s="654" t="str">
        <f aca="false">"N/A"</f>
        <v>N/A</v>
      </c>
      <c r="N811" s="654" t="str">
        <f aca="false">"N/A"</f>
        <v>N/A</v>
      </c>
      <c r="O811" s="654" t="str">
        <f aca="false">"N/A"</f>
        <v>N/A</v>
      </c>
      <c r="P811" s="654" t="str">
        <f aca="false">"N/A"</f>
        <v>N/A</v>
      </c>
      <c r="Q811" s="654" t="str">
        <f aca="false">"N/A"</f>
        <v>N/A</v>
      </c>
      <c r="R811" s="654" t="str">
        <f aca="false">"N/A"</f>
        <v>N/A</v>
      </c>
      <c r="S811" s="654" t="str">
        <f aca="false">"N/A"</f>
        <v>N/A</v>
      </c>
      <c r="T811" s="654" t="str">
        <f aca="false">"N/A"</f>
        <v>N/A</v>
      </c>
      <c r="U811" s="654" t="str">
        <f aca="false">"N/A"</f>
        <v>N/A</v>
      </c>
      <c r="V811" s="654" t="str">
        <f aca="false">"N/A"</f>
        <v>N/A</v>
      </c>
      <c r="W811" s="654" t="str">
        <f aca="false">"N/A"</f>
        <v>N/A</v>
      </c>
      <c r="X811" s="654" t="str">
        <f aca="false">"N/A"</f>
        <v>N/A</v>
      </c>
      <c r="Y811" s="654" t="str">
        <f aca="false">"N/A"</f>
        <v>N/A</v>
      </c>
      <c r="Z811" s="654" t="str">
        <f aca="false">"N/A"</f>
        <v>N/A</v>
      </c>
      <c r="AA811" s="654" t="str">
        <f aca="false">"N/A"</f>
        <v>N/A</v>
      </c>
      <c r="AB811" s="654" t="str">
        <f aca="false">"N/A"</f>
        <v>N/A</v>
      </c>
      <c r="AC811" s="654" t="str">
        <f aca="false">"N/A"</f>
        <v>N/A</v>
      </c>
      <c r="AD811" s="654" t="str">
        <f aca="false">"N/A"</f>
        <v>N/A</v>
      </c>
      <c r="AE811" s="654" t="str">
        <f aca="false">"N/A"</f>
        <v>N/A</v>
      </c>
      <c r="AF811" s="654" t="str">
        <f aca="false">"N/A"</f>
        <v>N/A</v>
      </c>
      <c r="AG811" s="654" t="str">
        <f aca="false">"N/A"</f>
        <v>N/A</v>
      </c>
      <c r="AH811" s="654" t="str">
        <f aca="false">"N/A"</f>
        <v>N/A</v>
      </c>
      <c r="AI811" s="654" t="str">
        <f aca="false">"N/A"</f>
        <v>N/A</v>
      </c>
      <c r="AJ811" s="654" t="str">
        <f aca="false">"N/A"</f>
        <v>N/A</v>
      </c>
      <c r="AK811" s="654" t="str">
        <f aca="false">"N/A"</f>
        <v>N/A</v>
      </c>
      <c r="AL811" s="654" t="str">
        <f aca="false">"N/A"</f>
        <v>N/A</v>
      </c>
      <c r="AM811" s="654" t="str">
        <f aca="false">"N/A"</f>
        <v>N/A</v>
      </c>
      <c r="AN811" s="654" t="str">
        <f aca="false">"N/A"</f>
        <v>N/A</v>
      </c>
      <c r="AO811" s="654" t="str">
        <f aca="false">"N/A"</f>
        <v>N/A</v>
      </c>
      <c r="AP811" s="654" t="str">
        <f aca="false">"N/A"</f>
        <v>N/A</v>
      </c>
      <c r="AQ811" s="654" t="str">
        <f aca="false">"N/A"</f>
        <v>N/A</v>
      </c>
      <c r="AR811" s="654" t="str">
        <f aca="false">"N/A"</f>
        <v>N/A</v>
      </c>
      <c r="AS811" s="654" t="str">
        <f aca="false">"N/A"</f>
        <v>N/A</v>
      </c>
      <c r="AT811" s="654" t="str">
        <f aca="false">"N/A"</f>
        <v>N/A</v>
      </c>
      <c r="AU811" s="654" t="str">
        <f aca="false">"N/A"</f>
        <v>N/A</v>
      </c>
      <c r="AV811" s="654" t="str">
        <f aca="false">"N/A"</f>
        <v>N/A</v>
      </c>
      <c r="AW811" s="654" t="str">
        <f aca="false">"N/A"</f>
        <v>N/A</v>
      </c>
      <c r="AX811" s="654" t="str">
        <f aca="false">"N/A"</f>
        <v>N/A</v>
      </c>
      <c r="AY811" s="654" t="str">
        <f aca="false">"N/A"</f>
        <v>N/A</v>
      </c>
      <c r="AZ811" s="654" t="str">
        <f aca="false">"N/A"</f>
        <v>N/A</v>
      </c>
      <c r="BA811" s="654" t="str">
        <f aca="false">"N/A"</f>
        <v>N/A</v>
      </c>
      <c r="BB811" s="654" t="str">
        <f aca="false">"N/A"</f>
        <v>N/A</v>
      </c>
      <c r="BC811" s="654" t="str">
        <f aca="false">"N/A"</f>
        <v>N/A</v>
      </c>
      <c r="BD811" s="654" t="str">
        <f aca="false">"N/A"</f>
        <v>N/A</v>
      </c>
      <c r="BE811" s="654" t="str">
        <f aca="false">"N/A"</f>
        <v>N/A</v>
      </c>
      <c r="BF811" s="654" t="str">
        <f aca="false">"N/A"</f>
        <v>N/A</v>
      </c>
      <c r="BG811" s="654" t="str">
        <f aca="false">"N/A"</f>
        <v>N/A</v>
      </c>
      <c r="BH811" s="654" t="str">
        <f aca="false">"N/A"</f>
        <v>N/A</v>
      </c>
      <c r="BI811" s="654" t="str">
        <f aca="false">"N/A"</f>
        <v>N/A</v>
      </c>
      <c r="BJ811" s="654" t="str">
        <f aca="false">"N/A"</f>
        <v>N/A</v>
      </c>
      <c r="BK811" s="654" t="str">
        <f aca="false">"N/A"</f>
        <v>N/A</v>
      </c>
      <c r="BL811" s="654" t="str">
        <f aca="false">"N/A"</f>
        <v>N/A</v>
      </c>
      <c r="BM811" s="654" t="str">
        <f aca="false">"N/A"</f>
        <v>N/A</v>
      </c>
      <c r="BN811" s="654" t="str">
        <f aca="false">"N/A"</f>
        <v>N/A</v>
      </c>
      <c r="BO811" s="655" t="str">
        <f aca="false">"N/A"</f>
        <v>N/A</v>
      </c>
      <c r="BP811" s="654" t="str">
        <f aca="false">"N/A"</f>
        <v>N/A</v>
      </c>
      <c r="BQ811" s="654" t="str">
        <f aca="false">"N/A"</f>
        <v>N/A</v>
      </c>
      <c r="BR811" s="654" t="str">
        <f aca="false">"N/A"</f>
        <v>N/A</v>
      </c>
      <c r="BS811" s="654" t="str">
        <f aca="false">"N/A"</f>
        <v>N/A</v>
      </c>
      <c r="BT811" s="654" t="str">
        <f aca="false">"N/A"</f>
        <v>N/A</v>
      </c>
      <c r="BU811" s="654" t="str">
        <f aca="false">"N/A"</f>
        <v>N/A</v>
      </c>
      <c r="BV811" s="654" t="str">
        <f aca="false">"N/A"</f>
        <v>N/A</v>
      </c>
      <c r="BW811" s="654" t="str">
        <f aca="false">"N/A"</f>
        <v>N/A</v>
      </c>
      <c r="BX811" s="654" t="str">
        <f aca="false">"N/A"</f>
        <v>N/A</v>
      </c>
      <c r="BY811" s="654" t="str">
        <f aca="false">"N/A"</f>
        <v>N/A</v>
      </c>
      <c r="BZ811" s="654" t="str">
        <f aca="false">"N/A"</f>
        <v>N/A</v>
      </c>
      <c r="CA811" s="654" t="str">
        <f aca="false">"N/A"</f>
        <v>N/A</v>
      </c>
      <c r="CB811" s="656" t="str">
        <f aca="false">"N/A"</f>
        <v>N/A</v>
      </c>
      <c r="CC811" s="657"/>
    </row>
    <row r="812" s="51" customFormat="true" ht="15" hidden="true" customHeight="true" outlineLevel="1" collapsed="false">
      <c r="A812" s="596"/>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9"/>
      <c r="BP812" s="48"/>
      <c r="BQ812" s="48"/>
      <c r="BR812" s="48"/>
      <c r="BS812" s="48"/>
      <c r="BT812" s="48"/>
      <c r="BU812" s="48"/>
      <c r="BV812" s="48"/>
      <c r="BW812" s="48"/>
      <c r="BX812" s="48"/>
      <c r="BY812" s="48"/>
      <c r="BZ812" s="48"/>
      <c r="CA812" s="48"/>
      <c r="CB812" s="627"/>
      <c r="CC812" s="621"/>
    </row>
    <row r="813" s="51" customFormat="true" ht="15" hidden="false" customHeight="true" outlineLevel="0" collapsed="false">
      <c r="A813" s="596" t="s">
        <v>707</v>
      </c>
      <c r="B813" s="48"/>
      <c r="C813" s="642" t="n">
        <f aca="false">WORKDAY(INDEX(MO_Common_QEndDate,0,COLUMN()),-1)</f>
        <v>40177</v>
      </c>
      <c r="D813" s="642" t="n">
        <f aca="false">WORKDAY(INDEX(MO_Common_QEndDate,0,COLUMN()),-1)</f>
        <v>40542</v>
      </c>
      <c r="E813" s="642" t="n">
        <f aca="false">WORKDAY(INDEX(MO_Common_QEndDate,0,COLUMN()),-1)</f>
        <v>40907</v>
      </c>
      <c r="F813" s="642" t="n">
        <f aca="false">WORKDAY(INDEX(MO_Common_QEndDate,0,COLUMN()),-1)</f>
        <v>41271</v>
      </c>
      <c r="G813" s="642" t="n">
        <f aca="false">WORKDAY(INDEX(MO_Common_QEndDate,0,COLUMN()),-1)</f>
        <v>41638</v>
      </c>
      <c r="H813" s="642" t="n">
        <f aca="false">WORKDAY(INDEX(MO_Common_QEndDate,0,COLUMN()),-1)</f>
        <v>41726</v>
      </c>
      <c r="I813" s="642" t="n">
        <f aca="false">WORKDAY(INDEX(MO_Common_QEndDate,0,COLUMN()),-1)</f>
        <v>41817</v>
      </c>
      <c r="J813" s="642" t="n">
        <f aca="false">WORKDAY(INDEX(MO_Common_QEndDate,0,COLUMN()),-1)</f>
        <v>41908</v>
      </c>
      <c r="K813" s="642" t="n">
        <f aca="false">WORKDAY(INDEX(MO_Common_QEndDate,0,COLUMN()),-1)</f>
        <v>42003</v>
      </c>
      <c r="L813" s="642" t="n">
        <f aca="false">WORKDAY(INDEX(MO_Common_QEndDate,0,COLUMN()),-1)</f>
        <v>42003</v>
      </c>
      <c r="M813" s="642" t="n">
        <f aca="false">WORKDAY(INDEX(MO_Common_QEndDate,0,COLUMN()),-1)</f>
        <v>42090</v>
      </c>
      <c r="N813" s="642" t="n">
        <f aca="false">WORKDAY(INDEX(MO_Common_QEndDate,0,COLUMN()),-1)</f>
        <v>42181</v>
      </c>
      <c r="O813" s="642" t="n">
        <f aca="false">WORKDAY(INDEX(MO_Common_QEndDate,0,COLUMN()),-1)</f>
        <v>42272</v>
      </c>
      <c r="P813" s="642" t="n">
        <f aca="false">WORKDAY(INDEX(MO_Common_QEndDate,0,COLUMN()),-1)</f>
        <v>42368</v>
      </c>
      <c r="Q813" s="642" t="n">
        <f aca="false">WORKDAY(INDEX(MO_Common_QEndDate,0,COLUMN()),-1)</f>
        <v>42368</v>
      </c>
      <c r="R813" s="642" t="n">
        <f aca="false">WORKDAY(INDEX(MO_Common_QEndDate,0,COLUMN()),-1)</f>
        <v>42461</v>
      </c>
      <c r="S813" s="642" t="n">
        <f aca="false">WORKDAY(INDEX(MO_Common_QEndDate,0,COLUMN()),-1)</f>
        <v>42552</v>
      </c>
      <c r="T813" s="642" t="n">
        <f aca="false">WORKDAY(INDEX(MO_Common_QEndDate,0,COLUMN()),-1)</f>
        <v>42643</v>
      </c>
      <c r="U813" s="642" t="n">
        <f aca="false">WORKDAY(INDEX(MO_Common_QEndDate,0,COLUMN()),-1)</f>
        <v>42734</v>
      </c>
      <c r="V813" s="642" t="n">
        <f aca="false">WORKDAY(INDEX(MO_Common_QEndDate,0,COLUMN()),-1)</f>
        <v>42734</v>
      </c>
      <c r="W813" s="642" t="n">
        <f aca="false">WORKDAY(INDEX(MO_Common_QEndDate,0,COLUMN()),-1)</f>
        <v>42825</v>
      </c>
      <c r="X813" s="642" t="n">
        <f aca="false">WORKDAY(INDEX(MO_Common_QEndDate,0,COLUMN()),-1)</f>
        <v>42916</v>
      </c>
      <c r="Y813" s="642" t="n">
        <f aca="false">WORKDAY(INDEX(MO_Common_QEndDate,0,COLUMN()),-1)</f>
        <v>43007</v>
      </c>
      <c r="Z813" s="642" t="n">
        <f aca="false">WORKDAY(INDEX(MO_Common_QEndDate,0,COLUMN()),-1)</f>
        <v>43098</v>
      </c>
      <c r="AA813" s="642" t="n">
        <f aca="false">WORKDAY(INDEX(MO_Common_QEndDate,0,COLUMN()),-1)</f>
        <v>43098</v>
      </c>
      <c r="AB813" s="642" t="n">
        <f aca="false">WORKDAY(INDEX(MO_Common_QEndDate,0,COLUMN()),-1)</f>
        <v>43189</v>
      </c>
      <c r="AC813" s="642" t="n">
        <f aca="false">WORKDAY(INDEX(MO_Common_QEndDate,0,COLUMN()),-1)</f>
        <v>43280</v>
      </c>
      <c r="AD813" s="642" t="n">
        <f aca="false">WORKDAY(INDEX(MO_Common_QEndDate,0,COLUMN()),-1)</f>
        <v>43371</v>
      </c>
      <c r="AE813" s="642" t="n">
        <f aca="false">WORKDAY(INDEX(MO_Common_QEndDate,0,COLUMN()),-1)</f>
        <v>43462</v>
      </c>
      <c r="AF813" s="642" t="n">
        <f aca="false">WORKDAY(INDEX(MO_Common_QEndDate,0,COLUMN()),-1)</f>
        <v>43462</v>
      </c>
      <c r="AG813" s="642" t="n">
        <f aca="false">WORKDAY(INDEX(MO_Common_QEndDate,0,COLUMN()),-1)</f>
        <v>43553</v>
      </c>
      <c r="AH813" s="642" t="n">
        <f aca="false">WORKDAY(INDEX(MO_Common_QEndDate,0,COLUMN()),-1)</f>
        <v>43644</v>
      </c>
      <c r="AI813" s="642" t="n">
        <f aca="false">WORKDAY(INDEX(MO_Common_QEndDate,0,COLUMN()),-1)</f>
        <v>43735</v>
      </c>
      <c r="AJ813" s="642" t="n">
        <f aca="false">WORKDAY(INDEX(MO_Common_QEndDate,0,COLUMN()),-1)</f>
        <v>43829</v>
      </c>
      <c r="AK813" s="642" t="n">
        <f aca="false">WORKDAY(INDEX(MO_Common_QEndDate,0,COLUMN()),-1)</f>
        <v>43829</v>
      </c>
      <c r="AL813" s="642" t="n">
        <f aca="false">WORKDAY(INDEX(MO_Common_QEndDate,0,COLUMN()),-1)</f>
        <v>43917</v>
      </c>
      <c r="AM813" s="642" t="n">
        <f aca="false">WORKDAY(INDEX(MO_Common_QEndDate,0,COLUMN()),-1)</f>
        <v>44008</v>
      </c>
      <c r="AN813" s="642" t="n">
        <f aca="false">WORKDAY(INDEX(MO_Common_QEndDate,0,COLUMN()),-1)</f>
        <v>44099</v>
      </c>
      <c r="AO813" s="642" t="n">
        <f aca="false">WORKDAY(INDEX(MO_Common_QEndDate,0,COLUMN()),-1)</f>
        <v>44195</v>
      </c>
      <c r="AP813" s="642" t="n">
        <f aca="false">WORKDAY(INDEX(MO_Common_QEndDate,0,COLUMN()),-1)</f>
        <v>44195</v>
      </c>
      <c r="AQ813" s="642" t="n">
        <f aca="false">WORKDAY(INDEX(MO_Common_QEndDate,0,COLUMN()),-1)</f>
        <v>44288</v>
      </c>
      <c r="AR813" s="642" t="n">
        <f aca="false">WORKDAY(INDEX(MO_Common_QEndDate,0,COLUMN()),-1)</f>
        <v>44379</v>
      </c>
      <c r="AS813" s="642" t="n">
        <f aca="false">WORKDAY(INDEX(MO_Common_QEndDate,0,COLUMN()),-1)</f>
        <v>44470</v>
      </c>
      <c r="AT813" s="642" t="n">
        <f aca="false">WORKDAY(INDEX(MO_Common_QEndDate,0,COLUMN()),-1)</f>
        <v>44560</v>
      </c>
      <c r="AU813" s="642" t="n">
        <f aca="false">WORKDAY(INDEX(MO_Common_QEndDate,0,COLUMN()),-1)</f>
        <v>44560</v>
      </c>
      <c r="AV813" s="642" t="n">
        <f aca="false">WORKDAY(INDEX(MO_Common_QEndDate,0,COLUMN()),-1)</f>
        <v>44652</v>
      </c>
      <c r="AW813" s="642" t="n">
        <f aca="false">WORKDAY(INDEX(MO_Common_QEndDate,0,COLUMN()),-1)</f>
        <v>44743</v>
      </c>
      <c r="AX813" s="642" t="n">
        <f aca="false">WORKDAY(INDEX(MO_Common_QEndDate,0,COLUMN()),-1)</f>
        <v>44834</v>
      </c>
      <c r="AY813" s="642" t="n">
        <f aca="false">WORKDAY(INDEX(MO_Common_QEndDate,0,COLUMN()),-1)</f>
        <v>44925</v>
      </c>
      <c r="AZ813" s="642" t="n">
        <f aca="false">WORKDAY(INDEX(MO_Common_QEndDate,0,COLUMN()),-1)</f>
        <v>44925</v>
      </c>
      <c r="BA813" s="642" t="n">
        <f aca="false">WORKDAY(INDEX(MO_Common_QEndDate,0,COLUMN()),-1)</f>
        <v>45016</v>
      </c>
      <c r="BB813" s="642" t="n">
        <f aca="false">WORKDAY(INDEX(MO_Common_QEndDate,0,COLUMN()),-1)</f>
        <v>45107</v>
      </c>
      <c r="BC813" s="642" t="n">
        <f aca="false">WORKDAY(INDEX(MO_Common_QEndDate,0,COLUMN()),-1)</f>
        <v>45198</v>
      </c>
      <c r="BD813" s="642" t="n">
        <f aca="false">WORKDAY(INDEX(MO_Common_QEndDate,0,COLUMN()),-1)</f>
        <v>45289</v>
      </c>
      <c r="BE813" s="642" t="n">
        <f aca="false">WORKDAY(INDEX(MO_Common_QEndDate,0,COLUMN()),-1)</f>
        <v>45289</v>
      </c>
      <c r="BF813" s="642" t="n">
        <f aca="false">WORKDAY(INDEX(MO_Common_QEndDate,0,COLUMN()),-1)</f>
        <v>45380</v>
      </c>
      <c r="BG813" s="642" t="n">
        <f aca="false">WORKDAY(INDEX(MO_Common_QEndDate,0,COLUMN()),-1)</f>
        <v>45471</v>
      </c>
      <c r="BH813" s="642" t="n">
        <f aca="false">WORKDAY(INDEX(MO_Common_QEndDate,0,COLUMN()),-1)</f>
        <v>45562</v>
      </c>
      <c r="BI813" s="642" t="n">
        <f aca="false">WORKDAY(INDEX(MO_Common_QEndDate,0,COLUMN()),-1)</f>
        <v>45656</v>
      </c>
      <c r="BJ813" s="642" t="n">
        <f aca="false">WORKDAY(INDEX(MO_Common_QEndDate,0,COLUMN()),-1)</f>
        <v>45656</v>
      </c>
      <c r="BK813" s="642" t="n">
        <f aca="false">WORKDAY(INDEX(MO_Common_QEndDate,0,COLUMN()),-1)</f>
        <v>45744</v>
      </c>
      <c r="BL813" s="642" t="n">
        <f aca="false">WORKDAY(INDEX(MO_Common_QEndDate,0,COLUMN()),-1)</f>
        <v>45835</v>
      </c>
      <c r="BM813" s="642" t="n">
        <f aca="false">WORKDAY(INDEX(MO_Common_QEndDate,0,COLUMN()),-1)</f>
        <v>45926</v>
      </c>
      <c r="BN813" s="642" t="n">
        <f aca="false">WORKDAY(INDEX(MO_Common_QEndDate,0,COLUMN()),-1)</f>
        <v>46021</v>
      </c>
      <c r="BO813" s="643" t="n">
        <f aca="false">WORKDAY(INDEX(MO_Common_QEndDate,0,COLUMN()),-1)</f>
        <v>46021</v>
      </c>
      <c r="BP813" s="642" t="n">
        <f aca="false">WORKDAY(INDEX(MO_Common_QEndDate,0,COLUMN()),-1)</f>
        <v>46111</v>
      </c>
      <c r="BQ813" s="642" t="n">
        <f aca="false">WORKDAY(INDEX(MO_Common_QEndDate,0,COLUMN()),-1)</f>
        <v>46202</v>
      </c>
      <c r="BR813" s="642" t="n">
        <f aca="false">WORKDAY(INDEX(MO_Common_QEndDate,0,COLUMN()),-1)</f>
        <v>46294</v>
      </c>
      <c r="BS813" s="642" t="n">
        <f aca="false">WORKDAY(INDEX(MO_Common_QEndDate,0,COLUMN()),-1)</f>
        <v>46386</v>
      </c>
      <c r="BT813" s="642" t="n">
        <f aca="false">WORKDAY(INDEX(MO_Common_QEndDate,0,COLUMN()),-1)</f>
        <v>46386</v>
      </c>
      <c r="BU813" s="642" t="n">
        <f aca="false">WORKDAY(INDEX(MO_Common_QEndDate,0,COLUMN()),-1)</f>
        <v>46476</v>
      </c>
      <c r="BV813" s="642" t="n">
        <f aca="false">WORKDAY(INDEX(MO_Common_QEndDate,0,COLUMN()),-1)</f>
        <v>46567</v>
      </c>
      <c r="BW813" s="642" t="n">
        <f aca="false">WORKDAY(INDEX(MO_Common_QEndDate,0,COLUMN()),-1)</f>
        <v>46659</v>
      </c>
      <c r="BX813" s="642" t="n">
        <f aca="false">WORKDAY(INDEX(MO_Common_QEndDate,0,COLUMN()),-1)</f>
        <v>46751</v>
      </c>
      <c r="BY813" s="642" t="n">
        <f aca="false">WORKDAY(INDEX(MO_Common_QEndDate,0,COLUMN()),-1)</f>
        <v>46751</v>
      </c>
      <c r="BZ813" s="642" t="n">
        <f aca="false">WORKDAY(INDEX(MO_Common_QEndDate,0,COLUMN()),-1)</f>
        <v>47116</v>
      </c>
      <c r="CA813" s="642" t="n">
        <f aca="false">WORKDAY(INDEX(MO_Common_QEndDate,0,COLUMN()),-1)</f>
        <v>47480</v>
      </c>
      <c r="CB813" s="644" t="n">
        <f aca="false">WORKDAY(INDEX(MO_Common_QEndDate,0,COLUMN()),-1)</f>
        <v>47847</v>
      </c>
      <c r="CC813" s="621"/>
    </row>
    <row r="814" s="46" customFormat="true" ht="15" hidden="false" customHeight="true" outlineLevel="0" collapsed="false">
      <c r="A814" s="645" t="s">
        <v>708</v>
      </c>
      <c r="B814" s="646"/>
      <c r="C814" s="651" t="n">
        <v>31.103896</v>
      </c>
      <c r="D814" s="651" t="n">
        <v>37.668831</v>
      </c>
      <c r="E814" s="651" t="n">
        <v>42.175325</v>
      </c>
      <c r="F814" s="651" t="n">
        <v>47.885</v>
      </c>
      <c r="G814" s="651" t="n">
        <v>67.93</v>
      </c>
      <c r="H814" s="651" t="n">
        <v>67.15</v>
      </c>
      <c r="I814" s="651" t="n">
        <v>67.62</v>
      </c>
      <c r="J814" s="651" t="n">
        <v>78.56</v>
      </c>
      <c r="K814" s="651" t="n">
        <v>88.82</v>
      </c>
      <c r="L814" s="651" t="n">
        <v>88.82</v>
      </c>
      <c r="M814" s="651" t="n">
        <v>92.37</v>
      </c>
      <c r="N814" s="651" t="n">
        <v>98.74</v>
      </c>
      <c r="O814" s="651" t="n">
        <v>77.15</v>
      </c>
      <c r="P814" s="651" t="n">
        <v>84.09</v>
      </c>
      <c r="Q814" s="651" t="n">
        <v>84.09</v>
      </c>
      <c r="R814" s="651" t="n">
        <v>87.91</v>
      </c>
      <c r="S814" s="651" t="n">
        <v>88.09</v>
      </c>
      <c r="T814" s="651" t="n">
        <v>97.69</v>
      </c>
      <c r="U814" s="651" t="n">
        <v>106.65</v>
      </c>
      <c r="V814" s="651" t="n">
        <v>106.65</v>
      </c>
      <c r="W814" s="651" t="n">
        <v>124.4</v>
      </c>
      <c r="X814" s="651" t="n">
        <v>114.1</v>
      </c>
      <c r="Y814" s="651" t="n">
        <v>144.05</v>
      </c>
      <c r="Z814" s="651" t="n">
        <v>145.25</v>
      </c>
      <c r="AA814" s="651" t="n">
        <v>145.25</v>
      </c>
      <c r="AB814" s="651" t="n">
        <v>160.15</v>
      </c>
      <c r="AC814" s="651" t="n">
        <v>169.7</v>
      </c>
      <c r="AD814" s="651" t="n">
        <v>160.9</v>
      </c>
      <c r="AE814" s="651" t="n">
        <v>136.62</v>
      </c>
      <c r="AF814" s="651" t="n">
        <v>136.62</v>
      </c>
      <c r="AG814" s="651" t="n">
        <v>167.2</v>
      </c>
      <c r="AH814" s="651" t="n">
        <v>183.74</v>
      </c>
      <c r="AI814" s="651" t="n">
        <v>225.45</v>
      </c>
      <c r="AJ814" s="651" t="n">
        <v>262.9</v>
      </c>
      <c r="AK814" s="651" t="n">
        <v>262.9</v>
      </c>
      <c r="AL814" s="651" t="n">
        <v>229.5</v>
      </c>
      <c r="AM814" s="651" t="n">
        <v>324</v>
      </c>
      <c r="AN814" s="651" t="n">
        <v>307.2</v>
      </c>
      <c r="AO814" s="651" t="n">
        <v>398.5</v>
      </c>
      <c r="AP814" s="651" t="n">
        <v>398.5</v>
      </c>
      <c r="AQ814" s="651" t="n">
        <v>529.3</v>
      </c>
      <c r="AR814" s="651" t="n">
        <v>579</v>
      </c>
      <c r="AS814" s="651" t="n">
        <v>632.5</v>
      </c>
      <c r="AT814" s="651" t="n">
        <v>710.4</v>
      </c>
      <c r="AU814" s="651" t="n">
        <v>710.4</v>
      </c>
      <c r="AV814" s="651" t="n">
        <v>606.7</v>
      </c>
      <c r="AW814" s="651" t="n">
        <v>431.25</v>
      </c>
      <c r="AX814" s="651" t="n">
        <v>433.6</v>
      </c>
      <c r="AY814" s="651" t="n">
        <v>503.8</v>
      </c>
      <c r="AZ814" s="651" t="n">
        <v>503.8</v>
      </c>
      <c r="BA814" s="651" t="n">
        <v>625.2</v>
      </c>
      <c r="BB814" s="651" t="n">
        <v>663</v>
      </c>
      <c r="BC814" s="651" t="n">
        <v>559.1</v>
      </c>
      <c r="BD814" s="651" t="n">
        <v>681.7</v>
      </c>
      <c r="BE814" s="651" t="n">
        <v>681.7</v>
      </c>
      <c r="BF814" s="651" t="n">
        <v>892.2</v>
      </c>
      <c r="BG814" s="651" t="n">
        <v>964.2</v>
      </c>
      <c r="BH814" s="651" t="n">
        <v>757.3</v>
      </c>
      <c r="BI814" s="651" t="n">
        <v>671.9</v>
      </c>
      <c r="BJ814" s="651" t="n">
        <v>671.9</v>
      </c>
      <c r="BK814" s="651" t="n">
        <v>625.6</v>
      </c>
      <c r="BL814" s="651" t="n">
        <v>682.5</v>
      </c>
      <c r="BM814" s="651" t="n">
        <v>812.8</v>
      </c>
      <c r="BN814" s="651" t="n">
        <v>918.4</v>
      </c>
      <c r="BO814" s="652" t="n">
        <v>918.4</v>
      </c>
      <c r="BP814" s="646"/>
      <c r="BQ814" s="646"/>
      <c r="BR814" s="646"/>
      <c r="BS814" s="646"/>
      <c r="BT814" s="646"/>
      <c r="BU814" s="646"/>
      <c r="BV814" s="646"/>
      <c r="BW814" s="646"/>
      <c r="BX814" s="646"/>
      <c r="BY814" s="646"/>
      <c r="BZ814" s="646"/>
      <c r="CA814" s="646"/>
      <c r="CB814" s="648"/>
      <c r="CC814" s="649"/>
    </row>
    <row r="815" s="51" customFormat="true" ht="15" hidden="false" customHeight="true" outlineLevel="0" collapsed="false">
      <c r="A815" s="596" t="s">
        <v>709</v>
      </c>
      <c r="B815" s="48"/>
      <c r="C815" s="659" t="n">
        <v>1</v>
      </c>
      <c r="D815" s="659" t="n">
        <v>1</v>
      </c>
      <c r="E815" s="659" t="n">
        <v>1</v>
      </c>
      <c r="F815" s="659" t="n">
        <v>1</v>
      </c>
      <c r="G815" s="659" t="n">
        <v>1</v>
      </c>
      <c r="H815" s="659" t="n">
        <v>1</v>
      </c>
      <c r="I815" s="659" t="n">
        <v>1</v>
      </c>
      <c r="J815" s="659" t="n">
        <v>1</v>
      </c>
      <c r="K815" s="659" t="n">
        <v>1</v>
      </c>
      <c r="L815" s="659" t="n">
        <v>1</v>
      </c>
      <c r="M815" s="659" t="n">
        <v>1</v>
      </c>
      <c r="N815" s="659" t="n">
        <v>1</v>
      </c>
      <c r="O815" s="659" t="n">
        <v>1</v>
      </c>
      <c r="P815" s="659" t="n">
        <v>1</v>
      </c>
      <c r="Q815" s="659" t="n">
        <v>1</v>
      </c>
      <c r="R815" s="659" t="n">
        <v>1</v>
      </c>
      <c r="S815" s="659" t="n">
        <v>1</v>
      </c>
      <c r="T815" s="659" t="n">
        <v>1</v>
      </c>
      <c r="U815" s="659" t="n">
        <v>1</v>
      </c>
      <c r="V815" s="659" t="n">
        <v>1</v>
      </c>
      <c r="W815" s="659" t="n">
        <v>1</v>
      </c>
      <c r="X815" s="659" t="n">
        <v>1</v>
      </c>
      <c r="Y815" s="659" t="n">
        <v>1</v>
      </c>
      <c r="Z815" s="659" t="n">
        <v>1</v>
      </c>
      <c r="AA815" s="659" t="n">
        <v>1</v>
      </c>
      <c r="AB815" s="659" t="n">
        <v>1</v>
      </c>
      <c r="AC815" s="659" t="n">
        <v>1</v>
      </c>
      <c r="AD815" s="659" t="n">
        <v>1</v>
      </c>
      <c r="AE815" s="659" t="n">
        <v>1</v>
      </c>
      <c r="AF815" s="659" t="n">
        <v>1</v>
      </c>
      <c r="AG815" s="659" t="n">
        <v>1</v>
      </c>
      <c r="AH815" s="659" t="n">
        <v>1</v>
      </c>
      <c r="AI815" s="659" t="n">
        <v>1</v>
      </c>
      <c r="AJ815" s="659" t="n">
        <v>1</v>
      </c>
      <c r="AK815" s="659" t="n">
        <v>1</v>
      </c>
      <c r="AL815" s="659" t="n">
        <v>1</v>
      </c>
      <c r="AM815" s="659" t="n">
        <v>1</v>
      </c>
      <c r="AN815" s="659" t="n">
        <v>1</v>
      </c>
      <c r="AO815" s="659" t="n">
        <v>1</v>
      </c>
      <c r="AP815" s="659" t="n">
        <v>1</v>
      </c>
      <c r="AQ815" s="659" t="n">
        <v>1</v>
      </c>
      <c r="AR815" s="659" t="n">
        <v>1</v>
      </c>
      <c r="AS815" s="659" t="n">
        <v>1</v>
      </c>
      <c r="AT815" s="659" t="n">
        <v>1</v>
      </c>
      <c r="AU815" s="659" t="n">
        <v>1</v>
      </c>
      <c r="AV815" s="659" t="n">
        <v>1</v>
      </c>
      <c r="AW815" s="659" t="n">
        <v>1</v>
      </c>
      <c r="AX815" s="659" t="n">
        <v>1</v>
      </c>
      <c r="AY815" s="659" t="n">
        <v>1</v>
      </c>
      <c r="AZ815" s="659" t="n">
        <v>1</v>
      </c>
      <c r="BA815" s="659" t="n">
        <v>1</v>
      </c>
      <c r="BB815" s="659" t="n">
        <v>1</v>
      </c>
      <c r="BC815" s="659" t="n">
        <v>1</v>
      </c>
      <c r="BD815" s="659" t="n">
        <v>1</v>
      </c>
      <c r="BE815" s="659" t="n">
        <v>1</v>
      </c>
      <c r="BF815" s="659" t="n">
        <v>1</v>
      </c>
      <c r="BG815" s="659" t="n">
        <v>1</v>
      </c>
      <c r="BH815" s="659" t="n">
        <v>1</v>
      </c>
      <c r="BI815" s="659" t="n">
        <v>1</v>
      </c>
      <c r="BJ815" s="659" t="n">
        <v>1</v>
      </c>
      <c r="BK815" s="659" t="n">
        <v>1</v>
      </c>
      <c r="BL815" s="659" t="n">
        <v>1</v>
      </c>
      <c r="BM815" s="659" t="n">
        <v>1</v>
      </c>
      <c r="BN815" s="659" t="n">
        <v>1</v>
      </c>
      <c r="BO815" s="660" t="n">
        <v>1</v>
      </c>
      <c r="BP815" s="654"/>
      <c r="BQ815" s="654"/>
      <c r="BR815" s="654"/>
      <c r="BS815" s="654"/>
      <c r="BT815" s="654"/>
      <c r="BU815" s="654"/>
      <c r="BV815" s="654"/>
      <c r="BW815" s="654"/>
      <c r="BX815" s="654"/>
      <c r="BY815" s="654"/>
      <c r="BZ815" s="654"/>
      <c r="CA815" s="654"/>
      <c r="CB815" s="656"/>
      <c r="CC815" s="621"/>
    </row>
    <row r="816" s="51" customFormat="true" ht="15" hidden="false" customHeight="true" outlineLevel="0" collapsed="false">
      <c r="A816" s="598"/>
      <c r="B816" s="259"/>
      <c r="C816" s="661"/>
      <c r="D816" s="661"/>
      <c r="E816" s="661"/>
      <c r="F816" s="661"/>
      <c r="G816" s="661"/>
      <c r="H816" s="661"/>
      <c r="I816" s="661"/>
      <c r="J816" s="661"/>
      <c r="K816" s="661"/>
      <c r="L816" s="661"/>
      <c r="M816" s="661"/>
      <c r="N816" s="661"/>
      <c r="O816" s="661"/>
      <c r="P816" s="661"/>
      <c r="Q816" s="661"/>
      <c r="R816" s="661"/>
      <c r="S816" s="661"/>
      <c r="T816" s="661"/>
      <c r="U816" s="661"/>
      <c r="V816" s="661"/>
      <c r="W816" s="661"/>
      <c r="X816" s="661"/>
      <c r="Y816" s="661"/>
      <c r="Z816" s="661"/>
      <c r="AA816" s="661"/>
      <c r="AB816" s="661"/>
      <c r="AC816" s="661"/>
      <c r="AD816" s="661"/>
      <c r="AE816" s="661"/>
      <c r="AF816" s="661"/>
      <c r="AG816" s="661"/>
      <c r="AH816" s="661"/>
      <c r="AI816" s="661"/>
      <c r="AJ816" s="661"/>
      <c r="AK816" s="661"/>
      <c r="AL816" s="661"/>
      <c r="AM816" s="661"/>
      <c r="AN816" s="661"/>
      <c r="AO816" s="661"/>
      <c r="AP816" s="661"/>
      <c r="AQ816" s="661"/>
      <c r="AR816" s="661"/>
      <c r="AS816" s="661"/>
      <c r="AT816" s="661"/>
      <c r="AU816" s="661"/>
      <c r="AV816" s="661"/>
      <c r="AW816" s="661"/>
      <c r="AX816" s="661"/>
      <c r="AY816" s="661"/>
      <c r="AZ816" s="661"/>
      <c r="BA816" s="661"/>
      <c r="BB816" s="661"/>
      <c r="BC816" s="661"/>
      <c r="BD816" s="661"/>
      <c r="BE816" s="661"/>
      <c r="BF816" s="661"/>
      <c r="BG816" s="661"/>
      <c r="BH816" s="661"/>
      <c r="BI816" s="661"/>
      <c r="BJ816" s="661"/>
      <c r="BK816" s="661"/>
      <c r="BL816" s="661"/>
      <c r="BM816" s="661"/>
      <c r="BN816" s="661"/>
      <c r="BO816" s="662"/>
      <c r="BP816" s="661"/>
      <c r="BQ816" s="661"/>
      <c r="BR816" s="661"/>
      <c r="BS816" s="661"/>
      <c r="BT816" s="661"/>
      <c r="BU816" s="661"/>
      <c r="BV816" s="661"/>
      <c r="BW816" s="661"/>
      <c r="BX816" s="661"/>
      <c r="BY816" s="661"/>
      <c r="BZ816" s="661"/>
      <c r="CA816" s="661"/>
      <c r="CB816" s="663"/>
      <c r="CC816" s="621"/>
    </row>
    <row r="817" s="51" customFormat="true" ht="15" hidden="false" customHeight="true" outlineLevel="0" collapsed="false">
      <c r="A817" s="425"/>
      <c r="B817" s="428"/>
      <c r="C817" s="414"/>
      <c r="D817" s="414"/>
      <c r="E817" s="414"/>
      <c r="F817" s="414"/>
      <c r="G817" s="414"/>
      <c r="H817" s="414"/>
      <c r="I817" s="414"/>
      <c r="J817" s="414"/>
      <c r="K817" s="414"/>
      <c r="L817" s="414"/>
      <c r="M817" s="414"/>
      <c r="N817" s="414"/>
      <c r="O817" s="414"/>
      <c r="P817" s="414"/>
      <c r="Q817" s="414"/>
      <c r="R817" s="414"/>
      <c r="S817" s="414"/>
      <c r="T817" s="414"/>
      <c r="U817" s="414"/>
      <c r="V817" s="414"/>
      <c r="W817" s="414"/>
      <c r="X817" s="414"/>
      <c r="Y817" s="414"/>
      <c r="Z817" s="414"/>
      <c r="AA817" s="414"/>
      <c r="AB817" s="414"/>
      <c r="AC817" s="414"/>
      <c r="AD817" s="414"/>
      <c r="AE817" s="414"/>
      <c r="AF817" s="414"/>
      <c r="AG817" s="414"/>
      <c r="AH817" s="414"/>
      <c r="AI817" s="414"/>
      <c r="AJ817" s="414"/>
      <c r="AK817" s="414"/>
      <c r="AL817" s="414"/>
      <c r="AM817" s="414"/>
      <c r="AN817" s="414"/>
      <c r="AO817" s="414"/>
      <c r="AP817" s="414"/>
      <c r="AQ817" s="414"/>
      <c r="AR817" s="414"/>
      <c r="AS817" s="414"/>
      <c r="AT817" s="414"/>
      <c r="AU817" s="414"/>
      <c r="AV817" s="414"/>
      <c r="AW817" s="414"/>
      <c r="AX817" s="414"/>
      <c r="AY817" s="414"/>
      <c r="AZ817" s="414"/>
      <c r="BA817" s="414"/>
      <c r="BB817" s="414"/>
      <c r="BC817" s="414"/>
      <c r="BD817" s="414"/>
      <c r="BE817" s="414"/>
      <c r="BF817" s="414"/>
      <c r="BG817" s="414"/>
      <c r="BH817" s="414"/>
      <c r="BI817" s="414"/>
      <c r="BJ817" s="414"/>
      <c r="BK817" s="414"/>
      <c r="BL817" s="414"/>
      <c r="BM817" s="414"/>
      <c r="BN817" s="414"/>
      <c r="BO817" s="639"/>
      <c r="BP817" s="414"/>
      <c r="BQ817" s="414"/>
      <c r="BR817" s="414"/>
      <c r="BS817" s="414"/>
      <c r="BT817" s="414"/>
      <c r="BU817" s="414"/>
      <c r="BV817" s="414"/>
      <c r="BW817" s="414"/>
      <c r="BX817" s="414"/>
      <c r="BY817" s="414"/>
      <c r="BZ817" s="414"/>
      <c r="CA817" s="414"/>
      <c r="CB817" s="414"/>
      <c r="CC817" s="50"/>
    </row>
    <row r="818" s="51" customFormat="true" ht="15" hidden="false" customHeight="true" outlineLevel="0" collapsed="false">
      <c r="A818" s="394" t="s">
        <v>710</v>
      </c>
      <c r="B818" s="414"/>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9"/>
      <c r="BP818" s="48"/>
      <c r="BQ818" s="48"/>
      <c r="BR818" s="48"/>
      <c r="BS818" s="48"/>
      <c r="BT818" s="48"/>
      <c r="BU818" s="48"/>
      <c r="BV818" s="48"/>
      <c r="BW818" s="48"/>
      <c r="BX818" s="48"/>
      <c r="BY818" s="48"/>
      <c r="BZ818" s="48"/>
      <c r="CA818" s="48"/>
      <c r="CB818" s="48"/>
      <c r="CC818" s="50"/>
    </row>
    <row r="819" s="666" customFormat="true" ht="15" hidden="false" customHeight="true" outlineLevel="0" collapsed="false">
      <c r="A819" s="544" t="s">
        <v>711</v>
      </c>
      <c r="B819" s="646" t="n">
        <f aca="false">FP.LastPrice</f>
        <v>1217.6</v>
      </c>
      <c r="C819" s="664"/>
      <c r="D819" s="664"/>
      <c r="E819" s="664"/>
      <c r="F819" s="664"/>
      <c r="G819" s="664"/>
      <c r="H819" s="664"/>
      <c r="I819" s="664"/>
      <c r="J819" s="664"/>
      <c r="K819" s="664"/>
      <c r="L819" s="664"/>
      <c r="M819" s="664"/>
      <c r="N819" s="664"/>
      <c r="O819" s="664"/>
      <c r="P819" s="664"/>
      <c r="Q819" s="664"/>
      <c r="R819" s="664"/>
      <c r="S819" s="664"/>
      <c r="T819" s="664"/>
      <c r="U819" s="664"/>
      <c r="V819" s="664"/>
      <c r="W819" s="664"/>
      <c r="X819" s="664"/>
      <c r="Y819" s="664"/>
      <c r="Z819" s="664"/>
      <c r="AA819" s="664"/>
      <c r="AB819" s="664"/>
      <c r="AC819" s="664"/>
      <c r="AD819" s="664"/>
      <c r="AE819" s="664"/>
      <c r="AF819" s="664"/>
      <c r="AG819" s="664"/>
      <c r="AH819" s="664"/>
      <c r="AI819" s="664"/>
      <c r="AJ819" s="664"/>
      <c r="AK819" s="664"/>
      <c r="AL819" s="664"/>
      <c r="AM819" s="664"/>
      <c r="AN819" s="664"/>
      <c r="AO819" s="664"/>
      <c r="AP819" s="664"/>
      <c r="AQ819" s="664"/>
      <c r="AR819" s="664"/>
      <c r="AS819" s="664"/>
      <c r="AT819" s="664"/>
      <c r="AU819" s="664"/>
      <c r="AV819" s="664"/>
      <c r="AW819" s="664"/>
      <c r="AX819" s="664"/>
      <c r="AY819" s="664"/>
      <c r="AZ819" s="664"/>
      <c r="BA819" s="664"/>
      <c r="BB819" s="664"/>
      <c r="BC819" s="664"/>
      <c r="BD819" s="664"/>
      <c r="BE819" s="664"/>
      <c r="BF819" s="664"/>
      <c r="BG819" s="664"/>
      <c r="BH819" s="664"/>
      <c r="BI819" s="664"/>
      <c r="BJ819" s="664"/>
      <c r="BK819" s="664"/>
      <c r="BL819" s="664"/>
      <c r="BM819" s="664"/>
      <c r="BN819" s="664"/>
      <c r="BO819" s="665"/>
      <c r="BP819" s="664"/>
      <c r="BQ819" s="664"/>
      <c r="BR819" s="664"/>
      <c r="BS819" s="664"/>
      <c r="BT819" s="664"/>
      <c r="BU819" s="664"/>
      <c r="BV819" s="664"/>
      <c r="BW819" s="664"/>
      <c r="BX819" s="664"/>
      <c r="BY819" s="664"/>
      <c r="BZ819" s="664"/>
      <c r="CA819" s="664"/>
      <c r="CB819" s="664"/>
      <c r="CC819" s="546"/>
    </row>
    <row r="820" customFormat="false" ht="15" hidden="false" customHeight="true" outlineLevel="0" collapsed="false">
      <c r="A820" s="270" t="s">
        <v>712</v>
      </c>
      <c r="B820" s="667" t="n">
        <f aca="false">FP.LastPriceDate</f>
        <v>46049</v>
      </c>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c r="AX820" s="55"/>
      <c r="AY820" s="55"/>
      <c r="AZ820" s="55"/>
      <c r="BA820" s="55"/>
      <c r="BB820" s="55"/>
      <c r="BC820" s="55"/>
      <c r="BD820" s="55"/>
      <c r="BE820" s="55"/>
      <c r="BF820" s="55"/>
      <c r="BG820" s="55"/>
      <c r="BH820" s="55"/>
      <c r="BI820" s="55"/>
      <c r="BJ820" s="55"/>
      <c r="BK820" s="55"/>
      <c r="BL820" s="55"/>
      <c r="BM820" s="55"/>
      <c r="BN820" s="55"/>
      <c r="BO820" s="595"/>
      <c r="BP820" s="55"/>
      <c r="BQ820" s="55"/>
      <c r="BR820" s="55"/>
      <c r="BS820" s="55"/>
      <c r="BT820" s="55"/>
      <c r="BU820" s="55"/>
      <c r="BV820" s="55"/>
      <c r="BW820" s="55"/>
      <c r="BX820" s="55"/>
      <c r="BY820" s="55"/>
      <c r="BZ820" s="55"/>
      <c r="CA820" s="55"/>
      <c r="CB820" s="55"/>
      <c r="CC820" s="58"/>
    </row>
    <row r="821" customFormat="false" ht="15" hidden="false" customHeight="true" outlineLevel="0" collapsed="false">
      <c r="A821" s="270" t="s">
        <v>713</v>
      </c>
      <c r="B821" s="668" t="b">
        <f aca="false">IF(FP.RealTimeToggle="ON",TRUE(),FALSE())</f>
        <v>0</v>
      </c>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c r="AX821" s="55"/>
      <c r="AY821" s="55"/>
      <c r="AZ821" s="55"/>
      <c r="BA821" s="55"/>
      <c r="BB821" s="55"/>
      <c r="BC821" s="55"/>
      <c r="BD821" s="55"/>
      <c r="BE821" s="55"/>
      <c r="BF821" s="55"/>
      <c r="BG821" s="55"/>
      <c r="BH821" s="55"/>
      <c r="BI821" s="55"/>
      <c r="BJ821" s="55"/>
      <c r="BK821" s="55"/>
      <c r="BL821" s="55"/>
      <c r="BM821" s="55"/>
      <c r="BN821" s="55"/>
      <c r="BO821" s="595"/>
      <c r="BP821" s="55"/>
      <c r="BQ821" s="55"/>
      <c r="BR821" s="55"/>
      <c r="BS821" s="55"/>
      <c r="BT821" s="55"/>
      <c r="BU821" s="55"/>
      <c r="BV821" s="55"/>
      <c r="BW821" s="55"/>
      <c r="BX821" s="55"/>
      <c r="BY821" s="55"/>
      <c r="BZ821" s="55"/>
      <c r="CA821" s="55"/>
      <c r="CB821" s="55"/>
      <c r="CC821" s="58"/>
    </row>
    <row r="822" s="666" customFormat="true" ht="15" hidden="false" customHeight="true" outlineLevel="0" collapsed="false">
      <c r="A822" s="544" t="s">
        <v>714</v>
      </c>
      <c r="B822" s="546" t="str">
        <f aca="false">IFERROR(CHOOSE(MO.DataSourceIndex,bdp(MO.Ticker.Bloomberg&amp;" EQUITY","PX_LAST"),ciq(MO.Ticker.CapIQ,"IQ_LASTSALEPRICE"),fds(MO.Ticker.FactSet,"FG_PRICE(NOW)"),_xll.tr(MO.Ticker.Thomson,"TRDPRC_1")),"N/A")</f>
        <v>N/A</v>
      </c>
      <c r="C822" s="664"/>
      <c r="D822" s="664"/>
      <c r="E822" s="664"/>
      <c r="F822" s="664"/>
      <c r="G822" s="664"/>
      <c r="H822" s="664"/>
      <c r="I822" s="664"/>
      <c r="J822" s="664"/>
      <c r="K822" s="664"/>
      <c r="L822" s="664"/>
      <c r="M822" s="664"/>
      <c r="N822" s="664"/>
      <c r="O822" s="664"/>
      <c r="P822" s="664"/>
      <c r="Q822" s="664"/>
      <c r="R822" s="664"/>
      <c r="S822" s="664"/>
      <c r="T822" s="664"/>
      <c r="U822" s="664"/>
      <c r="V822" s="664"/>
      <c r="W822" s="664"/>
      <c r="X822" s="664"/>
      <c r="Y822" s="664"/>
      <c r="Z822" s="664"/>
      <c r="AA822" s="664"/>
      <c r="AB822" s="664"/>
      <c r="AC822" s="664"/>
      <c r="AD822" s="664"/>
      <c r="AE822" s="664"/>
      <c r="AF822" s="664"/>
      <c r="AG822" s="664"/>
      <c r="AH822" s="664"/>
      <c r="AI822" s="664"/>
      <c r="AJ822" s="664"/>
      <c r="AK822" s="664"/>
      <c r="AL822" s="664"/>
      <c r="AM822" s="664"/>
      <c r="AN822" s="664"/>
      <c r="AO822" s="664"/>
      <c r="AP822" s="664"/>
      <c r="AQ822" s="664"/>
      <c r="AR822" s="664"/>
      <c r="AS822" s="664"/>
      <c r="AT822" s="664"/>
      <c r="AU822" s="664"/>
      <c r="AV822" s="664"/>
      <c r="AW822" s="664"/>
      <c r="AX822" s="664"/>
      <c r="AY822" s="664"/>
      <c r="AZ822" s="664"/>
      <c r="BA822" s="664"/>
      <c r="BB822" s="664"/>
      <c r="BC822" s="664"/>
      <c r="BD822" s="664"/>
      <c r="BE822" s="664"/>
      <c r="BF822" s="664"/>
      <c r="BG822" s="664"/>
      <c r="BH822" s="664"/>
      <c r="BI822" s="664"/>
      <c r="BJ822" s="664"/>
      <c r="BK822" s="664"/>
      <c r="BL822" s="664"/>
      <c r="BM822" s="664"/>
      <c r="BN822" s="664"/>
      <c r="BO822" s="665"/>
      <c r="BP822" s="664"/>
      <c r="BQ822" s="664"/>
      <c r="BR822" s="664"/>
      <c r="BS822" s="664"/>
      <c r="BT822" s="664"/>
      <c r="BU822" s="664"/>
      <c r="BV822" s="664"/>
      <c r="BW822" s="664"/>
      <c r="BX822" s="664"/>
      <c r="BY822" s="664"/>
      <c r="BZ822" s="664"/>
      <c r="CA822" s="664"/>
      <c r="CB822" s="664"/>
      <c r="CC822" s="546"/>
    </row>
    <row r="823" s="666" customFormat="true" ht="15" hidden="false" customHeight="true" outlineLevel="0" collapsed="false">
      <c r="A823" s="544" t="s">
        <v>715</v>
      </c>
      <c r="B823" s="546" t="n">
        <f aca="false">OR(AND(OR(EXACT(HP.TradeCurrency.HardCoded,"GBp"),EXACT(HP.TradeCurrency.HardCoded,"GBX")),EXACT(HP.ReportCurrency,"GBP")),AND(OR(EXACT(HP.TradeCurrency.HardCoded,"ZAc"),EXACT(HP.TradeCurrency.HardCoded,"ZAC")),EXACT(HP.ReportCurrency,"ZAR")))</f>
        <v>0</v>
      </c>
      <c r="C823" s="664"/>
      <c r="D823" s="664"/>
      <c r="E823" s="664"/>
      <c r="F823" s="664"/>
      <c r="G823" s="664"/>
      <c r="H823" s="664"/>
      <c r="I823" s="664"/>
      <c r="J823" s="664"/>
      <c r="K823" s="664"/>
      <c r="L823" s="664"/>
      <c r="M823" s="664"/>
      <c r="N823" s="664"/>
      <c r="O823" s="664"/>
      <c r="P823" s="664"/>
      <c r="Q823" s="664"/>
      <c r="R823" s="664"/>
      <c r="S823" s="664"/>
      <c r="T823" s="664"/>
      <c r="U823" s="664"/>
      <c r="V823" s="664"/>
      <c r="W823" s="664"/>
      <c r="X823" s="664"/>
      <c r="Y823" s="664"/>
      <c r="Z823" s="664"/>
      <c r="AA823" s="664"/>
      <c r="AB823" s="664"/>
      <c r="AC823" s="664"/>
      <c r="AD823" s="664"/>
      <c r="AE823" s="664"/>
      <c r="AF823" s="664"/>
      <c r="AG823" s="664"/>
      <c r="AH823" s="664"/>
      <c r="AI823" s="664"/>
      <c r="AJ823" s="664"/>
      <c r="AK823" s="664"/>
      <c r="AL823" s="664"/>
      <c r="AM823" s="664"/>
      <c r="AN823" s="664"/>
      <c r="AO823" s="664"/>
      <c r="AP823" s="664"/>
      <c r="AQ823" s="664"/>
      <c r="AR823" s="664"/>
      <c r="AS823" s="664"/>
      <c r="AT823" s="664"/>
      <c r="AU823" s="664"/>
      <c r="AV823" s="664"/>
      <c r="AW823" s="664"/>
      <c r="AX823" s="664"/>
      <c r="AY823" s="664"/>
      <c r="AZ823" s="664"/>
      <c r="BA823" s="664"/>
      <c r="BB823" s="664"/>
      <c r="BC823" s="664"/>
      <c r="BD823" s="664"/>
      <c r="BE823" s="664"/>
      <c r="BF823" s="664"/>
      <c r="BG823" s="664"/>
      <c r="BH823" s="664"/>
      <c r="BI823" s="664"/>
      <c r="BJ823" s="664"/>
      <c r="BK823" s="664"/>
      <c r="BL823" s="664"/>
      <c r="BM823" s="664"/>
      <c r="BN823" s="664"/>
      <c r="BO823" s="665"/>
      <c r="BP823" s="664"/>
      <c r="BQ823" s="664"/>
      <c r="BR823" s="664"/>
      <c r="BS823" s="664"/>
      <c r="BT823" s="664"/>
      <c r="BU823" s="664"/>
      <c r="BV823" s="664"/>
      <c r="BW823" s="664"/>
      <c r="BX823" s="664"/>
      <c r="BY823" s="664"/>
      <c r="BZ823" s="664"/>
      <c r="CA823" s="664"/>
      <c r="CB823" s="664"/>
      <c r="CC823" s="546"/>
    </row>
    <row r="824" s="666" customFormat="true" ht="15" hidden="false" customHeight="true" outlineLevel="0" collapsed="false">
      <c r="A824" s="544" t="s">
        <v>716</v>
      </c>
      <c r="B824" s="546" t="str">
        <f aca="false">IFERROR(CHOOSE(MO.DataSourceIndex,bdp(HP.Ticker&amp;" Equity","CRNCY"),ciq(HP.Ticker,"IQ_TRADING_CURRENCY"),fds(HP.Ticker,"P_CURRENCY(""ISO"")"),_xll.tr(HP.Ticker,"Currency")),HP.TradeCurrency.HardCoded)</f>
        <v>EUR</v>
      </c>
      <c r="C824" s="664"/>
      <c r="D824" s="664"/>
      <c r="E824" s="664"/>
      <c r="F824" s="664"/>
      <c r="G824" s="664"/>
      <c r="H824" s="664"/>
      <c r="I824" s="664"/>
      <c r="J824" s="664"/>
      <c r="K824" s="664"/>
      <c r="L824" s="664"/>
      <c r="M824" s="664"/>
      <c r="N824" s="664"/>
      <c r="O824" s="664"/>
      <c r="P824" s="664"/>
      <c r="Q824" s="664"/>
      <c r="R824" s="664"/>
      <c r="S824" s="664"/>
      <c r="T824" s="664"/>
      <c r="U824" s="664"/>
      <c r="V824" s="664"/>
      <c r="W824" s="664"/>
      <c r="X824" s="664"/>
      <c r="Y824" s="664"/>
      <c r="Z824" s="664"/>
      <c r="AA824" s="664"/>
      <c r="AB824" s="664"/>
      <c r="AC824" s="664"/>
      <c r="AD824" s="664"/>
      <c r="AE824" s="664"/>
      <c r="AF824" s="664"/>
      <c r="AG824" s="664"/>
      <c r="AH824" s="664"/>
      <c r="AI824" s="664"/>
      <c r="AJ824" s="664"/>
      <c r="AK824" s="664"/>
      <c r="AL824" s="664"/>
      <c r="AM824" s="664"/>
      <c r="AN824" s="664"/>
      <c r="AO824" s="664"/>
      <c r="AP824" s="664"/>
      <c r="AQ824" s="664"/>
      <c r="AR824" s="664"/>
      <c r="AS824" s="664"/>
      <c r="AT824" s="664"/>
      <c r="AU824" s="664"/>
      <c r="AV824" s="664"/>
      <c r="AW824" s="664"/>
      <c r="AX824" s="664"/>
      <c r="AY824" s="664"/>
      <c r="AZ824" s="664"/>
      <c r="BA824" s="664"/>
      <c r="BB824" s="664"/>
      <c r="BC824" s="664"/>
      <c r="BD824" s="664"/>
      <c r="BE824" s="664"/>
      <c r="BF824" s="664"/>
      <c r="BG824" s="664"/>
      <c r="BH824" s="664"/>
      <c r="BI824" s="664"/>
      <c r="BJ824" s="664"/>
      <c r="BK824" s="664"/>
      <c r="BL824" s="664"/>
      <c r="BM824" s="664"/>
      <c r="BN824" s="664"/>
      <c r="BO824" s="665"/>
      <c r="BP824" s="664"/>
      <c r="BQ824" s="664"/>
      <c r="BR824" s="664"/>
      <c r="BS824" s="664"/>
      <c r="BT824" s="664"/>
      <c r="BU824" s="664"/>
      <c r="BV824" s="664"/>
      <c r="BW824" s="664"/>
      <c r="BX824" s="664"/>
      <c r="BY824" s="664"/>
      <c r="BZ824" s="664"/>
      <c r="CA824" s="664"/>
      <c r="CB824" s="664"/>
      <c r="CC824" s="546"/>
    </row>
    <row r="825" s="666" customFormat="true" ht="15" hidden="false" customHeight="true" outlineLevel="0" collapsed="false">
      <c r="A825" s="544" t="s">
        <v>717</v>
      </c>
      <c r="B825" s="669" t="s">
        <v>718</v>
      </c>
      <c r="C825" s="664"/>
      <c r="D825" s="664"/>
      <c r="E825" s="664"/>
      <c r="F825" s="664"/>
      <c r="G825" s="664"/>
      <c r="H825" s="664"/>
      <c r="I825" s="664"/>
      <c r="J825" s="664"/>
      <c r="K825" s="664"/>
      <c r="L825" s="664"/>
      <c r="M825" s="664"/>
      <c r="N825" s="664"/>
      <c r="O825" s="664"/>
      <c r="P825" s="664"/>
      <c r="Q825" s="664"/>
      <c r="R825" s="664"/>
      <c r="S825" s="664"/>
      <c r="T825" s="664"/>
      <c r="U825" s="664"/>
      <c r="V825" s="664"/>
      <c r="W825" s="664"/>
      <c r="X825" s="664"/>
      <c r="Y825" s="664"/>
      <c r="Z825" s="664"/>
      <c r="AA825" s="664"/>
      <c r="AB825" s="664"/>
      <c r="AC825" s="664"/>
      <c r="AD825" s="664"/>
      <c r="AE825" s="664"/>
      <c r="AF825" s="664"/>
      <c r="AG825" s="664"/>
      <c r="AH825" s="664"/>
      <c r="AI825" s="664"/>
      <c r="AJ825" s="664"/>
      <c r="AK825" s="664"/>
      <c r="AL825" s="664"/>
      <c r="AM825" s="664"/>
      <c r="AN825" s="664"/>
      <c r="AO825" s="664"/>
      <c r="AP825" s="664"/>
      <c r="AQ825" s="664"/>
      <c r="AR825" s="664"/>
      <c r="AS825" s="664"/>
      <c r="AT825" s="664"/>
      <c r="AU825" s="664"/>
      <c r="AV825" s="664"/>
      <c r="AW825" s="664"/>
      <c r="AX825" s="664"/>
      <c r="AY825" s="664"/>
      <c r="AZ825" s="664"/>
      <c r="BA825" s="664"/>
      <c r="BB825" s="664"/>
      <c r="BC825" s="664"/>
      <c r="BD825" s="664"/>
      <c r="BE825" s="664"/>
      <c r="BF825" s="664"/>
      <c r="BG825" s="664"/>
      <c r="BH825" s="664"/>
      <c r="BI825" s="664"/>
      <c r="BJ825" s="664"/>
      <c r="BK825" s="664"/>
      <c r="BL825" s="664"/>
      <c r="BM825" s="664"/>
      <c r="BN825" s="664"/>
      <c r="BO825" s="665"/>
      <c r="BP825" s="664"/>
      <c r="BQ825" s="664"/>
      <c r="BR825" s="664"/>
      <c r="BS825" s="664"/>
      <c r="BT825" s="664"/>
      <c r="BU825" s="664"/>
      <c r="BV825" s="664"/>
      <c r="BW825" s="664"/>
      <c r="BX825" s="664"/>
      <c r="BY825" s="664"/>
      <c r="BZ825" s="664"/>
      <c r="CA825" s="664"/>
      <c r="CB825" s="664"/>
      <c r="CC825" s="546"/>
    </row>
    <row r="826" s="666" customFormat="true" ht="15" hidden="false" customHeight="true" outlineLevel="0" collapsed="false">
      <c r="A826" s="544" t="s">
        <v>719</v>
      </c>
      <c r="B826" s="669" t="s">
        <v>718</v>
      </c>
      <c r="C826" s="664"/>
      <c r="D826" s="664"/>
      <c r="E826" s="664"/>
      <c r="F826" s="664"/>
      <c r="G826" s="664"/>
      <c r="H826" s="664"/>
      <c r="I826" s="664"/>
      <c r="J826" s="664"/>
      <c r="K826" s="664"/>
      <c r="L826" s="664"/>
      <c r="M826" s="664"/>
      <c r="N826" s="664"/>
      <c r="O826" s="664"/>
      <c r="P826" s="664"/>
      <c r="Q826" s="664"/>
      <c r="R826" s="664"/>
      <c r="S826" s="664"/>
      <c r="T826" s="664"/>
      <c r="U826" s="664"/>
      <c r="V826" s="664"/>
      <c r="W826" s="664"/>
      <c r="X826" s="664"/>
      <c r="Y826" s="664"/>
      <c r="Z826" s="664"/>
      <c r="AA826" s="664"/>
      <c r="AB826" s="664"/>
      <c r="AC826" s="664"/>
      <c r="AD826" s="664"/>
      <c r="AE826" s="664"/>
      <c r="AF826" s="664"/>
      <c r="AG826" s="664"/>
      <c r="AH826" s="664"/>
      <c r="AI826" s="664"/>
      <c r="AJ826" s="664"/>
      <c r="AK826" s="664"/>
      <c r="AL826" s="664"/>
      <c r="AM826" s="664"/>
      <c r="AN826" s="664"/>
      <c r="AO826" s="664"/>
      <c r="AP826" s="664"/>
      <c r="AQ826" s="664"/>
      <c r="AR826" s="664"/>
      <c r="AS826" s="664"/>
      <c r="AT826" s="664"/>
      <c r="AU826" s="664"/>
      <c r="AV826" s="664"/>
      <c r="AW826" s="664"/>
      <c r="AX826" s="664"/>
      <c r="AY826" s="664"/>
      <c r="AZ826" s="664"/>
      <c r="BA826" s="664"/>
      <c r="BB826" s="664"/>
      <c r="BC826" s="664"/>
      <c r="BD826" s="664"/>
      <c r="BE826" s="664"/>
      <c r="BF826" s="664"/>
      <c r="BG826" s="664"/>
      <c r="BH826" s="664"/>
      <c r="BI826" s="664"/>
      <c r="BJ826" s="664"/>
      <c r="BK826" s="664"/>
      <c r="BL826" s="664"/>
      <c r="BM826" s="664"/>
      <c r="BN826" s="664"/>
      <c r="BO826" s="665"/>
      <c r="BP826" s="664"/>
      <c r="BQ826" s="664"/>
      <c r="BR826" s="664"/>
      <c r="BS826" s="664"/>
      <c r="BT826" s="664"/>
      <c r="BU826" s="664"/>
      <c r="BV826" s="664"/>
      <c r="BW826" s="664"/>
      <c r="BX826" s="664"/>
      <c r="BY826" s="664"/>
      <c r="BZ826" s="664"/>
      <c r="CA826" s="664"/>
      <c r="CB826" s="664"/>
      <c r="CC826" s="546"/>
    </row>
    <row r="827" s="666" customFormat="true" ht="15" hidden="false" customHeight="true" outlineLevel="0" collapsed="false">
      <c r="A827" s="544" t="s">
        <v>720</v>
      </c>
      <c r="B827" s="542" t="n">
        <f aca="false">IF(EXACT(MO.ReportFX,HP.TradeCurrency),1,IF(OR(INDEX(MO_SPT_FXAverage,1,MO.MRFPColumnNumber+1)="N/A",ISERROR(INDEX(MO_SPT_FXAverage,1,MO.MRFPColumnNumber+1))),MO.MRFX.Hardcoded,INDEX(MO_SPT_FXAverage,1,MO.MRFPColumnNumber+1)))</f>
        <v>1</v>
      </c>
      <c r="C827" s="664"/>
      <c r="D827" s="664"/>
      <c r="E827" s="664"/>
      <c r="F827" s="664"/>
      <c r="G827" s="664"/>
      <c r="H827" s="664"/>
      <c r="I827" s="664"/>
      <c r="J827" s="664"/>
      <c r="K827" s="664"/>
      <c r="L827" s="664"/>
      <c r="M827" s="664"/>
      <c r="N827" s="664"/>
      <c r="O827" s="664"/>
      <c r="P827" s="664"/>
      <c r="Q827" s="664"/>
      <c r="R827" s="664"/>
      <c r="S827" s="664"/>
      <c r="T827" s="664"/>
      <c r="U827" s="664"/>
      <c r="V827" s="664"/>
      <c r="W827" s="664"/>
      <c r="X827" s="664"/>
      <c r="Y827" s="664"/>
      <c r="Z827" s="664"/>
      <c r="AA827" s="664"/>
      <c r="AB827" s="664"/>
      <c r="AC827" s="664"/>
      <c r="AD827" s="664"/>
      <c r="AE827" s="664"/>
      <c r="AF827" s="664"/>
      <c r="AG827" s="664"/>
      <c r="AH827" s="664"/>
      <c r="AI827" s="664"/>
      <c r="AJ827" s="664"/>
      <c r="AK827" s="664"/>
      <c r="AL827" s="664"/>
      <c r="AM827" s="664"/>
      <c r="AN827" s="664"/>
      <c r="AO827" s="664"/>
      <c r="AP827" s="664"/>
      <c r="AQ827" s="664"/>
      <c r="AR827" s="664"/>
      <c r="AS827" s="664"/>
      <c r="AT827" s="664"/>
      <c r="AU827" s="664"/>
      <c r="AV827" s="664"/>
      <c r="AW827" s="664"/>
      <c r="AX827" s="664"/>
      <c r="AY827" s="664"/>
      <c r="AZ827" s="664"/>
      <c r="BA827" s="664"/>
      <c r="BB827" s="664"/>
      <c r="BC827" s="664"/>
      <c r="BD827" s="664"/>
      <c r="BE827" s="664"/>
      <c r="BF827" s="664"/>
      <c r="BG827" s="664"/>
      <c r="BH827" s="664"/>
      <c r="BI827" s="664"/>
      <c r="BJ827" s="664"/>
      <c r="BK827" s="664"/>
      <c r="BL827" s="664"/>
      <c r="BM827" s="664"/>
      <c r="BN827" s="664"/>
      <c r="BO827" s="665"/>
      <c r="BP827" s="664"/>
      <c r="BQ827" s="664"/>
      <c r="BR827" s="664"/>
      <c r="BS827" s="664"/>
      <c r="BT827" s="664"/>
      <c r="BU827" s="664"/>
      <c r="BV827" s="664"/>
      <c r="BW827" s="664"/>
      <c r="BX827" s="664"/>
      <c r="BY827" s="664"/>
      <c r="BZ827" s="664"/>
      <c r="CA827" s="664"/>
      <c r="CB827" s="664"/>
      <c r="CC827" s="546"/>
    </row>
    <row r="828" s="666" customFormat="true" ht="15" hidden="false" customHeight="true" outlineLevel="0" collapsed="false">
      <c r="A828" s="544" t="s">
        <v>721</v>
      </c>
      <c r="B828" s="659" t="n">
        <v>1</v>
      </c>
      <c r="C828" s="664"/>
      <c r="D828" s="664"/>
      <c r="E828" s="664"/>
      <c r="F828" s="664"/>
      <c r="G828" s="664"/>
      <c r="H828" s="664"/>
      <c r="I828" s="664"/>
      <c r="J828" s="664"/>
      <c r="K828" s="664"/>
      <c r="L828" s="664"/>
      <c r="M828" s="664"/>
      <c r="N828" s="664"/>
      <c r="O828" s="664"/>
      <c r="P828" s="664"/>
      <c r="Q828" s="664"/>
      <c r="R828" s="664"/>
      <c r="S828" s="664"/>
      <c r="T828" s="664"/>
      <c r="U828" s="664"/>
      <c r="V828" s="664"/>
      <c r="W828" s="664"/>
      <c r="X828" s="664"/>
      <c r="Y828" s="664"/>
      <c r="Z828" s="664"/>
      <c r="AA828" s="664"/>
      <c r="AB828" s="664"/>
      <c r="AC828" s="664"/>
      <c r="AD828" s="664"/>
      <c r="AE828" s="664"/>
      <c r="AF828" s="664"/>
      <c r="AG828" s="664"/>
      <c r="AH828" s="664"/>
      <c r="AI828" s="664"/>
      <c r="AJ828" s="664"/>
      <c r="AK828" s="664"/>
      <c r="AL828" s="664"/>
      <c r="AM828" s="664"/>
      <c r="AN828" s="664"/>
      <c r="AO828" s="664"/>
      <c r="AP828" s="664"/>
      <c r="AQ828" s="664"/>
      <c r="AR828" s="664"/>
      <c r="AS828" s="664"/>
      <c r="AT828" s="664"/>
      <c r="AU828" s="664"/>
      <c r="AV828" s="664"/>
      <c r="AW828" s="664"/>
      <c r="AX828" s="664"/>
      <c r="AY828" s="664"/>
      <c r="AZ828" s="664"/>
      <c r="BA828" s="664"/>
      <c r="BB828" s="664"/>
      <c r="BC828" s="664"/>
      <c r="BD828" s="664"/>
      <c r="BE828" s="664"/>
      <c r="BF828" s="664"/>
      <c r="BG828" s="664"/>
      <c r="BH828" s="664"/>
      <c r="BI828" s="664"/>
      <c r="BJ828" s="664"/>
      <c r="BK828" s="664"/>
      <c r="BL828" s="664"/>
      <c r="BM828" s="664"/>
      <c r="BN828" s="664"/>
      <c r="BO828" s="665"/>
      <c r="BP828" s="664"/>
      <c r="BQ828" s="664"/>
      <c r="BR828" s="664"/>
      <c r="BS828" s="664"/>
      <c r="BT828" s="664"/>
      <c r="BU828" s="664"/>
      <c r="BV828" s="664"/>
      <c r="BW828" s="664"/>
      <c r="BX828" s="664"/>
      <c r="BY828" s="664"/>
      <c r="BZ828" s="664"/>
      <c r="CA828" s="664"/>
      <c r="CB828" s="664"/>
      <c r="CC828" s="546"/>
    </row>
    <row r="829" s="45" customFormat="true" ht="15" hidden="false" customHeight="true" outlineLevel="0" collapsed="false">
      <c r="A829" s="242" t="s">
        <v>722</v>
      </c>
      <c r="B829" s="92" t="n">
        <f aca="false">MATCH(MO.MRFP,MO_Common_ColumnHeader,0)</f>
        <v>67</v>
      </c>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c r="AA829" s="215"/>
      <c r="AB829" s="215"/>
      <c r="AC829" s="215"/>
      <c r="AD829" s="215"/>
      <c r="AE829" s="215"/>
      <c r="AF829" s="215"/>
      <c r="AG829" s="215"/>
      <c r="AH829" s="215"/>
      <c r="AI829" s="215"/>
      <c r="AJ829" s="215"/>
      <c r="AK829" s="215"/>
      <c r="AL829" s="215"/>
      <c r="AM829" s="215"/>
      <c r="AN829" s="215"/>
      <c r="AO829" s="215"/>
      <c r="AP829" s="215"/>
      <c r="AQ829" s="215"/>
      <c r="AR829" s="215"/>
      <c r="AS829" s="215"/>
      <c r="AT829" s="215"/>
      <c r="AU829" s="215"/>
      <c r="AV829" s="215"/>
      <c r="AW829" s="215"/>
      <c r="AX829" s="215"/>
      <c r="AY829" s="215"/>
      <c r="AZ829" s="215"/>
      <c r="BA829" s="215"/>
      <c r="BB829" s="215"/>
      <c r="BC829" s="215"/>
      <c r="BD829" s="215"/>
      <c r="BE829" s="215"/>
      <c r="BF829" s="215"/>
      <c r="BG829" s="215"/>
      <c r="BH829" s="215"/>
      <c r="BI829" s="215"/>
      <c r="BJ829" s="215"/>
      <c r="BK829" s="215"/>
      <c r="BL829" s="215"/>
      <c r="BM829" s="215"/>
      <c r="BN829" s="215"/>
      <c r="BO829" s="586"/>
      <c r="BP829" s="215"/>
      <c r="BQ829" s="215"/>
      <c r="BR829" s="215"/>
      <c r="BS829" s="215"/>
      <c r="BT829" s="215"/>
      <c r="BU829" s="215"/>
      <c r="BV829" s="215"/>
      <c r="BW829" s="215"/>
      <c r="BX829" s="215"/>
      <c r="BY829" s="215"/>
      <c r="BZ829" s="215"/>
      <c r="CA829" s="215"/>
      <c r="CB829" s="215"/>
      <c r="CC829" s="92"/>
    </row>
    <row r="830" s="45" customFormat="true" ht="15" hidden="false" customHeight="true" outlineLevel="0" collapsed="false">
      <c r="A830" s="242" t="s">
        <v>723</v>
      </c>
      <c r="B830" s="216" t="s">
        <v>18</v>
      </c>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c r="AA830" s="215"/>
      <c r="AB830" s="215"/>
      <c r="AC830" s="215"/>
      <c r="AD830" s="215"/>
      <c r="AE830" s="215"/>
      <c r="AF830" s="215"/>
      <c r="AG830" s="215"/>
      <c r="AH830" s="215"/>
      <c r="AI830" s="215"/>
      <c r="AJ830" s="215"/>
      <c r="AK830" s="215"/>
      <c r="AL830" s="215"/>
      <c r="AM830" s="215"/>
      <c r="AN830" s="215"/>
      <c r="AO830" s="215"/>
      <c r="AP830" s="215"/>
      <c r="AQ830" s="215"/>
      <c r="AR830" s="215"/>
      <c r="AS830" s="215"/>
      <c r="AT830" s="215"/>
      <c r="AU830" s="215"/>
      <c r="AV830" s="215"/>
      <c r="AW830" s="215"/>
      <c r="AX830" s="215"/>
      <c r="AY830" s="215"/>
      <c r="AZ830" s="215"/>
      <c r="BA830" s="215"/>
      <c r="BB830" s="215"/>
      <c r="BC830" s="215"/>
      <c r="BD830" s="215"/>
      <c r="BE830" s="215"/>
      <c r="BF830" s="215"/>
      <c r="BG830" s="215"/>
      <c r="BH830" s="215"/>
      <c r="BI830" s="215"/>
      <c r="BJ830" s="215"/>
      <c r="BK830" s="215"/>
      <c r="BL830" s="215"/>
      <c r="BM830" s="215"/>
      <c r="BN830" s="215"/>
      <c r="BO830" s="586"/>
      <c r="BP830" s="215"/>
      <c r="BQ830" s="215"/>
      <c r="BR830" s="215"/>
      <c r="BS830" s="215"/>
      <c r="BT830" s="215"/>
      <c r="BU830" s="215"/>
      <c r="BV830" s="215"/>
      <c r="BW830" s="215"/>
      <c r="BX830" s="215"/>
      <c r="BY830" s="215"/>
      <c r="BZ830" s="215"/>
      <c r="CA830" s="215"/>
      <c r="CB830" s="215"/>
      <c r="CC830" s="92"/>
    </row>
    <row r="831" s="45" customFormat="true" ht="15" hidden="false" customHeight="true" outlineLevel="0" collapsed="false">
      <c r="A831" s="242" t="s">
        <v>724</v>
      </c>
      <c r="B831" s="92" t="str">
        <f aca="false">"FY"&amp;RIGHT(MO.MRFP,4)</f>
        <v>FY2025</v>
      </c>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c r="AA831" s="215"/>
      <c r="AB831" s="215"/>
      <c r="AC831" s="215"/>
      <c r="AD831" s="215"/>
      <c r="AE831" s="215"/>
      <c r="AF831" s="215"/>
      <c r="AG831" s="215"/>
      <c r="AH831" s="215"/>
      <c r="AI831" s="215"/>
      <c r="AJ831" s="215"/>
      <c r="AK831" s="215"/>
      <c r="AL831" s="215"/>
      <c r="AM831" s="215"/>
      <c r="AN831" s="215"/>
      <c r="AO831" s="215"/>
      <c r="AP831" s="215"/>
      <c r="AQ831" s="215"/>
      <c r="AR831" s="215"/>
      <c r="AS831" s="215"/>
      <c r="AT831" s="215"/>
      <c r="AU831" s="215"/>
      <c r="AV831" s="215"/>
      <c r="AW831" s="215"/>
      <c r="AX831" s="215"/>
      <c r="AY831" s="215"/>
      <c r="AZ831" s="215"/>
      <c r="BA831" s="215"/>
      <c r="BB831" s="215"/>
      <c r="BC831" s="215"/>
      <c r="BD831" s="215"/>
      <c r="BE831" s="215"/>
      <c r="BF831" s="215"/>
      <c r="BG831" s="215"/>
      <c r="BH831" s="215"/>
      <c r="BI831" s="215"/>
      <c r="BJ831" s="215"/>
      <c r="BK831" s="215"/>
      <c r="BL831" s="215"/>
      <c r="BM831" s="215"/>
      <c r="BN831" s="215"/>
      <c r="BO831" s="586"/>
      <c r="BP831" s="215"/>
      <c r="BQ831" s="215"/>
      <c r="BR831" s="215"/>
      <c r="BS831" s="215"/>
      <c r="BT831" s="215"/>
      <c r="BU831" s="215"/>
      <c r="BV831" s="215"/>
      <c r="BW831" s="215"/>
      <c r="BX831" s="215"/>
      <c r="BY831" s="215"/>
      <c r="BZ831" s="215"/>
      <c r="CA831" s="215"/>
      <c r="CB831" s="215"/>
      <c r="CC831" s="92"/>
    </row>
    <row r="832" s="45" customFormat="true" ht="15" hidden="false" customHeight="true" outlineLevel="0" collapsed="false">
      <c r="A832" s="242" t="s">
        <v>725</v>
      </c>
      <c r="B832" s="92" t="str">
        <f aca="false">"FY"&amp;RIGHT(MO.MRFP,4)+IF(LEFT(MO.MRFP,2)="FY",1,0)</f>
        <v>FY2026</v>
      </c>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c r="AA832" s="215"/>
      <c r="AB832" s="215"/>
      <c r="AC832" s="215"/>
      <c r="AD832" s="215"/>
      <c r="AE832" s="215"/>
      <c r="AF832" s="215"/>
      <c r="AG832" s="215"/>
      <c r="AH832" s="215"/>
      <c r="AI832" s="215"/>
      <c r="AJ832" s="215"/>
      <c r="AK832" s="215"/>
      <c r="AL832" s="215"/>
      <c r="AM832" s="215"/>
      <c r="AN832" s="215"/>
      <c r="AO832" s="215"/>
      <c r="AP832" s="215"/>
      <c r="AQ832" s="215"/>
      <c r="AR832" s="215"/>
      <c r="AS832" s="215"/>
      <c r="AT832" s="215"/>
      <c r="AU832" s="215"/>
      <c r="AV832" s="215"/>
      <c r="AW832" s="215"/>
      <c r="AX832" s="215"/>
      <c r="AY832" s="215"/>
      <c r="AZ832" s="215"/>
      <c r="BA832" s="215"/>
      <c r="BB832" s="215"/>
      <c r="BC832" s="215"/>
      <c r="BD832" s="215"/>
      <c r="BE832" s="215"/>
      <c r="BF832" s="215"/>
      <c r="BG832" s="215"/>
      <c r="BH832" s="215"/>
      <c r="BI832" s="215"/>
      <c r="BJ832" s="215"/>
      <c r="BK832" s="215"/>
      <c r="BL832" s="215"/>
      <c r="BM832" s="215"/>
      <c r="BN832" s="215"/>
      <c r="BO832" s="586"/>
      <c r="BP832" s="215"/>
      <c r="BQ832" s="215"/>
      <c r="BR832" s="215"/>
      <c r="BS832" s="215"/>
      <c r="BT832" s="215"/>
      <c r="BU832" s="215"/>
      <c r="BV832" s="215"/>
      <c r="BW832" s="215"/>
      <c r="BX832" s="215"/>
      <c r="BY832" s="215"/>
      <c r="BZ832" s="215"/>
      <c r="CA832" s="215"/>
      <c r="CB832" s="215"/>
      <c r="CC832" s="92"/>
    </row>
    <row r="833" s="45" customFormat="true" ht="15" hidden="false" customHeight="true" outlineLevel="0" collapsed="false">
      <c r="A833" s="242" t="s">
        <v>726</v>
      </c>
      <c r="B833" s="92" t="n">
        <f aca="false">COUNTA(tb_KPIs)-1</f>
        <v>22</v>
      </c>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c r="AA833" s="215"/>
      <c r="AB833" s="215"/>
      <c r="AC833" s="215"/>
      <c r="AD833" s="215"/>
      <c r="AE833" s="215"/>
      <c r="AF833" s="215"/>
      <c r="AG833" s="215"/>
      <c r="AH833" s="215"/>
      <c r="AI833" s="215"/>
      <c r="AJ833" s="215"/>
      <c r="AK833" s="215"/>
      <c r="AL833" s="215"/>
      <c r="AM833" s="215"/>
      <c r="AN833" s="215"/>
      <c r="AO833" s="215"/>
      <c r="AP833" s="215"/>
      <c r="AQ833" s="215"/>
      <c r="AR833" s="215"/>
      <c r="AS833" s="215"/>
      <c r="AT833" s="215"/>
      <c r="AU833" s="215"/>
      <c r="AV833" s="215"/>
      <c r="AW833" s="215"/>
      <c r="AX833" s="215"/>
      <c r="AY833" s="215"/>
      <c r="AZ833" s="215"/>
      <c r="BA833" s="215"/>
      <c r="BB833" s="215"/>
      <c r="BC833" s="215"/>
      <c r="BD833" s="215"/>
      <c r="BE833" s="215"/>
      <c r="BF833" s="215"/>
      <c r="BG833" s="215"/>
      <c r="BH833" s="215"/>
      <c r="BI833" s="215"/>
      <c r="BJ833" s="215"/>
      <c r="BK833" s="215"/>
      <c r="BL833" s="215"/>
      <c r="BM833" s="215"/>
      <c r="BN833" s="215"/>
      <c r="BO833" s="586"/>
      <c r="BP833" s="215"/>
      <c r="BQ833" s="215"/>
      <c r="BR833" s="215"/>
      <c r="BS833" s="215"/>
      <c r="BT833" s="215"/>
      <c r="BU833" s="215"/>
      <c r="BV833" s="215"/>
      <c r="BW833" s="215"/>
      <c r="BX833" s="215"/>
      <c r="BY833" s="215"/>
      <c r="BZ833" s="215"/>
      <c r="CA833" s="215"/>
      <c r="CB833" s="215"/>
      <c r="CC833" s="92"/>
    </row>
    <row r="834" s="45" customFormat="true" ht="15" hidden="false" customHeight="true" outlineLevel="0" collapsed="false">
      <c r="A834" s="305" t="s">
        <v>727</v>
      </c>
      <c r="B834" s="670" t="n">
        <f aca="false">IF(MO.DataSourceName="Bloomberg",1,IF(MO.DataSourceName="Capital IQ",2,IF(MO.DataSourceName="FactSet",3,IF(MO.DataSourceName="Refinitiv",4,1))))</f>
        <v>1</v>
      </c>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c r="AA834" s="215"/>
      <c r="AB834" s="215"/>
      <c r="AC834" s="215"/>
      <c r="AD834" s="215"/>
      <c r="AE834" s="215"/>
      <c r="AF834" s="215"/>
      <c r="AG834" s="215"/>
      <c r="AH834" s="215"/>
      <c r="AI834" s="215"/>
      <c r="AJ834" s="215"/>
      <c r="AK834" s="215"/>
      <c r="AL834" s="215"/>
      <c r="AM834" s="215"/>
      <c r="AN834" s="215"/>
      <c r="AO834" s="215"/>
      <c r="AP834" s="215"/>
      <c r="AQ834" s="215"/>
      <c r="AR834" s="215"/>
      <c r="AS834" s="215"/>
      <c r="AT834" s="215"/>
      <c r="AU834" s="215"/>
      <c r="AV834" s="215"/>
      <c r="AW834" s="215"/>
      <c r="AX834" s="215"/>
      <c r="AY834" s="215"/>
      <c r="AZ834" s="215"/>
      <c r="BA834" s="215"/>
      <c r="BB834" s="215"/>
      <c r="BC834" s="215"/>
      <c r="BD834" s="215"/>
      <c r="BE834" s="215"/>
      <c r="BF834" s="215"/>
      <c r="BG834" s="215"/>
      <c r="BH834" s="215"/>
      <c r="BI834" s="215"/>
      <c r="BJ834" s="215"/>
      <c r="BK834" s="215"/>
      <c r="BL834" s="215"/>
      <c r="BM834" s="215"/>
      <c r="BN834" s="215"/>
      <c r="BO834" s="586"/>
      <c r="BP834" s="215"/>
      <c r="BQ834" s="215"/>
      <c r="BR834" s="215"/>
      <c r="BS834" s="215"/>
      <c r="BT834" s="215"/>
      <c r="BU834" s="215"/>
      <c r="BV834" s="215"/>
      <c r="BW834" s="215"/>
      <c r="BX834" s="215"/>
      <c r="BY834" s="215"/>
      <c r="BZ834" s="215"/>
      <c r="CA834" s="215"/>
      <c r="CB834" s="215"/>
      <c r="CC834" s="92"/>
    </row>
    <row r="835" customFormat="false" ht="15" hidden="false" customHeight="true" outlineLevel="0" collapsed="false">
      <c r="A835" s="671"/>
      <c r="B835" s="671"/>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c r="AX835" s="55"/>
      <c r="AY835" s="55"/>
      <c r="AZ835" s="55"/>
      <c r="BA835" s="55"/>
      <c r="BB835" s="55"/>
      <c r="BC835" s="55"/>
      <c r="BD835" s="55"/>
      <c r="BE835" s="55"/>
      <c r="BF835" s="55"/>
      <c r="BG835" s="55"/>
      <c r="BH835" s="55"/>
      <c r="BI835" s="55"/>
      <c r="BJ835" s="55"/>
      <c r="BK835" s="55"/>
      <c r="BL835" s="55"/>
      <c r="BM835" s="55"/>
      <c r="BN835" s="55"/>
      <c r="BO835" s="595"/>
      <c r="BP835" s="55"/>
      <c r="BQ835" s="55"/>
      <c r="BR835" s="55"/>
      <c r="BS835" s="55"/>
      <c r="BT835" s="55"/>
      <c r="BU835" s="55"/>
      <c r="BV835" s="55"/>
      <c r="BW835" s="55"/>
      <c r="BX835" s="55"/>
      <c r="BY835" s="55"/>
      <c r="BZ835" s="55"/>
      <c r="CA835" s="55"/>
      <c r="CB835" s="55"/>
      <c r="CC835" s="58"/>
    </row>
    <row r="836" customFormat="false" ht="15" hidden="false" customHeight="true" outlineLevel="0" collapsed="false">
      <c r="A836" s="672" t="s">
        <v>728</v>
      </c>
      <c r="B836" s="673"/>
      <c r="C836" s="673"/>
      <c r="D836" s="673"/>
      <c r="E836" s="673"/>
      <c r="F836" s="673"/>
      <c r="G836" s="673"/>
      <c r="H836" s="673"/>
      <c r="I836" s="673"/>
      <c r="J836" s="673"/>
      <c r="K836" s="673"/>
      <c r="L836" s="673"/>
      <c r="M836" s="673"/>
      <c r="N836" s="673"/>
      <c r="O836" s="673"/>
      <c r="P836" s="673"/>
      <c r="Q836" s="673"/>
      <c r="R836" s="673"/>
      <c r="S836" s="673"/>
      <c r="T836" s="673"/>
      <c r="U836" s="673"/>
      <c r="V836" s="673"/>
      <c r="W836" s="673"/>
      <c r="X836" s="673"/>
      <c r="Y836" s="673"/>
      <c r="Z836" s="673"/>
      <c r="AA836" s="673"/>
      <c r="AB836" s="673"/>
      <c r="AC836" s="673"/>
      <c r="AD836" s="673"/>
      <c r="AE836" s="673"/>
      <c r="AF836" s="673"/>
      <c r="AG836" s="673"/>
      <c r="AH836" s="673"/>
      <c r="AI836" s="673"/>
      <c r="AJ836" s="673"/>
      <c r="AK836" s="673"/>
      <c r="AL836" s="673"/>
      <c r="AM836" s="673"/>
      <c r="AN836" s="673"/>
      <c r="AO836" s="673"/>
      <c r="AP836" s="673"/>
      <c r="AQ836" s="673"/>
      <c r="AR836" s="673"/>
      <c r="AS836" s="673"/>
      <c r="AT836" s="673"/>
      <c r="AU836" s="673"/>
      <c r="AV836" s="673"/>
      <c r="AW836" s="673"/>
      <c r="AX836" s="673"/>
      <c r="AY836" s="673"/>
      <c r="AZ836" s="673"/>
      <c r="BA836" s="673"/>
      <c r="BB836" s="673"/>
      <c r="BC836" s="673"/>
      <c r="BD836" s="673"/>
      <c r="BE836" s="673"/>
      <c r="BF836" s="673"/>
      <c r="BG836" s="673"/>
      <c r="BH836" s="673"/>
      <c r="BI836" s="673"/>
      <c r="BJ836" s="673"/>
      <c r="BK836" s="673"/>
      <c r="BL836" s="673"/>
      <c r="BM836" s="673"/>
      <c r="BN836" s="673"/>
      <c r="BO836" s="673"/>
      <c r="BP836" s="673"/>
      <c r="BQ836" s="673"/>
      <c r="BR836" s="673"/>
      <c r="BS836" s="673"/>
      <c r="BT836" s="673"/>
      <c r="BU836" s="673"/>
      <c r="BV836" s="673"/>
      <c r="BW836" s="673"/>
      <c r="BX836" s="673"/>
      <c r="BY836" s="673"/>
      <c r="BZ836" s="673"/>
      <c r="CA836" s="673"/>
      <c r="CB836" s="673"/>
      <c r="CC836" s="58"/>
    </row>
    <row r="837" customFormat="false" ht="15" hidden="false" customHeight="true" outlineLevel="0" collapsed="false">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c r="BO837" s="58"/>
      <c r="BP837" s="58"/>
      <c r="BQ837" s="58"/>
      <c r="BR837" s="58"/>
      <c r="BS837" s="58"/>
      <c r="BT837" s="58"/>
      <c r="BU837" s="58"/>
      <c r="BV837" s="58"/>
      <c r="BW837" s="58"/>
      <c r="BX837" s="58"/>
      <c r="BY837" s="58"/>
      <c r="BZ837" s="58"/>
      <c r="CA837" s="58"/>
      <c r="CB837" s="58"/>
      <c r="CC837" s="58"/>
    </row>
  </sheetData>
  <conditionalFormatting sqref="C688:J688 C689:CB700 C701:J701 C702:K703 C704:CB708 L688:O688 L701:CB701 M702:P703 Q688:CB688 R702:CB703">
    <cfRule type="cellIs" priority="2" operator="notEqual" aboveAverage="0" equalAverage="0" bottom="0" percent="0" rank="0" text="" dxfId="1">
      <formula>0</formula>
    </cfRule>
    <cfRule type="cellIs" priority="3" operator="equal" aboveAverage="0" equalAverage="0" bottom="0" percent="0" rank="0" text="" dxfId="2">
      <formula>0</formula>
    </cfRule>
  </conditionalFormatting>
  <conditionalFormatting sqref="C685:CB685">
    <cfRule type="cellIs" priority="4" operator="notEqual" aboveAverage="0" equalAverage="0" bottom="0" percent="0" rank="0" text="" dxfId="1">
      <formula>0</formula>
    </cfRule>
    <cfRule type="cellIs" priority="5" operator="equal" aboveAverage="0" equalAverage="0" bottom="0" percent="0" rank="0" text="" dxfId="2">
      <formula>0</formula>
    </cfRule>
  </conditionalFormatting>
  <conditionalFormatting sqref="C580:CB580">
    <cfRule type="cellIs" priority="6" operator="notEqual" aboveAverage="0" equalAverage="0" bottom="0" percent="0" rank="0" text="" dxfId="1">
      <formula>0</formula>
    </cfRule>
    <cfRule type="cellIs" priority="7" operator="equal" aboveAverage="0" equalAverage="0" bottom="0" percent="0" rank="0" text="" dxfId="2">
      <formula>0</formula>
    </cfRule>
  </conditionalFormatting>
  <conditionalFormatting sqref="C320:J320 L320:O320 Q320:CB320">
    <cfRule type="cellIs" priority="8" operator="notEqual" aboveAverage="0" equalAverage="0" bottom="0" percent="0" rank="0" text="" dxfId="1">
      <formula>0</formula>
    </cfRule>
    <cfRule type="cellIs" priority="9" operator="equal" aboveAverage="0" equalAverage="0" bottom="0" percent="0" rank="0" text="" dxfId="2">
      <formula>0</formula>
    </cfRule>
  </conditionalFormatting>
  <dataValidations count="1">
    <dataValidation allowBlank="true" errorStyle="stop" operator="between" showDropDown="false" showErrorMessage="true" showInputMessage="true" sqref="B445" type="list">
      <formula1>OFFSET(tb_ValuationToggle,1,0,4,1)</formula1>
      <formula2>0</formula2>
    </dataValidation>
  </dataValidations>
  <hyperlinks>
    <hyperlink ref="A1" r:id="rId2" display="ASML Holdings N.V."/>
  </hyperlinks>
  <printOptions headings="false" gridLines="false" gridLinesSet="true" horizontalCentered="false" verticalCentered="false"/>
  <pageMargins left="0" right="0" top="0.393055555555556" bottom="0" header="0.196527777777778" footer="0.511811023622047"/>
  <pageSetup paperSize="1" scale="100" fitToWidth="1" fitToHeight="0" pageOrder="downThenOver" orientation="landscape" blackAndWhite="false" draft="false" cellComments="none" horizontalDpi="300" verticalDpi="300" copies="1"/>
  <headerFooter differentFirst="false" differentOddEven="false">
    <oddHeader>&amp;CASML Holdings N.V.&amp;RPage &amp;P</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true" zeroHeight="false" outlineLevelRow="0" outlineLevelCol="1"/>
  <cols>
    <col collapsed="false" customWidth="true" hidden="false" outlineLevel="0" max="1" min="1" style="674" width="3.43"/>
    <col collapsed="false" customWidth="true" hidden="false" outlineLevel="0" max="2" min="2" style="0" width="9.29"/>
    <col collapsed="false" customWidth="true" hidden="false" outlineLevel="0" max="3" min="3" style="0" width="2.71"/>
    <col collapsed="false" customWidth="true" hidden="false" outlineLevel="0" max="4" min="4" style="675" width="30.57"/>
    <col collapsed="false" customWidth="true" hidden="true" outlineLevel="1" max="5" min="5" style="676" width="33.29"/>
    <col collapsed="false" customWidth="true" hidden="false" outlineLevel="0" max="6" min="6" style="0" width="14.43"/>
    <col collapsed="false" customWidth="true" hidden="true" outlineLevel="1" max="7" min="7" style="0" width="14.43"/>
    <col collapsed="false" customWidth="true" hidden="false" outlineLevel="0" max="8" min="8" style="0" width="2.71"/>
    <col collapsed="false" customWidth="true" hidden="false" outlineLevel="0" max="11" min="9" style="0" width="9.43"/>
    <col collapsed="false" customWidth="true" hidden="false" outlineLevel="0" max="12" min="12" style="0" width="2.71"/>
    <col collapsed="false" customWidth="true" hidden="false" outlineLevel="0" max="14" min="14" style="675" width="11.71"/>
    <col collapsed="false" customWidth="true" hidden="false" outlineLevel="0" max="15" min="15" style="0" width="2.71"/>
    <col collapsed="false" customWidth="true" hidden="false" outlineLevel="0" max="16" min="16" style="0" width="13.43"/>
    <col collapsed="false" customWidth="true" hidden="false" outlineLevel="0" max="17" min="17" style="237" width="14.29"/>
    <col collapsed="false" customWidth="true" hidden="false" outlineLevel="0" max="18" min="18" style="0" width="2.71"/>
    <col collapsed="false" customWidth="true" hidden="false" outlineLevel="0" max="19" min="19" style="677" width="10.71"/>
    <col collapsed="false" customWidth="true" hidden="false" outlineLevel="0" max="20" min="20" style="678" width="20.43"/>
  </cols>
  <sheetData>
    <row r="1" customFormat="false" ht="28.5" hidden="false" customHeight="true" outlineLevel="0" collapsed="false">
      <c r="A1" s="679"/>
      <c r="B1" s="680" t="str">
        <f aca="false">MO.CompanyName</f>
        <v>ASML Holdings N.V.</v>
      </c>
      <c r="C1" s="55"/>
      <c r="D1" s="55"/>
      <c r="E1" s="56"/>
      <c r="F1" s="55"/>
      <c r="G1" s="55"/>
      <c r="H1" s="55"/>
      <c r="I1" s="55"/>
      <c r="J1" s="55"/>
      <c r="K1" s="55"/>
      <c r="L1" s="55"/>
      <c r="M1" s="55"/>
      <c r="N1" s="55"/>
      <c r="O1" s="55"/>
      <c r="P1" s="55"/>
      <c r="Q1" s="625"/>
      <c r="R1" s="55"/>
      <c r="S1" s="681"/>
      <c r="T1" s="55"/>
      <c r="U1" s="55"/>
    </row>
    <row r="2" customFormat="false" ht="15" hidden="false" customHeight="true" outlineLevel="0" collapsed="false">
      <c r="A2" s="679"/>
      <c r="B2" s="682" t="s">
        <v>729</v>
      </c>
      <c r="C2" s="55"/>
      <c r="D2" s="55"/>
      <c r="E2" s="56"/>
      <c r="F2" s="55" t="str">
        <f aca="false">UL.MRQ</f>
        <v>FY2025</v>
      </c>
      <c r="G2" s="55"/>
      <c r="H2" s="55"/>
      <c r="I2" s="55"/>
      <c r="J2" s="55"/>
      <c r="K2" s="55"/>
      <c r="L2" s="55"/>
      <c r="M2" s="55"/>
      <c r="N2" s="55"/>
      <c r="O2" s="55"/>
      <c r="P2" s="55"/>
      <c r="Q2" s="625"/>
      <c r="R2" s="55"/>
      <c r="S2" s="681"/>
      <c r="T2" s="55"/>
      <c r="U2" s="55"/>
    </row>
    <row r="3" customFormat="false" ht="15" hidden="false" customHeight="true" outlineLevel="0" collapsed="false">
      <c r="A3" s="679"/>
      <c r="B3" s="55"/>
      <c r="C3" s="55"/>
      <c r="D3" s="55"/>
      <c r="E3" s="56"/>
      <c r="F3" s="55"/>
      <c r="G3" s="55"/>
      <c r="H3" s="55"/>
      <c r="I3" s="55"/>
      <c r="J3" s="55"/>
      <c r="K3" s="55"/>
      <c r="L3" s="55"/>
      <c r="M3" s="55"/>
      <c r="N3" s="55"/>
      <c r="O3" s="55"/>
      <c r="P3" s="55"/>
      <c r="Q3" s="625"/>
      <c r="R3" s="55"/>
      <c r="S3" s="55"/>
      <c r="T3" s="55"/>
      <c r="U3" s="55"/>
    </row>
    <row r="4" s="686" customFormat="true" ht="15" hidden="false" customHeight="true" outlineLevel="0" collapsed="false">
      <c r="A4" s="679"/>
      <c r="B4" s="683"/>
      <c r="C4" s="684"/>
      <c r="D4" s="683"/>
      <c r="E4" s="683"/>
      <c r="F4" s="683"/>
      <c r="G4" s="683"/>
      <c r="H4" s="684"/>
      <c r="I4" s="685" t="s">
        <v>730</v>
      </c>
      <c r="J4" s="685"/>
      <c r="K4" s="685"/>
      <c r="L4" s="684"/>
      <c r="M4" s="685" t="s">
        <v>731</v>
      </c>
      <c r="N4" s="685"/>
      <c r="O4" s="684"/>
      <c r="P4" s="685" t="s">
        <v>732</v>
      </c>
      <c r="Q4" s="685"/>
      <c r="R4" s="684"/>
      <c r="S4" s="685" t="s">
        <v>733</v>
      </c>
      <c r="T4" s="685"/>
      <c r="U4" s="681"/>
    </row>
    <row r="5" s="691" customFormat="true" ht="15" hidden="false" customHeight="true" outlineLevel="0" collapsed="false">
      <c r="A5" s="679"/>
      <c r="B5" s="683" t="s">
        <v>734</v>
      </c>
      <c r="C5" s="687"/>
      <c r="D5" s="683" t="s">
        <v>735</v>
      </c>
      <c r="E5" s="683" t="s">
        <v>736</v>
      </c>
      <c r="F5" s="683" t="s">
        <v>737</v>
      </c>
      <c r="G5" s="683" t="s">
        <v>738</v>
      </c>
      <c r="H5" s="687"/>
      <c r="I5" s="688" t="s">
        <v>667</v>
      </c>
      <c r="J5" s="688" t="s">
        <v>666</v>
      </c>
      <c r="K5" s="688" t="s">
        <v>739</v>
      </c>
      <c r="L5" s="687"/>
      <c r="M5" s="683" t="s">
        <v>734</v>
      </c>
      <c r="N5" s="688" t="s">
        <v>740</v>
      </c>
      <c r="O5" s="687"/>
      <c r="P5" s="688" t="s">
        <v>741</v>
      </c>
      <c r="Q5" s="689" t="s">
        <v>742</v>
      </c>
      <c r="R5" s="687"/>
      <c r="S5" s="688" t="s">
        <v>743</v>
      </c>
      <c r="T5" s="688" t="s">
        <v>744</v>
      </c>
      <c r="U5" s="690"/>
    </row>
    <row r="6" s="691" customFormat="true" ht="15" hidden="false" customHeight="true" outlineLevel="0" collapsed="false">
      <c r="A6" s="679" t="n">
        <v>288</v>
      </c>
      <c r="B6" s="692" t="str">
        <f aca="false">IF(INDEX(MO_SNA_IsHistoricalPeriod,,MATCH(F6,MO_Common_ColumnHeader,0)),"Historical","Forward")</f>
        <v>Forward</v>
      </c>
      <c r="C6" s="55"/>
      <c r="D6" s="693" t="str">
        <f aca="true">INDEX(INDIRECT(E6),0,COLUMN(MO_Common_Column_A))</f>
        <v>Net Revenue</v>
      </c>
      <c r="E6" s="694" t="s">
        <v>671</v>
      </c>
      <c r="F6" s="692" t="s">
        <v>95</v>
      </c>
      <c r="G6" s="692"/>
      <c r="H6" s="55"/>
      <c r="I6" s="159" t="n">
        <v>34000</v>
      </c>
      <c r="J6" s="159" t="n">
        <v>39000</v>
      </c>
      <c r="K6" s="159" t="n">
        <f aca="false">AVERAGE(I6:J6)</f>
        <v>36500</v>
      </c>
      <c r="L6" s="55"/>
      <c r="M6" s="692" t="str">
        <f aca="false">IF(INDEX(MO_SNA_IsHistoricalPeriod,,MATCH(F6,MO_Common_ColumnHeader,0)),"Actual","Estimate")</f>
        <v>Estimate</v>
      </c>
      <c r="N6" s="159" t="n">
        <f aca="true">IFERROR(INDEX(INDIRECT(E6),0,MATCH(F6,MO_Common_ColumnHeader,0)),"N/A")</f>
        <v>36914.5772781284</v>
      </c>
      <c r="O6" s="55"/>
      <c r="P6" s="695" t="n">
        <f aca="false">IF(ISNUMBER(N6),N6-K6,"N/A")</f>
        <v>414.577278128418</v>
      </c>
      <c r="Q6" s="696" t="n">
        <f aca="false">IFERROR(IF(ISNUMBER(N6),(N6-K6)/ABS(K6),"N/A"),"N/A")</f>
        <v>0.0113582815925594</v>
      </c>
      <c r="R6" s="55"/>
      <c r="S6" s="697" t="n">
        <v>46050</v>
      </c>
      <c r="T6" s="698" t="s">
        <v>745</v>
      </c>
      <c r="U6" s="55"/>
    </row>
    <row r="7" s="691" customFormat="true" ht="15" hidden="false" customHeight="true" outlineLevel="0" collapsed="false">
      <c r="A7" s="679" t="n">
        <v>287</v>
      </c>
      <c r="B7" s="692" t="str">
        <f aca="false">IF(INDEX(MO_SNA_IsHistoricalPeriod,,MATCH(F7,MO_Common_ColumnHeader,0)),"Historical","Forward")</f>
        <v>Forward</v>
      </c>
      <c r="C7" s="55"/>
      <c r="D7" s="693" t="str">
        <f aca="true">INDEX(INDIRECT(E7),0,COLUMN(MO_Common_Column_A))</f>
        <v>Gross Margin, %</v>
      </c>
      <c r="E7" s="694" t="s">
        <v>746</v>
      </c>
      <c r="F7" s="692" t="s">
        <v>95</v>
      </c>
      <c r="G7" s="692"/>
      <c r="H7" s="55"/>
      <c r="I7" s="359" t="n">
        <v>0.51</v>
      </c>
      <c r="J7" s="359" t="n">
        <v>0.53</v>
      </c>
      <c r="K7" s="359" t="n">
        <f aca="false">AVERAGE(I7:J7)</f>
        <v>0.52</v>
      </c>
      <c r="L7" s="55"/>
      <c r="M7" s="692" t="str">
        <f aca="false">IF(INDEX(MO_SNA_IsHistoricalPeriod,,MATCH(F7,MO_Common_ColumnHeader,0)),"Actual","Estimate")</f>
        <v>Estimate</v>
      </c>
      <c r="N7" s="359" t="n">
        <f aca="true">IFERROR(INDEX(INDIRECT(E7),0,MATCH(F7,MO_Common_ColumnHeader,0)),"N/A")</f>
        <v>0.5250425245662</v>
      </c>
      <c r="O7" s="55"/>
      <c r="P7" s="696" t="n">
        <f aca="false">IF(ISNUMBER(N7),N7-K7,"N/A")</f>
        <v>0.00504252456620014</v>
      </c>
      <c r="Q7" s="696" t="n">
        <f aca="false">IFERROR(IF(ISNUMBER(N7),(N7-K7)/ABS(K7),"N/A"),"N/A")</f>
        <v>0.00969716262730795</v>
      </c>
      <c r="R7" s="55"/>
      <c r="S7" s="697" t="n">
        <v>46050</v>
      </c>
      <c r="T7" s="698" t="s">
        <v>745</v>
      </c>
      <c r="U7" s="55"/>
    </row>
    <row r="8" customFormat="false" ht="15" hidden="false" customHeight="true" outlineLevel="0" collapsed="false">
      <c r="A8" s="679" t="n">
        <v>286</v>
      </c>
      <c r="B8" s="692" t="str">
        <f aca="false">IF(INDEX(MO_SNA_IsHistoricalPeriod,,MATCH(F8,MO_Common_ColumnHeader,0)),"Historical","Forward")</f>
        <v>Forward</v>
      </c>
      <c r="C8" s="55"/>
      <c r="D8" s="693" t="s">
        <v>747</v>
      </c>
      <c r="E8" s="694"/>
      <c r="F8" s="692" t="s">
        <v>95</v>
      </c>
      <c r="G8" s="692"/>
      <c r="H8" s="55"/>
      <c r="I8" s="359" t="n">
        <v>0.17</v>
      </c>
      <c r="J8" s="359" t="n">
        <v>0.17</v>
      </c>
      <c r="K8" s="359" t="n">
        <f aca="false">AVERAGE(I8:J8)</f>
        <v>0.17</v>
      </c>
      <c r="L8" s="55"/>
      <c r="M8" s="692" t="str">
        <f aca="false">IF(INDEX(MO_SNA_IsHistoricalPeriod,,MATCH(F8,MO_Common_ColumnHeader,0)),"Actual","Estimate")</f>
        <v>Estimate</v>
      </c>
      <c r="N8" s="359" t="n">
        <f aca="false">INDEX(MO_RIS_TaxRate_Current,0,MATCH(F8,MO_Common_ColumnHeader,0))+INDEX(MO_RIS_TaxRate_Deferred,0,MATCH(F8,MO_Common_ColumnHeader,0))</f>
        <v>0.168914684531185</v>
      </c>
      <c r="O8" s="55"/>
      <c r="P8" s="696" t="n">
        <f aca="false">IF(ISNUMBER(N8),N8-K8,"N/A")</f>
        <v>-0.00108531546881474</v>
      </c>
      <c r="Q8" s="696" t="n">
        <f aca="false">IFERROR(IF(ISNUMBER(N8),(N8-K8)/ABS(K8),"N/A"),"N/A")</f>
        <v>-0.00638420864008671</v>
      </c>
      <c r="R8" s="55"/>
      <c r="S8" s="697" t="n">
        <v>46050</v>
      </c>
      <c r="T8" s="698" t="s">
        <v>745</v>
      </c>
      <c r="U8" s="55"/>
    </row>
    <row r="9" customFormat="false" ht="15" hidden="false" customHeight="true" outlineLevel="0" collapsed="false">
      <c r="A9" s="679" t="n">
        <v>285</v>
      </c>
      <c r="B9" s="55"/>
      <c r="C9" s="55"/>
      <c r="D9" s="682"/>
      <c r="E9" s="56"/>
      <c r="F9" s="55"/>
      <c r="G9" s="55"/>
      <c r="H9" s="55"/>
      <c r="I9" s="48"/>
      <c r="J9" s="48"/>
      <c r="K9" s="48"/>
      <c r="L9" s="55"/>
      <c r="M9" s="55"/>
      <c r="N9" s="48"/>
      <c r="O9" s="55"/>
      <c r="P9" s="699"/>
      <c r="Q9" s="700"/>
      <c r="R9" s="55"/>
      <c r="S9" s="701"/>
      <c r="T9" s="702"/>
      <c r="U9" s="55"/>
    </row>
    <row r="10" s="691" customFormat="true" ht="15" hidden="false" customHeight="true" outlineLevel="0" collapsed="false">
      <c r="A10" s="679" t="n">
        <v>284</v>
      </c>
      <c r="B10" s="692" t="str">
        <f aca="false">IF(INDEX(MO_SNA_IsHistoricalPeriod,,MATCH(F10,MO_Common_ColumnHeader,0)),"Historical","Forward")</f>
        <v>Forward</v>
      </c>
      <c r="C10" s="55"/>
      <c r="D10" s="693" t="str">
        <f aca="true">INDEX(INDIRECT(E10),0,COLUMN(MO_Common_Column_A))</f>
        <v>Net Revenue</v>
      </c>
      <c r="E10" s="694" t="s">
        <v>671</v>
      </c>
      <c r="F10" s="692" t="s">
        <v>748</v>
      </c>
      <c r="G10" s="692"/>
      <c r="H10" s="55"/>
      <c r="I10" s="159" t="n">
        <v>8200</v>
      </c>
      <c r="J10" s="159" t="n">
        <v>8900</v>
      </c>
      <c r="K10" s="159" t="n">
        <f aca="false">AVERAGE(I10:J10)</f>
        <v>8550</v>
      </c>
      <c r="L10" s="55"/>
      <c r="M10" s="692" t="str">
        <f aca="false">IF(INDEX(MO_SNA_IsHistoricalPeriod,,MATCH(F10,MO_Common_ColumnHeader,0)),"Actual","Estimate")</f>
        <v>Estimate</v>
      </c>
      <c r="N10" s="159" t="n">
        <f aca="true">IFERROR(INDEX(INDIRECT(E10),0,MATCH(F10,MO_Common_ColumnHeader,0)),"N/A")</f>
        <v>8589.53007589744</v>
      </c>
      <c r="O10" s="55"/>
      <c r="P10" s="695" t="n">
        <f aca="false">IF(ISNUMBER(N10),N10-K10,"N/A")</f>
        <v>39.5300758974354</v>
      </c>
      <c r="Q10" s="696" t="n">
        <f aca="false">IFERROR(IF(ISNUMBER(N10),(N10-K10)/ABS(K10),"N/A"),"N/A")</f>
        <v>0.00462340068975852</v>
      </c>
      <c r="R10" s="55"/>
      <c r="S10" s="697" t="n">
        <v>46050</v>
      </c>
      <c r="T10" s="698" t="s">
        <v>745</v>
      </c>
      <c r="U10" s="55"/>
    </row>
    <row r="11" s="691" customFormat="true" ht="15" hidden="false" customHeight="true" outlineLevel="0" collapsed="false">
      <c r="A11" s="679" t="n">
        <v>283</v>
      </c>
      <c r="B11" s="692" t="str">
        <f aca="false">IF(INDEX(MO_SNA_IsHistoricalPeriod,,MATCH(F11,MO_Common_ColumnHeader,0)),"Historical","Forward")</f>
        <v>Forward</v>
      </c>
      <c r="C11" s="55"/>
      <c r="D11" s="693" t="s">
        <v>749</v>
      </c>
      <c r="E11" s="694" t="s">
        <v>750</v>
      </c>
      <c r="F11" s="692" t="s">
        <v>748</v>
      </c>
      <c r="G11" s="692"/>
      <c r="H11" s="55"/>
      <c r="I11" s="159" t="n">
        <v>2400</v>
      </c>
      <c r="J11" s="159" t="n">
        <v>2400</v>
      </c>
      <c r="K11" s="159" t="n">
        <f aca="false">AVERAGE(I11:J11)</f>
        <v>2400</v>
      </c>
      <c r="L11" s="55"/>
      <c r="M11" s="692" t="str">
        <f aca="false">IF(INDEX(MO_SNA_IsHistoricalPeriod,,MATCH(F11,MO_Common_ColumnHeader,0)),"Actual","Estimate")</f>
        <v>Estimate</v>
      </c>
      <c r="N11" s="159" t="n">
        <f aca="true">IFERROR(INDEX(INDIRECT(E11),0,MATCH(F11,MO_Common_ColumnHeader,0)),"N/A")</f>
        <v>2401.32</v>
      </c>
      <c r="O11" s="55"/>
      <c r="P11" s="695" t="n">
        <f aca="false">IF(ISNUMBER(N11),N11-K11,"N/A")</f>
        <v>1.31999999999971</v>
      </c>
      <c r="Q11" s="696" t="n">
        <f aca="false">IFERROR(IF(ISNUMBER(N11),(N11-K11)/ABS(K11),"N/A"),"N/A")</f>
        <v>0.000549999999999879</v>
      </c>
      <c r="R11" s="55"/>
      <c r="S11" s="697" t="n">
        <v>46050</v>
      </c>
      <c r="T11" s="698" t="s">
        <v>745</v>
      </c>
      <c r="U11" s="55"/>
    </row>
    <row r="12" s="691" customFormat="true" ht="15" hidden="false" customHeight="true" outlineLevel="0" collapsed="false">
      <c r="A12" s="679" t="n">
        <v>282</v>
      </c>
      <c r="B12" s="692" t="str">
        <f aca="false">IF(INDEX(MO_SNA_IsHistoricalPeriod,,MATCH(F12,MO_Common_ColumnHeader,0)),"Historical","Forward")</f>
        <v>Forward</v>
      </c>
      <c r="C12" s="55"/>
      <c r="D12" s="693" t="str">
        <f aca="true">INDEX(INDIRECT(E12),0,COLUMN(MO_Common_Column_A))</f>
        <v>Gross Margin, %</v>
      </c>
      <c r="E12" s="694" t="s">
        <v>746</v>
      </c>
      <c r="F12" s="692" t="s">
        <v>748</v>
      </c>
      <c r="G12" s="692"/>
      <c r="H12" s="55"/>
      <c r="I12" s="359" t="n">
        <v>0.51</v>
      </c>
      <c r="J12" s="359" t="n">
        <v>0.53</v>
      </c>
      <c r="K12" s="359" t="n">
        <f aca="false">AVERAGE(I12:J12)</f>
        <v>0.52</v>
      </c>
      <c r="L12" s="55"/>
      <c r="M12" s="692" t="str">
        <f aca="false">IF(INDEX(MO_SNA_IsHistoricalPeriod,,MATCH(F12,MO_Common_ColumnHeader,0)),"Actual","Estimate")</f>
        <v>Estimate</v>
      </c>
      <c r="N12" s="359" t="n">
        <f aca="true">IFERROR(INDEX(INDIRECT(E12),0,MATCH(F12,MO_Common_ColumnHeader,0)),"N/A")</f>
        <v>0.519908286507783</v>
      </c>
      <c r="O12" s="55"/>
      <c r="P12" s="696" t="n">
        <f aca="false">IF(ISNUMBER(N12),N12-K12,"N/A")</f>
        <v>-9.17134922173712E-005</v>
      </c>
      <c r="Q12" s="696" t="n">
        <f aca="false">IFERROR(IF(ISNUMBER(N12),(N12-K12)/ABS(K12),"N/A"),"N/A")</f>
        <v>-0.000176372100418022</v>
      </c>
      <c r="R12" s="55"/>
      <c r="S12" s="697" t="n">
        <v>46050</v>
      </c>
      <c r="T12" s="698" t="s">
        <v>745</v>
      </c>
      <c r="U12" s="55"/>
    </row>
    <row r="13" s="691" customFormat="true" ht="15" hidden="false" customHeight="true" outlineLevel="0" collapsed="false">
      <c r="A13" s="679" t="n">
        <v>281</v>
      </c>
      <c r="B13" s="692" t="str">
        <f aca="false">IF(INDEX(MO_SNA_IsHistoricalPeriod,,MATCH(F13,MO_Common_ColumnHeader,0)),"Historical","Forward")</f>
        <v>Forward</v>
      </c>
      <c r="C13" s="55"/>
      <c r="D13" s="693" t="s">
        <v>751</v>
      </c>
      <c r="E13" s="694" t="s">
        <v>752</v>
      </c>
      <c r="F13" s="692" t="s">
        <v>748</v>
      </c>
      <c r="G13" s="692"/>
      <c r="H13" s="55"/>
      <c r="I13" s="159" t="n">
        <v>1200</v>
      </c>
      <c r="J13" s="159" t="n">
        <v>1200</v>
      </c>
      <c r="K13" s="159" t="n">
        <f aca="false">AVERAGE(I13:J13)</f>
        <v>1200</v>
      </c>
      <c r="L13" s="55"/>
      <c r="M13" s="692" t="str">
        <f aca="false">IF(INDEX(MO_SNA_IsHistoricalPeriod,,MATCH(F13,MO_Common_ColumnHeader,0)),"Actual","Estimate")</f>
        <v>Estimate</v>
      </c>
      <c r="N13" s="159" t="n">
        <f aca="true">IFERROR(INDEX(INDIRECT(E13),0,MATCH(F13,MO_Common_ColumnHeader,0)),"N/A")</f>
        <v>1202.39551770315</v>
      </c>
      <c r="O13" s="55"/>
      <c r="P13" s="695" t="n">
        <f aca="false">IF(ISNUMBER(N13),N13-K13,"N/A")</f>
        <v>2.39551770314665</v>
      </c>
      <c r="Q13" s="696" t="n">
        <f aca="false">IFERROR(IF(ISNUMBER(N13),(N13-K13)/ABS(K13),"N/A"),"N/A")</f>
        <v>0.00199626475262221</v>
      </c>
      <c r="R13" s="55"/>
      <c r="S13" s="697" t="n">
        <v>46050</v>
      </c>
      <c r="T13" s="698" t="s">
        <v>745</v>
      </c>
      <c r="U13" s="55"/>
    </row>
    <row r="14" s="691" customFormat="true" ht="15" hidden="false" customHeight="true" outlineLevel="0" collapsed="false">
      <c r="A14" s="679" t="n">
        <v>280</v>
      </c>
      <c r="B14" s="692" t="str">
        <f aca="false">IF(INDEX(MO_SNA_IsHistoricalPeriod,,MATCH(F14,MO_Common_ColumnHeader,0)),"Historical","Forward")</f>
        <v>Forward</v>
      </c>
      <c r="C14" s="55"/>
      <c r="D14" s="693" t="str">
        <f aca="true">INDEX(INDIRECT(E14),0,COLUMN(MO_Common_Column_A))</f>
        <v>SG&amp;A</v>
      </c>
      <c r="E14" s="694" t="s">
        <v>753</v>
      </c>
      <c r="F14" s="692" t="s">
        <v>748</v>
      </c>
      <c r="G14" s="692"/>
      <c r="H14" s="55"/>
      <c r="I14" s="159" t="n">
        <v>300</v>
      </c>
      <c r="J14" s="159" t="n">
        <v>300</v>
      </c>
      <c r="K14" s="159" t="n">
        <f aca="false">AVERAGE(I14:J14)</f>
        <v>300</v>
      </c>
      <c r="L14" s="55"/>
      <c r="M14" s="692" t="str">
        <f aca="false">IF(INDEX(MO_SNA_IsHistoricalPeriod,,MATCH(F14,MO_Common_ColumnHeader,0)),"Actual","Estimate")</f>
        <v>Estimate</v>
      </c>
      <c r="N14" s="159" t="n">
        <f aca="true">IFERROR(INDEX(INDIRECT(E14),0,MATCH(F14,MO_Common_ColumnHeader,0)),"N/A")</f>
        <v>302.859296676594</v>
      </c>
      <c r="O14" s="55"/>
      <c r="P14" s="695" t="n">
        <f aca="false">IF(ISNUMBER(N14),N14-K14,"N/A")</f>
        <v>2.85929667659372</v>
      </c>
      <c r="Q14" s="696" t="n">
        <f aca="false">IFERROR(IF(ISNUMBER(N14),(N14-K14)/ABS(K14),"N/A"),"N/A")</f>
        <v>0.00953098892197905</v>
      </c>
      <c r="R14" s="55"/>
      <c r="S14" s="697" t="n">
        <v>46050</v>
      </c>
      <c r="T14" s="698" t="s">
        <v>745</v>
      </c>
      <c r="U14" s="55"/>
    </row>
    <row r="15" customFormat="false" ht="15" hidden="false" customHeight="true" outlineLevel="0" collapsed="false">
      <c r="A15" s="679" t="n">
        <v>279</v>
      </c>
      <c r="B15" s="55"/>
      <c r="C15" s="55"/>
      <c r="D15" s="682"/>
      <c r="E15" s="56"/>
      <c r="F15" s="55"/>
      <c r="G15" s="55"/>
      <c r="H15" s="55"/>
      <c r="I15" s="48"/>
      <c r="J15" s="48"/>
      <c r="K15" s="48"/>
      <c r="L15" s="55"/>
      <c r="M15" s="55"/>
      <c r="N15" s="48"/>
      <c r="O15" s="55"/>
      <c r="P15" s="699"/>
      <c r="Q15" s="700"/>
      <c r="R15" s="55"/>
      <c r="S15" s="701"/>
      <c r="T15" s="702"/>
      <c r="U15" s="55"/>
    </row>
    <row r="16" s="691" customFormat="true" ht="15" hidden="false" customHeight="true" outlineLevel="0" collapsed="false">
      <c r="A16" s="679" t="n">
        <v>278</v>
      </c>
      <c r="B16" s="692" t="str">
        <f aca="false">IF(INDEX(MO_SNA_IsHistoricalPeriod,,MATCH(F16,MO_Common_ColumnHeader,0)),"Historical","Forward")</f>
        <v>Historical</v>
      </c>
      <c r="C16" s="55"/>
      <c r="D16" s="693" t="str">
        <f aca="true">INDEX(INDIRECT(E16),0,COLUMN(MO_Common_Column_A))</f>
        <v>Net Revenue</v>
      </c>
      <c r="E16" s="694" t="s">
        <v>671</v>
      </c>
      <c r="F16" s="692" t="s">
        <v>18</v>
      </c>
      <c r="G16" s="692"/>
      <c r="H16" s="55"/>
      <c r="I16" s="159" t="n">
        <f aca="false">28262.9*1.15</f>
        <v>32502.335</v>
      </c>
      <c r="J16" s="159" t="n">
        <f aca="false">28262.9*1.15</f>
        <v>32502.335</v>
      </c>
      <c r="K16" s="159" t="n">
        <f aca="false">AVERAGE(I16:J16)</f>
        <v>32502.335</v>
      </c>
      <c r="L16" s="55"/>
      <c r="M16" s="692" t="str">
        <f aca="false">IF(INDEX(MO_SNA_IsHistoricalPeriod,,MATCH(F16,MO_Common_ColumnHeader,0)),"Actual","Estimate")</f>
        <v>Actual</v>
      </c>
      <c r="N16" s="159" t="n">
        <f aca="true">IFERROR(INDEX(INDIRECT(E16),0,MATCH(F16,MO_Common_ColumnHeader,0)),"N/A")</f>
        <v>32667.3</v>
      </c>
      <c r="O16" s="55"/>
      <c r="P16" s="695" t="n">
        <f aca="false">IF(ISNUMBER(N16),N16-K16,"N/A")</f>
        <v>164.965</v>
      </c>
      <c r="Q16" s="696" t="n">
        <f aca="false">IFERROR(IF(ISNUMBER(N16),(N16-K16)/ABS(K16),"N/A"),"N/A")</f>
        <v>0.00507548150002147</v>
      </c>
      <c r="R16" s="55"/>
      <c r="S16" s="697" t="n">
        <v>45945</v>
      </c>
      <c r="T16" s="698" t="s">
        <v>745</v>
      </c>
      <c r="U16" s="55"/>
    </row>
    <row r="17" s="691" customFormat="true" ht="15" hidden="false" customHeight="true" outlineLevel="0" collapsed="false">
      <c r="A17" s="679" t="n">
        <v>277</v>
      </c>
      <c r="B17" s="692" t="str">
        <f aca="false">IF(INDEX(MO_SNA_IsHistoricalPeriod,,MATCH(F17,MO_Common_ColumnHeader,0)),"Historical","Forward")</f>
        <v>Historical</v>
      </c>
      <c r="C17" s="55"/>
      <c r="D17" s="693" t="str">
        <f aca="true">INDEX(INDIRECT(E17),0,COLUMN(MO_Common_Column_A))</f>
        <v>Gross Margin, %</v>
      </c>
      <c r="E17" s="694" t="s">
        <v>746</v>
      </c>
      <c r="F17" s="692" t="s">
        <v>18</v>
      </c>
      <c r="G17" s="692"/>
      <c r="H17" s="55"/>
      <c r="I17" s="359" t="n">
        <v>0.52</v>
      </c>
      <c r="J17" s="359" t="n">
        <v>0.52</v>
      </c>
      <c r="K17" s="359" t="n">
        <f aca="false">AVERAGE(I17:J17)</f>
        <v>0.52</v>
      </c>
      <c r="L17" s="55"/>
      <c r="M17" s="692" t="str">
        <f aca="false">IF(INDEX(MO_SNA_IsHistoricalPeriod,,MATCH(F17,MO_Common_ColumnHeader,0)),"Actual","Estimate")</f>
        <v>Actual</v>
      </c>
      <c r="N17" s="359" t="n">
        <f aca="true">IFERROR(INDEX(INDIRECT(E17),0,MATCH(F17,MO_Common_ColumnHeader,0)),"N/A")</f>
        <v>0.528295879977837</v>
      </c>
      <c r="O17" s="55"/>
      <c r="P17" s="696" t="n">
        <f aca="false">IF(ISNUMBER(N17),N17-K17,"N/A")</f>
        <v>0.00829587997783721</v>
      </c>
      <c r="Q17" s="696" t="n">
        <f aca="false">IFERROR(IF(ISNUMBER(N17),(N17-K17)/ABS(K17),"N/A"),"N/A")</f>
        <v>0.0159536153419946</v>
      </c>
      <c r="R17" s="55"/>
      <c r="S17" s="697" t="n">
        <v>45945</v>
      </c>
      <c r="T17" s="698" t="s">
        <v>745</v>
      </c>
      <c r="U17" s="55"/>
    </row>
    <row r="18" customFormat="false" ht="15" hidden="false" customHeight="true" outlineLevel="0" collapsed="false">
      <c r="A18" s="679" t="n">
        <v>276</v>
      </c>
      <c r="B18" s="692" t="str">
        <f aca="false">IF(INDEX(MO_SNA_IsHistoricalPeriod,,MATCH(F18,MO_Common_ColumnHeader,0)),"Historical","Forward")</f>
        <v>Historical</v>
      </c>
      <c r="C18" s="55"/>
      <c r="D18" s="693" t="s">
        <v>747</v>
      </c>
      <c r="E18" s="694"/>
      <c r="F18" s="692" t="s">
        <v>18</v>
      </c>
      <c r="G18" s="692"/>
      <c r="H18" s="55"/>
      <c r="I18" s="359" t="n">
        <v>0.17</v>
      </c>
      <c r="J18" s="359" t="n">
        <v>0.17</v>
      </c>
      <c r="K18" s="359" t="n">
        <f aca="false">AVERAGE(I18:J18)</f>
        <v>0.17</v>
      </c>
      <c r="L18" s="55"/>
      <c r="M18" s="692" t="str">
        <f aca="false">IF(INDEX(MO_SNA_IsHistoricalPeriod,,MATCH(F18,MO_Common_ColumnHeader,0)),"Actual","Estimate")</f>
        <v>Actual</v>
      </c>
      <c r="N18" s="359" t="n">
        <f aca="false">INDEX(MO_RIS_TaxRate_Current,0,MATCH(F18,MO_Common_ColumnHeader,0))+INDEX(MO_RIS_TaxRate_Deferred,0,MATCH(F18,MO_Common_ColumnHeader,0))</f>
        <v>0.173228481949272</v>
      </c>
      <c r="O18" s="55"/>
      <c r="P18" s="696" t="n">
        <f aca="false">IF(ISNUMBER(N18),N18-K18,"N/A")</f>
        <v>0.00322848194927214</v>
      </c>
      <c r="Q18" s="696" t="n">
        <f aca="false">IFERROR(IF(ISNUMBER(N18),(N18-K18)/ABS(K18),"N/A"),"N/A")</f>
        <v>0.0189910702898361</v>
      </c>
      <c r="R18" s="55"/>
      <c r="S18" s="697" t="n">
        <v>45945</v>
      </c>
      <c r="T18" s="698" t="s">
        <v>745</v>
      </c>
      <c r="U18" s="55"/>
    </row>
    <row r="19" customFormat="false" ht="15" hidden="false" customHeight="true" outlineLevel="0" collapsed="false">
      <c r="A19" s="679" t="n">
        <v>275</v>
      </c>
      <c r="B19" s="55"/>
      <c r="C19" s="55"/>
      <c r="D19" s="682"/>
      <c r="E19" s="56"/>
      <c r="F19" s="55"/>
      <c r="G19" s="55"/>
      <c r="H19" s="55"/>
      <c r="I19" s="48"/>
      <c r="J19" s="48"/>
      <c r="K19" s="48"/>
      <c r="L19" s="55"/>
      <c r="M19" s="55"/>
      <c r="N19" s="48"/>
      <c r="O19" s="55"/>
      <c r="P19" s="699"/>
      <c r="Q19" s="700"/>
      <c r="R19" s="55"/>
      <c r="S19" s="701"/>
      <c r="T19" s="702"/>
      <c r="U19" s="55"/>
    </row>
    <row r="20" s="691" customFormat="true" ht="15" hidden="false" customHeight="true" outlineLevel="0" collapsed="false">
      <c r="A20" s="679" t="n">
        <v>274</v>
      </c>
      <c r="B20" s="692" t="str">
        <f aca="false">IF(INDEX(MO_SNA_IsHistoricalPeriod,,MATCH(F20,MO_Common_ColumnHeader,0)),"Historical","Forward")</f>
        <v>Historical</v>
      </c>
      <c r="C20" s="55"/>
      <c r="D20" s="693" t="str">
        <f aca="true">INDEX(INDIRECT(E20),0,COLUMN(MO_Common_Column_A))</f>
        <v>Net Revenue</v>
      </c>
      <c r="E20" s="694" t="s">
        <v>671</v>
      </c>
      <c r="F20" s="692" t="s">
        <v>754</v>
      </c>
      <c r="G20" s="692"/>
      <c r="H20" s="55"/>
      <c r="I20" s="159" t="n">
        <v>9200</v>
      </c>
      <c r="J20" s="159" t="n">
        <v>9800</v>
      </c>
      <c r="K20" s="159" t="n">
        <f aca="false">AVERAGE(I20:J20)</f>
        <v>9500</v>
      </c>
      <c r="L20" s="55"/>
      <c r="M20" s="692" t="str">
        <f aca="false">IF(INDEX(MO_SNA_IsHistoricalPeriod,,MATCH(F20,MO_Common_ColumnHeader,0)),"Actual","Estimate")</f>
        <v>Actual</v>
      </c>
      <c r="N20" s="159" t="n">
        <f aca="true">IFERROR(INDEX(INDIRECT(E20),0,MATCH(F20,MO_Common_ColumnHeader,0)),"N/A")</f>
        <v>9718.1</v>
      </c>
      <c r="O20" s="55"/>
      <c r="P20" s="695" t="n">
        <f aca="false">IF(ISNUMBER(N20),N20-K20,"N/A")</f>
        <v>218.1</v>
      </c>
      <c r="Q20" s="696" t="n">
        <f aca="false">IFERROR(IF(ISNUMBER(N20),(N20-K20)/ABS(K20),"N/A"),"N/A")</f>
        <v>0.0229578947368421</v>
      </c>
      <c r="R20" s="55"/>
      <c r="S20" s="697" t="n">
        <v>45945</v>
      </c>
      <c r="T20" s="698" t="s">
        <v>745</v>
      </c>
      <c r="U20" s="55"/>
    </row>
    <row r="21" s="691" customFormat="true" ht="15" hidden="false" customHeight="true" outlineLevel="0" collapsed="false">
      <c r="A21" s="679" t="n">
        <v>273</v>
      </c>
      <c r="B21" s="692" t="str">
        <f aca="false">IF(INDEX(MO_SNA_IsHistoricalPeriod,,MATCH(F21,MO_Common_ColumnHeader,0)),"Historical","Forward")</f>
        <v>Historical</v>
      </c>
      <c r="C21" s="55"/>
      <c r="D21" s="693" t="s">
        <v>749</v>
      </c>
      <c r="E21" s="694" t="s">
        <v>750</v>
      </c>
      <c r="F21" s="692" t="s">
        <v>754</v>
      </c>
      <c r="G21" s="692"/>
      <c r="H21" s="55"/>
      <c r="I21" s="159" t="n">
        <v>2100</v>
      </c>
      <c r="J21" s="159" t="n">
        <v>2100</v>
      </c>
      <c r="K21" s="159" t="n">
        <f aca="false">AVERAGE(I21:J21)</f>
        <v>2100</v>
      </c>
      <c r="L21" s="55"/>
      <c r="M21" s="692" t="str">
        <f aca="false">IF(INDEX(MO_SNA_IsHistoricalPeriod,,MATCH(F21,MO_Common_ColumnHeader,0)),"Actual","Estimate")</f>
        <v>Actual</v>
      </c>
      <c r="N21" s="159" t="n">
        <f aca="true">IFERROR(INDEX(INDIRECT(E21),0,MATCH(F21,MO_Common_ColumnHeader,0)),"N/A")</f>
        <v>2134.1</v>
      </c>
      <c r="O21" s="55"/>
      <c r="P21" s="695" t="n">
        <f aca="false">IF(ISNUMBER(N21),N21-K21,"N/A")</f>
        <v>34.1000000000004</v>
      </c>
      <c r="Q21" s="696" t="n">
        <f aca="false">IFERROR(IF(ISNUMBER(N21),(N21-K21)/ABS(K21),"N/A"),"N/A")</f>
        <v>0.0162380952380954</v>
      </c>
      <c r="R21" s="55"/>
      <c r="S21" s="697" t="n">
        <v>45945</v>
      </c>
      <c r="T21" s="698" t="s">
        <v>745</v>
      </c>
      <c r="U21" s="55"/>
    </row>
    <row r="22" s="691" customFormat="true" ht="15" hidden="false" customHeight="true" outlineLevel="0" collapsed="false">
      <c r="A22" s="679" t="n">
        <v>272</v>
      </c>
      <c r="B22" s="692" t="str">
        <f aca="false">IF(INDEX(MO_SNA_IsHistoricalPeriod,,MATCH(F22,MO_Common_ColumnHeader,0)),"Historical","Forward")</f>
        <v>Historical</v>
      </c>
      <c r="C22" s="55"/>
      <c r="D22" s="693" t="str">
        <f aca="true">INDEX(INDIRECT(E22),0,COLUMN(MO_Common_Column_A))</f>
        <v>Gross Margin, %</v>
      </c>
      <c r="E22" s="694" t="s">
        <v>746</v>
      </c>
      <c r="F22" s="692" t="s">
        <v>754</v>
      </c>
      <c r="G22" s="692"/>
      <c r="H22" s="55"/>
      <c r="I22" s="359" t="n">
        <v>0.51</v>
      </c>
      <c r="J22" s="359" t="n">
        <v>0.53</v>
      </c>
      <c r="K22" s="359" t="n">
        <f aca="false">AVERAGE(I22:J22)</f>
        <v>0.52</v>
      </c>
      <c r="L22" s="55"/>
      <c r="M22" s="692" t="str">
        <f aca="false">IF(INDEX(MO_SNA_IsHistoricalPeriod,,MATCH(F22,MO_Common_ColumnHeader,0)),"Actual","Estimate")</f>
        <v>Actual</v>
      </c>
      <c r="N22" s="359" t="n">
        <f aca="true">IFERROR(INDEX(INDIRECT(E22),0,MATCH(F22,MO_Common_ColumnHeader,0)),"N/A")</f>
        <v>0.521552566859777</v>
      </c>
      <c r="O22" s="55"/>
      <c r="P22" s="696" t="n">
        <f aca="false">IF(ISNUMBER(N22),N22-K22,"N/A")</f>
        <v>0.00155256685977734</v>
      </c>
      <c r="Q22" s="696" t="n">
        <f aca="false">IFERROR(IF(ISNUMBER(N22),(N22-K22)/ABS(K22),"N/A"),"N/A")</f>
        <v>0.0029857054995718</v>
      </c>
      <c r="R22" s="55"/>
      <c r="S22" s="697" t="n">
        <v>45945</v>
      </c>
      <c r="T22" s="698" t="s">
        <v>745</v>
      </c>
      <c r="U22" s="55"/>
    </row>
    <row r="23" s="691" customFormat="true" ht="15" hidden="false" customHeight="true" outlineLevel="0" collapsed="false">
      <c r="A23" s="679" t="n">
        <v>271</v>
      </c>
      <c r="B23" s="692" t="str">
        <f aca="false">IF(INDEX(MO_SNA_IsHistoricalPeriod,,MATCH(F23,MO_Common_ColumnHeader,0)),"Historical","Forward")</f>
        <v>Historical</v>
      </c>
      <c r="C23" s="55"/>
      <c r="D23" s="693" t="s">
        <v>751</v>
      </c>
      <c r="E23" s="694" t="s">
        <v>752</v>
      </c>
      <c r="F23" s="692" t="s">
        <v>754</v>
      </c>
      <c r="G23" s="692"/>
      <c r="H23" s="55"/>
      <c r="I23" s="159" t="n">
        <v>1200</v>
      </c>
      <c r="J23" s="159" t="n">
        <v>1200</v>
      </c>
      <c r="K23" s="159" t="n">
        <f aca="false">AVERAGE(I23:J23)</f>
        <v>1200</v>
      </c>
      <c r="L23" s="55"/>
      <c r="M23" s="692" t="str">
        <f aca="false">IF(INDEX(MO_SNA_IsHistoricalPeriod,,MATCH(F23,MO_Common_ColumnHeader,0)),"Actual","Estimate")</f>
        <v>Actual</v>
      </c>
      <c r="N23" s="159" t="n">
        <f aca="true">IFERROR(INDEX(INDIRECT(E23),0,MATCH(F23,MO_Common_ColumnHeader,0)),"N/A")</f>
        <v>1262.3</v>
      </c>
      <c r="O23" s="55"/>
      <c r="P23" s="695" t="n">
        <f aca="false">IF(ISNUMBER(N23),N23-K23,"N/A")</f>
        <v>62.3000000000002</v>
      </c>
      <c r="Q23" s="696" t="n">
        <f aca="false">IFERROR(IF(ISNUMBER(N23),(N23-K23)/ABS(K23),"N/A"),"N/A")</f>
        <v>0.0519166666666668</v>
      </c>
      <c r="R23" s="55"/>
      <c r="S23" s="697" t="n">
        <v>45945</v>
      </c>
      <c r="T23" s="698" t="s">
        <v>745</v>
      </c>
      <c r="U23" s="55"/>
    </row>
    <row r="24" s="691" customFormat="true" ht="15" hidden="false" customHeight="true" outlineLevel="0" collapsed="false">
      <c r="A24" s="679" t="n">
        <v>270</v>
      </c>
      <c r="B24" s="692" t="str">
        <f aca="false">IF(INDEX(MO_SNA_IsHistoricalPeriod,,MATCH(F24,MO_Common_ColumnHeader,0)),"Historical","Forward")</f>
        <v>Historical</v>
      </c>
      <c r="C24" s="55"/>
      <c r="D24" s="693" t="str">
        <f aca="true">INDEX(INDIRECT(E24),0,COLUMN(MO_Common_Column_A))</f>
        <v>SG&amp;A</v>
      </c>
      <c r="E24" s="694" t="s">
        <v>753</v>
      </c>
      <c r="F24" s="692" t="s">
        <v>754</v>
      </c>
      <c r="G24" s="692"/>
      <c r="H24" s="55"/>
      <c r="I24" s="159" t="n">
        <v>320</v>
      </c>
      <c r="J24" s="159" t="n">
        <v>320</v>
      </c>
      <c r="K24" s="159" t="n">
        <f aca="false">AVERAGE(I24:J24)</f>
        <v>320</v>
      </c>
      <c r="L24" s="55"/>
      <c r="M24" s="692" t="str">
        <f aca="false">IF(INDEX(MO_SNA_IsHistoricalPeriod,,MATCH(F24,MO_Common_ColumnHeader,0)),"Actual","Estimate")</f>
        <v>Actual</v>
      </c>
      <c r="N24" s="159" t="n">
        <f aca="true">IFERROR(INDEX(INDIRECT(E24),0,MATCH(F24,MO_Common_ColumnHeader,0)),"N/A")</f>
        <v>375.2</v>
      </c>
      <c r="O24" s="55"/>
      <c r="P24" s="695" t="n">
        <f aca="false">IF(ISNUMBER(N24),N24-K24,"N/A")</f>
        <v>55.2</v>
      </c>
      <c r="Q24" s="696" t="n">
        <f aca="false">IFERROR(IF(ISNUMBER(N24),(N24-K24)/ABS(K24),"N/A"),"N/A")</f>
        <v>0.1725</v>
      </c>
      <c r="R24" s="55"/>
      <c r="S24" s="697" t="n">
        <v>45945</v>
      </c>
      <c r="T24" s="698" t="s">
        <v>745</v>
      </c>
      <c r="U24" s="55"/>
    </row>
    <row r="25" customFormat="false" ht="15" hidden="false" customHeight="true" outlineLevel="0" collapsed="false">
      <c r="A25" s="679" t="n">
        <v>269</v>
      </c>
      <c r="B25" s="55"/>
      <c r="C25" s="55"/>
      <c r="D25" s="682"/>
      <c r="E25" s="56"/>
      <c r="F25" s="55"/>
      <c r="G25" s="55"/>
      <c r="H25" s="55"/>
      <c r="I25" s="48"/>
      <c r="J25" s="48"/>
      <c r="K25" s="48"/>
      <c r="L25" s="55"/>
      <c r="M25" s="55"/>
      <c r="N25" s="48"/>
      <c r="O25" s="55"/>
      <c r="P25" s="699"/>
      <c r="Q25" s="700"/>
      <c r="R25" s="55"/>
      <c r="S25" s="701"/>
      <c r="T25" s="702"/>
      <c r="U25" s="55"/>
    </row>
    <row r="26" s="691" customFormat="true" ht="15" hidden="false" customHeight="true" outlineLevel="0" collapsed="false">
      <c r="A26" s="679" t="n">
        <v>268</v>
      </c>
      <c r="B26" s="692" t="str">
        <f aca="false">IF(INDEX(MO_SNA_IsHistoricalPeriod,,MATCH(F26,MO_Common_ColumnHeader,0)),"Historical","Forward")</f>
        <v>Historical</v>
      </c>
      <c r="C26" s="55"/>
      <c r="D26" s="693" t="str">
        <f aca="true">INDEX(INDIRECT(E26),0,COLUMN(MO_Common_Column_A))</f>
        <v>Net Revenue</v>
      </c>
      <c r="E26" s="694" t="s">
        <v>671</v>
      </c>
      <c r="F26" s="692" t="s">
        <v>18</v>
      </c>
      <c r="G26" s="692"/>
      <c r="H26" s="55"/>
      <c r="I26" s="159" t="n">
        <f aca="false">28262.9*1.15</f>
        <v>32502.335</v>
      </c>
      <c r="J26" s="159" t="n">
        <f aca="false">28262.9*1.15</f>
        <v>32502.335</v>
      </c>
      <c r="K26" s="159" t="n">
        <f aca="false">AVERAGE(I26:J26)</f>
        <v>32502.335</v>
      </c>
      <c r="L26" s="55"/>
      <c r="M26" s="692" t="str">
        <f aca="false">IF(INDEX(MO_SNA_IsHistoricalPeriod,,MATCH(F26,MO_Common_ColumnHeader,0)),"Actual","Estimate")</f>
        <v>Actual</v>
      </c>
      <c r="N26" s="159" t="n">
        <f aca="true">IFERROR(INDEX(INDIRECT(E26),0,MATCH(F26,MO_Common_ColumnHeader,0)),"N/A")</f>
        <v>32667.3</v>
      </c>
      <c r="O26" s="55"/>
      <c r="P26" s="695" t="n">
        <f aca="false">IF(ISNUMBER(N26),N26-K26,"N/A")</f>
        <v>164.965</v>
      </c>
      <c r="Q26" s="696" t="n">
        <f aca="false">IFERROR(IF(ISNUMBER(N26),(N26-K26)/ABS(K26),"N/A"),"N/A")</f>
        <v>0.00507548150002147</v>
      </c>
      <c r="R26" s="55"/>
      <c r="S26" s="697" t="n">
        <v>45853</v>
      </c>
      <c r="T26" s="698" t="s">
        <v>745</v>
      </c>
      <c r="U26" s="55"/>
    </row>
    <row r="27" s="691" customFormat="true" ht="15" hidden="false" customHeight="true" outlineLevel="0" collapsed="false">
      <c r="A27" s="679" t="n">
        <v>267</v>
      </c>
      <c r="B27" s="692" t="str">
        <f aca="false">IF(INDEX(MO_SNA_IsHistoricalPeriod,,MATCH(F27,MO_Common_ColumnHeader,0)),"Historical","Forward")</f>
        <v>Historical</v>
      </c>
      <c r="C27" s="55"/>
      <c r="D27" s="693" t="str">
        <f aca="true">INDEX(INDIRECT(E27),0,COLUMN(MO_Common_Column_A))</f>
        <v>Gross Margin, %</v>
      </c>
      <c r="E27" s="694" t="s">
        <v>746</v>
      </c>
      <c r="F27" s="692" t="s">
        <v>18</v>
      </c>
      <c r="G27" s="692"/>
      <c r="H27" s="55"/>
      <c r="I27" s="359" t="n">
        <v>0.52</v>
      </c>
      <c r="J27" s="359" t="n">
        <v>0.52</v>
      </c>
      <c r="K27" s="359" t="n">
        <f aca="false">AVERAGE(I27:J27)</f>
        <v>0.52</v>
      </c>
      <c r="L27" s="55"/>
      <c r="M27" s="692" t="str">
        <f aca="false">IF(INDEX(MO_SNA_IsHistoricalPeriod,,MATCH(F27,MO_Common_ColumnHeader,0)),"Actual","Estimate")</f>
        <v>Actual</v>
      </c>
      <c r="N27" s="359" t="n">
        <f aca="true">IFERROR(INDEX(INDIRECT(E27),0,MATCH(F27,MO_Common_ColumnHeader,0)),"N/A")</f>
        <v>0.528295879977837</v>
      </c>
      <c r="O27" s="55"/>
      <c r="P27" s="696" t="n">
        <f aca="false">IF(ISNUMBER(N27),N27-K27,"N/A")</f>
        <v>0.00829587997783721</v>
      </c>
      <c r="Q27" s="696" t="n">
        <f aca="false">IFERROR(IF(ISNUMBER(N27),(N27-K27)/ABS(K27),"N/A"),"N/A")</f>
        <v>0.0159536153419946</v>
      </c>
      <c r="R27" s="55"/>
      <c r="S27" s="697" t="n">
        <v>45853</v>
      </c>
      <c r="T27" s="698" t="s">
        <v>745</v>
      </c>
      <c r="U27" s="55"/>
    </row>
    <row r="28" customFormat="false" ht="15" hidden="false" customHeight="true" outlineLevel="0" collapsed="false">
      <c r="A28" s="679" t="n">
        <v>266</v>
      </c>
      <c r="B28" s="692" t="str">
        <f aca="false">IF(INDEX(MO_SNA_IsHistoricalPeriod,,MATCH(F28,MO_Common_ColumnHeader,0)),"Historical","Forward")</f>
        <v>Historical</v>
      </c>
      <c r="C28" s="55"/>
      <c r="D28" s="693" t="s">
        <v>747</v>
      </c>
      <c r="E28" s="694"/>
      <c r="F28" s="692" t="s">
        <v>18</v>
      </c>
      <c r="G28" s="692"/>
      <c r="H28" s="55"/>
      <c r="I28" s="359" t="n">
        <v>0.17</v>
      </c>
      <c r="J28" s="359" t="n">
        <v>0.17</v>
      </c>
      <c r="K28" s="359" t="n">
        <f aca="false">AVERAGE(I28:J28)</f>
        <v>0.17</v>
      </c>
      <c r="L28" s="55"/>
      <c r="M28" s="692" t="str">
        <f aca="false">IF(INDEX(MO_SNA_IsHistoricalPeriod,,MATCH(F28,MO_Common_ColumnHeader,0)),"Actual","Estimate")</f>
        <v>Actual</v>
      </c>
      <c r="N28" s="359" t="n">
        <f aca="false">INDEX(MO_RIS_TaxRate_Current,0,MATCH(F28,MO_Common_ColumnHeader,0))+INDEX(MO_RIS_TaxRate_Deferred,0,MATCH(F28,MO_Common_ColumnHeader,0))</f>
        <v>0.173228481949272</v>
      </c>
      <c r="O28" s="55"/>
      <c r="P28" s="696" t="n">
        <f aca="false">IF(ISNUMBER(N28),N28-K28,"N/A")</f>
        <v>0.00322848194927214</v>
      </c>
      <c r="Q28" s="696" t="n">
        <f aca="false">IFERROR(IF(ISNUMBER(N28),(N28-K28)/ABS(K28),"N/A"),"N/A")</f>
        <v>0.0189910702898361</v>
      </c>
      <c r="R28" s="55"/>
      <c r="S28" s="697" t="n">
        <v>45853</v>
      </c>
      <c r="T28" s="698" t="s">
        <v>745</v>
      </c>
      <c r="U28" s="55"/>
    </row>
    <row r="29" customFormat="false" ht="15" hidden="false" customHeight="true" outlineLevel="0" collapsed="false">
      <c r="A29" s="679" t="n">
        <v>265</v>
      </c>
      <c r="B29" s="55"/>
      <c r="C29" s="55"/>
      <c r="D29" s="682"/>
      <c r="E29" s="56"/>
      <c r="F29" s="55"/>
      <c r="G29" s="55"/>
      <c r="H29" s="55"/>
      <c r="I29" s="48"/>
      <c r="J29" s="48"/>
      <c r="K29" s="48"/>
      <c r="L29" s="55"/>
      <c r="M29" s="55"/>
      <c r="N29" s="48"/>
      <c r="O29" s="55"/>
      <c r="P29" s="699"/>
      <c r="Q29" s="700"/>
      <c r="R29" s="55"/>
      <c r="S29" s="701"/>
      <c r="T29" s="702"/>
      <c r="U29" s="55"/>
    </row>
    <row r="30" s="691" customFormat="true" ht="15" hidden="false" customHeight="true" outlineLevel="0" collapsed="false">
      <c r="A30" s="679" t="n">
        <v>264</v>
      </c>
      <c r="B30" s="692" t="str">
        <f aca="false">IF(INDEX(MO_SNA_IsHistoricalPeriod,,MATCH(F30,MO_Common_ColumnHeader,0)),"Historical","Forward")</f>
        <v>Historical</v>
      </c>
      <c r="C30" s="55"/>
      <c r="D30" s="693" t="str">
        <f aca="true">INDEX(INDIRECT(E30),0,COLUMN(MO_Common_Column_A))</f>
        <v>Net Revenue</v>
      </c>
      <c r="E30" s="694" t="s">
        <v>671</v>
      </c>
      <c r="F30" s="692" t="s">
        <v>755</v>
      </c>
      <c r="G30" s="692"/>
      <c r="H30" s="55"/>
      <c r="I30" s="159" t="n">
        <v>7400</v>
      </c>
      <c r="J30" s="159" t="n">
        <v>7900</v>
      </c>
      <c r="K30" s="159" t="n">
        <f aca="false">AVERAGE(I30:J30)</f>
        <v>7650</v>
      </c>
      <c r="L30" s="55"/>
      <c r="M30" s="692" t="str">
        <f aca="false">IF(INDEX(MO_SNA_IsHistoricalPeriod,,MATCH(F30,MO_Common_ColumnHeader,0)),"Actual","Estimate")</f>
        <v>Actual</v>
      </c>
      <c r="N30" s="159" t="n">
        <f aca="true">IFERROR(INDEX(INDIRECT(E30),0,MATCH(F30,MO_Common_ColumnHeader,0)),"N/A")</f>
        <v>7516</v>
      </c>
      <c r="O30" s="55"/>
      <c r="P30" s="695" t="n">
        <f aca="false">IF(ISNUMBER(N30),N30-K30,"N/A")</f>
        <v>-134</v>
      </c>
      <c r="Q30" s="696" t="n">
        <f aca="false">IFERROR(IF(ISNUMBER(N30),(N30-K30)/ABS(K30),"N/A"),"N/A")</f>
        <v>-0.017516339869281</v>
      </c>
      <c r="R30" s="55"/>
      <c r="S30" s="697" t="n">
        <v>45853</v>
      </c>
      <c r="T30" s="698" t="s">
        <v>745</v>
      </c>
      <c r="U30" s="55"/>
    </row>
    <row r="31" s="691" customFormat="true" ht="15" hidden="false" customHeight="true" outlineLevel="0" collapsed="false">
      <c r="A31" s="679" t="n">
        <v>263</v>
      </c>
      <c r="B31" s="692" t="str">
        <f aca="false">IF(INDEX(MO_SNA_IsHistoricalPeriod,,MATCH(F31,MO_Common_ColumnHeader,0)),"Historical","Forward")</f>
        <v>Historical</v>
      </c>
      <c r="C31" s="55"/>
      <c r="D31" s="693" t="s">
        <v>749</v>
      </c>
      <c r="E31" s="694" t="s">
        <v>750</v>
      </c>
      <c r="F31" s="692" t="s">
        <v>755</v>
      </c>
      <c r="G31" s="692"/>
      <c r="H31" s="55"/>
      <c r="I31" s="159" t="n">
        <v>2000</v>
      </c>
      <c r="J31" s="159" t="n">
        <v>2000</v>
      </c>
      <c r="K31" s="159" t="n">
        <f aca="false">AVERAGE(I31:J31)</f>
        <v>2000</v>
      </c>
      <c r="L31" s="55"/>
      <c r="M31" s="692" t="str">
        <f aca="false">IF(INDEX(MO_SNA_IsHistoricalPeriod,,MATCH(F31,MO_Common_ColumnHeader,0)),"Actual","Estimate")</f>
        <v>Actual</v>
      </c>
      <c r="N31" s="159" t="n">
        <f aca="true">IFERROR(INDEX(INDIRECT(E31),0,MATCH(F31,MO_Common_ColumnHeader,0)),"N/A")</f>
        <v>1962.2</v>
      </c>
      <c r="O31" s="55"/>
      <c r="P31" s="695" t="n">
        <f aca="false">IF(ISNUMBER(N31),N31-K31,"N/A")</f>
        <v>-37.8</v>
      </c>
      <c r="Q31" s="696" t="n">
        <f aca="false">IFERROR(IF(ISNUMBER(N31),(N31-K31)/ABS(K31),"N/A"),"N/A")</f>
        <v>-0.0189</v>
      </c>
      <c r="R31" s="55"/>
      <c r="S31" s="697" t="n">
        <v>45853</v>
      </c>
      <c r="T31" s="698" t="s">
        <v>745</v>
      </c>
      <c r="U31" s="55"/>
    </row>
    <row r="32" s="691" customFormat="true" ht="15" hidden="false" customHeight="true" outlineLevel="0" collapsed="false">
      <c r="A32" s="679" t="n">
        <v>262</v>
      </c>
      <c r="B32" s="692" t="str">
        <f aca="false">IF(INDEX(MO_SNA_IsHistoricalPeriod,,MATCH(F32,MO_Common_ColumnHeader,0)),"Historical","Forward")</f>
        <v>Historical</v>
      </c>
      <c r="C32" s="55"/>
      <c r="D32" s="693" t="str">
        <f aca="true">INDEX(INDIRECT(E32),0,COLUMN(MO_Common_Column_A))</f>
        <v>Gross Margin, %</v>
      </c>
      <c r="E32" s="694" t="s">
        <v>746</v>
      </c>
      <c r="F32" s="692" t="s">
        <v>755</v>
      </c>
      <c r="G32" s="692"/>
      <c r="H32" s="55"/>
      <c r="I32" s="359" t="n">
        <v>0.5</v>
      </c>
      <c r="J32" s="359" t="n">
        <v>0.52</v>
      </c>
      <c r="K32" s="359" t="n">
        <f aca="false">AVERAGE(I32:J32)</f>
        <v>0.51</v>
      </c>
      <c r="L32" s="55"/>
      <c r="M32" s="692" t="str">
        <f aca="false">IF(INDEX(MO_SNA_IsHistoricalPeriod,,MATCH(F32,MO_Common_ColumnHeader,0)),"Actual","Estimate")</f>
        <v>Actual</v>
      </c>
      <c r="N32" s="359" t="n">
        <f aca="true">IFERROR(INDEX(INDIRECT(E32),0,MATCH(F32,MO_Common_ColumnHeader,0)),"N/A")</f>
        <v>0.516271953166578</v>
      </c>
      <c r="O32" s="55"/>
      <c r="P32" s="696" t="n">
        <f aca="false">IF(ISNUMBER(N32),N32-K32,"N/A")</f>
        <v>0.00627195316657803</v>
      </c>
      <c r="Q32" s="696" t="n">
        <f aca="false">IFERROR(IF(ISNUMBER(N32),(N32-K32)/ABS(K32),"N/A"),"N/A")</f>
        <v>0.0122979473854471</v>
      </c>
      <c r="R32" s="55"/>
      <c r="S32" s="697" t="n">
        <v>45853</v>
      </c>
      <c r="T32" s="698" t="s">
        <v>745</v>
      </c>
      <c r="U32" s="55"/>
    </row>
    <row r="33" s="691" customFormat="true" ht="15" hidden="false" customHeight="true" outlineLevel="0" collapsed="false">
      <c r="A33" s="679" t="n">
        <v>261</v>
      </c>
      <c r="B33" s="692" t="str">
        <f aca="false">IF(INDEX(MO_SNA_IsHistoricalPeriod,,MATCH(F33,MO_Common_ColumnHeader,0)),"Historical","Forward")</f>
        <v>Historical</v>
      </c>
      <c r="C33" s="55"/>
      <c r="D33" s="693" t="s">
        <v>751</v>
      </c>
      <c r="E33" s="694" t="s">
        <v>752</v>
      </c>
      <c r="F33" s="692" t="s">
        <v>755</v>
      </c>
      <c r="G33" s="692"/>
      <c r="H33" s="55"/>
      <c r="I33" s="159" t="n">
        <v>1200</v>
      </c>
      <c r="J33" s="159" t="n">
        <v>1200</v>
      </c>
      <c r="K33" s="159" t="n">
        <f aca="false">AVERAGE(I33:J33)</f>
        <v>1200</v>
      </c>
      <c r="L33" s="55"/>
      <c r="M33" s="692" t="str">
        <f aca="false">IF(INDEX(MO_SNA_IsHistoricalPeriod,,MATCH(F33,MO_Common_ColumnHeader,0)),"Actual","Estimate")</f>
        <v>Actual</v>
      </c>
      <c r="N33" s="159" t="n">
        <f aca="true">IFERROR(INDEX(INDIRECT(E33),0,MATCH(F33,MO_Common_ColumnHeader,0)),"N/A")</f>
        <v>1108.7</v>
      </c>
      <c r="O33" s="55"/>
      <c r="P33" s="695" t="n">
        <f aca="false">IF(ISNUMBER(N33),N33-K33,"N/A")</f>
        <v>-91.3</v>
      </c>
      <c r="Q33" s="696" t="n">
        <f aca="false">IFERROR(IF(ISNUMBER(N33),(N33-K33)/ABS(K33),"N/A"),"N/A")</f>
        <v>-0.0760833333333333</v>
      </c>
      <c r="R33" s="55"/>
      <c r="S33" s="697" t="n">
        <v>45853</v>
      </c>
      <c r="T33" s="698" t="s">
        <v>745</v>
      </c>
      <c r="U33" s="55"/>
    </row>
    <row r="34" s="691" customFormat="true" ht="15" hidden="false" customHeight="true" outlineLevel="0" collapsed="false">
      <c r="A34" s="679" t="n">
        <v>260</v>
      </c>
      <c r="B34" s="692" t="str">
        <f aca="false">IF(INDEX(MO_SNA_IsHistoricalPeriod,,MATCH(F34,MO_Common_ColumnHeader,0)),"Historical","Forward")</f>
        <v>Historical</v>
      </c>
      <c r="C34" s="55"/>
      <c r="D34" s="693" t="str">
        <f aca="true">INDEX(INDIRECT(E34),0,COLUMN(MO_Common_Column_A))</f>
        <v>SG&amp;A</v>
      </c>
      <c r="E34" s="694" t="s">
        <v>753</v>
      </c>
      <c r="F34" s="692" t="s">
        <v>755</v>
      </c>
      <c r="G34" s="692"/>
      <c r="H34" s="55"/>
      <c r="I34" s="159" t="n">
        <v>310</v>
      </c>
      <c r="J34" s="159" t="n">
        <v>310</v>
      </c>
      <c r="K34" s="159" t="n">
        <f aca="false">AVERAGE(I34:J34)</f>
        <v>310</v>
      </c>
      <c r="L34" s="55"/>
      <c r="M34" s="692" t="str">
        <f aca="false">IF(INDEX(MO_SNA_IsHistoricalPeriod,,MATCH(F34,MO_Common_ColumnHeader,0)),"Actual","Estimate")</f>
        <v>Actual</v>
      </c>
      <c r="N34" s="159" t="n">
        <f aca="true">IFERROR(INDEX(INDIRECT(E34),0,MATCH(F34,MO_Common_ColumnHeader,0)),"N/A")</f>
        <v>303.2</v>
      </c>
      <c r="O34" s="55"/>
      <c r="P34" s="695" t="n">
        <f aca="false">IF(ISNUMBER(N34),N34-K34,"N/A")</f>
        <v>-6.80000000000001</v>
      </c>
      <c r="Q34" s="696" t="n">
        <f aca="false">IFERROR(IF(ISNUMBER(N34),(N34-K34)/ABS(K34),"N/A"),"N/A")</f>
        <v>-0.0219354838709678</v>
      </c>
      <c r="R34" s="55"/>
      <c r="S34" s="697" t="n">
        <v>45853</v>
      </c>
      <c r="T34" s="698" t="s">
        <v>745</v>
      </c>
      <c r="U34" s="55"/>
    </row>
    <row r="35" customFormat="false" ht="15" hidden="false" customHeight="true" outlineLevel="0" collapsed="false">
      <c r="A35" s="679" t="n">
        <v>259</v>
      </c>
      <c r="B35" s="55"/>
      <c r="C35" s="55"/>
      <c r="D35" s="682"/>
      <c r="E35" s="56"/>
      <c r="F35" s="55"/>
      <c r="G35" s="55"/>
      <c r="H35" s="55"/>
      <c r="I35" s="48"/>
      <c r="J35" s="48"/>
      <c r="K35" s="48"/>
      <c r="L35" s="55"/>
      <c r="M35" s="55"/>
      <c r="N35" s="48"/>
      <c r="O35" s="55"/>
      <c r="P35" s="699"/>
      <c r="Q35" s="700"/>
      <c r="R35" s="55"/>
      <c r="S35" s="701"/>
      <c r="T35" s="702"/>
      <c r="U35" s="55"/>
    </row>
    <row r="36" s="691" customFormat="true" ht="15" hidden="false" customHeight="true" outlineLevel="0" collapsed="false">
      <c r="A36" s="679" t="n">
        <v>258</v>
      </c>
      <c r="B36" s="692" t="str">
        <f aca="false">IF(INDEX(MO_SNA_IsHistoricalPeriod,,MATCH(F36,MO_Common_ColumnHeader,0)),"Historical","Forward")</f>
        <v>Historical</v>
      </c>
      <c r="C36" s="55"/>
      <c r="D36" s="693" t="str">
        <f aca="true">INDEX(INDIRECT(E36),0,COLUMN(MO_Common_Column_A))</f>
        <v>Net Revenue</v>
      </c>
      <c r="E36" s="694" t="s">
        <v>671</v>
      </c>
      <c r="F36" s="692" t="s">
        <v>18</v>
      </c>
      <c r="G36" s="692"/>
      <c r="H36" s="55"/>
      <c r="I36" s="159" t="n">
        <v>30000</v>
      </c>
      <c r="J36" s="159" t="n">
        <v>35000</v>
      </c>
      <c r="K36" s="159" t="n">
        <f aca="false">AVERAGE(I36:J36)</f>
        <v>32500</v>
      </c>
      <c r="L36" s="55"/>
      <c r="M36" s="692" t="str">
        <f aca="false">IF(INDEX(MO_SNA_IsHistoricalPeriod,,MATCH(F36,MO_Common_ColumnHeader,0)),"Actual","Estimate")</f>
        <v>Actual</v>
      </c>
      <c r="N36" s="159" t="n">
        <f aca="true">IFERROR(INDEX(INDIRECT(E36),0,MATCH(F36,MO_Common_ColumnHeader,0)),"N/A")</f>
        <v>32667.3</v>
      </c>
      <c r="O36" s="55"/>
      <c r="P36" s="695" t="n">
        <f aca="false">IF(ISNUMBER(N36),N36-K36,"N/A")</f>
        <v>167.299999999999</v>
      </c>
      <c r="Q36" s="696" t="n">
        <f aca="false">IFERROR(IF(ISNUMBER(N36),(N36-K36)/ABS(K36),"N/A"),"N/A")</f>
        <v>0.00514769230769229</v>
      </c>
      <c r="R36" s="55"/>
      <c r="S36" s="697" t="n">
        <v>45762</v>
      </c>
      <c r="T36" s="698" t="s">
        <v>745</v>
      </c>
      <c r="U36" s="55"/>
    </row>
    <row r="37" s="691" customFormat="true" ht="15" hidden="false" customHeight="true" outlineLevel="0" collapsed="false">
      <c r="A37" s="679" t="n">
        <v>257</v>
      </c>
      <c r="B37" s="692" t="str">
        <f aca="false">IF(INDEX(MO_SNA_IsHistoricalPeriod,,MATCH(F37,MO_Common_ColumnHeader,0)),"Historical","Forward")</f>
        <v>Historical</v>
      </c>
      <c r="C37" s="55"/>
      <c r="D37" s="693" t="str">
        <f aca="true">INDEX(INDIRECT(E37),0,COLUMN(MO_Common_Column_A))</f>
        <v>Gross Margin, %</v>
      </c>
      <c r="E37" s="694" t="s">
        <v>746</v>
      </c>
      <c r="F37" s="692" t="s">
        <v>18</v>
      </c>
      <c r="G37" s="692"/>
      <c r="H37" s="55"/>
      <c r="I37" s="359" t="n">
        <v>0.51</v>
      </c>
      <c r="J37" s="359" t="n">
        <v>0.53</v>
      </c>
      <c r="K37" s="359" t="n">
        <f aca="false">AVERAGE(I37:J37)</f>
        <v>0.52</v>
      </c>
      <c r="L37" s="55"/>
      <c r="M37" s="692" t="str">
        <f aca="false">IF(INDEX(MO_SNA_IsHistoricalPeriod,,MATCH(F37,MO_Common_ColumnHeader,0)),"Actual","Estimate")</f>
        <v>Actual</v>
      </c>
      <c r="N37" s="359" t="n">
        <f aca="true">IFERROR(INDEX(INDIRECT(E37),0,MATCH(F37,MO_Common_ColumnHeader,0)),"N/A")</f>
        <v>0.528295879977837</v>
      </c>
      <c r="O37" s="55"/>
      <c r="P37" s="696" t="n">
        <f aca="false">IF(ISNUMBER(N37),N37-K37,"N/A")</f>
        <v>0.00829587997783721</v>
      </c>
      <c r="Q37" s="696" t="n">
        <f aca="false">IFERROR(IF(ISNUMBER(N37),(N37-K37)/ABS(K37),"N/A"),"N/A")</f>
        <v>0.0159536153419946</v>
      </c>
      <c r="R37" s="55"/>
      <c r="S37" s="697" t="n">
        <v>45762</v>
      </c>
      <c r="T37" s="698" t="s">
        <v>745</v>
      </c>
      <c r="U37" s="55"/>
    </row>
    <row r="38" customFormat="false" ht="15" hidden="false" customHeight="true" outlineLevel="0" collapsed="false">
      <c r="A38" s="679" t="n">
        <v>256</v>
      </c>
      <c r="B38" s="692" t="str">
        <f aca="false">IF(INDEX(MO_SNA_IsHistoricalPeriod,,MATCH(F38,MO_Common_ColumnHeader,0)),"Historical","Forward")</f>
        <v>Historical</v>
      </c>
      <c r="C38" s="55"/>
      <c r="D38" s="693" t="s">
        <v>747</v>
      </c>
      <c r="E38" s="694"/>
      <c r="F38" s="692" t="s">
        <v>18</v>
      </c>
      <c r="G38" s="692"/>
      <c r="H38" s="55"/>
      <c r="I38" s="359" t="n">
        <v>0.17</v>
      </c>
      <c r="J38" s="359" t="n">
        <v>0.17</v>
      </c>
      <c r="K38" s="359" t="n">
        <f aca="false">AVERAGE(I38:J38)</f>
        <v>0.17</v>
      </c>
      <c r="L38" s="55"/>
      <c r="M38" s="692" t="str">
        <f aca="false">IF(INDEX(MO_SNA_IsHistoricalPeriod,,MATCH(F38,MO_Common_ColumnHeader,0)),"Actual","Estimate")</f>
        <v>Actual</v>
      </c>
      <c r="N38" s="359" t="n">
        <f aca="false">INDEX(MO_RIS_TaxRate_Current,0,MATCH(F38,MO_Common_ColumnHeader,0))+INDEX(MO_RIS_TaxRate_Deferred,0,MATCH(F38,MO_Common_ColumnHeader,0))</f>
        <v>0.173228481949272</v>
      </c>
      <c r="O38" s="55"/>
      <c r="P38" s="696" t="n">
        <f aca="false">IF(ISNUMBER(N38),N38-K38,"N/A")</f>
        <v>0.00322848194927214</v>
      </c>
      <c r="Q38" s="696" t="n">
        <f aca="false">IFERROR(IF(ISNUMBER(N38),(N38-K38)/ABS(K38),"N/A"),"N/A")</f>
        <v>0.0189910702898361</v>
      </c>
      <c r="R38" s="55"/>
      <c r="S38" s="697" t="n">
        <v>45762</v>
      </c>
      <c r="T38" s="698" t="s">
        <v>745</v>
      </c>
      <c r="U38" s="55"/>
    </row>
    <row r="39" customFormat="false" ht="15" hidden="false" customHeight="true" outlineLevel="0" collapsed="false">
      <c r="A39" s="679" t="n">
        <v>255</v>
      </c>
      <c r="B39" s="55"/>
      <c r="C39" s="55"/>
      <c r="D39" s="682"/>
      <c r="E39" s="56"/>
      <c r="F39" s="55"/>
      <c r="G39" s="55"/>
      <c r="H39" s="55"/>
      <c r="I39" s="48"/>
      <c r="J39" s="48"/>
      <c r="K39" s="48"/>
      <c r="L39" s="55"/>
      <c r="M39" s="55"/>
      <c r="N39" s="48"/>
      <c r="O39" s="55"/>
      <c r="P39" s="699"/>
      <c r="Q39" s="700"/>
      <c r="R39" s="55"/>
      <c r="S39" s="701"/>
      <c r="T39" s="702"/>
      <c r="U39" s="55"/>
    </row>
    <row r="40" s="691" customFormat="true" ht="15" hidden="false" customHeight="true" outlineLevel="0" collapsed="false">
      <c r="A40" s="679" t="n">
        <v>254</v>
      </c>
      <c r="B40" s="692" t="str">
        <f aca="false">IF(INDEX(MO_SNA_IsHistoricalPeriod,,MATCH(F40,MO_Common_ColumnHeader,0)),"Historical","Forward")</f>
        <v>Historical</v>
      </c>
      <c r="C40" s="55"/>
      <c r="D40" s="693" t="str">
        <f aca="true">INDEX(INDIRECT(E40),0,COLUMN(MO_Common_Column_A))</f>
        <v>Net Revenue</v>
      </c>
      <c r="E40" s="694" t="s">
        <v>671</v>
      </c>
      <c r="F40" s="692" t="s">
        <v>756</v>
      </c>
      <c r="G40" s="692"/>
      <c r="H40" s="55"/>
      <c r="I40" s="159" t="n">
        <v>7200</v>
      </c>
      <c r="J40" s="159" t="n">
        <v>7700</v>
      </c>
      <c r="K40" s="159" t="n">
        <f aca="false">AVERAGE(I40:J40)</f>
        <v>7450</v>
      </c>
      <c r="L40" s="55"/>
      <c r="M40" s="692" t="str">
        <f aca="false">IF(INDEX(MO_SNA_IsHistoricalPeriod,,MATCH(F40,MO_Common_ColumnHeader,0)),"Actual","Estimate")</f>
        <v>Actual</v>
      </c>
      <c r="N40" s="159" t="n">
        <f aca="true">IFERROR(INDEX(INDIRECT(E40),0,MATCH(F40,MO_Common_ColumnHeader,0)),"N/A")</f>
        <v>7691.7</v>
      </c>
      <c r="O40" s="55"/>
      <c r="P40" s="695" t="n">
        <f aca="false">IF(ISNUMBER(N40),N40-K40,"N/A")</f>
        <v>241.700000000001</v>
      </c>
      <c r="Q40" s="696" t="n">
        <f aca="false">IFERROR(IF(ISNUMBER(N40),(N40-K40)/ABS(K40),"N/A"),"N/A")</f>
        <v>0.0324429530201343</v>
      </c>
      <c r="R40" s="55"/>
      <c r="S40" s="697" t="n">
        <v>45762</v>
      </c>
      <c r="T40" s="698" t="s">
        <v>745</v>
      </c>
      <c r="U40" s="55"/>
    </row>
    <row r="41" s="691" customFormat="true" ht="15" hidden="false" customHeight="true" outlineLevel="0" collapsed="false">
      <c r="A41" s="679" t="n">
        <v>253</v>
      </c>
      <c r="B41" s="692" t="str">
        <f aca="false">IF(INDEX(MO_SNA_IsHistoricalPeriod,,MATCH(F41,MO_Common_ColumnHeader,0)),"Historical","Forward")</f>
        <v>Historical</v>
      </c>
      <c r="C41" s="55"/>
      <c r="D41" s="693" t="s">
        <v>749</v>
      </c>
      <c r="E41" s="694" t="s">
        <v>750</v>
      </c>
      <c r="F41" s="692" t="s">
        <v>756</v>
      </c>
      <c r="G41" s="692"/>
      <c r="H41" s="55"/>
      <c r="I41" s="159" t="n">
        <v>2000</v>
      </c>
      <c r="J41" s="159" t="n">
        <v>2000</v>
      </c>
      <c r="K41" s="159" t="n">
        <f aca="false">AVERAGE(I41:J41)</f>
        <v>2000</v>
      </c>
      <c r="L41" s="55"/>
      <c r="M41" s="692" t="str">
        <f aca="false">IF(INDEX(MO_SNA_IsHistoricalPeriod,,MATCH(F41,MO_Common_ColumnHeader,0)),"Actual","Estimate")</f>
        <v>Actual</v>
      </c>
      <c r="N41" s="159" t="n">
        <f aca="true">IFERROR(INDEX(INDIRECT(E41),0,MATCH(F41,MO_Common_ColumnHeader,0)),"N/A")</f>
        <v>2095.6</v>
      </c>
      <c r="O41" s="55"/>
      <c r="P41" s="695" t="n">
        <f aca="false">IF(ISNUMBER(N41),N41-K41,"N/A")</f>
        <v>95.5999999999999</v>
      </c>
      <c r="Q41" s="696" t="n">
        <f aca="false">IFERROR(IF(ISNUMBER(N41),(N41-K41)/ABS(K41),"N/A"),"N/A")</f>
        <v>0.0478</v>
      </c>
      <c r="R41" s="55"/>
      <c r="S41" s="697" t="n">
        <v>45762</v>
      </c>
      <c r="T41" s="698" t="s">
        <v>745</v>
      </c>
      <c r="U41" s="55"/>
    </row>
    <row r="42" s="691" customFormat="true" ht="15" hidden="false" customHeight="true" outlineLevel="0" collapsed="false">
      <c r="A42" s="679" t="n">
        <v>252</v>
      </c>
      <c r="B42" s="692" t="str">
        <f aca="false">IF(INDEX(MO_SNA_IsHistoricalPeriod,,MATCH(F42,MO_Common_ColumnHeader,0)),"Historical","Forward")</f>
        <v>Historical</v>
      </c>
      <c r="C42" s="55"/>
      <c r="D42" s="693" t="str">
        <f aca="true">INDEX(INDIRECT(E42),0,COLUMN(MO_Common_Column_A))</f>
        <v>Gross Margin, %</v>
      </c>
      <c r="E42" s="694" t="s">
        <v>746</v>
      </c>
      <c r="F42" s="692" t="s">
        <v>756</v>
      </c>
      <c r="G42" s="692"/>
      <c r="H42" s="55"/>
      <c r="I42" s="359" t="n">
        <v>0.5</v>
      </c>
      <c r="J42" s="359" t="n">
        <v>0.53</v>
      </c>
      <c r="K42" s="359" t="n">
        <f aca="false">AVERAGE(I42:J42)</f>
        <v>0.515</v>
      </c>
      <c r="L42" s="55"/>
      <c r="M42" s="692" t="str">
        <f aca="false">IF(INDEX(MO_SNA_IsHistoricalPeriod,,MATCH(F42,MO_Common_ColumnHeader,0)),"Actual","Estimate")</f>
        <v>Actual</v>
      </c>
      <c r="N42" s="359" t="n">
        <f aca="true">IFERROR(INDEX(INDIRECT(E42),0,MATCH(F42,MO_Common_ColumnHeader,0)),"N/A")</f>
        <v>0.536877413315652</v>
      </c>
      <c r="O42" s="55"/>
      <c r="P42" s="696" t="n">
        <f aca="false">IF(ISNUMBER(N42),N42-K42,"N/A")</f>
        <v>0.021877413315652</v>
      </c>
      <c r="Q42" s="696" t="n">
        <f aca="false">IFERROR(IF(ISNUMBER(N42),(N42-K42)/ABS(K42),"N/A"),"N/A")</f>
        <v>0.0424804142051494</v>
      </c>
      <c r="R42" s="55"/>
      <c r="S42" s="697" t="n">
        <v>45762</v>
      </c>
      <c r="T42" s="698" t="s">
        <v>745</v>
      </c>
      <c r="U42" s="55"/>
    </row>
    <row r="43" s="691" customFormat="true" ht="15" hidden="false" customHeight="true" outlineLevel="0" collapsed="false">
      <c r="A43" s="679" t="n">
        <v>251</v>
      </c>
      <c r="B43" s="692" t="str">
        <f aca="false">IF(INDEX(MO_SNA_IsHistoricalPeriod,,MATCH(F43,MO_Common_ColumnHeader,0)),"Historical","Forward")</f>
        <v>Historical</v>
      </c>
      <c r="C43" s="55"/>
      <c r="D43" s="693" t="s">
        <v>751</v>
      </c>
      <c r="E43" s="694" t="s">
        <v>752</v>
      </c>
      <c r="F43" s="692" t="s">
        <v>756</v>
      </c>
      <c r="G43" s="692"/>
      <c r="H43" s="55"/>
      <c r="I43" s="159" t="n">
        <v>1200</v>
      </c>
      <c r="J43" s="159" t="n">
        <v>1200</v>
      </c>
      <c r="K43" s="159" t="n">
        <f aca="false">AVERAGE(I43:J43)</f>
        <v>1200</v>
      </c>
      <c r="L43" s="55"/>
      <c r="M43" s="692" t="str">
        <f aca="false">IF(INDEX(MO_SNA_IsHistoricalPeriod,,MATCH(F43,MO_Common_ColumnHeader,0)),"Actual","Estimate")</f>
        <v>Actual</v>
      </c>
      <c r="N43" s="159" t="n">
        <f aca="true">IFERROR(INDEX(INDIRECT(E43),0,MATCH(F43,MO_Common_ColumnHeader,0)),"N/A")</f>
        <v>1166.7</v>
      </c>
      <c r="O43" s="55"/>
      <c r="P43" s="695" t="n">
        <f aca="false">IF(ISNUMBER(N43),N43-K43,"N/A")</f>
        <v>-33.3</v>
      </c>
      <c r="Q43" s="696" t="n">
        <f aca="false">IFERROR(IF(ISNUMBER(N43),(N43-K43)/ABS(K43),"N/A"),"N/A")</f>
        <v>-0.02775</v>
      </c>
      <c r="R43" s="55"/>
      <c r="S43" s="697" t="n">
        <v>45762</v>
      </c>
      <c r="T43" s="698" t="s">
        <v>745</v>
      </c>
      <c r="U43" s="55"/>
    </row>
    <row r="44" s="691" customFormat="true" ht="15" hidden="false" customHeight="true" outlineLevel="0" collapsed="false">
      <c r="A44" s="679" t="n">
        <v>250</v>
      </c>
      <c r="B44" s="692" t="str">
        <f aca="false">IF(INDEX(MO_SNA_IsHistoricalPeriod,,MATCH(F44,MO_Common_ColumnHeader,0)),"Historical","Forward")</f>
        <v>Historical</v>
      </c>
      <c r="C44" s="55"/>
      <c r="D44" s="693" t="str">
        <f aca="true">INDEX(INDIRECT(E44),0,COLUMN(MO_Common_Column_A))</f>
        <v>SG&amp;A</v>
      </c>
      <c r="E44" s="694" t="s">
        <v>753</v>
      </c>
      <c r="F44" s="692" t="s">
        <v>756</v>
      </c>
      <c r="G44" s="692"/>
      <c r="H44" s="55"/>
      <c r="I44" s="159" t="n">
        <v>300</v>
      </c>
      <c r="J44" s="159" t="n">
        <v>300</v>
      </c>
      <c r="K44" s="159" t="n">
        <f aca="false">AVERAGE(I44:J44)</f>
        <v>300</v>
      </c>
      <c r="L44" s="55"/>
      <c r="M44" s="692" t="str">
        <f aca="false">IF(INDEX(MO_SNA_IsHistoricalPeriod,,MATCH(F44,MO_Common_ColumnHeader,0)),"Actual","Estimate")</f>
        <v>Actual</v>
      </c>
      <c r="N44" s="159" t="n">
        <f aca="true">IFERROR(INDEX(INDIRECT(E44),0,MATCH(F44,MO_Common_ColumnHeader,0)),"N/A")</f>
        <v>298.7</v>
      </c>
      <c r="O44" s="55"/>
      <c r="P44" s="695" t="n">
        <f aca="false">IF(ISNUMBER(N44),N44-K44,"N/A")</f>
        <v>-1.30000000000001</v>
      </c>
      <c r="Q44" s="696" t="n">
        <f aca="false">IFERROR(IF(ISNUMBER(N44),(N44-K44)/ABS(K44),"N/A"),"N/A")</f>
        <v>-0.00433333333333337</v>
      </c>
      <c r="R44" s="55"/>
      <c r="S44" s="697" t="n">
        <v>45762</v>
      </c>
      <c r="T44" s="698" t="s">
        <v>745</v>
      </c>
      <c r="U44" s="55"/>
    </row>
    <row r="45" customFormat="false" ht="15" hidden="false" customHeight="true" outlineLevel="0" collapsed="false">
      <c r="A45" s="679" t="n">
        <v>249</v>
      </c>
      <c r="B45" s="55"/>
      <c r="C45" s="55"/>
      <c r="D45" s="682"/>
      <c r="E45" s="56"/>
      <c r="F45" s="55"/>
      <c r="G45" s="55"/>
      <c r="H45" s="55"/>
      <c r="I45" s="48"/>
      <c r="J45" s="48"/>
      <c r="K45" s="48"/>
      <c r="L45" s="55"/>
      <c r="M45" s="55"/>
      <c r="N45" s="48"/>
      <c r="O45" s="55"/>
      <c r="P45" s="699"/>
      <c r="Q45" s="700"/>
      <c r="R45" s="55"/>
      <c r="S45" s="701"/>
      <c r="T45" s="702"/>
      <c r="U45" s="55"/>
    </row>
    <row r="46" s="691" customFormat="true" ht="15" hidden="false" customHeight="true" outlineLevel="0" collapsed="false">
      <c r="A46" s="679" t="n">
        <v>248</v>
      </c>
      <c r="B46" s="692" t="str">
        <f aca="false">IF(INDEX(MO_SNA_IsHistoricalPeriod,,MATCH(F46,MO_Common_ColumnHeader,0)),"Historical","Forward")</f>
        <v>Historical</v>
      </c>
      <c r="C46" s="55"/>
      <c r="D46" s="693" t="str">
        <f aca="true">INDEX(INDIRECT(E46),0,COLUMN(MO_Common_Column_A))</f>
        <v>Net Revenue</v>
      </c>
      <c r="E46" s="694" t="s">
        <v>671</v>
      </c>
      <c r="F46" s="692" t="s">
        <v>18</v>
      </c>
      <c r="G46" s="692"/>
      <c r="H46" s="55"/>
      <c r="I46" s="159" t="n">
        <v>30000</v>
      </c>
      <c r="J46" s="159" t="n">
        <v>35000</v>
      </c>
      <c r="K46" s="159" t="n">
        <f aca="false">AVERAGE(I46:J46)</f>
        <v>32500</v>
      </c>
      <c r="L46" s="55"/>
      <c r="M46" s="692" t="str">
        <f aca="false">IF(INDEX(MO_SNA_IsHistoricalPeriod,,MATCH(F46,MO_Common_ColumnHeader,0)),"Actual","Estimate")</f>
        <v>Actual</v>
      </c>
      <c r="N46" s="159" t="n">
        <f aca="true">IFERROR(INDEX(INDIRECT(E46),0,MATCH(F46,MO_Common_ColumnHeader,0)),"N/A")</f>
        <v>32667.3</v>
      </c>
      <c r="O46" s="55"/>
      <c r="P46" s="695" t="n">
        <f aca="false">IF(ISNUMBER(N46),N46-K46,"N/A")</f>
        <v>167.299999999999</v>
      </c>
      <c r="Q46" s="696" t="n">
        <f aca="false">IFERROR(IF(ISNUMBER(N46),(N46-K46)/ABS(K46),"N/A"),"N/A")</f>
        <v>0.00514769230769229</v>
      </c>
      <c r="R46" s="55"/>
      <c r="S46" s="697" t="n">
        <v>45686</v>
      </c>
      <c r="T46" s="698" t="s">
        <v>745</v>
      </c>
      <c r="U46" s="55"/>
    </row>
    <row r="47" s="691" customFormat="true" ht="15" hidden="false" customHeight="true" outlineLevel="0" collapsed="false">
      <c r="A47" s="679" t="n">
        <v>247</v>
      </c>
      <c r="B47" s="692" t="str">
        <f aca="false">IF(INDEX(MO_SNA_IsHistoricalPeriod,,MATCH(F47,MO_Common_ColumnHeader,0)),"Historical","Forward")</f>
        <v>Historical</v>
      </c>
      <c r="C47" s="55"/>
      <c r="D47" s="693" t="str">
        <f aca="true">INDEX(INDIRECT(E47),0,COLUMN(MO_Common_Column_A))</f>
        <v>Gross Margin, %</v>
      </c>
      <c r="E47" s="694" t="s">
        <v>746</v>
      </c>
      <c r="F47" s="692" t="s">
        <v>18</v>
      </c>
      <c r="G47" s="692"/>
      <c r="H47" s="55"/>
      <c r="I47" s="359" t="n">
        <v>0.51</v>
      </c>
      <c r="J47" s="359" t="n">
        <v>0.53</v>
      </c>
      <c r="K47" s="359" t="n">
        <f aca="false">AVERAGE(I47:J47)</f>
        <v>0.52</v>
      </c>
      <c r="L47" s="55"/>
      <c r="M47" s="692" t="str">
        <f aca="false">IF(INDEX(MO_SNA_IsHistoricalPeriod,,MATCH(F47,MO_Common_ColumnHeader,0)),"Actual","Estimate")</f>
        <v>Actual</v>
      </c>
      <c r="N47" s="359" t="n">
        <f aca="true">IFERROR(INDEX(INDIRECT(E47),0,MATCH(F47,MO_Common_ColumnHeader,0)),"N/A")</f>
        <v>0.528295879977837</v>
      </c>
      <c r="O47" s="55"/>
      <c r="P47" s="696" t="n">
        <f aca="false">IF(ISNUMBER(N47),N47-K47,"N/A")</f>
        <v>0.00829587997783721</v>
      </c>
      <c r="Q47" s="696" t="n">
        <f aca="false">IFERROR(IF(ISNUMBER(N47),(N47-K47)/ABS(K47),"N/A"),"N/A")</f>
        <v>0.0159536153419946</v>
      </c>
      <c r="R47" s="55"/>
      <c r="S47" s="697" t="n">
        <v>45686</v>
      </c>
      <c r="T47" s="698" t="s">
        <v>745</v>
      </c>
      <c r="U47" s="55"/>
    </row>
    <row r="48" customFormat="false" ht="15" hidden="false" customHeight="true" outlineLevel="0" collapsed="false">
      <c r="A48" s="679" t="n">
        <v>246</v>
      </c>
      <c r="B48" s="692" t="str">
        <f aca="false">IF(INDEX(MO_SNA_IsHistoricalPeriod,,MATCH(F48,MO_Common_ColumnHeader,0)),"Historical","Forward")</f>
        <v>Historical</v>
      </c>
      <c r="C48" s="55"/>
      <c r="D48" s="693" t="s">
        <v>747</v>
      </c>
      <c r="E48" s="694"/>
      <c r="F48" s="692" t="s">
        <v>18</v>
      </c>
      <c r="G48" s="692"/>
      <c r="H48" s="55"/>
      <c r="I48" s="359" t="n">
        <v>0.17</v>
      </c>
      <c r="J48" s="359" t="n">
        <v>0.17</v>
      </c>
      <c r="K48" s="359" t="n">
        <f aca="false">AVERAGE(I48:J48)</f>
        <v>0.17</v>
      </c>
      <c r="L48" s="55"/>
      <c r="M48" s="692" t="str">
        <f aca="false">IF(INDEX(MO_SNA_IsHistoricalPeriod,,MATCH(F48,MO_Common_ColumnHeader,0)),"Actual","Estimate")</f>
        <v>Actual</v>
      </c>
      <c r="N48" s="359" t="n">
        <f aca="false">INDEX(MO_RIS_TaxRate_Current,0,MATCH(F48,MO_Common_ColumnHeader,0))+INDEX(MO_RIS_TaxRate_Deferred,0,MATCH(F48,MO_Common_ColumnHeader,0))</f>
        <v>0.173228481949272</v>
      </c>
      <c r="O48" s="55"/>
      <c r="P48" s="696" t="n">
        <f aca="false">IF(ISNUMBER(N48),N48-K48,"N/A")</f>
        <v>0.00322848194927214</v>
      </c>
      <c r="Q48" s="696" t="n">
        <f aca="false">IFERROR(IF(ISNUMBER(N48),(N48-K48)/ABS(K48),"N/A"),"N/A")</f>
        <v>0.0189910702898361</v>
      </c>
      <c r="R48" s="55"/>
      <c r="S48" s="697" t="n">
        <v>45686</v>
      </c>
      <c r="T48" s="698" t="s">
        <v>745</v>
      </c>
      <c r="U48" s="55"/>
    </row>
    <row r="49" customFormat="false" ht="15" hidden="false" customHeight="true" outlineLevel="0" collapsed="false">
      <c r="A49" s="679" t="n">
        <v>245</v>
      </c>
      <c r="B49" s="55"/>
      <c r="C49" s="55"/>
      <c r="D49" s="682"/>
      <c r="E49" s="56"/>
      <c r="F49" s="55"/>
      <c r="G49" s="55"/>
      <c r="H49" s="55"/>
      <c r="I49" s="48"/>
      <c r="J49" s="48"/>
      <c r="K49" s="48"/>
      <c r="L49" s="55"/>
      <c r="M49" s="55"/>
      <c r="N49" s="48"/>
      <c r="O49" s="55"/>
      <c r="P49" s="699"/>
      <c r="Q49" s="700"/>
      <c r="R49" s="55"/>
      <c r="S49" s="701"/>
      <c r="T49" s="702"/>
      <c r="U49" s="55"/>
    </row>
    <row r="50" s="691" customFormat="true" ht="15" hidden="false" customHeight="true" outlineLevel="0" collapsed="false">
      <c r="A50" s="679" t="n">
        <v>244</v>
      </c>
      <c r="B50" s="692" t="str">
        <f aca="false">IF(INDEX(MO_SNA_IsHistoricalPeriod,,MATCH(F50,MO_Common_ColumnHeader,0)),"Historical","Forward")</f>
        <v>Historical</v>
      </c>
      <c r="C50" s="55"/>
      <c r="D50" s="693" t="str">
        <f aca="true">INDEX(INDIRECT(E50),0,COLUMN(MO_Common_Column_A))</f>
        <v>Net Revenue</v>
      </c>
      <c r="E50" s="694" t="s">
        <v>671</v>
      </c>
      <c r="F50" s="692" t="s">
        <v>757</v>
      </c>
      <c r="G50" s="692"/>
      <c r="H50" s="55"/>
      <c r="I50" s="159" t="n">
        <v>7500</v>
      </c>
      <c r="J50" s="159" t="n">
        <v>8000</v>
      </c>
      <c r="K50" s="159" t="n">
        <f aca="false">AVERAGE(I50:J50)</f>
        <v>7750</v>
      </c>
      <c r="L50" s="55"/>
      <c r="M50" s="692" t="str">
        <f aca="false">IF(INDEX(MO_SNA_IsHistoricalPeriod,,MATCH(F50,MO_Common_ColumnHeader,0)),"Actual","Estimate")</f>
        <v>Actual</v>
      </c>
      <c r="N50" s="159" t="n">
        <f aca="true">IFERROR(INDEX(INDIRECT(E50),0,MATCH(F50,MO_Common_ColumnHeader,0)),"N/A")</f>
        <v>7741.5</v>
      </c>
      <c r="O50" s="55"/>
      <c r="P50" s="695" t="n">
        <f aca="false">IF(ISNUMBER(N50),N50-K50,"N/A")</f>
        <v>-8.5</v>
      </c>
      <c r="Q50" s="696" t="n">
        <f aca="false">IFERROR(IF(ISNUMBER(N50),(N50-K50)/ABS(K50),"N/A"),"N/A")</f>
        <v>-0.00109677419354839</v>
      </c>
      <c r="R50" s="55"/>
      <c r="S50" s="697" t="n">
        <v>45686</v>
      </c>
      <c r="T50" s="698" t="s">
        <v>745</v>
      </c>
      <c r="U50" s="55"/>
    </row>
    <row r="51" s="691" customFormat="true" ht="15" hidden="false" customHeight="true" outlineLevel="0" collapsed="false">
      <c r="A51" s="679" t="n">
        <v>243</v>
      </c>
      <c r="B51" s="692" t="str">
        <f aca="false">IF(INDEX(MO_SNA_IsHistoricalPeriod,,MATCH(F51,MO_Common_ColumnHeader,0)),"Historical","Forward")</f>
        <v>Historical</v>
      </c>
      <c r="C51" s="55"/>
      <c r="D51" s="693" t="s">
        <v>749</v>
      </c>
      <c r="E51" s="694" t="s">
        <v>750</v>
      </c>
      <c r="F51" s="692" t="s">
        <v>757</v>
      </c>
      <c r="G51" s="692"/>
      <c r="H51" s="55"/>
      <c r="I51" s="159" t="n">
        <v>2100</v>
      </c>
      <c r="J51" s="159" t="n">
        <v>2100</v>
      </c>
      <c r="K51" s="159" t="n">
        <f aca="false">AVERAGE(I51:J51)</f>
        <v>2100</v>
      </c>
      <c r="L51" s="55"/>
      <c r="M51" s="692" t="str">
        <f aca="false">IF(INDEX(MO_SNA_IsHistoricalPeriod,,MATCH(F51,MO_Common_ColumnHeader,0)),"Actual","Estimate")</f>
        <v>Actual</v>
      </c>
      <c r="N51" s="159" t="n">
        <f aca="true">IFERROR(INDEX(INDIRECT(E51),0,MATCH(F51,MO_Common_ColumnHeader,0)),"N/A")</f>
        <v>2001.1</v>
      </c>
      <c r="O51" s="55"/>
      <c r="P51" s="695" t="n">
        <f aca="false">IF(ISNUMBER(N51),N51-K51,"N/A")</f>
        <v>-98.9000000000001</v>
      </c>
      <c r="Q51" s="696" t="n">
        <f aca="false">IFERROR(IF(ISNUMBER(N51),(N51-K51)/ABS(K51),"N/A"),"N/A")</f>
        <v>-0.0470952380952381</v>
      </c>
      <c r="R51" s="55"/>
      <c r="S51" s="697" t="n">
        <v>45686</v>
      </c>
      <c r="T51" s="698" t="s">
        <v>745</v>
      </c>
      <c r="U51" s="55"/>
    </row>
    <row r="52" s="691" customFormat="true" ht="15" hidden="false" customHeight="true" outlineLevel="0" collapsed="false">
      <c r="A52" s="679" t="n">
        <v>242</v>
      </c>
      <c r="B52" s="692" t="str">
        <f aca="false">IF(INDEX(MO_SNA_IsHistoricalPeriod,,MATCH(F52,MO_Common_ColumnHeader,0)),"Historical","Forward")</f>
        <v>Historical</v>
      </c>
      <c r="C52" s="55"/>
      <c r="D52" s="693" t="str">
        <f aca="true">INDEX(INDIRECT(E52),0,COLUMN(MO_Common_Column_A))</f>
        <v>Gross Margin, %</v>
      </c>
      <c r="E52" s="694" t="s">
        <v>746</v>
      </c>
      <c r="F52" s="692" t="s">
        <v>757</v>
      </c>
      <c r="G52" s="692"/>
      <c r="H52" s="55"/>
      <c r="I52" s="359" t="n">
        <v>0.52</v>
      </c>
      <c r="J52" s="359" t="n">
        <v>0.53</v>
      </c>
      <c r="K52" s="359" t="n">
        <f aca="false">AVERAGE(I52:J52)</f>
        <v>0.525</v>
      </c>
      <c r="L52" s="55"/>
      <c r="M52" s="692" t="str">
        <f aca="false">IF(INDEX(MO_SNA_IsHistoricalPeriod,,MATCH(F52,MO_Common_ColumnHeader,0)),"Actual","Estimate")</f>
        <v>Actual</v>
      </c>
      <c r="N52" s="359" t="n">
        <f aca="true">IFERROR(INDEX(INDIRECT(E52),0,MATCH(F52,MO_Common_ColumnHeader,0)),"N/A")</f>
        <v>0.539908286507783</v>
      </c>
      <c r="O52" s="55"/>
      <c r="P52" s="696" t="n">
        <f aca="false">IF(ISNUMBER(N52),N52-K52,"N/A")</f>
        <v>0.0149082865077826</v>
      </c>
      <c r="Q52" s="696" t="n">
        <f aca="false">IFERROR(IF(ISNUMBER(N52),(N52-K52)/ABS(K52),"N/A"),"N/A")</f>
        <v>0.0283967362053003</v>
      </c>
      <c r="R52" s="55"/>
      <c r="S52" s="697" t="n">
        <v>45686</v>
      </c>
      <c r="T52" s="698" t="s">
        <v>745</v>
      </c>
      <c r="U52" s="55"/>
    </row>
    <row r="53" s="691" customFormat="true" ht="15" hidden="false" customHeight="true" outlineLevel="0" collapsed="false">
      <c r="A53" s="679" t="n">
        <v>241</v>
      </c>
      <c r="B53" s="692" t="str">
        <f aca="false">IF(INDEX(MO_SNA_IsHistoricalPeriod,,MATCH(F53,MO_Common_ColumnHeader,0)),"Historical","Forward")</f>
        <v>Historical</v>
      </c>
      <c r="C53" s="55"/>
      <c r="D53" s="693" t="s">
        <v>751</v>
      </c>
      <c r="E53" s="694" t="s">
        <v>752</v>
      </c>
      <c r="F53" s="692" t="s">
        <v>757</v>
      </c>
      <c r="G53" s="692"/>
      <c r="H53" s="55"/>
      <c r="I53" s="159" t="n">
        <v>1140</v>
      </c>
      <c r="J53" s="159" t="n">
        <v>1140</v>
      </c>
      <c r="K53" s="159" t="n">
        <f aca="false">AVERAGE(I53:J53)</f>
        <v>1140</v>
      </c>
      <c r="L53" s="55"/>
      <c r="M53" s="692" t="str">
        <f aca="false">IF(INDEX(MO_SNA_IsHistoricalPeriod,,MATCH(F53,MO_Common_ColumnHeader,0)),"Actual","Estimate")</f>
        <v>Actual</v>
      </c>
      <c r="N53" s="159" t="n">
        <f aca="true">IFERROR(INDEX(INDIRECT(E53),0,MATCH(F53,MO_Common_ColumnHeader,0)),"N/A")</f>
        <v>1161.1</v>
      </c>
      <c r="O53" s="55"/>
      <c r="P53" s="695" t="n">
        <f aca="false">IF(ISNUMBER(N53),N53-K53,"N/A")</f>
        <v>21.0999999999999</v>
      </c>
      <c r="Q53" s="696" t="n">
        <f aca="false">IFERROR(IF(ISNUMBER(N53),(N53-K53)/ABS(K53),"N/A"),"N/A")</f>
        <v>0.0185087719298245</v>
      </c>
      <c r="R53" s="55"/>
      <c r="S53" s="697" t="n">
        <v>45686</v>
      </c>
      <c r="T53" s="698" t="s">
        <v>745</v>
      </c>
      <c r="U53" s="55"/>
    </row>
    <row r="54" s="691" customFormat="true" ht="15" hidden="false" customHeight="true" outlineLevel="0" collapsed="false">
      <c r="A54" s="679" t="n">
        <v>240</v>
      </c>
      <c r="B54" s="692" t="str">
        <f aca="false">IF(INDEX(MO_SNA_IsHistoricalPeriod,,MATCH(F54,MO_Common_ColumnHeader,0)),"Historical","Forward")</f>
        <v>Historical</v>
      </c>
      <c r="C54" s="55"/>
      <c r="D54" s="693" t="str">
        <f aca="true">INDEX(INDIRECT(E54),0,COLUMN(MO_Common_Column_A))</f>
        <v>SG&amp;A</v>
      </c>
      <c r="E54" s="694" t="s">
        <v>753</v>
      </c>
      <c r="F54" s="692" t="s">
        <v>757</v>
      </c>
      <c r="G54" s="692"/>
      <c r="H54" s="55"/>
      <c r="I54" s="159" t="n">
        <v>290</v>
      </c>
      <c r="J54" s="159" t="n">
        <v>290</v>
      </c>
      <c r="K54" s="159" t="n">
        <f aca="false">AVERAGE(I54:J54)</f>
        <v>290</v>
      </c>
      <c r="L54" s="55"/>
      <c r="M54" s="692" t="str">
        <f aca="false">IF(INDEX(MO_SNA_IsHistoricalPeriod,,MATCH(F54,MO_Common_ColumnHeader,0)),"Actual","Estimate")</f>
        <v>Actual</v>
      </c>
      <c r="N54" s="159" t="n">
        <f aca="true">IFERROR(INDEX(INDIRECT(E54),0,MATCH(F54,MO_Common_ColumnHeader,0)),"N/A")</f>
        <v>280.7</v>
      </c>
      <c r="O54" s="55"/>
      <c r="P54" s="695" t="n">
        <f aca="false">IF(ISNUMBER(N54),N54-K54,"N/A")</f>
        <v>-9.30000000000001</v>
      </c>
      <c r="Q54" s="696" t="n">
        <f aca="false">IFERROR(IF(ISNUMBER(N54),(N54-K54)/ABS(K54),"N/A"),"N/A")</f>
        <v>-0.0320689655172414</v>
      </c>
      <c r="R54" s="55"/>
      <c r="S54" s="697" t="n">
        <v>45686</v>
      </c>
      <c r="T54" s="698" t="s">
        <v>745</v>
      </c>
      <c r="U54" s="55"/>
    </row>
    <row r="55" customFormat="false" ht="15" hidden="false" customHeight="true" outlineLevel="0" collapsed="false">
      <c r="A55" s="679" t="n">
        <v>239</v>
      </c>
      <c r="B55" s="55"/>
      <c r="C55" s="55"/>
      <c r="D55" s="682"/>
      <c r="E55" s="56"/>
      <c r="F55" s="55"/>
      <c r="G55" s="55"/>
      <c r="H55" s="55"/>
      <c r="I55" s="48"/>
      <c r="J55" s="48"/>
      <c r="K55" s="48"/>
      <c r="L55" s="55"/>
      <c r="M55" s="55"/>
      <c r="N55" s="48"/>
      <c r="O55" s="55"/>
      <c r="P55" s="699"/>
      <c r="Q55" s="700"/>
      <c r="R55" s="55"/>
      <c r="S55" s="701"/>
      <c r="T55" s="702"/>
      <c r="U55" s="55"/>
    </row>
    <row r="56" s="691" customFormat="true" ht="15" hidden="false" customHeight="true" outlineLevel="0" collapsed="false">
      <c r="A56" s="679" t="n">
        <v>238</v>
      </c>
      <c r="B56" s="692" t="str">
        <f aca="false">IF(INDEX(MO_SNA_IsHistoricalPeriod,,MATCH(F56,MO_Common_ColumnHeader,0)),"Historical","Forward")</f>
        <v>Historical</v>
      </c>
      <c r="C56" s="55"/>
      <c r="D56" s="693" t="str">
        <f aca="true">INDEX(INDIRECT(E56),0,COLUMN(MO_Common_Column_A))</f>
        <v>Net Revenue</v>
      </c>
      <c r="E56" s="694" t="s">
        <v>671</v>
      </c>
      <c r="F56" s="692" t="s">
        <v>17</v>
      </c>
      <c r="G56" s="692"/>
      <c r="H56" s="55"/>
      <c r="I56" s="159" t="n">
        <v>28000</v>
      </c>
      <c r="J56" s="159" t="n">
        <v>28000</v>
      </c>
      <c r="K56" s="159" t="n">
        <f aca="false">AVERAGE(I56:J56)</f>
        <v>28000</v>
      </c>
      <c r="L56" s="55"/>
      <c r="M56" s="692" t="str">
        <f aca="false">IF(INDEX(MO_SNA_IsHistoricalPeriod,,MATCH(F56,MO_Common_ColumnHeader,0)),"Actual","Estimate")</f>
        <v>Actual</v>
      </c>
      <c r="N56" s="159" t="n">
        <f aca="true">IFERROR(INDEX(INDIRECT(E56),0,MATCH(F56,MO_Common_ColumnHeader,0)),"N/A")</f>
        <v>28262.9</v>
      </c>
      <c r="O56" s="55"/>
      <c r="P56" s="695" t="n">
        <f aca="false">IF(ISNUMBER(N56),N56-K56,"N/A")</f>
        <v>262.900000000001</v>
      </c>
      <c r="Q56" s="696" t="n">
        <f aca="false">IFERROR(IF(ISNUMBER(N56),(N56-K56)/ABS(K56),"N/A"),"N/A")</f>
        <v>0.00938928571428577</v>
      </c>
      <c r="R56" s="55"/>
      <c r="S56" s="697" t="n">
        <v>45580</v>
      </c>
      <c r="T56" s="698" t="s">
        <v>745</v>
      </c>
      <c r="U56" s="55"/>
    </row>
    <row r="57" s="691" customFormat="true" ht="15" hidden="false" customHeight="true" outlineLevel="0" collapsed="false">
      <c r="A57" s="679" t="n">
        <v>237</v>
      </c>
      <c r="B57" s="692" t="str">
        <f aca="false">IF(INDEX(MO_SNA_IsHistoricalPeriod,,MATCH(F57,MO_Common_ColumnHeader,0)),"Historical","Forward")</f>
        <v>Historical</v>
      </c>
      <c r="C57" s="55"/>
      <c r="D57" s="693" t="str">
        <f aca="true">INDEX(INDIRECT(E57),0,COLUMN(MO_Common_Column_A))</f>
        <v>Gross Margin, %</v>
      </c>
      <c r="E57" s="694" t="s">
        <v>746</v>
      </c>
      <c r="F57" s="692" t="s">
        <v>17</v>
      </c>
      <c r="G57" s="692"/>
      <c r="H57" s="55"/>
      <c r="I57" s="359" t="n">
        <v>0.506</v>
      </c>
      <c r="J57" s="359" t="n">
        <v>0.506</v>
      </c>
      <c r="K57" s="359" t="n">
        <f aca="false">AVERAGE(I57:J57)</f>
        <v>0.506</v>
      </c>
      <c r="L57" s="55"/>
      <c r="M57" s="692" t="str">
        <f aca="false">IF(INDEX(MO_SNA_IsHistoricalPeriod,,MATCH(F57,MO_Common_ColumnHeader,0)),"Actual","Estimate")</f>
        <v>Actual</v>
      </c>
      <c r="N57" s="359" t="n">
        <f aca="true">IFERROR(INDEX(INDIRECT(E57),0,MATCH(F57,MO_Common_ColumnHeader,0)),"N/A")</f>
        <v>0.512757006535069</v>
      </c>
      <c r="O57" s="55"/>
      <c r="P57" s="696" t="n">
        <f aca="false">IF(ISNUMBER(N57),N57-K57,"N/A")</f>
        <v>0.00675700653506905</v>
      </c>
      <c r="Q57" s="696" t="n">
        <f aca="false">IFERROR(IF(ISNUMBER(N57),(N57-K57)/ABS(K57),"N/A"),"N/A")</f>
        <v>0.0133537678558677</v>
      </c>
      <c r="R57" s="55"/>
      <c r="S57" s="697" t="n">
        <v>45580</v>
      </c>
      <c r="T57" s="698" t="s">
        <v>745</v>
      </c>
      <c r="U57" s="55"/>
    </row>
    <row r="58" customFormat="false" ht="15" hidden="false" customHeight="true" outlineLevel="0" collapsed="false">
      <c r="A58" s="679" t="n">
        <v>236</v>
      </c>
      <c r="B58" s="692" t="str">
        <f aca="false">IF(INDEX(MO_SNA_IsHistoricalPeriod,,MATCH(F58,MO_Common_ColumnHeader,0)),"Historical","Forward")</f>
        <v>Historical</v>
      </c>
      <c r="C58" s="55"/>
      <c r="D58" s="693" t="s">
        <v>747</v>
      </c>
      <c r="E58" s="694"/>
      <c r="F58" s="692" t="s">
        <v>17</v>
      </c>
      <c r="G58" s="692"/>
      <c r="H58" s="55"/>
      <c r="I58" s="359" t="n">
        <v>0.16</v>
      </c>
      <c r="J58" s="359" t="n">
        <v>0.17</v>
      </c>
      <c r="K58" s="359" t="n">
        <f aca="false">AVERAGE(I58:J58)</f>
        <v>0.165</v>
      </c>
      <c r="L58" s="55"/>
      <c r="M58" s="692" t="str">
        <f aca="false">IF(INDEX(MO_SNA_IsHistoricalPeriod,,MATCH(F58,MO_Common_ColumnHeader,0)),"Actual","Estimate")</f>
        <v>Actual</v>
      </c>
      <c r="N58" s="359" t="n">
        <f aca="false">INDEX(MO_RIS_TaxRate_Current,0,MATCH(F58,MO_Common_ColumnHeader,0))+INDEX(MO_RIS_TaxRate_Deferred,0,MATCH(F58,MO_Common_ColumnHeader,0))</f>
        <v>0.181643284840362</v>
      </c>
      <c r="O58" s="55"/>
      <c r="P58" s="696" t="n">
        <f aca="false">IF(ISNUMBER(N58),N58-K58,"N/A")</f>
        <v>0.0166432848403622</v>
      </c>
      <c r="Q58" s="696" t="n">
        <f aca="false">IFERROR(IF(ISNUMBER(N58),(N58-K58)/ABS(K58),"N/A"),"N/A")</f>
        <v>0.100868392971892</v>
      </c>
      <c r="R58" s="55"/>
      <c r="S58" s="697" t="n">
        <v>45580</v>
      </c>
      <c r="T58" s="698" t="s">
        <v>745</v>
      </c>
      <c r="U58" s="55"/>
    </row>
    <row r="59" customFormat="false" ht="15" hidden="false" customHeight="true" outlineLevel="0" collapsed="false">
      <c r="A59" s="679" t="n">
        <v>235</v>
      </c>
      <c r="B59" s="55"/>
      <c r="C59" s="55"/>
      <c r="D59" s="682"/>
      <c r="E59" s="56"/>
      <c r="F59" s="55"/>
      <c r="G59" s="55"/>
      <c r="H59" s="55"/>
      <c r="I59" s="48"/>
      <c r="J59" s="48"/>
      <c r="K59" s="48"/>
      <c r="L59" s="55"/>
      <c r="M59" s="55"/>
      <c r="N59" s="48"/>
      <c r="O59" s="55"/>
      <c r="P59" s="699"/>
      <c r="Q59" s="700"/>
      <c r="R59" s="55"/>
      <c r="S59" s="701"/>
      <c r="T59" s="702"/>
      <c r="U59" s="55"/>
    </row>
    <row r="60" s="691" customFormat="true" ht="15" hidden="false" customHeight="true" outlineLevel="0" collapsed="false">
      <c r="A60" s="679" t="n">
        <v>234</v>
      </c>
      <c r="B60" s="692" t="str">
        <f aca="false">IF(INDEX(MO_SNA_IsHistoricalPeriod,,MATCH(F60,MO_Common_ColumnHeader,0)),"Historical","Forward")</f>
        <v>Historical</v>
      </c>
      <c r="C60" s="55"/>
      <c r="D60" s="693" t="str">
        <f aca="true">INDEX(INDIRECT(E60),0,COLUMN(MO_Common_Column_A))</f>
        <v>Net Revenue</v>
      </c>
      <c r="E60" s="694" t="s">
        <v>671</v>
      </c>
      <c r="F60" s="692" t="s">
        <v>758</v>
      </c>
      <c r="G60" s="692"/>
      <c r="H60" s="55"/>
      <c r="I60" s="159" t="n">
        <v>8800</v>
      </c>
      <c r="J60" s="159" t="n">
        <v>9200</v>
      </c>
      <c r="K60" s="159" t="n">
        <f aca="false">AVERAGE(I60:J60)</f>
        <v>9000</v>
      </c>
      <c r="L60" s="55"/>
      <c r="M60" s="692" t="str">
        <f aca="false">IF(INDEX(MO_SNA_IsHistoricalPeriod,,MATCH(F60,MO_Common_ColumnHeader,0)),"Actual","Estimate")</f>
        <v>Actual</v>
      </c>
      <c r="N60" s="159" t="n">
        <f aca="true">IFERROR(INDEX(INDIRECT(E60),0,MATCH(F60,MO_Common_ColumnHeader,0)),"N/A")</f>
        <v>9262.8</v>
      </c>
      <c r="O60" s="55"/>
      <c r="P60" s="695" t="n">
        <f aca="false">IF(ISNUMBER(N60),N60-K60,"N/A")</f>
        <v>262.800000000001</v>
      </c>
      <c r="Q60" s="696" t="n">
        <f aca="false">IFERROR(IF(ISNUMBER(N60),(N60-K60)/ABS(K60),"N/A"),"N/A")</f>
        <v>0.0292000000000001</v>
      </c>
      <c r="R60" s="55"/>
      <c r="S60" s="697" t="n">
        <v>45580</v>
      </c>
      <c r="T60" s="698" t="s">
        <v>745</v>
      </c>
      <c r="U60" s="55"/>
    </row>
    <row r="61" s="691" customFormat="true" ht="15" hidden="false" customHeight="true" outlineLevel="0" collapsed="false">
      <c r="A61" s="679" t="n">
        <v>233</v>
      </c>
      <c r="B61" s="692" t="str">
        <f aca="false">IF(INDEX(MO_SNA_IsHistoricalPeriod,,MATCH(F61,MO_Common_ColumnHeader,0)),"Historical","Forward")</f>
        <v>Historical</v>
      </c>
      <c r="C61" s="55"/>
      <c r="D61" s="693" t="s">
        <v>749</v>
      </c>
      <c r="E61" s="694" t="s">
        <v>750</v>
      </c>
      <c r="F61" s="692" t="s">
        <v>758</v>
      </c>
      <c r="G61" s="692"/>
      <c r="H61" s="55"/>
      <c r="I61" s="159" t="n">
        <v>1900</v>
      </c>
      <c r="J61" s="159" t="n">
        <v>1900</v>
      </c>
      <c r="K61" s="159" t="n">
        <f aca="false">AVERAGE(I61:J61)</f>
        <v>1900</v>
      </c>
      <c r="L61" s="55"/>
      <c r="M61" s="692" t="str">
        <f aca="false">IF(INDEX(MO_SNA_IsHistoricalPeriod,,MATCH(F61,MO_Common_ColumnHeader,0)),"Actual","Estimate")</f>
        <v>Actual</v>
      </c>
      <c r="N61" s="159" t="n">
        <f aca="true">IFERROR(INDEX(INDIRECT(E61),0,MATCH(F61,MO_Common_ColumnHeader,0)),"N/A")</f>
        <v>2146.9</v>
      </c>
      <c r="O61" s="55"/>
      <c r="P61" s="695" t="n">
        <f aca="false">IF(ISNUMBER(N61),N61-K61,"N/A")</f>
        <v>246.9</v>
      </c>
      <c r="Q61" s="696" t="n">
        <f aca="false">IFERROR(IF(ISNUMBER(N61),(N61-K61)/ABS(K61),"N/A"),"N/A")</f>
        <v>0.129947368421052</v>
      </c>
      <c r="R61" s="55"/>
      <c r="S61" s="697" t="n">
        <v>45580</v>
      </c>
      <c r="T61" s="698" t="s">
        <v>745</v>
      </c>
      <c r="U61" s="55"/>
    </row>
    <row r="62" s="691" customFormat="true" ht="15" hidden="false" customHeight="true" outlineLevel="0" collapsed="false">
      <c r="A62" s="679" t="n">
        <v>232</v>
      </c>
      <c r="B62" s="692" t="str">
        <f aca="false">IF(INDEX(MO_SNA_IsHistoricalPeriod,,MATCH(F62,MO_Common_ColumnHeader,0)),"Historical","Forward")</f>
        <v>Historical</v>
      </c>
      <c r="C62" s="55"/>
      <c r="D62" s="693" t="str">
        <f aca="true">INDEX(INDIRECT(E62),0,COLUMN(MO_Common_Column_A))</f>
        <v>Gross Margin, %</v>
      </c>
      <c r="E62" s="694" t="s">
        <v>746</v>
      </c>
      <c r="F62" s="692" t="s">
        <v>758</v>
      </c>
      <c r="G62" s="692"/>
      <c r="H62" s="55"/>
      <c r="I62" s="359" t="n">
        <v>0.49</v>
      </c>
      <c r="J62" s="359" t="n">
        <v>0.5</v>
      </c>
      <c r="K62" s="359" t="n">
        <f aca="false">AVERAGE(I62:J62)</f>
        <v>0.495</v>
      </c>
      <c r="L62" s="55"/>
      <c r="M62" s="692" t="str">
        <f aca="false">IF(INDEX(MO_SNA_IsHistoricalPeriod,,MATCH(F62,MO_Common_ColumnHeader,0)),"Actual","Estimate")</f>
        <v>Actual</v>
      </c>
      <c r="N62" s="359" t="n">
        <f aca="true">IFERROR(INDEX(INDIRECT(E62),0,MATCH(F62,MO_Common_ColumnHeader,0)),"N/A")</f>
        <v>0.517100660707346</v>
      </c>
      <c r="O62" s="55"/>
      <c r="P62" s="696" t="n">
        <f aca="false">IF(ISNUMBER(N62),N62-K62,"N/A")</f>
        <v>0.0221006607073456</v>
      </c>
      <c r="Q62" s="696" t="n">
        <f aca="false">IFERROR(IF(ISNUMBER(N62),(N62-K62)/ABS(K62),"N/A"),"N/A")</f>
        <v>0.044647799408779</v>
      </c>
      <c r="R62" s="55"/>
      <c r="S62" s="697" t="n">
        <v>45580</v>
      </c>
      <c r="T62" s="698" t="s">
        <v>745</v>
      </c>
      <c r="U62" s="55"/>
    </row>
    <row r="63" s="691" customFormat="true" ht="15" hidden="false" customHeight="true" outlineLevel="0" collapsed="false">
      <c r="A63" s="679" t="n">
        <v>231</v>
      </c>
      <c r="B63" s="692" t="str">
        <f aca="false">IF(INDEX(MO_SNA_IsHistoricalPeriod,,MATCH(F63,MO_Common_ColumnHeader,0)),"Historical","Forward")</f>
        <v>Historical</v>
      </c>
      <c r="C63" s="55"/>
      <c r="D63" s="693" t="s">
        <v>751</v>
      </c>
      <c r="E63" s="694" t="s">
        <v>752</v>
      </c>
      <c r="F63" s="692" t="s">
        <v>758</v>
      </c>
      <c r="G63" s="692"/>
      <c r="H63" s="55"/>
      <c r="I63" s="159" t="n">
        <v>1090</v>
      </c>
      <c r="J63" s="159" t="n">
        <v>1090</v>
      </c>
      <c r="K63" s="159" t="n">
        <f aca="false">AVERAGE(I63:J63)</f>
        <v>1090</v>
      </c>
      <c r="L63" s="55"/>
      <c r="M63" s="692" t="str">
        <f aca="false">IF(INDEX(MO_SNA_IsHistoricalPeriod,,MATCH(F63,MO_Common_ColumnHeader,0)),"Actual","Estimate")</f>
        <v>Actual</v>
      </c>
      <c r="N63" s="159" t="n">
        <f aca="true">IFERROR(INDEX(INDIRECT(E63),0,MATCH(F63,MO_Common_ColumnHeader,0)),"N/A")</f>
        <v>1116</v>
      </c>
      <c r="O63" s="55"/>
      <c r="P63" s="695" t="n">
        <f aca="false">IF(ISNUMBER(N63),N63-K63,"N/A")</f>
        <v>26</v>
      </c>
      <c r="Q63" s="696" t="n">
        <f aca="false">IFERROR(IF(ISNUMBER(N63),(N63-K63)/ABS(K63),"N/A"),"N/A")</f>
        <v>0.0238532110091743</v>
      </c>
      <c r="R63" s="55"/>
      <c r="S63" s="697" t="n">
        <v>45580</v>
      </c>
      <c r="T63" s="698" t="s">
        <v>745</v>
      </c>
      <c r="U63" s="55"/>
    </row>
    <row r="64" s="691" customFormat="true" ht="15" hidden="false" customHeight="true" outlineLevel="0" collapsed="false">
      <c r="A64" s="679" t="n">
        <v>230</v>
      </c>
      <c r="B64" s="692" t="str">
        <f aca="false">IF(INDEX(MO_SNA_IsHistoricalPeriod,,MATCH(F64,MO_Common_ColumnHeader,0)),"Historical","Forward")</f>
        <v>Historical</v>
      </c>
      <c r="C64" s="55"/>
      <c r="D64" s="693" t="str">
        <f aca="true">INDEX(INDIRECT(E64),0,COLUMN(MO_Common_Column_A))</f>
        <v>SG&amp;A</v>
      </c>
      <c r="E64" s="694" t="s">
        <v>753</v>
      </c>
      <c r="F64" s="692" t="s">
        <v>758</v>
      </c>
      <c r="G64" s="692"/>
      <c r="H64" s="55"/>
      <c r="I64" s="159" t="n">
        <v>300</v>
      </c>
      <c r="J64" s="159" t="n">
        <v>300</v>
      </c>
      <c r="K64" s="159" t="n">
        <f aca="false">AVERAGE(I64:J64)</f>
        <v>300</v>
      </c>
      <c r="L64" s="55"/>
      <c r="M64" s="692" t="str">
        <f aca="false">IF(INDEX(MO_SNA_IsHistoricalPeriod,,MATCH(F64,MO_Common_ColumnHeader,0)),"Actual","Estimate")</f>
        <v>Actual</v>
      </c>
      <c r="N64" s="159" t="n">
        <f aca="true">IFERROR(INDEX(INDIRECT(E64),0,MATCH(F64,MO_Common_ColumnHeader,0)),"N/A")</f>
        <v>318.4</v>
      </c>
      <c r="O64" s="55"/>
      <c r="P64" s="695" t="n">
        <f aca="false">IF(ISNUMBER(N64),N64-K64,"N/A")</f>
        <v>18.4000000000001</v>
      </c>
      <c r="Q64" s="696" t="n">
        <f aca="false">IFERROR(IF(ISNUMBER(N64),(N64-K64)/ABS(K64),"N/A"),"N/A")</f>
        <v>0.0613333333333336</v>
      </c>
      <c r="R64" s="55"/>
      <c r="S64" s="697" t="n">
        <v>45580</v>
      </c>
      <c r="T64" s="698" t="s">
        <v>745</v>
      </c>
      <c r="U64" s="55"/>
    </row>
    <row r="65" customFormat="false" ht="15" hidden="false" customHeight="true" outlineLevel="0" collapsed="false">
      <c r="A65" s="679" t="n">
        <v>229</v>
      </c>
      <c r="B65" s="55"/>
      <c r="C65" s="55"/>
      <c r="D65" s="682"/>
      <c r="E65" s="56"/>
      <c r="F65" s="55"/>
      <c r="G65" s="55"/>
      <c r="H65" s="55"/>
      <c r="I65" s="48"/>
      <c r="J65" s="48"/>
      <c r="K65" s="48"/>
      <c r="L65" s="55"/>
      <c r="M65" s="55"/>
      <c r="N65" s="48"/>
      <c r="O65" s="55"/>
      <c r="P65" s="699"/>
      <c r="Q65" s="700"/>
      <c r="R65" s="55"/>
      <c r="S65" s="701"/>
      <c r="T65" s="702"/>
      <c r="U65" s="55"/>
    </row>
    <row r="66" s="691" customFormat="true" ht="15" hidden="false" customHeight="true" outlineLevel="0" collapsed="false">
      <c r="A66" s="679" t="n">
        <v>228</v>
      </c>
      <c r="B66" s="692" t="str">
        <f aca="false">IF(INDEX(MO_SNA_IsHistoricalPeriod,,MATCH(F66,MO_Common_ColumnHeader,0)),"Historical","Forward")</f>
        <v>Historical</v>
      </c>
      <c r="C66" s="55"/>
      <c r="D66" s="693" t="str">
        <f aca="true">INDEX(INDIRECT(E66),0,COLUMN(MO_Common_Column_A))</f>
        <v>Y/Y Total revenue growth, %</v>
      </c>
      <c r="E66" s="694" t="s">
        <v>759</v>
      </c>
      <c r="F66" s="692" t="s">
        <v>17</v>
      </c>
      <c r="G66" s="692"/>
      <c r="H66" s="55"/>
      <c r="I66" s="359" t="n">
        <v>0</v>
      </c>
      <c r="J66" s="359" t="n">
        <v>0</v>
      </c>
      <c r="K66" s="359" t="n">
        <f aca="false">AVERAGE(I66:J66)</f>
        <v>0</v>
      </c>
      <c r="L66" s="55"/>
      <c r="M66" s="692" t="str">
        <f aca="false">IF(INDEX(MO_SNA_IsHistoricalPeriod,,MATCH(F66,MO_Common_ColumnHeader,0)),"Actual","Estimate")</f>
        <v>Actual</v>
      </c>
      <c r="N66" s="359" t="n">
        <f aca="true">IFERROR(INDEX(INDIRECT(E66),0,MATCH(F66,MO_Common_ColumnHeader,0)),"N/A")</f>
        <v>0.0255601719977505</v>
      </c>
      <c r="O66" s="55"/>
      <c r="P66" s="696" t="n">
        <f aca="false">IF(ISNUMBER(N66),N66-K66,"N/A")</f>
        <v>0.0255601719977505</v>
      </c>
      <c r="Q66" s="696" t="str">
        <f aca="false">IFERROR(IF(ISNUMBER(N66),(N66-K66)/ABS(K66),"N/A"),"N/A")</f>
        <v>N/A</v>
      </c>
      <c r="R66" s="55"/>
      <c r="S66" s="697" t="n">
        <v>45490</v>
      </c>
      <c r="T66" s="698" t="s">
        <v>745</v>
      </c>
      <c r="U66" s="55"/>
    </row>
    <row r="67" customFormat="false" ht="15" hidden="false" customHeight="true" outlineLevel="0" collapsed="false">
      <c r="A67" s="679" t="n">
        <v>227</v>
      </c>
      <c r="B67" s="692" t="str">
        <f aca="false">IF(INDEX(MO_SNA_IsHistoricalPeriod,,MATCH(F67,MO_Common_ColumnHeader,0)),"Historical","Forward")</f>
        <v>Historical</v>
      </c>
      <c r="C67" s="55"/>
      <c r="D67" s="693" t="s">
        <v>747</v>
      </c>
      <c r="E67" s="694"/>
      <c r="F67" s="692" t="s">
        <v>17</v>
      </c>
      <c r="G67" s="692"/>
      <c r="H67" s="55"/>
      <c r="I67" s="359" t="n">
        <v>0.16</v>
      </c>
      <c r="J67" s="359" t="n">
        <v>0.17</v>
      </c>
      <c r="K67" s="359" t="n">
        <f aca="false">AVERAGE(I67:J67)</f>
        <v>0.165</v>
      </c>
      <c r="L67" s="55"/>
      <c r="M67" s="692" t="str">
        <f aca="false">IF(INDEX(MO_SNA_IsHistoricalPeriod,,MATCH(F67,MO_Common_ColumnHeader,0)),"Actual","Estimate")</f>
        <v>Actual</v>
      </c>
      <c r="N67" s="359" t="n">
        <f aca="false">INDEX(MO_RIS_TaxRate_Current,0,MATCH(F67,MO_Common_ColumnHeader,0))+INDEX(MO_RIS_TaxRate_Deferred,0,MATCH(F67,MO_Common_ColumnHeader,0))</f>
        <v>0.181643284840362</v>
      </c>
      <c r="O67" s="55"/>
      <c r="P67" s="696" t="n">
        <f aca="false">IF(ISNUMBER(N67),N67-K67,"N/A")</f>
        <v>0.0166432848403622</v>
      </c>
      <c r="Q67" s="696" t="n">
        <f aca="false">IFERROR(IF(ISNUMBER(N67),(N67-K67)/ABS(K67),"N/A"),"N/A")</f>
        <v>0.100868392971892</v>
      </c>
      <c r="R67" s="55"/>
      <c r="S67" s="697" t="n">
        <v>45490</v>
      </c>
      <c r="T67" s="698" t="s">
        <v>745</v>
      </c>
      <c r="U67" s="55"/>
    </row>
    <row r="68" customFormat="false" ht="15" hidden="false" customHeight="true" outlineLevel="0" collapsed="false">
      <c r="A68" s="679" t="n">
        <v>226</v>
      </c>
      <c r="B68" s="55"/>
      <c r="C68" s="55"/>
      <c r="D68" s="682"/>
      <c r="E68" s="56"/>
      <c r="F68" s="55"/>
      <c r="G68" s="55"/>
      <c r="H68" s="55"/>
      <c r="I68" s="48"/>
      <c r="J68" s="48"/>
      <c r="K68" s="48"/>
      <c r="L68" s="55"/>
      <c r="M68" s="55"/>
      <c r="N68" s="48"/>
      <c r="O68" s="55"/>
      <c r="P68" s="699"/>
      <c r="Q68" s="700"/>
      <c r="R68" s="55"/>
      <c r="S68" s="701"/>
      <c r="T68" s="702"/>
      <c r="U68" s="55"/>
    </row>
    <row r="69" s="691" customFormat="true" ht="15" hidden="false" customHeight="true" outlineLevel="0" collapsed="false">
      <c r="A69" s="679" t="n">
        <v>225</v>
      </c>
      <c r="B69" s="692" t="str">
        <f aca="false">IF(INDEX(MO_SNA_IsHistoricalPeriod,,MATCH(F69,MO_Common_ColumnHeader,0)),"Historical","Forward")</f>
        <v>Historical</v>
      </c>
      <c r="C69" s="55"/>
      <c r="D69" s="693" t="str">
        <f aca="true">INDEX(INDIRECT(E69),0,COLUMN(MO_Common_Column_A))</f>
        <v>Net Revenue</v>
      </c>
      <c r="E69" s="694" t="s">
        <v>671</v>
      </c>
      <c r="F69" s="692" t="s">
        <v>760</v>
      </c>
      <c r="G69" s="692"/>
      <c r="H69" s="55"/>
      <c r="I69" s="159" t="n">
        <v>6700</v>
      </c>
      <c r="J69" s="159" t="n">
        <v>7300</v>
      </c>
      <c r="K69" s="159" t="n">
        <f aca="false">AVERAGE(I69:J69)</f>
        <v>7000</v>
      </c>
      <c r="L69" s="55"/>
      <c r="M69" s="692" t="str">
        <f aca="false">IF(INDEX(MO_SNA_IsHistoricalPeriod,,MATCH(F69,MO_Common_ColumnHeader,0)),"Actual","Estimate")</f>
        <v>Actual</v>
      </c>
      <c r="N69" s="159" t="n">
        <f aca="true">IFERROR(INDEX(INDIRECT(E69),0,MATCH(F69,MO_Common_ColumnHeader,0)),"N/A")</f>
        <v>7467.3</v>
      </c>
      <c r="O69" s="55"/>
      <c r="P69" s="695" t="n">
        <f aca="false">IF(ISNUMBER(N69),N69-K69,"N/A")</f>
        <v>467.3</v>
      </c>
      <c r="Q69" s="696" t="n">
        <f aca="false">IFERROR(IF(ISNUMBER(N69),(N69-K69)/ABS(K69),"N/A"),"N/A")</f>
        <v>0.0667571428571429</v>
      </c>
      <c r="R69" s="55"/>
      <c r="S69" s="697" t="n">
        <v>45490</v>
      </c>
      <c r="T69" s="698" t="s">
        <v>745</v>
      </c>
      <c r="U69" s="55"/>
    </row>
    <row r="70" s="691" customFormat="true" ht="15" hidden="false" customHeight="true" outlineLevel="0" collapsed="false">
      <c r="A70" s="679" t="n">
        <v>224</v>
      </c>
      <c r="B70" s="692" t="str">
        <f aca="false">IF(INDEX(MO_SNA_IsHistoricalPeriod,,MATCH(F70,MO_Common_ColumnHeader,0)),"Historical","Forward")</f>
        <v>Historical</v>
      </c>
      <c r="C70" s="55"/>
      <c r="D70" s="693" t="s">
        <v>749</v>
      </c>
      <c r="E70" s="694" t="s">
        <v>750</v>
      </c>
      <c r="F70" s="692" t="s">
        <v>760</v>
      </c>
      <c r="G70" s="692"/>
      <c r="H70" s="55"/>
      <c r="I70" s="159" t="n">
        <v>1400</v>
      </c>
      <c r="J70" s="159" t="n">
        <v>1400</v>
      </c>
      <c r="K70" s="159" t="n">
        <f aca="false">AVERAGE(I70:J70)</f>
        <v>1400</v>
      </c>
      <c r="L70" s="55"/>
      <c r="M70" s="692" t="str">
        <f aca="false">IF(INDEX(MO_SNA_IsHistoricalPeriod,,MATCH(F70,MO_Common_ColumnHeader,0)),"Actual","Estimate")</f>
        <v>Actual</v>
      </c>
      <c r="N70" s="159" t="n">
        <f aca="true">IFERROR(INDEX(INDIRECT(E70),0,MATCH(F70,MO_Common_ColumnHeader,0)),"N/A")</f>
        <v>1541.3</v>
      </c>
      <c r="O70" s="55"/>
      <c r="P70" s="695" t="n">
        <f aca="false">IF(ISNUMBER(N70),N70-K70,"N/A")</f>
        <v>141.3</v>
      </c>
      <c r="Q70" s="696" t="n">
        <f aca="false">IFERROR(IF(ISNUMBER(N70),(N70-K70)/ABS(K70),"N/A"),"N/A")</f>
        <v>0.100928571428571</v>
      </c>
      <c r="R70" s="55"/>
      <c r="S70" s="697" t="n">
        <v>45490</v>
      </c>
      <c r="T70" s="698" t="s">
        <v>745</v>
      </c>
      <c r="U70" s="55"/>
    </row>
    <row r="71" s="691" customFormat="true" ht="15" hidden="false" customHeight="true" outlineLevel="0" collapsed="false">
      <c r="A71" s="679" t="n">
        <v>223</v>
      </c>
      <c r="B71" s="692" t="str">
        <f aca="false">IF(INDEX(MO_SNA_IsHistoricalPeriod,,MATCH(F71,MO_Common_ColumnHeader,0)),"Historical","Forward")</f>
        <v>Historical</v>
      </c>
      <c r="C71" s="55"/>
      <c r="D71" s="693" t="str">
        <f aca="true">INDEX(INDIRECT(E71),0,COLUMN(MO_Common_Column_A))</f>
        <v>Gross Margin, %</v>
      </c>
      <c r="E71" s="694" t="s">
        <v>746</v>
      </c>
      <c r="F71" s="692" t="s">
        <v>760</v>
      </c>
      <c r="G71" s="692"/>
      <c r="H71" s="55"/>
      <c r="I71" s="359" t="n">
        <v>0.5</v>
      </c>
      <c r="J71" s="359" t="n">
        <v>0.51</v>
      </c>
      <c r="K71" s="359" t="n">
        <f aca="false">AVERAGE(I71:J71)</f>
        <v>0.505</v>
      </c>
      <c r="L71" s="55"/>
      <c r="M71" s="692" t="str">
        <f aca="false">IF(INDEX(MO_SNA_IsHistoricalPeriod,,MATCH(F71,MO_Common_ColumnHeader,0)),"Actual","Estimate")</f>
        <v>Actual</v>
      </c>
      <c r="N71" s="359" t="n">
        <f aca="true">IFERROR(INDEX(INDIRECT(E71),0,MATCH(F71,MO_Common_ColumnHeader,0)),"N/A")</f>
        <v>0.508001553439664</v>
      </c>
      <c r="O71" s="55"/>
      <c r="P71" s="696" t="n">
        <f aca="false">IF(ISNUMBER(N71),N71-K71,"N/A")</f>
        <v>0.00300155343966357</v>
      </c>
      <c r="Q71" s="696" t="n">
        <f aca="false">IFERROR(IF(ISNUMBER(N71),(N71-K71)/ABS(K71),"N/A"),"N/A")</f>
        <v>0.00594367017755163</v>
      </c>
      <c r="R71" s="55"/>
      <c r="S71" s="697" t="n">
        <v>45490</v>
      </c>
      <c r="T71" s="698" t="s">
        <v>745</v>
      </c>
      <c r="U71" s="55"/>
    </row>
    <row r="72" s="691" customFormat="true" ht="15" hidden="false" customHeight="true" outlineLevel="0" collapsed="false">
      <c r="A72" s="679" t="n">
        <v>222</v>
      </c>
      <c r="B72" s="692" t="str">
        <f aca="false">IF(INDEX(MO_SNA_IsHistoricalPeriod,,MATCH(F72,MO_Common_ColumnHeader,0)),"Historical","Forward")</f>
        <v>Historical</v>
      </c>
      <c r="C72" s="55"/>
      <c r="D72" s="693" t="s">
        <v>751</v>
      </c>
      <c r="E72" s="694" t="s">
        <v>752</v>
      </c>
      <c r="F72" s="692" t="s">
        <v>760</v>
      </c>
      <c r="G72" s="692"/>
      <c r="H72" s="55"/>
      <c r="I72" s="159" t="n">
        <v>1100</v>
      </c>
      <c r="J72" s="159" t="n">
        <v>1100</v>
      </c>
      <c r="K72" s="159" t="n">
        <f aca="false">AVERAGE(I72:J72)</f>
        <v>1100</v>
      </c>
      <c r="L72" s="55"/>
      <c r="M72" s="692" t="str">
        <f aca="false">IF(INDEX(MO_SNA_IsHistoricalPeriod,,MATCH(F72,MO_Common_ColumnHeader,0)),"Actual","Estimate")</f>
        <v>Actual</v>
      </c>
      <c r="N72" s="159" t="n">
        <f aca="true">IFERROR(INDEX(INDIRECT(E72),0,MATCH(F72,MO_Common_ColumnHeader,0)),"N/A")</f>
        <v>1055.2</v>
      </c>
      <c r="O72" s="55"/>
      <c r="P72" s="695" t="n">
        <f aca="false">IF(ISNUMBER(N72),N72-K72,"N/A")</f>
        <v>-44.8</v>
      </c>
      <c r="Q72" s="696" t="n">
        <f aca="false">IFERROR(IF(ISNUMBER(N72),(N72-K72)/ABS(K72),"N/A"),"N/A")</f>
        <v>-0.0407272727272727</v>
      </c>
      <c r="R72" s="55"/>
      <c r="S72" s="697" t="n">
        <v>45490</v>
      </c>
      <c r="T72" s="698" t="s">
        <v>745</v>
      </c>
      <c r="U72" s="55"/>
    </row>
    <row r="73" s="691" customFormat="true" ht="15" hidden="false" customHeight="true" outlineLevel="0" collapsed="false">
      <c r="A73" s="679" t="n">
        <v>221</v>
      </c>
      <c r="B73" s="692" t="str">
        <f aca="false">IF(INDEX(MO_SNA_IsHistoricalPeriod,,MATCH(F73,MO_Common_ColumnHeader,0)),"Historical","Forward")</f>
        <v>Historical</v>
      </c>
      <c r="C73" s="55"/>
      <c r="D73" s="693" t="str">
        <f aca="true">INDEX(INDIRECT(E73),0,COLUMN(MO_Common_Column_A))</f>
        <v>SG&amp;A</v>
      </c>
      <c r="E73" s="694" t="s">
        <v>753</v>
      </c>
      <c r="F73" s="692" t="s">
        <v>760</v>
      </c>
      <c r="G73" s="692"/>
      <c r="H73" s="55"/>
      <c r="I73" s="159" t="n">
        <v>295</v>
      </c>
      <c r="J73" s="159" t="n">
        <v>295</v>
      </c>
      <c r="K73" s="159" t="n">
        <f aca="false">AVERAGE(I73:J73)</f>
        <v>295</v>
      </c>
      <c r="L73" s="55"/>
      <c r="M73" s="692" t="str">
        <f aca="false">IF(INDEX(MO_SNA_IsHistoricalPeriod,,MATCH(F73,MO_Common_ColumnHeader,0)),"Actual","Estimate")</f>
        <v>Actual</v>
      </c>
      <c r="N73" s="159" t="n">
        <f aca="true">IFERROR(INDEX(INDIRECT(E73),0,MATCH(F73,MO_Common_ColumnHeader,0)),"N/A")</f>
        <v>297</v>
      </c>
      <c r="O73" s="55"/>
      <c r="P73" s="695" t="n">
        <f aca="false">IF(ISNUMBER(N73),N73-K73,"N/A")</f>
        <v>2</v>
      </c>
      <c r="Q73" s="696" t="n">
        <f aca="false">IFERROR(IF(ISNUMBER(N73),(N73-K73)/ABS(K73),"N/A"),"N/A")</f>
        <v>0.00677966101694915</v>
      </c>
      <c r="R73" s="55"/>
      <c r="S73" s="697" t="n">
        <v>45490</v>
      </c>
      <c r="T73" s="698" t="s">
        <v>745</v>
      </c>
      <c r="U73" s="55"/>
    </row>
    <row r="74" customFormat="false" ht="15" hidden="false" customHeight="true" outlineLevel="0" collapsed="false">
      <c r="A74" s="679" t="n">
        <v>220</v>
      </c>
      <c r="B74" s="55"/>
      <c r="C74" s="55"/>
      <c r="D74" s="682"/>
      <c r="E74" s="56"/>
      <c r="F74" s="55"/>
      <c r="G74" s="55"/>
      <c r="H74" s="55"/>
      <c r="I74" s="48"/>
      <c r="J74" s="48"/>
      <c r="K74" s="48"/>
      <c r="L74" s="55"/>
      <c r="M74" s="55"/>
      <c r="N74" s="48"/>
      <c r="O74" s="55"/>
      <c r="P74" s="699"/>
      <c r="Q74" s="700"/>
      <c r="R74" s="55"/>
      <c r="S74" s="701"/>
      <c r="T74" s="702"/>
      <c r="U74" s="55"/>
    </row>
    <row r="75" s="691" customFormat="true" ht="15" hidden="false" customHeight="true" outlineLevel="0" collapsed="false">
      <c r="A75" s="679" t="n">
        <v>219</v>
      </c>
      <c r="B75" s="692" t="str">
        <f aca="false">IF(INDEX(MO_SNA_IsHistoricalPeriod,,MATCH(F75,MO_Common_ColumnHeader,0)),"Historical","Forward")</f>
        <v>Historical</v>
      </c>
      <c r="C75" s="55"/>
      <c r="D75" s="693" t="str">
        <f aca="true">INDEX(INDIRECT(E75),0,COLUMN(MO_Common_Column_A))</f>
        <v>Y/Y Total revenue growth, %</v>
      </c>
      <c r="E75" s="694" t="s">
        <v>759</v>
      </c>
      <c r="F75" s="692" t="s">
        <v>17</v>
      </c>
      <c r="G75" s="692"/>
      <c r="H75" s="55"/>
      <c r="I75" s="359" t="n">
        <v>0</v>
      </c>
      <c r="J75" s="359" t="n">
        <v>0</v>
      </c>
      <c r="K75" s="359" t="n">
        <f aca="false">AVERAGE(I75:J75)</f>
        <v>0</v>
      </c>
      <c r="L75" s="55"/>
      <c r="M75" s="692" t="str">
        <f aca="false">IF(INDEX(MO_SNA_IsHistoricalPeriod,,MATCH(F75,MO_Common_ColumnHeader,0)),"Actual","Estimate")</f>
        <v>Actual</v>
      </c>
      <c r="N75" s="359" t="n">
        <f aca="true">IFERROR(INDEX(INDIRECT(E75),0,MATCH(F75,MO_Common_ColumnHeader,0)),"N/A")</f>
        <v>0.0255601719977505</v>
      </c>
      <c r="O75" s="55"/>
      <c r="P75" s="696" t="n">
        <f aca="false">IF(ISNUMBER(N75),N75-K75,"N/A")</f>
        <v>0.0255601719977505</v>
      </c>
      <c r="Q75" s="696" t="str">
        <f aca="false">IFERROR(IF(ISNUMBER(N75),(N75-K75)/ABS(K75),"N/A"),"N/A")</f>
        <v>N/A</v>
      </c>
      <c r="R75" s="55"/>
      <c r="S75" s="697" t="n">
        <v>45399</v>
      </c>
      <c r="T75" s="698" t="s">
        <v>745</v>
      </c>
      <c r="U75" s="55"/>
    </row>
    <row r="76" customFormat="false" ht="15" hidden="false" customHeight="true" outlineLevel="0" collapsed="false">
      <c r="A76" s="679" t="n">
        <v>218</v>
      </c>
      <c r="B76" s="692" t="str">
        <f aca="false">IF(INDEX(MO_SNA_IsHistoricalPeriod,,MATCH(F76,MO_Common_ColumnHeader,0)),"Historical","Forward")</f>
        <v>Historical</v>
      </c>
      <c r="C76" s="55"/>
      <c r="D76" s="693" t="s">
        <v>747</v>
      </c>
      <c r="E76" s="694"/>
      <c r="F76" s="692" t="s">
        <v>17</v>
      </c>
      <c r="G76" s="692"/>
      <c r="H76" s="55"/>
      <c r="I76" s="359" t="n">
        <v>0.16</v>
      </c>
      <c r="J76" s="359" t="n">
        <v>0.17</v>
      </c>
      <c r="K76" s="359" t="n">
        <f aca="false">AVERAGE(I76:J76)</f>
        <v>0.165</v>
      </c>
      <c r="L76" s="55"/>
      <c r="M76" s="692" t="str">
        <f aca="false">IF(INDEX(MO_SNA_IsHistoricalPeriod,,MATCH(F76,MO_Common_ColumnHeader,0)),"Actual","Estimate")</f>
        <v>Actual</v>
      </c>
      <c r="N76" s="359" t="n">
        <f aca="false">INDEX(MO_RIS_TaxRate_Current,0,MATCH(F76,MO_Common_ColumnHeader,0))+INDEX(MO_RIS_TaxRate_Deferred,0,MATCH(F76,MO_Common_ColumnHeader,0))</f>
        <v>0.181643284840362</v>
      </c>
      <c r="O76" s="55"/>
      <c r="P76" s="696" t="n">
        <f aca="false">IF(ISNUMBER(N76),N76-K76,"N/A")</f>
        <v>0.0166432848403622</v>
      </c>
      <c r="Q76" s="696" t="n">
        <f aca="false">IFERROR(IF(ISNUMBER(N76),(N76-K76)/ABS(K76),"N/A"),"N/A")</f>
        <v>0.100868392971892</v>
      </c>
      <c r="R76" s="55"/>
      <c r="S76" s="697" t="n">
        <v>45399</v>
      </c>
      <c r="T76" s="698" t="s">
        <v>745</v>
      </c>
      <c r="U76" s="55"/>
    </row>
    <row r="77" customFormat="false" ht="15" hidden="false" customHeight="true" outlineLevel="0" collapsed="false">
      <c r="A77" s="679" t="n">
        <v>217</v>
      </c>
      <c r="B77" s="55"/>
      <c r="C77" s="55"/>
      <c r="D77" s="682"/>
      <c r="E77" s="56"/>
      <c r="F77" s="55"/>
      <c r="G77" s="55"/>
      <c r="H77" s="55"/>
      <c r="I77" s="48"/>
      <c r="J77" s="48"/>
      <c r="K77" s="48"/>
      <c r="L77" s="55"/>
      <c r="M77" s="55"/>
      <c r="N77" s="48"/>
      <c r="O77" s="55"/>
      <c r="P77" s="699"/>
      <c r="Q77" s="700"/>
      <c r="R77" s="55"/>
      <c r="S77" s="701"/>
      <c r="T77" s="702"/>
      <c r="U77" s="55"/>
    </row>
    <row r="78" s="691" customFormat="true" ht="15" hidden="false" customHeight="true" outlineLevel="0" collapsed="false">
      <c r="A78" s="679" t="n">
        <v>216</v>
      </c>
      <c r="B78" s="692" t="str">
        <f aca="false">IF(INDEX(MO_SNA_IsHistoricalPeriod,,MATCH(F78,MO_Common_ColumnHeader,0)),"Historical","Forward")</f>
        <v>Historical</v>
      </c>
      <c r="C78" s="55"/>
      <c r="D78" s="693" t="str">
        <f aca="true">INDEX(INDIRECT(E78),0,COLUMN(MO_Common_Column_A))</f>
        <v>Net Revenue</v>
      </c>
      <c r="E78" s="694" t="s">
        <v>671</v>
      </c>
      <c r="F78" s="692" t="s">
        <v>761</v>
      </c>
      <c r="G78" s="692"/>
      <c r="H78" s="55"/>
      <c r="I78" s="159" t="n">
        <v>5700</v>
      </c>
      <c r="J78" s="159" t="n">
        <v>6200</v>
      </c>
      <c r="K78" s="159" t="n">
        <f aca="false">AVERAGE(I78:J78)</f>
        <v>5950</v>
      </c>
      <c r="L78" s="55"/>
      <c r="M78" s="692" t="str">
        <f aca="false">IF(INDEX(MO_SNA_IsHistoricalPeriod,,MATCH(F78,MO_Common_ColumnHeader,0)),"Actual","Estimate")</f>
        <v>Actual</v>
      </c>
      <c r="N78" s="159" t="n">
        <f aca="true">IFERROR(INDEX(INDIRECT(E78),0,MATCH(F78,MO_Common_ColumnHeader,0)),"N/A")</f>
        <v>6242.8</v>
      </c>
      <c r="O78" s="55"/>
      <c r="P78" s="695" t="n">
        <f aca="false">IF(ISNUMBER(N78),N78-K78,"N/A")</f>
        <v>292.799999999999</v>
      </c>
      <c r="Q78" s="696" t="n">
        <f aca="false">IFERROR(IF(ISNUMBER(N78),(N78-K78)/ABS(K78),"N/A"),"N/A")</f>
        <v>0.0492100840336133</v>
      </c>
      <c r="R78" s="55"/>
      <c r="S78" s="697" t="n">
        <v>45399</v>
      </c>
      <c r="T78" s="698" t="s">
        <v>745</v>
      </c>
      <c r="U78" s="55"/>
    </row>
    <row r="79" s="691" customFormat="true" ht="15" hidden="false" customHeight="true" outlineLevel="0" collapsed="false">
      <c r="A79" s="679" t="n">
        <v>215</v>
      </c>
      <c r="B79" s="692" t="str">
        <f aca="false">IF(INDEX(MO_SNA_IsHistoricalPeriod,,MATCH(F79,MO_Common_ColumnHeader,0)),"Historical","Forward")</f>
        <v>Historical</v>
      </c>
      <c r="C79" s="55"/>
      <c r="D79" s="693" t="s">
        <v>749</v>
      </c>
      <c r="E79" s="694" t="s">
        <v>750</v>
      </c>
      <c r="F79" s="692" t="s">
        <v>761</v>
      </c>
      <c r="G79" s="692"/>
      <c r="H79" s="55"/>
      <c r="I79" s="159" t="n">
        <v>1400</v>
      </c>
      <c r="J79" s="159" t="n">
        <v>1400</v>
      </c>
      <c r="K79" s="159" t="n">
        <f aca="false">AVERAGE(I79:J79)</f>
        <v>1400</v>
      </c>
      <c r="L79" s="55"/>
      <c r="M79" s="692" t="str">
        <f aca="false">IF(INDEX(MO_SNA_IsHistoricalPeriod,,MATCH(F79,MO_Common_ColumnHeader,0)),"Actual","Estimate")</f>
        <v>Actual</v>
      </c>
      <c r="N79" s="159" t="n">
        <f aca="true">IFERROR(INDEX(INDIRECT(E79),0,MATCH(F79,MO_Common_ColumnHeader,0)),"N/A")</f>
        <v>1481.9</v>
      </c>
      <c r="O79" s="55"/>
      <c r="P79" s="695" t="n">
        <f aca="false">IF(ISNUMBER(N79),N79-K79,"N/A")</f>
        <v>81.9000000000001</v>
      </c>
      <c r="Q79" s="696" t="n">
        <f aca="false">IFERROR(IF(ISNUMBER(N79),(N79-K79)/ABS(K79),"N/A"),"N/A")</f>
        <v>0.0585000000000001</v>
      </c>
      <c r="R79" s="55"/>
      <c r="S79" s="697" t="n">
        <v>45399</v>
      </c>
      <c r="T79" s="698" t="s">
        <v>745</v>
      </c>
      <c r="U79" s="55"/>
    </row>
    <row r="80" s="691" customFormat="true" ht="15" hidden="false" customHeight="true" outlineLevel="0" collapsed="false">
      <c r="A80" s="679" t="n">
        <v>214</v>
      </c>
      <c r="B80" s="692" t="str">
        <f aca="false">IF(INDEX(MO_SNA_IsHistoricalPeriod,,MATCH(F80,MO_Common_ColumnHeader,0)),"Historical","Forward")</f>
        <v>Historical</v>
      </c>
      <c r="C80" s="55"/>
      <c r="D80" s="693" t="str">
        <f aca="true">INDEX(INDIRECT(E80),0,COLUMN(MO_Common_Column_A))</f>
        <v>Gross Margin, %</v>
      </c>
      <c r="E80" s="694" t="s">
        <v>746</v>
      </c>
      <c r="F80" s="692" t="s">
        <v>761</v>
      </c>
      <c r="G80" s="692"/>
      <c r="H80" s="55"/>
      <c r="I80" s="359" t="n">
        <v>0.5</v>
      </c>
      <c r="J80" s="359" t="n">
        <v>0.51</v>
      </c>
      <c r="K80" s="359" t="n">
        <f aca="false">AVERAGE(I80:J80)</f>
        <v>0.505</v>
      </c>
      <c r="L80" s="55"/>
      <c r="M80" s="692" t="str">
        <f aca="false">IF(INDEX(MO_SNA_IsHistoricalPeriod,,MATCH(F80,MO_Common_ColumnHeader,0)),"Actual","Estimate")</f>
        <v>Actual</v>
      </c>
      <c r="N80" s="359" t="n">
        <f aca="true">IFERROR(INDEX(INDIRECT(E80),0,MATCH(F80,MO_Common_ColumnHeader,0)),"N/A")</f>
        <v>0.514544755558403</v>
      </c>
      <c r="O80" s="55"/>
      <c r="P80" s="696" t="n">
        <f aca="false">IF(ISNUMBER(N80),N80-K80,"N/A")</f>
        <v>0.00954475555840328</v>
      </c>
      <c r="Q80" s="696" t="n">
        <f aca="false">IFERROR(IF(ISNUMBER(N80),(N80-K80)/ABS(K80),"N/A"),"N/A")</f>
        <v>0.0189005060562441</v>
      </c>
      <c r="R80" s="55"/>
      <c r="S80" s="697" t="n">
        <v>45399</v>
      </c>
      <c r="T80" s="698" t="s">
        <v>745</v>
      </c>
      <c r="U80" s="55"/>
    </row>
    <row r="81" s="691" customFormat="true" ht="15" hidden="false" customHeight="true" outlineLevel="0" collapsed="false">
      <c r="A81" s="679" t="n">
        <v>213</v>
      </c>
      <c r="B81" s="692" t="str">
        <f aca="false">IF(INDEX(MO_SNA_IsHistoricalPeriod,,MATCH(F81,MO_Common_ColumnHeader,0)),"Historical","Forward")</f>
        <v>Historical</v>
      </c>
      <c r="C81" s="55"/>
      <c r="D81" s="693" t="s">
        <v>751</v>
      </c>
      <c r="E81" s="694" t="s">
        <v>752</v>
      </c>
      <c r="F81" s="692" t="s">
        <v>761</v>
      </c>
      <c r="G81" s="692"/>
      <c r="H81" s="55"/>
      <c r="I81" s="159" t="n">
        <v>1070</v>
      </c>
      <c r="J81" s="159" t="n">
        <v>1070</v>
      </c>
      <c r="K81" s="159" t="n">
        <f aca="false">AVERAGE(I81:J81)</f>
        <v>1070</v>
      </c>
      <c r="L81" s="55"/>
      <c r="M81" s="692" t="str">
        <f aca="false">IF(INDEX(MO_SNA_IsHistoricalPeriod,,MATCH(F81,MO_Common_ColumnHeader,0)),"Actual","Estimate")</f>
        <v>Actual</v>
      </c>
      <c r="N81" s="159" t="n">
        <f aca="true">IFERROR(INDEX(INDIRECT(E81),0,MATCH(F81,MO_Common_ColumnHeader,0)),"N/A")</f>
        <v>1100.6</v>
      </c>
      <c r="O81" s="55"/>
      <c r="P81" s="695" t="n">
        <f aca="false">IF(ISNUMBER(N81),N81-K81,"N/A")</f>
        <v>30.5999999999999</v>
      </c>
      <c r="Q81" s="696" t="n">
        <f aca="false">IFERROR(IF(ISNUMBER(N81),(N81-K81)/ABS(K81),"N/A"),"N/A")</f>
        <v>0.0285981308411214</v>
      </c>
      <c r="R81" s="55"/>
      <c r="S81" s="697" t="n">
        <v>45399</v>
      </c>
      <c r="T81" s="698" t="s">
        <v>745</v>
      </c>
      <c r="U81" s="55"/>
    </row>
    <row r="82" s="691" customFormat="true" ht="15" hidden="false" customHeight="true" outlineLevel="0" collapsed="false">
      <c r="A82" s="679" t="n">
        <v>212</v>
      </c>
      <c r="B82" s="692" t="str">
        <f aca="false">IF(INDEX(MO_SNA_IsHistoricalPeriod,,MATCH(F82,MO_Common_ColumnHeader,0)),"Historical","Forward")</f>
        <v>Historical</v>
      </c>
      <c r="C82" s="55"/>
      <c r="D82" s="693" t="str">
        <f aca="true">INDEX(INDIRECT(E82),0,COLUMN(MO_Common_Column_A))</f>
        <v>SG&amp;A</v>
      </c>
      <c r="E82" s="694" t="s">
        <v>753</v>
      </c>
      <c r="F82" s="692" t="s">
        <v>761</v>
      </c>
      <c r="G82" s="692"/>
      <c r="H82" s="55"/>
      <c r="I82" s="159" t="n">
        <v>295</v>
      </c>
      <c r="J82" s="159" t="n">
        <v>295</v>
      </c>
      <c r="K82" s="159" t="n">
        <f aca="false">AVERAGE(I82:J82)</f>
        <v>295</v>
      </c>
      <c r="L82" s="55"/>
      <c r="M82" s="692" t="str">
        <f aca="false">IF(INDEX(MO_SNA_IsHistoricalPeriod,,MATCH(F82,MO_Common_ColumnHeader,0)),"Actual","Estimate")</f>
        <v>Actual</v>
      </c>
      <c r="N82" s="159" t="n">
        <f aca="true">IFERROR(INDEX(INDIRECT(E82),0,MATCH(F82,MO_Common_ColumnHeader,0)),"N/A")</f>
        <v>277</v>
      </c>
      <c r="O82" s="55"/>
      <c r="P82" s="695" t="n">
        <f aca="false">IF(ISNUMBER(N82),N82-K82,"N/A")</f>
        <v>-18</v>
      </c>
      <c r="Q82" s="696" t="n">
        <f aca="false">IFERROR(IF(ISNUMBER(N82),(N82-K82)/ABS(K82),"N/A"),"N/A")</f>
        <v>-0.0610169491525424</v>
      </c>
      <c r="R82" s="55"/>
      <c r="S82" s="697" t="n">
        <v>45399</v>
      </c>
      <c r="T82" s="698" t="s">
        <v>745</v>
      </c>
      <c r="U82" s="55"/>
    </row>
    <row r="83" customFormat="false" ht="15" hidden="false" customHeight="true" outlineLevel="0" collapsed="false">
      <c r="A83" s="679" t="n">
        <v>211</v>
      </c>
      <c r="B83" s="55"/>
      <c r="C83" s="55"/>
      <c r="D83" s="682"/>
      <c r="E83" s="56"/>
      <c r="F83" s="55"/>
      <c r="G83" s="55"/>
      <c r="H83" s="55"/>
      <c r="I83" s="48"/>
      <c r="J83" s="48"/>
      <c r="K83" s="48"/>
      <c r="L83" s="55"/>
      <c r="M83" s="55"/>
      <c r="N83" s="48"/>
      <c r="O83" s="55"/>
      <c r="P83" s="699"/>
      <c r="Q83" s="700"/>
      <c r="R83" s="55"/>
      <c r="S83" s="701"/>
      <c r="T83" s="702"/>
      <c r="U83" s="55"/>
    </row>
    <row r="84" s="691" customFormat="true" ht="15" hidden="false" customHeight="true" outlineLevel="0" collapsed="false">
      <c r="A84" s="679" t="n">
        <v>210</v>
      </c>
      <c r="B84" s="692" t="str">
        <f aca="false">IF(INDEX(MO_SNA_IsHistoricalPeriod,,MATCH(F84,MO_Common_ColumnHeader,0)),"Historical","Forward")</f>
        <v>Historical</v>
      </c>
      <c r="C84" s="55"/>
      <c r="D84" s="693" t="str">
        <f aca="true">INDEX(INDIRECT(E84),0,COLUMN(MO_Common_Column_A))</f>
        <v>Y/Y Total revenue growth, %</v>
      </c>
      <c r="E84" s="694" t="s">
        <v>759</v>
      </c>
      <c r="F84" s="692" t="s">
        <v>17</v>
      </c>
      <c r="G84" s="692"/>
      <c r="H84" s="55"/>
      <c r="I84" s="359" t="n">
        <v>0</v>
      </c>
      <c r="J84" s="359" t="n">
        <v>0</v>
      </c>
      <c r="K84" s="359" t="n">
        <f aca="false">AVERAGE(I84:J84)</f>
        <v>0</v>
      </c>
      <c r="L84" s="55"/>
      <c r="M84" s="692" t="str">
        <f aca="false">IF(INDEX(MO_SNA_IsHistoricalPeriod,,MATCH(F84,MO_Common_ColumnHeader,0)),"Actual","Estimate")</f>
        <v>Actual</v>
      </c>
      <c r="N84" s="359" t="n">
        <f aca="true">IFERROR(INDEX(INDIRECT(E84),0,MATCH(F84,MO_Common_ColumnHeader,0)),"N/A")</f>
        <v>0.0255601719977505</v>
      </c>
      <c r="O84" s="55"/>
      <c r="P84" s="696" t="n">
        <f aca="false">IF(ISNUMBER(N84),N84-K84,"N/A")</f>
        <v>0.0255601719977505</v>
      </c>
      <c r="Q84" s="696" t="str">
        <f aca="false">IFERROR(IF(ISNUMBER(N84),(N84-K84)/ABS(K84),"N/A"),"N/A")</f>
        <v>N/A</v>
      </c>
      <c r="R84" s="55"/>
      <c r="S84" s="697" t="n">
        <v>45315</v>
      </c>
      <c r="T84" s="698" t="s">
        <v>745</v>
      </c>
      <c r="U84" s="55"/>
    </row>
    <row r="85" customFormat="false" ht="15" hidden="false" customHeight="true" outlineLevel="0" collapsed="false">
      <c r="A85" s="679" t="n">
        <v>209</v>
      </c>
      <c r="B85" s="692" t="str">
        <f aca="false">IF(INDEX(MO_SNA_IsHistoricalPeriod,,MATCH(F85,MO_Common_ColumnHeader,0)),"Historical","Forward")</f>
        <v>Historical</v>
      </c>
      <c r="C85" s="55"/>
      <c r="D85" s="693" t="s">
        <v>747</v>
      </c>
      <c r="E85" s="694"/>
      <c r="F85" s="692" t="s">
        <v>17</v>
      </c>
      <c r="G85" s="692"/>
      <c r="H85" s="55"/>
      <c r="I85" s="359" t="n">
        <v>0.16</v>
      </c>
      <c r="J85" s="359" t="n">
        <v>0.17</v>
      </c>
      <c r="K85" s="359" t="n">
        <f aca="false">AVERAGE(I85:J85)</f>
        <v>0.165</v>
      </c>
      <c r="L85" s="55"/>
      <c r="M85" s="692" t="str">
        <f aca="false">IF(INDEX(MO_SNA_IsHistoricalPeriod,,MATCH(F85,MO_Common_ColumnHeader,0)),"Actual","Estimate")</f>
        <v>Actual</v>
      </c>
      <c r="N85" s="359" t="n">
        <f aca="false">INDEX(MO_RIS_TaxRate_Current,0,MATCH(F85,MO_Common_ColumnHeader,0))+INDEX(MO_RIS_TaxRate_Deferred,0,MATCH(F85,MO_Common_ColumnHeader,0))</f>
        <v>0.181643284840362</v>
      </c>
      <c r="O85" s="55"/>
      <c r="P85" s="696" t="n">
        <f aca="false">IF(ISNUMBER(N85),N85-K85,"N/A")</f>
        <v>0.0166432848403622</v>
      </c>
      <c r="Q85" s="696" t="n">
        <f aca="false">IFERROR(IF(ISNUMBER(N85),(N85-K85)/ABS(K85),"N/A"),"N/A")</f>
        <v>0.100868392971892</v>
      </c>
      <c r="R85" s="55"/>
      <c r="S85" s="697" t="n">
        <v>45315</v>
      </c>
      <c r="T85" s="698" t="s">
        <v>745</v>
      </c>
      <c r="U85" s="55"/>
    </row>
    <row r="86" customFormat="false" ht="15" hidden="false" customHeight="true" outlineLevel="0" collapsed="false">
      <c r="A86" s="679" t="n">
        <v>208</v>
      </c>
      <c r="B86" s="55"/>
      <c r="C86" s="55"/>
      <c r="D86" s="682"/>
      <c r="E86" s="56"/>
      <c r="F86" s="55"/>
      <c r="G86" s="55"/>
      <c r="H86" s="55"/>
      <c r="I86" s="48"/>
      <c r="J86" s="48"/>
      <c r="K86" s="48"/>
      <c r="L86" s="55"/>
      <c r="M86" s="55"/>
      <c r="N86" s="48"/>
      <c r="O86" s="55"/>
      <c r="P86" s="699"/>
      <c r="Q86" s="700"/>
      <c r="R86" s="55"/>
      <c r="S86" s="701"/>
      <c r="T86" s="702"/>
      <c r="U86" s="55"/>
    </row>
    <row r="87" s="691" customFormat="true" ht="15" hidden="false" customHeight="true" outlineLevel="0" collapsed="false">
      <c r="A87" s="679" t="n">
        <v>207</v>
      </c>
      <c r="B87" s="692" t="str">
        <f aca="false">IF(INDEX(MO_SNA_IsHistoricalPeriod,,MATCH(F87,MO_Common_ColumnHeader,0)),"Historical","Forward")</f>
        <v>Historical</v>
      </c>
      <c r="C87" s="55"/>
      <c r="D87" s="693" t="str">
        <f aca="true">INDEX(INDIRECT(E87),0,COLUMN(MO_Common_Column_A))</f>
        <v>Net Revenue</v>
      </c>
      <c r="E87" s="694" t="s">
        <v>671</v>
      </c>
      <c r="F87" s="692" t="s">
        <v>762</v>
      </c>
      <c r="G87" s="692"/>
      <c r="H87" s="55"/>
      <c r="I87" s="159" t="n">
        <v>5000</v>
      </c>
      <c r="J87" s="159" t="n">
        <v>5500</v>
      </c>
      <c r="K87" s="159" t="n">
        <f aca="false">AVERAGE(I87:J87)</f>
        <v>5250</v>
      </c>
      <c r="L87" s="55"/>
      <c r="M87" s="692" t="str">
        <f aca="false">IF(INDEX(MO_SNA_IsHistoricalPeriod,,MATCH(F87,MO_Common_ColumnHeader,0)),"Actual","Estimate")</f>
        <v>Actual</v>
      </c>
      <c r="N87" s="159" t="n">
        <f aca="true">IFERROR(INDEX(INDIRECT(E87),0,MATCH(F87,MO_Common_ColumnHeader,0)),"N/A")</f>
        <v>5290</v>
      </c>
      <c r="O87" s="55"/>
      <c r="P87" s="695" t="n">
        <f aca="false">IF(ISNUMBER(N87),N87-K87,"N/A")</f>
        <v>40</v>
      </c>
      <c r="Q87" s="696" t="n">
        <f aca="false">IFERROR(IF(ISNUMBER(N87),(N87-K87)/ABS(K87),"N/A"),"N/A")</f>
        <v>0.00761904761904762</v>
      </c>
      <c r="R87" s="55"/>
      <c r="S87" s="697" t="n">
        <v>45315</v>
      </c>
      <c r="T87" s="698" t="s">
        <v>745</v>
      </c>
      <c r="U87" s="55"/>
    </row>
    <row r="88" s="691" customFormat="true" ht="15" hidden="false" customHeight="true" outlineLevel="0" collapsed="false">
      <c r="A88" s="679" t="n">
        <v>206</v>
      </c>
      <c r="B88" s="692" t="str">
        <f aca="false">IF(INDEX(MO_SNA_IsHistoricalPeriod,,MATCH(F88,MO_Common_ColumnHeader,0)),"Historical","Forward")</f>
        <v>Historical</v>
      </c>
      <c r="C88" s="55"/>
      <c r="D88" s="693" t="s">
        <v>749</v>
      </c>
      <c r="E88" s="694" t="s">
        <v>750</v>
      </c>
      <c r="F88" s="692" t="s">
        <v>762</v>
      </c>
      <c r="G88" s="692"/>
      <c r="H88" s="55"/>
      <c r="I88" s="159" t="n">
        <v>1300</v>
      </c>
      <c r="J88" s="159" t="n">
        <v>1300</v>
      </c>
      <c r="K88" s="159" t="n">
        <f aca="false">AVERAGE(I88:J88)</f>
        <v>1300</v>
      </c>
      <c r="L88" s="55"/>
      <c r="M88" s="692" t="str">
        <f aca="false">IF(INDEX(MO_SNA_IsHistoricalPeriod,,MATCH(F88,MO_Common_ColumnHeader,0)),"Actual","Estimate")</f>
        <v>Actual</v>
      </c>
      <c r="N88" s="159" t="n">
        <f aca="true">IFERROR(INDEX(INDIRECT(E88),0,MATCH(F88,MO_Common_ColumnHeader,0)),"N/A")</f>
        <v>1324.1</v>
      </c>
      <c r="O88" s="55"/>
      <c r="P88" s="695" t="n">
        <f aca="false">IF(ISNUMBER(N88),N88-K88,"N/A")</f>
        <v>24.0999999999999</v>
      </c>
      <c r="Q88" s="696" t="n">
        <f aca="false">IFERROR(IF(ISNUMBER(N88),(N88-K88)/ABS(K88),"N/A"),"N/A")</f>
        <v>0.0185384615384615</v>
      </c>
      <c r="R88" s="55"/>
      <c r="S88" s="697" t="n">
        <v>45315</v>
      </c>
      <c r="T88" s="698" t="s">
        <v>745</v>
      </c>
      <c r="U88" s="55"/>
    </row>
    <row r="89" s="691" customFormat="true" ht="15" hidden="false" customHeight="true" outlineLevel="0" collapsed="false">
      <c r="A89" s="679" t="n">
        <v>205</v>
      </c>
      <c r="B89" s="692" t="str">
        <f aca="false">IF(INDEX(MO_SNA_IsHistoricalPeriod,,MATCH(F89,MO_Common_ColumnHeader,0)),"Historical","Forward")</f>
        <v>Historical</v>
      </c>
      <c r="C89" s="55"/>
      <c r="D89" s="693" t="str">
        <f aca="true">INDEX(INDIRECT(E89),0,COLUMN(MO_Common_Column_A))</f>
        <v>Gross Margin, %</v>
      </c>
      <c r="E89" s="694" t="s">
        <v>746</v>
      </c>
      <c r="F89" s="692" t="s">
        <v>762</v>
      </c>
      <c r="G89" s="692"/>
      <c r="H89" s="55"/>
      <c r="I89" s="359" t="n">
        <v>0.48</v>
      </c>
      <c r="J89" s="359" t="n">
        <v>0.49</v>
      </c>
      <c r="K89" s="359" t="n">
        <f aca="false">AVERAGE(I89:J89)</f>
        <v>0.485</v>
      </c>
      <c r="L89" s="55"/>
      <c r="M89" s="692" t="str">
        <f aca="false">IF(INDEX(MO_SNA_IsHistoricalPeriod,,MATCH(F89,MO_Common_ColumnHeader,0)),"Actual","Estimate")</f>
        <v>Actual</v>
      </c>
      <c r="N89" s="359" t="n">
        <f aca="true">IFERROR(INDEX(INDIRECT(E89),0,MATCH(F89,MO_Common_ColumnHeader,0)),"N/A")</f>
        <v>0.509754253308129</v>
      </c>
      <c r="O89" s="55"/>
      <c r="P89" s="696" t="n">
        <f aca="false">IF(ISNUMBER(N89),N89-K89,"N/A")</f>
        <v>0.0247542533081285</v>
      </c>
      <c r="Q89" s="696" t="n">
        <f aca="false">IFERROR(IF(ISNUMBER(N89),(N89-K89)/ABS(K89),"N/A"),"N/A")</f>
        <v>0.0510396975425331</v>
      </c>
      <c r="R89" s="55"/>
      <c r="S89" s="697" t="n">
        <v>45315</v>
      </c>
      <c r="T89" s="698" t="s">
        <v>745</v>
      </c>
      <c r="U89" s="55"/>
    </row>
    <row r="90" s="691" customFormat="true" ht="15" hidden="false" customHeight="true" outlineLevel="0" collapsed="false">
      <c r="A90" s="679" t="n">
        <v>204</v>
      </c>
      <c r="B90" s="692" t="str">
        <f aca="false">IF(INDEX(MO_SNA_IsHistoricalPeriod,,MATCH(F90,MO_Common_ColumnHeader,0)),"Historical","Forward")</f>
        <v>Historical</v>
      </c>
      <c r="C90" s="55"/>
      <c r="D90" s="693" t="s">
        <v>751</v>
      </c>
      <c r="E90" s="694" t="s">
        <v>752</v>
      </c>
      <c r="F90" s="692" t="s">
        <v>762</v>
      </c>
      <c r="G90" s="692"/>
      <c r="H90" s="55"/>
      <c r="I90" s="159" t="n">
        <v>1070</v>
      </c>
      <c r="J90" s="159" t="n">
        <v>1070</v>
      </c>
      <c r="K90" s="159" t="n">
        <f aca="false">AVERAGE(I90:J90)</f>
        <v>1070</v>
      </c>
      <c r="L90" s="55"/>
      <c r="M90" s="692" t="str">
        <f aca="false">IF(INDEX(MO_SNA_IsHistoricalPeriod,,MATCH(F90,MO_Common_ColumnHeader,0)),"Actual","Estimate")</f>
        <v>Actual</v>
      </c>
      <c r="N90" s="159" t="n">
        <f aca="true">IFERROR(INDEX(INDIRECT(E90),0,MATCH(F90,MO_Common_ColumnHeader,0)),"N/A")</f>
        <v>1031.9</v>
      </c>
      <c r="O90" s="55"/>
      <c r="P90" s="695" t="n">
        <f aca="false">IF(ISNUMBER(N90),N90-K90,"N/A")</f>
        <v>-38.0999999999999</v>
      </c>
      <c r="Q90" s="696" t="n">
        <f aca="false">IFERROR(IF(ISNUMBER(N90),(N90-K90)/ABS(K90),"N/A"),"N/A")</f>
        <v>-0.0356074766355139</v>
      </c>
      <c r="R90" s="55"/>
      <c r="S90" s="697" t="n">
        <v>45315</v>
      </c>
      <c r="T90" s="698" t="s">
        <v>745</v>
      </c>
      <c r="U90" s="55"/>
    </row>
    <row r="91" s="691" customFormat="true" ht="15" hidden="false" customHeight="true" outlineLevel="0" collapsed="false">
      <c r="A91" s="679" t="n">
        <v>203</v>
      </c>
      <c r="B91" s="692" t="str">
        <f aca="false">IF(INDEX(MO_SNA_IsHistoricalPeriod,,MATCH(F91,MO_Common_ColumnHeader,0)),"Historical","Forward")</f>
        <v>Historical</v>
      </c>
      <c r="C91" s="55"/>
      <c r="D91" s="693" t="str">
        <f aca="true">INDEX(INDIRECT(E91),0,COLUMN(MO_Common_Column_A))</f>
        <v>SG&amp;A</v>
      </c>
      <c r="E91" s="694" t="s">
        <v>753</v>
      </c>
      <c r="F91" s="692" t="s">
        <v>762</v>
      </c>
      <c r="G91" s="692"/>
      <c r="H91" s="55"/>
      <c r="I91" s="159" t="n">
        <v>300</v>
      </c>
      <c r="J91" s="159" t="n">
        <v>300</v>
      </c>
      <c r="K91" s="159" t="n">
        <f aca="false">AVERAGE(I91:J91)</f>
        <v>300</v>
      </c>
      <c r="L91" s="55"/>
      <c r="M91" s="692" t="str">
        <f aca="false">IF(INDEX(MO_SNA_IsHistoricalPeriod,,MATCH(F91,MO_Common_ColumnHeader,0)),"Actual","Estimate")</f>
        <v>Actual</v>
      </c>
      <c r="N91" s="159" t="n">
        <f aca="true">IFERROR(INDEX(INDIRECT(E91),0,MATCH(F91,MO_Common_ColumnHeader,0)),"N/A")</f>
        <v>273.3</v>
      </c>
      <c r="O91" s="55"/>
      <c r="P91" s="695" t="n">
        <f aca="false">IF(ISNUMBER(N91),N91-K91,"N/A")</f>
        <v>-26.7</v>
      </c>
      <c r="Q91" s="696" t="n">
        <f aca="false">IFERROR(IF(ISNUMBER(N91),(N91-K91)/ABS(K91),"N/A"),"N/A")</f>
        <v>-0.089</v>
      </c>
      <c r="R91" s="55"/>
      <c r="S91" s="697" t="n">
        <v>45315</v>
      </c>
      <c r="T91" s="698" t="s">
        <v>745</v>
      </c>
      <c r="U91" s="55"/>
    </row>
    <row r="92" customFormat="false" ht="15" hidden="false" customHeight="true" outlineLevel="0" collapsed="false">
      <c r="A92" s="679" t="n">
        <v>202</v>
      </c>
      <c r="B92" s="55"/>
      <c r="C92" s="55"/>
      <c r="D92" s="682"/>
      <c r="E92" s="56"/>
      <c r="F92" s="55"/>
      <c r="G92" s="55"/>
      <c r="H92" s="55"/>
      <c r="I92" s="48"/>
      <c r="J92" s="48"/>
      <c r="K92" s="48"/>
      <c r="L92" s="55"/>
      <c r="M92" s="55"/>
      <c r="N92" s="48"/>
      <c r="O92" s="55"/>
      <c r="P92" s="699"/>
      <c r="Q92" s="700"/>
      <c r="R92" s="55"/>
      <c r="S92" s="701"/>
      <c r="T92" s="702"/>
      <c r="U92" s="55"/>
    </row>
    <row r="93" s="691" customFormat="true" ht="15" hidden="false" customHeight="true" outlineLevel="0" collapsed="false">
      <c r="A93" s="679" t="n">
        <v>201</v>
      </c>
      <c r="B93" s="692" t="str">
        <f aca="false">IF(INDEX(MO_SNA_IsHistoricalPeriod,,MATCH(F93,MO_Common_ColumnHeader,0)),"Historical","Forward")</f>
        <v>Historical</v>
      </c>
      <c r="C93" s="55"/>
      <c r="D93" s="693" t="str">
        <f aca="true">INDEX(INDIRECT(E93),0,COLUMN(MO_Common_Column_A))</f>
        <v>Y/Y Total revenue growth, %</v>
      </c>
      <c r="E93" s="694" t="s">
        <v>759</v>
      </c>
      <c r="F93" s="692" t="s">
        <v>763</v>
      </c>
      <c r="G93" s="692"/>
      <c r="H93" s="55"/>
      <c r="I93" s="359" t="n">
        <v>0.3</v>
      </c>
      <c r="J93" s="359" t="n">
        <v>0.3</v>
      </c>
      <c r="K93" s="359" t="n">
        <f aca="false">AVERAGE(I93:J93)</f>
        <v>0.3</v>
      </c>
      <c r="L93" s="55"/>
      <c r="M93" s="692" t="str">
        <f aca="false">IF(INDEX(MO_SNA_IsHistoricalPeriod,,MATCH(F93,MO_Common_ColumnHeader,0)),"Actual","Estimate")</f>
        <v>Actual</v>
      </c>
      <c r="N93" s="359" t="n">
        <f aca="true">IFERROR(INDEX(INDIRECT(E93),0,MATCH(F93,MO_Common_ColumnHeader,0)),"N/A")</f>
        <v>0.30156233765007</v>
      </c>
      <c r="O93" s="55"/>
      <c r="P93" s="696" t="n">
        <f aca="false">IF(ISNUMBER(N93),N93-K93,"N/A")</f>
        <v>0.00156233765007024</v>
      </c>
      <c r="Q93" s="696" t="n">
        <f aca="false">IFERROR(IF(ISNUMBER(N93),(N93-K93)/ABS(K93),"N/A"),"N/A")</f>
        <v>0.00520779216690082</v>
      </c>
      <c r="R93" s="55"/>
      <c r="S93" s="697" t="n">
        <v>45217</v>
      </c>
      <c r="T93" s="698" t="s">
        <v>745</v>
      </c>
      <c r="U93" s="55"/>
    </row>
    <row r="94" customFormat="false" ht="15" hidden="false" customHeight="true" outlineLevel="0" collapsed="false">
      <c r="A94" s="679" t="n">
        <v>200</v>
      </c>
      <c r="B94" s="692" t="str">
        <f aca="false">IF(INDEX(MO_SNA_IsHistoricalPeriod,,MATCH(F94,MO_Common_ColumnHeader,0)),"Historical","Forward")</f>
        <v>Historical</v>
      </c>
      <c r="C94" s="55"/>
      <c r="D94" s="693" t="s">
        <v>747</v>
      </c>
      <c r="E94" s="694"/>
      <c r="F94" s="692" t="s">
        <v>763</v>
      </c>
      <c r="G94" s="692"/>
      <c r="H94" s="55"/>
      <c r="I94" s="359" t="n">
        <v>0.15</v>
      </c>
      <c r="J94" s="359" t="n">
        <v>0.16</v>
      </c>
      <c r="K94" s="359" t="n">
        <f aca="false">AVERAGE(I94:J94)</f>
        <v>0.155</v>
      </c>
      <c r="L94" s="55"/>
      <c r="M94" s="692" t="str">
        <f aca="false">IF(INDEX(MO_SNA_IsHistoricalPeriod,,MATCH(F94,MO_Common_ColumnHeader,0)),"Actual","Estimate")</f>
        <v>Actual</v>
      </c>
      <c r="N94" s="359" t="n">
        <f aca="false">INDEX(MO_RIS_TaxRate_Current,0,MATCH(F94,MO_Common_ColumnHeader,0))+INDEX(MO_RIS_TaxRate_Deferred,0,MATCH(F94,MO_Common_ColumnHeader,0))</f>
        <v>0.154806572648467</v>
      </c>
      <c r="O94" s="55"/>
      <c r="P94" s="696" t="n">
        <f aca="false">IF(ISNUMBER(N94),N94-K94,"N/A")</f>
        <v>-0.000193427351533187</v>
      </c>
      <c r="Q94" s="696" t="n">
        <f aca="false">IFERROR(IF(ISNUMBER(N94),(N94-K94)/ABS(K94),"N/A"),"N/A")</f>
        <v>-0.00124791839698831</v>
      </c>
      <c r="R94" s="55"/>
      <c r="S94" s="697" t="n">
        <v>45217</v>
      </c>
      <c r="T94" s="698" t="s">
        <v>745</v>
      </c>
      <c r="U94" s="55"/>
    </row>
    <row r="95" customFormat="false" ht="15" hidden="false" customHeight="true" outlineLevel="0" collapsed="false">
      <c r="A95" s="679" t="n">
        <v>199</v>
      </c>
      <c r="B95" s="55"/>
      <c r="C95" s="55"/>
      <c r="D95" s="682"/>
      <c r="E95" s="56"/>
      <c r="F95" s="55"/>
      <c r="G95" s="55"/>
      <c r="H95" s="55"/>
      <c r="I95" s="48"/>
      <c r="J95" s="48"/>
      <c r="K95" s="48"/>
      <c r="L95" s="55"/>
      <c r="M95" s="55"/>
      <c r="N95" s="48"/>
      <c r="O95" s="55"/>
      <c r="P95" s="699"/>
      <c r="Q95" s="700"/>
      <c r="R95" s="55"/>
      <c r="S95" s="701"/>
      <c r="T95" s="702"/>
      <c r="U95" s="55"/>
    </row>
    <row r="96" s="691" customFormat="true" ht="15" hidden="false" customHeight="true" outlineLevel="0" collapsed="false">
      <c r="A96" s="679" t="n">
        <v>198</v>
      </c>
      <c r="B96" s="692" t="str">
        <f aca="false">IF(INDEX(MO_SNA_IsHistoricalPeriod,,MATCH(F96,MO_Common_ColumnHeader,0)),"Historical","Forward")</f>
        <v>Historical</v>
      </c>
      <c r="C96" s="55"/>
      <c r="D96" s="693" t="str">
        <f aca="true">INDEX(INDIRECT(E96),0,COLUMN(MO_Common_Column_A))</f>
        <v>Net Revenue</v>
      </c>
      <c r="E96" s="694" t="s">
        <v>671</v>
      </c>
      <c r="F96" s="692" t="s">
        <v>764</v>
      </c>
      <c r="G96" s="692"/>
      <c r="H96" s="55"/>
      <c r="I96" s="159" t="n">
        <v>6700</v>
      </c>
      <c r="J96" s="159" t="n">
        <v>7100</v>
      </c>
      <c r="K96" s="159" t="n">
        <f aca="false">AVERAGE(I96:J96)</f>
        <v>6900</v>
      </c>
      <c r="L96" s="55"/>
      <c r="M96" s="692" t="str">
        <f aca="false">IF(INDEX(MO_SNA_IsHistoricalPeriod,,MATCH(F96,MO_Common_ColumnHeader,0)),"Actual","Estimate")</f>
        <v>Actual</v>
      </c>
      <c r="N96" s="159" t="n">
        <f aca="true">IFERROR(INDEX(INDIRECT(E96),0,MATCH(F96,MO_Common_ColumnHeader,0)),"N/A")</f>
        <v>7237</v>
      </c>
      <c r="O96" s="55"/>
      <c r="P96" s="695" t="n">
        <f aca="false">IF(ISNUMBER(N96),N96-K96,"N/A")</f>
        <v>336.999999999998</v>
      </c>
      <c r="Q96" s="696" t="n">
        <f aca="false">IFERROR(IF(ISNUMBER(N96),(N96-K96)/ABS(K96),"N/A"),"N/A")</f>
        <v>0.0488405797101447</v>
      </c>
      <c r="R96" s="55"/>
      <c r="S96" s="697" t="n">
        <v>45217</v>
      </c>
      <c r="T96" s="698" t="s">
        <v>745</v>
      </c>
      <c r="U96" s="55"/>
    </row>
    <row r="97" s="691" customFormat="true" ht="15" hidden="false" customHeight="true" outlineLevel="0" collapsed="false">
      <c r="A97" s="679" t="n">
        <v>197</v>
      </c>
      <c r="B97" s="692" t="str">
        <f aca="false">IF(INDEX(MO_SNA_IsHistoricalPeriod,,MATCH(F97,MO_Common_ColumnHeader,0)),"Historical","Forward")</f>
        <v>Historical</v>
      </c>
      <c r="C97" s="55"/>
      <c r="D97" s="693" t="s">
        <v>749</v>
      </c>
      <c r="E97" s="694" t="s">
        <v>750</v>
      </c>
      <c r="F97" s="692" t="s">
        <v>764</v>
      </c>
      <c r="G97" s="692"/>
      <c r="H97" s="55"/>
      <c r="I97" s="159" t="n">
        <v>1400</v>
      </c>
      <c r="J97" s="159" t="n">
        <v>1400</v>
      </c>
      <c r="K97" s="159" t="n">
        <f aca="false">AVERAGE(I97:J97)</f>
        <v>1400</v>
      </c>
      <c r="L97" s="55"/>
      <c r="M97" s="692" t="str">
        <f aca="false">IF(INDEX(MO_SNA_IsHistoricalPeriod,,MATCH(F97,MO_Common_ColumnHeader,0)),"Actual","Estimate")</f>
        <v>Actual</v>
      </c>
      <c r="N97" s="159" t="n">
        <f aca="true">IFERROR(INDEX(INDIRECT(E97),0,MATCH(F97,MO_Common_ColumnHeader,0)),"N/A")</f>
        <v>1554.5</v>
      </c>
      <c r="O97" s="55"/>
      <c r="P97" s="695" t="n">
        <f aca="false">IF(ISNUMBER(N97),N97-K97,"N/A")</f>
        <v>154.5</v>
      </c>
      <c r="Q97" s="696" t="n">
        <f aca="false">IFERROR(IF(ISNUMBER(N97),(N97-K97)/ABS(K97),"N/A"),"N/A")</f>
        <v>0.110357142857143</v>
      </c>
      <c r="R97" s="55"/>
      <c r="S97" s="697" t="n">
        <v>45217</v>
      </c>
      <c r="T97" s="698" t="s">
        <v>745</v>
      </c>
      <c r="U97" s="55"/>
    </row>
    <row r="98" s="691" customFormat="true" ht="15" hidden="false" customHeight="true" outlineLevel="0" collapsed="false">
      <c r="A98" s="679" t="n">
        <v>196</v>
      </c>
      <c r="B98" s="692" t="str">
        <f aca="false">IF(INDEX(MO_SNA_IsHistoricalPeriod,,MATCH(F98,MO_Common_ColumnHeader,0)),"Historical","Forward")</f>
        <v>Historical</v>
      </c>
      <c r="C98" s="55"/>
      <c r="D98" s="693" t="str">
        <f aca="true">INDEX(INDIRECT(E98),0,COLUMN(MO_Common_Column_A))</f>
        <v>Gross Margin, %</v>
      </c>
      <c r="E98" s="694" t="s">
        <v>746</v>
      </c>
      <c r="F98" s="692" t="s">
        <v>764</v>
      </c>
      <c r="G98" s="692"/>
      <c r="H98" s="55"/>
      <c r="I98" s="359" t="n">
        <v>0.5</v>
      </c>
      <c r="J98" s="359" t="n">
        <v>0.51</v>
      </c>
      <c r="K98" s="359" t="n">
        <f aca="false">AVERAGE(I98:J98)</f>
        <v>0.505</v>
      </c>
      <c r="L98" s="55"/>
      <c r="M98" s="692" t="str">
        <f aca="false">IF(INDEX(MO_SNA_IsHistoricalPeriod,,MATCH(F98,MO_Common_ColumnHeader,0)),"Actual","Estimate")</f>
        <v>Actual</v>
      </c>
      <c r="N98" s="359" t="n">
        <f aca="true">IFERROR(INDEX(INDIRECT(E98),0,MATCH(F98,MO_Common_ColumnHeader,0)),"N/A")</f>
        <v>0.513652065773111</v>
      </c>
      <c r="O98" s="55"/>
      <c r="P98" s="696" t="n">
        <f aca="false">IF(ISNUMBER(N98),N98-K98,"N/A")</f>
        <v>0.00865206577311051</v>
      </c>
      <c r="Q98" s="696" t="n">
        <f aca="false">IFERROR(IF(ISNUMBER(N98),(N98-K98)/ABS(K98),"N/A"),"N/A")</f>
        <v>0.0171328035111099</v>
      </c>
      <c r="R98" s="55"/>
      <c r="S98" s="697" t="n">
        <v>45217</v>
      </c>
      <c r="T98" s="698" t="s">
        <v>745</v>
      </c>
      <c r="U98" s="55"/>
    </row>
    <row r="99" s="691" customFormat="true" ht="15" hidden="false" customHeight="true" outlineLevel="0" collapsed="false">
      <c r="A99" s="679" t="n">
        <v>195</v>
      </c>
      <c r="B99" s="692" t="str">
        <f aca="false">IF(INDEX(MO_SNA_IsHistoricalPeriod,,MATCH(F99,MO_Common_ColumnHeader,0)),"Historical","Forward")</f>
        <v>Historical</v>
      </c>
      <c r="C99" s="55"/>
      <c r="D99" s="693" t="s">
        <v>751</v>
      </c>
      <c r="E99" s="694" t="s">
        <v>752</v>
      </c>
      <c r="F99" s="692" t="s">
        <v>764</v>
      </c>
      <c r="G99" s="692"/>
      <c r="H99" s="55"/>
      <c r="I99" s="159" t="n">
        <v>1030</v>
      </c>
      <c r="J99" s="159" t="n">
        <v>1030</v>
      </c>
      <c r="K99" s="159" t="n">
        <f aca="false">AVERAGE(I99:J99)</f>
        <v>1030</v>
      </c>
      <c r="L99" s="55"/>
      <c r="M99" s="692" t="str">
        <f aca="false">IF(INDEX(MO_SNA_IsHistoricalPeriod,,MATCH(F99,MO_Common_ColumnHeader,0)),"Actual","Estimate")</f>
        <v>Actual</v>
      </c>
      <c r="N99" s="159" t="n">
        <f aca="true">IFERROR(INDEX(INDIRECT(E99),0,MATCH(F99,MO_Common_ColumnHeader,0)),"N/A")</f>
        <v>1041.4</v>
      </c>
      <c r="O99" s="55"/>
      <c r="P99" s="695" t="n">
        <f aca="false">IF(ISNUMBER(N99),N99-K99,"N/A")</f>
        <v>11.4000000000001</v>
      </c>
      <c r="Q99" s="696" t="n">
        <f aca="false">IFERROR(IF(ISNUMBER(N99),(N99-K99)/ABS(K99),"N/A"),"N/A")</f>
        <v>0.0110679611650486</v>
      </c>
      <c r="R99" s="55"/>
      <c r="S99" s="697" t="n">
        <v>45217</v>
      </c>
      <c r="T99" s="698" t="s">
        <v>745</v>
      </c>
      <c r="U99" s="55"/>
    </row>
    <row r="100" s="691" customFormat="true" ht="15" hidden="false" customHeight="true" outlineLevel="0" collapsed="false">
      <c r="A100" s="679" t="n">
        <v>194</v>
      </c>
      <c r="B100" s="692" t="str">
        <f aca="false">IF(INDEX(MO_SNA_IsHistoricalPeriod,,MATCH(F100,MO_Common_ColumnHeader,0)),"Historical","Forward")</f>
        <v>Historical</v>
      </c>
      <c r="C100" s="55"/>
      <c r="D100" s="693" t="str">
        <f aca="true">INDEX(INDIRECT(E100),0,COLUMN(MO_Common_Column_A))</f>
        <v>SG&amp;A</v>
      </c>
      <c r="E100" s="694" t="s">
        <v>753</v>
      </c>
      <c r="F100" s="692" t="s">
        <v>764</v>
      </c>
      <c r="G100" s="692"/>
      <c r="H100" s="55"/>
      <c r="I100" s="159" t="n">
        <v>285</v>
      </c>
      <c r="J100" s="159" t="n">
        <v>285</v>
      </c>
      <c r="K100" s="159" t="n">
        <f aca="false">AVERAGE(I100:J100)</f>
        <v>285</v>
      </c>
      <c r="L100" s="55"/>
      <c r="M100" s="692" t="str">
        <f aca="false">IF(INDEX(MO_SNA_IsHistoricalPeriod,,MATCH(F100,MO_Common_ColumnHeader,0)),"Actual","Estimate")</f>
        <v>Actual</v>
      </c>
      <c r="N100" s="159" t="n">
        <f aca="true">IFERROR(INDEX(INDIRECT(E100),0,MATCH(F100,MO_Common_ColumnHeader,0)),"N/A")</f>
        <v>284</v>
      </c>
      <c r="O100" s="55"/>
      <c r="P100" s="695" t="n">
        <f aca="false">IF(ISNUMBER(N100),N100-K100,"N/A")</f>
        <v>-1</v>
      </c>
      <c r="Q100" s="696" t="n">
        <f aca="false">IFERROR(IF(ISNUMBER(N100),(N100-K100)/ABS(K100),"N/A"),"N/A")</f>
        <v>-0.00350877192982456</v>
      </c>
      <c r="R100" s="55"/>
      <c r="S100" s="697" t="n">
        <v>45217</v>
      </c>
      <c r="T100" s="698" t="s">
        <v>745</v>
      </c>
      <c r="U100" s="55"/>
    </row>
    <row r="101" customFormat="false" ht="15" hidden="false" customHeight="true" outlineLevel="0" collapsed="false">
      <c r="A101" s="679" t="n">
        <v>193</v>
      </c>
      <c r="B101" s="55"/>
      <c r="C101" s="55"/>
      <c r="D101" s="682"/>
      <c r="E101" s="56"/>
      <c r="F101" s="55"/>
      <c r="G101" s="55"/>
      <c r="H101" s="55"/>
      <c r="I101" s="48"/>
      <c r="J101" s="48"/>
      <c r="K101" s="48"/>
      <c r="L101" s="55"/>
      <c r="M101" s="55"/>
      <c r="N101" s="48"/>
      <c r="O101" s="55"/>
      <c r="P101" s="699"/>
      <c r="Q101" s="700"/>
      <c r="R101" s="55"/>
      <c r="S101" s="701"/>
      <c r="T101" s="702"/>
      <c r="U101" s="55"/>
    </row>
    <row r="102" s="691" customFormat="true" ht="15" hidden="false" customHeight="true" outlineLevel="0" collapsed="false">
      <c r="A102" s="679" t="n">
        <v>192</v>
      </c>
      <c r="B102" s="692" t="str">
        <f aca="false">IF(INDEX(MO_SNA_IsHistoricalPeriod,,MATCH(F102,MO_Common_ColumnHeader,0)),"Historical","Forward")</f>
        <v>Historical</v>
      </c>
      <c r="C102" s="55"/>
      <c r="D102" s="693" t="str">
        <f aca="true">INDEX(INDIRECT(E102),0,COLUMN(MO_Common_Column_A))</f>
        <v>Y/Y Total revenue growth, %</v>
      </c>
      <c r="E102" s="694" t="s">
        <v>759</v>
      </c>
      <c r="F102" s="692" t="s">
        <v>763</v>
      </c>
      <c r="G102" s="692"/>
      <c r="H102" s="55"/>
      <c r="I102" s="359" t="n">
        <v>0.3</v>
      </c>
      <c r="J102" s="359" t="n">
        <v>0.3</v>
      </c>
      <c r="K102" s="359" t="n">
        <f aca="false">AVERAGE(I102:J102)</f>
        <v>0.3</v>
      </c>
      <c r="L102" s="55"/>
      <c r="M102" s="692" t="str">
        <f aca="false">IF(INDEX(MO_SNA_IsHistoricalPeriod,,MATCH(F102,MO_Common_ColumnHeader,0)),"Actual","Estimate")</f>
        <v>Actual</v>
      </c>
      <c r="N102" s="359" t="n">
        <f aca="true">IFERROR(INDEX(INDIRECT(E102),0,MATCH(F102,MO_Common_ColumnHeader,0)),"N/A")</f>
        <v>0.30156233765007</v>
      </c>
      <c r="O102" s="55"/>
      <c r="P102" s="696" t="n">
        <f aca="false">IF(ISNUMBER(N102),N102-K102,"N/A")</f>
        <v>0.00156233765007024</v>
      </c>
      <c r="Q102" s="696" t="n">
        <f aca="false">IFERROR(IF(ISNUMBER(N102),(N102-K102)/ABS(K102),"N/A"),"N/A")</f>
        <v>0.00520779216690082</v>
      </c>
      <c r="R102" s="55"/>
      <c r="S102" s="697" t="n">
        <v>45126</v>
      </c>
      <c r="T102" s="698" t="s">
        <v>745</v>
      </c>
      <c r="U102" s="55"/>
    </row>
    <row r="103" customFormat="false" ht="15" hidden="false" customHeight="true" outlineLevel="0" collapsed="false">
      <c r="A103" s="679" t="n">
        <v>191</v>
      </c>
      <c r="B103" s="692" t="str">
        <f aca="false">IF(INDEX(MO_SNA_IsHistoricalPeriod,,MATCH(F103,MO_Common_ColumnHeader,0)),"Historical","Forward")</f>
        <v>Historical</v>
      </c>
      <c r="C103" s="55"/>
      <c r="D103" s="693" t="s">
        <v>747</v>
      </c>
      <c r="E103" s="694"/>
      <c r="F103" s="692" t="s">
        <v>763</v>
      </c>
      <c r="G103" s="692"/>
      <c r="H103" s="55"/>
      <c r="I103" s="359" t="n">
        <v>0.15</v>
      </c>
      <c r="J103" s="359" t="n">
        <v>0.16</v>
      </c>
      <c r="K103" s="359" t="n">
        <f aca="false">AVERAGE(I103:J103)</f>
        <v>0.155</v>
      </c>
      <c r="L103" s="55"/>
      <c r="M103" s="692" t="str">
        <f aca="false">IF(INDEX(MO_SNA_IsHistoricalPeriod,,MATCH(F103,MO_Common_ColumnHeader,0)),"Actual","Estimate")</f>
        <v>Actual</v>
      </c>
      <c r="N103" s="359" t="n">
        <f aca="false">INDEX(MO_RIS_TaxRate_Current,0,MATCH(F103,MO_Common_ColumnHeader,0))+INDEX(MO_RIS_TaxRate_Deferred,0,MATCH(F103,MO_Common_ColumnHeader,0))</f>
        <v>0.154806572648467</v>
      </c>
      <c r="O103" s="55"/>
      <c r="P103" s="696" t="n">
        <f aca="false">IF(ISNUMBER(N103),N103-K103,"N/A")</f>
        <v>-0.000193427351533187</v>
      </c>
      <c r="Q103" s="696" t="n">
        <f aca="false">IFERROR(IF(ISNUMBER(N103),(N103-K103)/ABS(K103),"N/A"),"N/A")</f>
        <v>-0.00124791839698831</v>
      </c>
      <c r="R103" s="55"/>
      <c r="S103" s="697" t="n">
        <v>45126</v>
      </c>
      <c r="T103" s="698" t="s">
        <v>745</v>
      </c>
      <c r="U103" s="55"/>
    </row>
    <row r="104" customFormat="false" ht="15" hidden="false" customHeight="true" outlineLevel="0" collapsed="false">
      <c r="A104" s="679" t="n">
        <v>190</v>
      </c>
      <c r="B104" s="55"/>
      <c r="C104" s="55"/>
      <c r="D104" s="682"/>
      <c r="E104" s="56"/>
      <c r="F104" s="55"/>
      <c r="G104" s="55"/>
      <c r="H104" s="55"/>
      <c r="I104" s="48"/>
      <c r="J104" s="48"/>
      <c r="K104" s="48"/>
      <c r="L104" s="55"/>
      <c r="M104" s="55"/>
      <c r="N104" s="48"/>
      <c r="O104" s="55"/>
      <c r="P104" s="699"/>
      <c r="Q104" s="700"/>
      <c r="R104" s="55"/>
      <c r="S104" s="701"/>
      <c r="T104" s="702"/>
      <c r="U104" s="55"/>
    </row>
    <row r="105" s="691" customFormat="true" ht="15" hidden="false" customHeight="true" outlineLevel="0" collapsed="false">
      <c r="A105" s="679" t="n">
        <v>189</v>
      </c>
      <c r="B105" s="692" t="str">
        <f aca="false">IF(INDEX(MO_SNA_IsHistoricalPeriod,,MATCH(F105,MO_Common_ColumnHeader,0)),"Historical","Forward")</f>
        <v>Historical</v>
      </c>
      <c r="C105" s="55"/>
      <c r="D105" s="693" t="str">
        <f aca="true">INDEX(INDIRECT(E105),0,COLUMN(MO_Common_Column_A))</f>
        <v>Net Revenue</v>
      </c>
      <c r="E105" s="694" t="s">
        <v>671</v>
      </c>
      <c r="F105" s="692" t="s">
        <v>765</v>
      </c>
      <c r="G105" s="692"/>
      <c r="H105" s="55"/>
      <c r="I105" s="159" t="n">
        <v>6500</v>
      </c>
      <c r="J105" s="159" t="n">
        <v>7000</v>
      </c>
      <c r="K105" s="159" t="n">
        <f aca="false">AVERAGE(I105:J105)</f>
        <v>6750</v>
      </c>
      <c r="L105" s="55"/>
      <c r="M105" s="692" t="str">
        <f aca="false">IF(INDEX(MO_SNA_IsHistoricalPeriod,,MATCH(F105,MO_Common_ColumnHeader,0)),"Actual","Estimate")</f>
        <v>Actual</v>
      </c>
      <c r="N105" s="159" t="n">
        <f aca="true">IFERROR(INDEX(INDIRECT(E105),0,MATCH(F105,MO_Common_ColumnHeader,0)),"N/A")</f>
        <v>6673</v>
      </c>
      <c r="O105" s="55"/>
      <c r="P105" s="695" t="n">
        <f aca="false">IF(ISNUMBER(N105),N105-K105,"N/A")</f>
        <v>-77</v>
      </c>
      <c r="Q105" s="696" t="n">
        <f aca="false">IFERROR(IF(ISNUMBER(N105),(N105-K105)/ABS(K105),"N/A"),"N/A")</f>
        <v>-0.0114074074074074</v>
      </c>
      <c r="R105" s="55"/>
      <c r="S105" s="697" t="n">
        <v>45126</v>
      </c>
      <c r="T105" s="698" t="s">
        <v>745</v>
      </c>
      <c r="U105" s="55"/>
    </row>
    <row r="106" s="691" customFormat="true" ht="15" hidden="false" customHeight="true" outlineLevel="0" collapsed="false">
      <c r="A106" s="679" t="n">
        <v>188</v>
      </c>
      <c r="B106" s="692" t="str">
        <f aca="false">IF(INDEX(MO_SNA_IsHistoricalPeriod,,MATCH(F106,MO_Common_ColumnHeader,0)),"Historical","Forward")</f>
        <v>Historical</v>
      </c>
      <c r="C106" s="55"/>
      <c r="D106" s="693" t="s">
        <v>749</v>
      </c>
      <c r="E106" s="694" t="s">
        <v>750</v>
      </c>
      <c r="F106" s="692" t="s">
        <v>765</v>
      </c>
      <c r="G106" s="692"/>
      <c r="H106" s="55"/>
      <c r="I106" s="159" t="n">
        <v>1400</v>
      </c>
      <c r="J106" s="159" t="n">
        <v>1400</v>
      </c>
      <c r="K106" s="159" t="n">
        <f aca="false">AVERAGE(I106:J106)</f>
        <v>1400</v>
      </c>
      <c r="L106" s="55"/>
      <c r="M106" s="692" t="str">
        <f aca="false">IF(INDEX(MO_SNA_IsHistoricalPeriod,,MATCH(F106,MO_Common_ColumnHeader,0)),"Actual","Estimate")</f>
        <v>Actual</v>
      </c>
      <c r="N106" s="159" t="n">
        <f aca="true">IFERROR(INDEX(INDIRECT(E106),0,MATCH(F106,MO_Common_ColumnHeader,0)),"N/A")</f>
        <v>1364.8</v>
      </c>
      <c r="O106" s="55"/>
      <c r="P106" s="695" t="n">
        <f aca="false">IF(ISNUMBER(N106),N106-K106,"N/A")</f>
        <v>-35.2</v>
      </c>
      <c r="Q106" s="696" t="n">
        <f aca="false">IFERROR(IF(ISNUMBER(N106),(N106-K106)/ABS(K106),"N/A"),"N/A")</f>
        <v>-0.0251428571428572</v>
      </c>
      <c r="R106" s="55"/>
      <c r="S106" s="697" t="n">
        <v>45126</v>
      </c>
      <c r="T106" s="698" t="s">
        <v>745</v>
      </c>
      <c r="U106" s="55"/>
    </row>
    <row r="107" s="691" customFormat="true" ht="15" hidden="false" customHeight="true" outlineLevel="0" collapsed="false">
      <c r="A107" s="679" t="n">
        <v>187</v>
      </c>
      <c r="B107" s="692" t="str">
        <f aca="false">IF(INDEX(MO_SNA_IsHistoricalPeriod,,MATCH(F107,MO_Common_ColumnHeader,0)),"Historical","Forward")</f>
        <v>Historical</v>
      </c>
      <c r="C107" s="55"/>
      <c r="D107" s="693" t="str">
        <f aca="true">INDEX(INDIRECT(E107),0,COLUMN(MO_Common_Column_A))</f>
        <v>Gross Margin, %</v>
      </c>
      <c r="E107" s="694" t="s">
        <v>746</v>
      </c>
      <c r="F107" s="692" t="s">
        <v>765</v>
      </c>
      <c r="G107" s="692"/>
      <c r="H107" s="55"/>
      <c r="I107" s="359" t="n">
        <v>0.5</v>
      </c>
      <c r="J107" s="359" t="n">
        <v>0.5</v>
      </c>
      <c r="K107" s="359" t="n">
        <f aca="false">AVERAGE(I107:J107)</f>
        <v>0.5</v>
      </c>
      <c r="L107" s="55"/>
      <c r="M107" s="692" t="str">
        <f aca="false">IF(INDEX(MO_SNA_IsHistoricalPeriod,,MATCH(F107,MO_Common_ColumnHeader,0)),"Actual","Estimate")</f>
        <v>Actual</v>
      </c>
      <c r="N107" s="359" t="n">
        <f aca="true">IFERROR(INDEX(INDIRECT(E107),0,MATCH(F107,MO_Common_ColumnHeader,0)),"N/A")</f>
        <v>0.518747190169339</v>
      </c>
      <c r="O107" s="55"/>
      <c r="P107" s="696" t="n">
        <f aca="false">IF(ISNUMBER(N107),N107-K107,"N/A")</f>
        <v>0.0187471901693391</v>
      </c>
      <c r="Q107" s="696" t="n">
        <f aca="false">IFERROR(IF(ISNUMBER(N107),(N107-K107)/ABS(K107),"N/A"),"N/A")</f>
        <v>0.0374943803386782</v>
      </c>
      <c r="R107" s="55"/>
      <c r="S107" s="697" t="n">
        <v>45126</v>
      </c>
      <c r="T107" s="698" t="s">
        <v>745</v>
      </c>
      <c r="U107" s="55"/>
    </row>
    <row r="108" s="691" customFormat="true" ht="15" hidden="false" customHeight="true" outlineLevel="0" collapsed="false">
      <c r="A108" s="679" t="n">
        <v>186</v>
      </c>
      <c r="B108" s="692" t="str">
        <f aca="false">IF(INDEX(MO_SNA_IsHistoricalPeriod,,MATCH(F108,MO_Common_ColumnHeader,0)),"Historical","Forward")</f>
        <v>Historical</v>
      </c>
      <c r="C108" s="55"/>
      <c r="D108" s="693" t="s">
        <v>751</v>
      </c>
      <c r="E108" s="694" t="s">
        <v>752</v>
      </c>
      <c r="F108" s="692" t="s">
        <v>765</v>
      </c>
      <c r="G108" s="692"/>
      <c r="H108" s="55"/>
      <c r="I108" s="159" t="n">
        <v>1000</v>
      </c>
      <c r="J108" s="159" t="n">
        <v>1000</v>
      </c>
      <c r="K108" s="159" t="n">
        <f aca="false">AVERAGE(I108:J108)</f>
        <v>1000</v>
      </c>
      <c r="L108" s="55"/>
      <c r="M108" s="692" t="str">
        <f aca="false">IF(INDEX(MO_SNA_IsHistoricalPeriod,,MATCH(F108,MO_Common_ColumnHeader,0)),"Actual","Estimate")</f>
        <v>Actual</v>
      </c>
      <c r="N108" s="159" t="n">
        <f aca="true">IFERROR(INDEX(INDIRECT(E108),0,MATCH(F108,MO_Common_ColumnHeader,0)),"N/A")</f>
        <v>991.4</v>
      </c>
      <c r="O108" s="55"/>
      <c r="P108" s="695" t="n">
        <f aca="false">IF(ISNUMBER(N108),N108-K108,"N/A")</f>
        <v>-8.60000000000002</v>
      </c>
      <c r="Q108" s="696" t="n">
        <f aca="false">IFERROR(IF(ISNUMBER(N108),(N108-K108)/ABS(K108),"N/A"),"N/A")</f>
        <v>-0.00860000000000002</v>
      </c>
      <c r="R108" s="55"/>
      <c r="S108" s="697" t="n">
        <v>45126</v>
      </c>
      <c r="T108" s="698" t="s">
        <v>745</v>
      </c>
      <c r="U108" s="55"/>
    </row>
    <row r="109" s="691" customFormat="true" ht="15" hidden="false" customHeight="true" outlineLevel="0" collapsed="false">
      <c r="A109" s="679" t="n">
        <v>185</v>
      </c>
      <c r="B109" s="692" t="str">
        <f aca="false">IF(INDEX(MO_SNA_IsHistoricalPeriod,,MATCH(F109,MO_Common_ColumnHeader,0)),"Historical","Forward")</f>
        <v>Historical</v>
      </c>
      <c r="C109" s="55"/>
      <c r="D109" s="693" t="str">
        <f aca="true">INDEX(INDIRECT(E109),0,COLUMN(MO_Common_Column_A))</f>
        <v>SG&amp;A</v>
      </c>
      <c r="E109" s="694" t="s">
        <v>753</v>
      </c>
      <c r="F109" s="692" t="s">
        <v>765</v>
      </c>
      <c r="G109" s="692"/>
      <c r="H109" s="55"/>
      <c r="I109" s="159" t="n">
        <v>285</v>
      </c>
      <c r="J109" s="159" t="n">
        <v>285</v>
      </c>
      <c r="K109" s="159" t="n">
        <f aca="false">AVERAGE(I109:J109)</f>
        <v>285</v>
      </c>
      <c r="L109" s="55"/>
      <c r="M109" s="692" t="str">
        <f aca="false">IF(INDEX(MO_SNA_IsHistoricalPeriod,,MATCH(F109,MO_Common_ColumnHeader,0)),"Actual","Estimate")</f>
        <v>Actual</v>
      </c>
      <c r="N109" s="159" t="n">
        <f aca="true">IFERROR(INDEX(INDIRECT(E109),0,MATCH(F109,MO_Common_ColumnHeader,0)),"N/A")</f>
        <v>287.8</v>
      </c>
      <c r="O109" s="55"/>
      <c r="P109" s="695" t="n">
        <f aca="false">IF(ISNUMBER(N109),N109-K109,"N/A")</f>
        <v>2.80000000000001</v>
      </c>
      <c r="Q109" s="696" t="n">
        <f aca="false">IFERROR(IF(ISNUMBER(N109),(N109-K109)/ABS(K109),"N/A"),"N/A")</f>
        <v>0.00982456140350881</v>
      </c>
      <c r="R109" s="55"/>
      <c r="S109" s="697" t="n">
        <v>45126</v>
      </c>
      <c r="T109" s="698" t="s">
        <v>745</v>
      </c>
      <c r="U109" s="55"/>
    </row>
    <row r="110" customFormat="false" ht="15" hidden="false" customHeight="true" outlineLevel="0" collapsed="false">
      <c r="A110" s="679" t="n">
        <v>184</v>
      </c>
      <c r="B110" s="55"/>
      <c r="C110" s="55"/>
      <c r="D110" s="682"/>
      <c r="E110" s="56"/>
      <c r="F110" s="55"/>
      <c r="G110" s="55"/>
      <c r="H110" s="55"/>
      <c r="I110" s="48"/>
      <c r="J110" s="48"/>
      <c r="K110" s="48"/>
      <c r="L110" s="55"/>
      <c r="M110" s="55"/>
      <c r="N110" s="48"/>
      <c r="O110" s="55"/>
      <c r="P110" s="699"/>
      <c r="Q110" s="700"/>
      <c r="R110" s="55"/>
      <c r="S110" s="701"/>
      <c r="T110" s="702"/>
      <c r="U110" s="55"/>
    </row>
    <row r="111" s="691" customFormat="true" ht="15" hidden="false" customHeight="true" outlineLevel="0" collapsed="false">
      <c r="A111" s="679" t="n">
        <v>183</v>
      </c>
      <c r="B111" s="692" t="str">
        <f aca="false">IF(INDEX(MO_SNA_IsHistoricalPeriod,,MATCH(F111,MO_Common_ColumnHeader,0)),"Historical","Forward")</f>
        <v>Historical</v>
      </c>
      <c r="C111" s="55"/>
      <c r="D111" s="693" t="str">
        <f aca="true">INDEX(INDIRECT(E111),0,COLUMN(MO_Common_Column_A))</f>
        <v>Y/Y Total revenue growth, %</v>
      </c>
      <c r="E111" s="694" t="s">
        <v>759</v>
      </c>
      <c r="F111" s="692" t="s">
        <v>763</v>
      </c>
      <c r="G111" s="692"/>
      <c r="H111" s="55"/>
      <c r="I111" s="359" t="n">
        <v>0.25</v>
      </c>
      <c r="J111" s="359" t="n">
        <v>0.25</v>
      </c>
      <c r="K111" s="359" t="n">
        <f aca="false">AVERAGE(I111:J111)</f>
        <v>0.25</v>
      </c>
      <c r="L111" s="55"/>
      <c r="M111" s="692" t="str">
        <f aca="false">IF(INDEX(MO_SNA_IsHistoricalPeriod,,MATCH(F111,MO_Common_ColumnHeader,0)),"Actual","Estimate")</f>
        <v>Actual</v>
      </c>
      <c r="N111" s="359" t="n">
        <f aca="true">IFERROR(INDEX(INDIRECT(E111),0,MATCH(F111,MO_Common_ColumnHeader,0)),"N/A")</f>
        <v>0.30156233765007</v>
      </c>
      <c r="O111" s="55"/>
      <c r="P111" s="696" t="n">
        <f aca="false">IF(ISNUMBER(N111),N111-K111,"N/A")</f>
        <v>0.0515623376500702</v>
      </c>
      <c r="Q111" s="696" t="n">
        <f aca="false">IFERROR(IF(ISNUMBER(N111),(N111-K111)/ABS(K111),"N/A"),"N/A")</f>
        <v>0.206249350600281</v>
      </c>
      <c r="R111" s="55"/>
      <c r="S111" s="697" t="n">
        <v>45034</v>
      </c>
      <c r="T111" s="698" t="s">
        <v>745</v>
      </c>
      <c r="U111" s="55"/>
    </row>
    <row r="112" customFormat="false" ht="15" hidden="false" customHeight="true" outlineLevel="0" collapsed="false">
      <c r="A112" s="679" t="n">
        <v>182</v>
      </c>
      <c r="B112" s="692" t="str">
        <f aca="false">IF(INDEX(MO_SNA_IsHistoricalPeriod,,MATCH(F112,MO_Common_ColumnHeader,0)),"Historical","Forward")</f>
        <v>Historical</v>
      </c>
      <c r="C112" s="55"/>
      <c r="D112" s="693" t="s">
        <v>747</v>
      </c>
      <c r="E112" s="694"/>
      <c r="F112" s="692" t="s">
        <v>763</v>
      </c>
      <c r="G112" s="692"/>
      <c r="H112" s="55"/>
      <c r="I112" s="359" t="n">
        <v>0.15</v>
      </c>
      <c r="J112" s="359" t="n">
        <v>0.16</v>
      </c>
      <c r="K112" s="359" t="n">
        <f aca="false">AVERAGE(I112:J112)</f>
        <v>0.155</v>
      </c>
      <c r="L112" s="55"/>
      <c r="M112" s="692" t="str">
        <f aca="false">IF(INDEX(MO_SNA_IsHistoricalPeriod,,MATCH(F112,MO_Common_ColumnHeader,0)),"Actual","Estimate")</f>
        <v>Actual</v>
      </c>
      <c r="N112" s="359" t="n">
        <f aca="false">INDEX(MO_RIS_TaxRate_Current,0,MATCH(F112,MO_Common_ColumnHeader,0))+INDEX(MO_RIS_TaxRate_Deferred,0,MATCH(F112,MO_Common_ColumnHeader,0))</f>
        <v>0.154806572648467</v>
      </c>
      <c r="O112" s="55"/>
      <c r="P112" s="696" t="n">
        <f aca="false">IF(ISNUMBER(N112),N112-K112,"N/A")</f>
        <v>-0.000193427351533187</v>
      </c>
      <c r="Q112" s="696" t="n">
        <f aca="false">IFERROR(IF(ISNUMBER(N112),(N112-K112)/ABS(K112),"N/A"),"N/A")</f>
        <v>-0.00124791839698831</v>
      </c>
      <c r="R112" s="55"/>
      <c r="S112" s="697" t="n">
        <v>45034</v>
      </c>
      <c r="T112" s="698" t="s">
        <v>745</v>
      </c>
      <c r="U112" s="55"/>
    </row>
    <row r="113" customFormat="false" ht="15" hidden="false" customHeight="true" outlineLevel="0" collapsed="false">
      <c r="A113" s="679" t="n">
        <v>181</v>
      </c>
      <c r="B113" s="55"/>
      <c r="C113" s="55"/>
      <c r="D113" s="682"/>
      <c r="E113" s="56"/>
      <c r="F113" s="55"/>
      <c r="G113" s="55"/>
      <c r="H113" s="55"/>
      <c r="I113" s="48"/>
      <c r="J113" s="48"/>
      <c r="K113" s="48"/>
      <c r="L113" s="55"/>
      <c r="M113" s="55"/>
      <c r="N113" s="48"/>
      <c r="O113" s="55"/>
      <c r="P113" s="699"/>
      <c r="Q113" s="700"/>
      <c r="R113" s="55"/>
      <c r="S113" s="701"/>
      <c r="T113" s="702"/>
      <c r="U113" s="55"/>
    </row>
    <row r="114" s="691" customFormat="true" ht="15" hidden="false" customHeight="true" outlineLevel="0" collapsed="false">
      <c r="A114" s="679" t="n">
        <v>180</v>
      </c>
      <c r="B114" s="692" t="str">
        <f aca="false">IF(INDEX(MO_SNA_IsHistoricalPeriod,,MATCH(F114,MO_Common_ColumnHeader,0)),"Historical","Forward")</f>
        <v>Historical</v>
      </c>
      <c r="C114" s="55"/>
      <c r="D114" s="693" t="str">
        <f aca="true">INDEX(INDIRECT(E114),0,COLUMN(MO_Common_Column_A))</f>
        <v>Net Revenue</v>
      </c>
      <c r="E114" s="694" t="s">
        <v>671</v>
      </c>
      <c r="F114" s="692" t="s">
        <v>766</v>
      </c>
      <c r="G114" s="692"/>
      <c r="H114" s="55"/>
      <c r="I114" s="159" t="n">
        <v>6500</v>
      </c>
      <c r="J114" s="159" t="n">
        <v>7000</v>
      </c>
      <c r="K114" s="159" t="n">
        <f aca="false">AVERAGE(I114:J114)</f>
        <v>6750</v>
      </c>
      <c r="L114" s="55"/>
      <c r="M114" s="692" t="str">
        <f aca="false">IF(INDEX(MO_SNA_IsHistoricalPeriod,,MATCH(F114,MO_Common_ColumnHeader,0)),"Actual","Estimate")</f>
        <v>Actual</v>
      </c>
      <c r="N114" s="159" t="n">
        <f aca="true">IFERROR(INDEX(INDIRECT(E114),0,MATCH(F114,MO_Common_ColumnHeader,0)),"N/A")</f>
        <v>6902.3</v>
      </c>
      <c r="O114" s="55"/>
      <c r="P114" s="695" t="n">
        <f aca="false">IF(ISNUMBER(N114),N114-K114,"N/A")</f>
        <v>152.3</v>
      </c>
      <c r="Q114" s="696" t="n">
        <f aca="false">IFERROR(IF(ISNUMBER(N114),(N114-K114)/ABS(K114),"N/A"),"N/A")</f>
        <v>0.022562962962963</v>
      </c>
      <c r="R114" s="55"/>
      <c r="S114" s="697" t="n">
        <v>45034</v>
      </c>
      <c r="T114" s="698" t="s">
        <v>745</v>
      </c>
      <c r="U114" s="55"/>
    </row>
    <row r="115" s="691" customFormat="true" ht="15" hidden="false" customHeight="true" outlineLevel="0" collapsed="false">
      <c r="A115" s="679" t="n">
        <v>179</v>
      </c>
      <c r="B115" s="692" t="str">
        <f aca="false">IF(INDEX(MO_SNA_IsHistoricalPeriod,,MATCH(F115,MO_Common_ColumnHeader,0)),"Historical","Forward")</f>
        <v>Historical</v>
      </c>
      <c r="C115" s="55"/>
      <c r="D115" s="693" t="s">
        <v>749</v>
      </c>
      <c r="E115" s="694" t="s">
        <v>750</v>
      </c>
      <c r="F115" s="692" t="s">
        <v>766</v>
      </c>
      <c r="G115" s="692"/>
      <c r="H115" s="55"/>
      <c r="I115" s="159" t="n">
        <v>1300</v>
      </c>
      <c r="J115" s="159" t="n">
        <v>1300</v>
      </c>
      <c r="K115" s="159" t="n">
        <f aca="false">AVERAGE(I115:J115)</f>
        <v>1300</v>
      </c>
      <c r="L115" s="55"/>
      <c r="M115" s="692" t="str">
        <f aca="false">IF(INDEX(MO_SNA_IsHistoricalPeriod,,MATCH(F115,MO_Common_ColumnHeader,0)),"Actual","Estimate")</f>
        <v>Actual</v>
      </c>
      <c r="N115" s="159" t="n">
        <f aca="true">IFERROR(INDEX(INDIRECT(E115),0,MATCH(F115,MO_Common_ColumnHeader,0)),"N/A")</f>
        <v>1296.2</v>
      </c>
      <c r="O115" s="55"/>
      <c r="P115" s="695" t="n">
        <f aca="false">IF(ISNUMBER(N115),N115-K115,"N/A")</f>
        <v>-3.79999999999995</v>
      </c>
      <c r="Q115" s="696" t="n">
        <f aca="false">IFERROR(IF(ISNUMBER(N115),(N115-K115)/ABS(K115),"N/A"),"N/A")</f>
        <v>-0.00292307692307689</v>
      </c>
      <c r="R115" s="55"/>
      <c r="S115" s="697" t="n">
        <v>45034</v>
      </c>
      <c r="T115" s="698" t="s">
        <v>745</v>
      </c>
      <c r="U115" s="55"/>
    </row>
    <row r="116" s="691" customFormat="true" ht="15" hidden="false" customHeight="true" outlineLevel="0" collapsed="false">
      <c r="A116" s="679" t="n">
        <v>178</v>
      </c>
      <c r="B116" s="692" t="str">
        <f aca="false">IF(INDEX(MO_SNA_IsHistoricalPeriod,,MATCH(F116,MO_Common_ColumnHeader,0)),"Historical","Forward")</f>
        <v>Historical</v>
      </c>
      <c r="C116" s="55"/>
      <c r="D116" s="693" t="str">
        <f aca="true">INDEX(INDIRECT(E116),0,COLUMN(MO_Common_Column_A))</f>
        <v>Gross Margin, %</v>
      </c>
      <c r="E116" s="694" t="s">
        <v>746</v>
      </c>
      <c r="F116" s="692" t="s">
        <v>766</v>
      </c>
      <c r="G116" s="692"/>
      <c r="H116" s="55"/>
      <c r="I116" s="359" t="n">
        <v>0.5</v>
      </c>
      <c r="J116" s="359" t="n">
        <v>0.51</v>
      </c>
      <c r="K116" s="359" t="n">
        <f aca="false">AVERAGE(I116:J116)</f>
        <v>0.505</v>
      </c>
      <c r="L116" s="55"/>
      <c r="M116" s="692" t="str">
        <f aca="false">IF(INDEX(MO_SNA_IsHistoricalPeriod,,MATCH(F116,MO_Common_ColumnHeader,0)),"Actual","Estimate")</f>
        <v>Actual</v>
      </c>
      <c r="N116" s="359" t="n">
        <f aca="true">IFERROR(INDEX(INDIRECT(E116),0,MATCH(F116,MO_Common_ColumnHeader,0)),"N/A")</f>
        <v>0.513452037726555</v>
      </c>
      <c r="O116" s="55"/>
      <c r="P116" s="696" t="n">
        <f aca="false">IF(ISNUMBER(N116),N116-K116,"N/A")</f>
        <v>0.0084520377265549</v>
      </c>
      <c r="Q116" s="696" t="n">
        <f aca="false">IFERROR(IF(ISNUMBER(N116),(N116-K116)/ABS(K116),"N/A"),"N/A")</f>
        <v>0.0167367083694156</v>
      </c>
      <c r="R116" s="55"/>
      <c r="S116" s="697" t="n">
        <v>45034</v>
      </c>
      <c r="T116" s="698" t="s">
        <v>745</v>
      </c>
      <c r="U116" s="55"/>
    </row>
    <row r="117" s="691" customFormat="true" ht="15" hidden="false" customHeight="true" outlineLevel="0" collapsed="false">
      <c r="A117" s="679" t="n">
        <v>177</v>
      </c>
      <c r="B117" s="692" t="str">
        <f aca="false">IF(INDEX(MO_SNA_IsHistoricalPeriod,,MATCH(F117,MO_Common_ColumnHeader,0)),"Historical","Forward")</f>
        <v>Historical</v>
      </c>
      <c r="C117" s="55"/>
      <c r="D117" s="693" t="s">
        <v>751</v>
      </c>
      <c r="E117" s="694" t="s">
        <v>752</v>
      </c>
      <c r="F117" s="692" t="s">
        <v>766</v>
      </c>
      <c r="G117" s="692"/>
      <c r="H117" s="55"/>
      <c r="I117" s="159" t="n">
        <v>990</v>
      </c>
      <c r="J117" s="159" t="n">
        <v>990</v>
      </c>
      <c r="K117" s="159" t="n">
        <f aca="false">AVERAGE(I117:J117)</f>
        <v>990</v>
      </c>
      <c r="L117" s="55"/>
      <c r="M117" s="692" t="str">
        <f aca="false">IF(INDEX(MO_SNA_IsHistoricalPeriod,,MATCH(F117,MO_Common_ColumnHeader,0)),"Actual","Estimate")</f>
        <v>Actual</v>
      </c>
      <c r="N117" s="159" t="n">
        <f aca="true">IFERROR(INDEX(INDIRECT(E117),0,MATCH(F117,MO_Common_ColumnHeader,0)),"N/A")</f>
        <v>999.9</v>
      </c>
      <c r="O117" s="55"/>
      <c r="P117" s="695" t="n">
        <f aca="false">IF(ISNUMBER(N117),N117-K117,"N/A")</f>
        <v>9.89999999999998</v>
      </c>
      <c r="Q117" s="696" t="n">
        <f aca="false">IFERROR(IF(ISNUMBER(N117),(N117-K117)/ABS(K117),"N/A"),"N/A")</f>
        <v>0.00999999999999998</v>
      </c>
      <c r="R117" s="55"/>
      <c r="S117" s="697" t="n">
        <v>45034</v>
      </c>
      <c r="T117" s="698" t="s">
        <v>745</v>
      </c>
      <c r="U117" s="55"/>
    </row>
    <row r="118" s="691" customFormat="true" ht="15" hidden="false" customHeight="true" outlineLevel="0" collapsed="false">
      <c r="A118" s="679" t="n">
        <v>176</v>
      </c>
      <c r="B118" s="692" t="str">
        <f aca="false">IF(INDEX(MO_SNA_IsHistoricalPeriod,,MATCH(F118,MO_Common_ColumnHeader,0)),"Historical","Forward")</f>
        <v>Historical</v>
      </c>
      <c r="C118" s="55"/>
      <c r="D118" s="693" t="str">
        <f aca="true">INDEX(INDIRECT(E118),0,COLUMN(MO_Common_Column_A))</f>
        <v>SG&amp;A</v>
      </c>
      <c r="E118" s="694" t="s">
        <v>753</v>
      </c>
      <c r="F118" s="692" t="s">
        <v>766</v>
      </c>
      <c r="G118" s="692"/>
      <c r="H118" s="55"/>
      <c r="I118" s="159" t="n">
        <v>275</v>
      </c>
      <c r="J118" s="159" t="n">
        <v>275</v>
      </c>
      <c r="K118" s="159" t="n">
        <f aca="false">AVERAGE(I118:J118)</f>
        <v>275</v>
      </c>
      <c r="L118" s="55"/>
      <c r="M118" s="692" t="str">
        <f aca="false">IF(INDEX(MO_SNA_IsHistoricalPeriod,,MATCH(F118,MO_Common_ColumnHeader,0)),"Actual","Estimate")</f>
        <v>Actual</v>
      </c>
      <c r="N118" s="159" t="n">
        <f aca="true">IFERROR(INDEX(INDIRECT(E118),0,MATCH(F118,MO_Common_ColumnHeader,0)),"N/A")</f>
        <v>281.1</v>
      </c>
      <c r="O118" s="55"/>
      <c r="P118" s="695" t="n">
        <f aca="false">IF(ISNUMBER(N118),N118-K118,"N/A")</f>
        <v>6.10000000000002</v>
      </c>
      <c r="Q118" s="696" t="n">
        <f aca="false">IFERROR(IF(ISNUMBER(N118),(N118-K118)/ABS(K118),"N/A"),"N/A")</f>
        <v>0.0221818181818183</v>
      </c>
      <c r="R118" s="55"/>
      <c r="S118" s="697" t="n">
        <v>45034</v>
      </c>
      <c r="T118" s="698" t="s">
        <v>745</v>
      </c>
      <c r="U118" s="55"/>
    </row>
    <row r="119" customFormat="false" ht="15" hidden="false" customHeight="true" outlineLevel="0" collapsed="false">
      <c r="A119" s="679" t="n">
        <v>175</v>
      </c>
      <c r="B119" s="55"/>
      <c r="C119" s="55"/>
      <c r="D119" s="682"/>
      <c r="E119" s="56"/>
      <c r="F119" s="55"/>
      <c r="G119" s="55"/>
      <c r="H119" s="55"/>
      <c r="I119" s="48"/>
      <c r="J119" s="48"/>
      <c r="K119" s="48"/>
      <c r="L119" s="55"/>
      <c r="M119" s="55"/>
      <c r="N119" s="48"/>
      <c r="O119" s="55"/>
      <c r="P119" s="699"/>
      <c r="Q119" s="700"/>
      <c r="R119" s="55"/>
      <c r="S119" s="701"/>
      <c r="T119" s="702"/>
      <c r="U119" s="55"/>
    </row>
    <row r="120" s="691" customFormat="true" ht="15" hidden="false" customHeight="true" outlineLevel="0" collapsed="false">
      <c r="A120" s="679" t="n">
        <v>174</v>
      </c>
      <c r="B120" s="692" t="str">
        <f aca="false">IF(INDEX(MO_SNA_IsHistoricalPeriod,,MATCH(F120,MO_Common_ColumnHeader,0)),"Historical","Forward")</f>
        <v>Historical</v>
      </c>
      <c r="C120" s="55"/>
      <c r="D120" s="693" t="str">
        <f aca="true">INDEX(INDIRECT(E120),0,COLUMN(MO_Common_Column_A))</f>
        <v>Y/Y Total revenue growth, %</v>
      </c>
      <c r="E120" s="694" t="s">
        <v>759</v>
      </c>
      <c r="F120" s="692" t="s">
        <v>763</v>
      </c>
      <c r="G120" s="692"/>
      <c r="H120" s="55"/>
      <c r="I120" s="359" t="n">
        <v>0.25</v>
      </c>
      <c r="J120" s="359" t="n">
        <v>0.25</v>
      </c>
      <c r="K120" s="359" t="n">
        <f aca="false">AVERAGE(I120:J120)</f>
        <v>0.25</v>
      </c>
      <c r="L120" s="55"/>
      <c r="M120" s="692" t="str">
        <f aca="false">IF(INDEX(MO_SNA_IsHistoricalPeriod,,MATCH(F120,MO_Common_ColumnHeader,0)),"Actual","Estimate")</f>
        <v>Actual</v>
      </c>
      <c r="N120" s="359" t="n">
        <f aca="true">IFERROR(INDEX(INDIRECT(E120),0,MATCH(F120,MO_Common_ColumnHeader,0)),"N/A")</f>
        <v>0.30156233765007</v>
      </c>
      <c r="O120" s="55"/>
      <c r="P120" s="696" t="n">
        <f aca="false">IF(ISNUMBER(N120),N120-K120,"N/A")</f>
        <v>0.0515623376500702</v>
      </c>
      <c r="Q120" s="696" t="n">
        <f aca="false">IFERROR(IF(ISNUMBER(N120),(N120-K120)/ABS(K120),"N/A"),"N/A")</f>
        <v>0.206249350600281</v>
      </c>
      <c r="R120" s="55"/>
      <c r="S120" s="697" t="n">
        <v>44951</v>
      </c>
      <c r="T120" s="698" t="s">
        <v>745</v>
      </c>
      <c r="U120" s="55"/>
    </row>
    <row r="121" customFormat="false" ht="15" hidden="false" customHeight="true" outlineLevel="0" collapsed="false">
      <c r="A121" s="679" t="n">
        <v>173</v>
      </c>
      <c r="B121" s="692" t="str">
        <f aca="false">IF(INDEX(MO_SNA_IsHistoricalPeriod,,MATCH(F121,MO_Common_ColumnHeader,0)),"Historical","Forward")</f>
        <v>Historical</v>
      </c>
      <c r="C121" s="55"/>
      <c r="D121" s="693" t="s">
        <v>747</v>
      </c>
      <c r="E121" s="694"/>
      <c r="F121" s="692" t="s">
        <v>763</v>
      </c>
      <c r="G121" s="692"/>
      <c r="H121" s="55"/>
      <c r="I121" s="359" t="n">
        <v>0.15</v>
      </c>
      <c r="J121" s="359" t="n">
        <v>0.16</v>
      </c>
      <c r="K121" s="359" t="n">
        <f aca="false">AVERAGE(I121:J121)</f>
        <v>0.155</v>
      </c>
      <c r="L121" s="55"/>
      <c r="M121" s="692" t="str">
        <f aca="false">IF(INDEX(MO_SNA_IsHistoricalPeriod,,MATCH(F121,MO_Common_ColumnHeader,0)),"Actual","Estimate")</f>
        <v>Actual</v>
      </c>
      <c r="N121" s="359" t="n">
        <f aca="false">INDEX(MO_RIS_TaxRate_Current,0,MATCH(F121,MO_Common_ColumnHeader,0))+INDEX(MO_RIS_TaxRate_Deferred,0,MATCH(F121,MO_Common_ColumnHeader,0))</f>
        <v>0.154806572648467</v>
      </c>
      <c r="O121" s="55"/>
      <c r="P121" s="696" t="n">
        <f aca="false">IF(ISNUMBER(N121),N121-K121,"N/A")</f>
        <v>-0.000193427351533187</v>
      </c>
      <c r="Q121" s="696" t="n">
        <f aca="false">IFERROR(IF(ISNUMBER(N121),(N121-K121)/ABS(K121),"N/A"),"N/A")</f>
        <v>-0.00124791839698831</v>
      </c>
      <c r="R121" s="55"/>
      <c r="S121" s="697" t="n">
        <v>44951</v>
      </c>
      <c r="T121" s="698" t="s">
        <v>745</v>
      </c>
      <c r="U121" s="55"/>
    </row>
    <row r="122" customFormat="false" ht="15" hidden="false" customHeight="true" outlineLevel="0" collapsed="false">
      <c r="A122" s="679" t="n">
        <v>172</v>
      </c>
      <c r="B122" s="55"/>
      <c r="C122" s="55"/>
      <c r="D122" s="682"/>
      <c r="E122" s="56"/>
      <c r="F122" s="55"/>
      <c r="G122" s="55"/>
      <c r="H122" s="55"/>
      <c r="I122" s="48"/>
      <c r="J122" s="48"/>
      <c r="K122" s="48"/>
      <c r="L122" s="55"/>
      <c r="M122" s="55"/>
      <c r="N122" s="48"/>
      <c r="O122" s="55"/>
      <c r="P122" s="699"/>
      <c r="Q122" s="700"/>
      <c r="R122" s="55"/>
      <c r="S122" s="701"/>
      <c r="T122" s="702"/>
      <c r="U122" s="55"/>
    </row>
    <row r="123" s="691" customFormat="true" ht="15" hidden="false" customHeight="true" outlineLevel="0" collapsed="false">
      <c r="A123" s="679" t="n">
        <v>171</v>
      </c>
      <c r="B123" s="692" t="str">
        <f aca="false">IF(INDEX(MO_SNA_IsHistoricalPeriod,,MATCH(F123,MO_Common_ColumnHeader,0)),"Historical","Forward")</f>
        <v>Historical</v>
      </c>
      <c r="C123" s="55"/>
      <c r="D123" s="693" t="str">
        <f aca="true">INDEX(INDIRECT(E123),0,COLUMN(MO_Common_Column_A))</f>
        <v>Net Revenue</v>
      </c>
      <c r="E123" s="694" t="s">
        <v>671</v>
      </c>
      <c r="F123" s="692" t="s">
        <v>767</v>
      </c>
      <c r="G123" s="692"/>
      <c r="H123" s="55"/>
      <c r="I123" s="159" t="n">
        <v>6100</v>
      </c>
      <c r="J123" s="159" t="n">
        <v>6500</v>
      </c>
      <c r="K123" s="159" t="n">
        <f aca="false">AVERAGE(I123:J123)</f>
        <v>6300</v>
      </c>
      <c r="L123" s="55"/>
      <c r="M123" s="692" t="str">
        <f aca="false">IF(INDEX(MO_SNA_IsHistoricalPeriod,,MATCH(F123,MO_Common_ColumnHeader,0)),"Actual","Estimate")</f>
        <v>Actual</v>
      </c>
      <c r="N123" s="159" t="n">
        <f aca="true">IFERROR(INDEX(INDIRECT(E123),0,MATCH(F123,MO_Common_ColumnHeader,0)),"N/A")</f>
        <v>6746.2</v>
      </c>
      <c r="O123" s="55"/>
      <c r="P123" s="695" t="n">
        <f aca="false">IF(ISNUMBER(N123),N123-K123,"N/A")</f>
        <v>446.200000000001</v>
      </c>
      <c r="Q123" s="696" t="n">
        <f aca="false">IFERROR(IF(ISNUMBER(N123),(N123-K123)/ABS(K123),"N/A"),"N/A")</f>
        <v>0.0708253968253969</v>
      </c>
      <c r="R123" s="55"/>
      <c r="S123" s="697" t="n">
        <v>44951</v>
      </c>
      <c r="T123" s="698" t="s">
        <v>745</v>
      </c>
      <c r="U123" s="55"/>
    </row>
    <row r="124" s="691" customFormat="true" ht="15" hidden="false" customHeight="true" outlineLevel="0" collapsed="false">
      <c r="A124" s="679" t="n">
        <v>170</v>
      </c>
      <c r="B124" s="692" t="str">
        <f aca="false">IF(INDEX(MO_SNA_IsHistoricalPeriod,,MATCH(F124,MO_Common_ColumnHeader,0)),"Historical","Forward")</f>
        <v>Historical</v>
      </c>
      <c r="C124" s="55"/>
      <c r="D124" s="693" t="s">
        <v>749</v>
      </c>
      <c r="E124" s="694" t="s">
        <v>750</v>
      </c>
      <c r="F124" s="692" t="s">
        <v>767</v>
      </c>
      <c r="G124" s="692"/>
      <c r="H124" s="55"/>
      <c r="I124" s="159" t="n">
        <v>1500</v>
      </c>
      <c r="J124" s="159" t="n">
        <v>1500</v>
      </c>
      <c r="K124" s="159" t="n">
        <f aca="false">AVERAGE(I124:J124)</f>
        <v>1500</v>
      </c>
      <c r="L124" s="55"/>
      <c r="M124" s="692" t="str">
        <f aca="false">IF(INDEX(MO_SNA_IsHistoricalPeriod,,MATCH(F124,MO_Common_ColumnHeader,0)),"Actual","Estimate")</f>
        <v>Actual</v>
      </c>
      <c r="N124" s="159" t="n">
        <f aca="true">IFERROR(INDEX(INDIRECT(E124),0,MATCH(F124,MO_Common_ColumnHeader,0)),"N/A")</f>
        <v>1404.4</v>
      </c>
      <c r="O124" s="55"/>
      <c r="P124" s="695" t="n">
        <f aca="false">IF(ISNUMBER(N124),N124-K124,"N/A")</f>
        <v>-95.5999999999999</v>
      </c>
      <c r="Q124" s="696" t="n">
        <f aca="false">IFERROR(IF(ISNUMBER(N124),(N124-K124)/ABS(K124),"N/A"),"N/A")</f>
        <v>-0.0637333333333333</v>
      </c>
      <c r="R124" s="55"/>
      <c r="S124" s="697" t="n">
        <v>44951</v>
      </c>
      <c r="T124" s="698" t="s">
        <v>745</v>
      </c>
      <c r="U124" s="55"/>
    </row>
    <row r="125" s="691" customFormat="true" ht="15" hidden="false" customHeight="true" outlineLevel="0" collapsed="false">
      <c r="A125" s="679" t="n">
        <v>169</v>
      </c>
      <c r="B125" s="692" t="str">
        <f aca="false">IF(INDEX(MO_SNA_IsHistoricalPeriod,,MATCH(F125,MO_Common_ColumnHeader,0)),"Historical","Forward")</f>
        <v>Historical</v>
      </c>
      <c r="C125" s="55"/>
      <c r="D125" s="693" t="str">
        <f aca="true">INDEX(INDIRECT(E125),0,COLUMN(MO_Common_Column_A))</f>
        <v>Gross Margin, %</v>
      </c>
      <c r="E125" s="694" t="s">
        <v>746</v>
      </c>
      <c r="F125" s="692" t="s">
        <v>767</v>
      </c>
      <c r="G125" s="692"/>
      <c r="H125" s="55"/>
      <c r="I125" s="359" t="n">
        <v>0.49</v>
      </c>
      <c r="J125" s="359" t="n">
        <v>0.5</v>
      </c>
      <c r="K125" s="359" t="n">
        <f aca="false">AVERAGE(I125:J125)</f>
        <v>0.495</v>
      </c>
      <c r="L125" s="55"/>
      <c r="M125" s="692" t="str">
        <f aca="false">IF(INDEX(MO_SNA_IsHistoricalPeriod,,MATCH(F125,MO_Common_ColumnHeader,0)),"Actual","Estimate")</f>
        <v>Actual</v>
      </c>
      <c r="N125" s="359" t="n">
        <f aca="true">IFERROR(INDEX(INDIRECT(E125),0,MATCH(F125,MO_Common_ColumnHeader,0)),"N/A")</f>
        <v>0.505944087041594</v>
      </c>
      <c r="O125" s="55"/>
      <c r="P125" s="696" t="n">
        <f aca="false">IF(ISNUMBER(N125),N125-K125,"N/A")</f>
        <v>0.0109440870415939</v>
      </c>
      <c r="Q125" s="696" t="n">
        <f aca="false">IFERROR(IF(ISNUMBER(N125),(N125-K125)/ABS(K125),"N/A"),"N/A")</f>
        <v>0.0221092667506947</v>
      </c>
      <c r="R125" s="55"/>
      <c r="S125" s="697" t="n">
        <v>44951</v>
      </c>
      <c r="T125" s="698" t="s">
        <v>745</v>
      </c>
      <c r="U125" s="55"/>
    </row>
    <row r="126" s="691" customFormat="true" ht="15" hidden="false" customHeight="true" outlineLevel="0" collapsed="false">
      <c r="A126" s="679" t="n">
        <v>168</v>
      </c>
      <c r="B126" s="692" t="str">
        <f aca="false">IF(INDEX(MO_SNA_IsHistoricalPeriod,,MATCH(F126,MO_Common_ColumnHeader,0)),"Historical","Forward")</f>
        <v>Historical</v>
      </c>
      <c r="C126" s="55"/>
      <c r="D126" s="693" t="s">
        <v>751</v>
      </c>
      <c r="E126" s="694" t="s">
        <v>752</v>
      </c>
      <c r="F126" s="692" t="s">
        <v>767</v>
      </c>
      <c r="G126" s="692"/>
      <c r="H126" s="55"/>
      <c r="I126" s="159" t="n">
        <v>965</v>
      </c>
      <c r="J126" s="159" t="n">
        <v>965</v>
      </c>
      <c r="K126" s="159" t="n">
        <f aca="false">AVERAGE(I126:J126)</f>
        <v>965</v>
      </c>
      <c r="L126" s="55"/>
      <c r="M126" s="692" t="str">
        <f aca="false">IF(INDEX(MO_SNA_IsHistoricalPeriod,,MATCH(F126,MO_Common_ColumnHeader,0)),"Actual","Estimate")</f>
        <v>Actual</v>
      </c>
      <c r="N126" s="159" t="n">
        <f aca="true">IFERROR(INDEX(INDIRECT(E126),0,MATCH(F126,MO_Common_ColumnHeader,0)),"N/A")</f>
        <v>947.9</v>
      </c>
      <c r="O126" s="55"/>
      <c r="P126" s="695" t="n">
        <f aca="false">IF(ISNUMBER(N126),N126-K126,"N/A")</f>
        <v>-17.1</v>
      </c>
      <c r="Q126" s="696" t="n">
        <f aca="false">IFERROR(IF(ISNUMBER(N126),(N126-K126)/ABS(K126),"N/A"),"N/A")</f>
        <v>-0.017720207253886</v>
      </c>
      <c r="R126" s="55"/>
      <c r="S126" s="697" t="n">
        <v>44951</v>
      </c>
      <c r="T126" s="698" t="s">
        <v>745</v>
      </c>
      <c r="U126" s="55"/>
    </row>
    <row r="127" s="691" customFormat="true" ht="15" hidden="false" customHeight="true" outlineLevel="0" collapsed="false">
      <c r="A127" s="679" t="n">
        <v>167</v>
      </c>
      <c r="B127" s="692" t="str">
        <f aca="false">IF(INDEX(MO_SNA_IsHistoricalPeriod,,MATCH(F127,MO_Common_ColumnHeader,0)),"Historical","Forward")</f>
        <v>Historical</v>
      </c>
      <c r="C127" s="55"/>
      <c r="D127" s="693" t="str">
        <f aca="true">INDEX(INDIRECT(E127),0,COLUMN(MO_Common_Column_A))</f>
        <v>SG&amp;A</v>
      </c>
      <c r="E127" s="694" t="s">
        <v>753</v>
      </c>
      <c r="F127" s="692" t="s">
        <v>767</v>
      </c>
      <c r="G127" s="692"/>
      <c r="H127" s="55"/>
      <c r="I127" s="159" t="n">
        <v>285</v>
      </c>
      <c r="J127" s="159" t="n">
        <v>285</v>
      </c>
      <c r="K127" s="159" t="n">
        <f aca="false">AVERAGE(I127:J127)</f>
        <v>285</v>
      </c>
      <c r="L127" s="55"/>
      <c r="M127" s="692" t="str">
        <f aca="false">IF(INDEX(MO_SNA_IsHistoricalPeriod,,MATCH(F127,MO_Common_ColumnHeader,0)),"Actual","Estimate")</f>
        <v>Actual</v>
      </c>
      <c r="N127" s="159" t="n">
        <f aca="true">IFERROR(INDEX(INDIRECT(E127),0,MATCH(F127,MO_Common_ColumnHeader,0)),"N/A")</f>
        <v>260.3</v>
      </c>
      <c r="O127" s="55"/>
      <c r="P127" s="695" t="n">
        <f aca="false">IF(ISNUMBER(N127),N127-K127,"N/A")</f>
        <v>-24.7</v>
      </c>
      <c r="Q127" s="696" t="n">
        <f aca="false">IFERROR(IF(ISNUMBER(N127),(N127-K127)/ABS(K127),"N/A"),"N/A")</f>
        <v>-0.0866666666666666</v>
      </c>
      <c r="R127" s="55"/>
      <c r="S127" s="697" t="n">
        <v>44951</v>
      </c>
      <c r="T127" s="698" t="s">
        <v>745</v>
      </c>
      <c r="U127" s="55"/>
    </row>
    <row r="128" customFormat="false" ht="15" hidden="false" customHeight="true" outlineLevel="0" collapsed="false">
      <c r="A128" s="679" t="n">
        <v>166</v>
      </c>
      <c r="B128" s="55"/>
      <c r="C128" s="55"/>
      <c r="D128" s="682"/>
      <c r="E128" s="56"/>
      <c r="F128" s="55"/>
      <c r="G128" s="55"/>
      <c r="H128" s="55"/>
      <c r="I128" s="48"/>
      <c r="J128" s="48"/>
      <c r="K128" s="48"/>
      <c r="L128" s="55"/>
      <c r="M128" s="55"/>
      <c r="N128" s="48"/>
      <c r="O128" s="55"/>
      <c r="P128" s="699"/>
      <c r="Q128" s="700"/>
      <c r="R128" s="55"/>
      <c r="S128" s="701"/>
      <c r="T128" s="702"/>
      <c r="U128" s="55"/>
    </row>
    <row r="129" s="691" customFormat="true" ht="15" hidden="false" customHeight="true" outlineLevel="0" collapsed="false">
      <c r="A129" s="679" t="n">
        <v>165</v>
      </c>
      <c r="B129" s="692" t="str">
        <f aca="false">IF(INDEX(MO_SNA_IsHistoricalPeriod,,MATCH(F129,MO_Common_ColumnHeader,0)),"Historical","Forward")</f>
        <v>Historical</v>
      </c>
      <c r="C129" s="55"/>
      <c r="D129" s="693" t="str">
        <f aca="true">INDEX(INDIRECT(E129),0,COLUMN(MO_Common_Column_A))</f>
        <v>Net Revenue</v>
      </c>
      <c r="E129" s="694" t="s">
        <v>671</v>
      </c>
      <c r="F129" s="692" t="s">
        <v>768</v>
      </c>
      <c r="G129" s="692"/>
      <c r="H129" s="55"/>
      <c r="I129" s="159" t="n">
        <v>21100</v>
      </c>
      <c r="J129" s="159" t="n">
        <v>21100</v>
      </c>
      <c r="K129" s="159" t="n">
        <f aca="false">AVERAGE(I129:J129)</f>
        <v>21100</v>
      </c>
      <c r="L129" s="55"/>
      <c r="M129" s="692" t="str">
        <f aca="false">IF(INDEX(MO_SNA_IsHistoricalPeriod,,MATCH(F129,MO_Common_ColumnHeader,0)),"Actual","Estimate")</f>
        <v>Actual</v>
      </c>
      <c r="N129" s="159" t="n">
        <f aca="true">IFERROR(INDEX(INDIRECT(E129),0,MATCH(F129,MO_Common_ColumnHeader,0)),"N/A")</f>
        <v>21173.4</v>
      </c>
      <c r="O129" s="55"/>
      <c r="P129" s="695" t="n">
        <f aca="false">IF(ISNUMBER(N129),N129-K129,"N/A")</f>
        <v>73.4000000000015</v>
      </c>
      <c r="Q129" s="696" t="n">
        <f aca="false">IFERROR(IF(ISNUMBER(N129),(N129-K129)/ABS(K129),"N/A"),"N/A")</f>
        <v>0.00347867298578206</v>
      </c>
      <c r="R129" s="55"/>
      <c r="S129" s="697" t="n">
        <v>44852</v>
      </c>
      <c r="T129" s="698" t="s">
        <v>745</v>
      </c>
      <c r="U129" s="55"/>
    </row>
    <row r="130" s="691" customFormat="true" ht="15" hidden="false" customHeight="true" outlineLevel="0" collapsed="false">
      <c r="A130" s="679" t="n">
        <v>164</v>
      </c>
      <c r="B130" s="692" t="str">
        <f aca="false">IF(INDEX(MO_SNA_IsHistoricalPeriod,,MATCH(F130,MO_Common_ColumnHeader,0)),"Historical","Forward")</f>
        <v>Historical</v>
      </c>
      <c r="C130" s="55"/>
      <c r="D130" s="693" t="str">
        <f aca="true">INDEX(INDIRECT(E130),0,COLUMN(MO_Common_Column_A))</f>
        <v>Gross Margin, %</v>
      </c>
      <c r="E130" s="694" t="s">
        <v>746</v>
      </c>
      <c r="F130" s="692" t="s">
        <v>768</v>
      </c>
      <c r="G130" s="692"/>
      <c r="H130" s="55"/>
      <c r="I130" s="359" t="n">
        <v>0.5</v>
      </c>
      <c r="J130" s="359" t="n">
        <v>0.5</v>
      </c>
      <c r="K130" s="359" t="n">
        <f aca="false">AVERAGE(I130:J130)</f>
        <v>0.5</v>
      </c>
      <c r="L130" s="55"/>
      <c r="M130" s="692" t="str">
        <f aca="false">IF(INDEX(MO_SNA_IsHistoricalPeriod,,MATCH(F130,MO_Common_ColumnHeader,0)),"Actual","Estimate")</f>
        <v>Actual</v>
      </c>
      <c r="N130" s="359" t="n">
        <f aca="true">IFERROR(INDEX(INDIRECT(E130),0,MATCH(F130,MO_Common_ColumnHeader,0)),"N/A")</f>
        <v>0.505355776587605</v>
      </c>
      <c r="O130" s="55"/>
      <c r="P130" s="696" t="n">
        <f aca="false">IF(ISNUMBER(N130),N130-K130,"N/A")</f>
        <v>0.00535577658760533</v>
      </c>
      <c r="Q130" s="696" t="n">
        <f aca="false">IFERROR(IF(ISNUMBER(N130),(N130-K130)/ABS(K130),"N/A"),"N/A")</f>
        <v>0.0107115531752107</v>
      </c>
      <c r="R130" s="55"/>
      <c r="S130" s="697" t="n">
        <v>44852</v>
      </c>
      <c r="T130" s="698" t="s">
        <v>745</v>
      </c>
      <c r="U130" s="55"/>
    </row>
    <row r="131" customFormat="false" ht="15" hidden="false" customHeight="true" outlineLevel="0" collapsed="false">
      <c r="A131" s="679" t="n">
        <v>163</v>
      </c>
      <c r="B131" s="692" t="str">
        <f aca="false">IF(INDEX(MO_SNA_IsHistoricalPeriod,,MATCH(F131,MO_Common_ColumnHeader,0)),"Historical","Forward")</f>
        <v>Historical</v>
      </c>
      <c r="C131" s="55"/>
      <c r="D131" s="693" t="s">
        <v>747</v>
      </c>
      <c r="E131" s="694"/>
      <c r="F131" s="692" t="s">
        <v>768</v>
      </c>
      <c r="G131" s="692"/>
      <c r="H131" s="55"/>
      <c r="I131" s="359" t="n">
        <v>0.15</v>
      </c>
      <c r="J131" s="359" t="n">
        <v>0.15</v>
      </c>
      <c r="K131" s="359" t="n">
        <f aca="false">AVERAGE(I131:J131)</f>
        <v>0.15</v>
      </c>
      <c r="L131" s="55"/>
      <c r="M131" s="692" t="str">
        <f aca="false">IF(INDEX(MO_SNA_IsHistoricalPeriod,,MATCH(F131,MO_Common_ColumnHeader,0)),"Actual","Estimate")</f>
        <v>Actual</v>
      </c>
      <c r="N131" s="359" t="n">
        <f aca="false">INDEX(MO_RIS_TaxRate_Current,0,MATCH(F131,MO_Common_ColumnHeader,0))+INDEX(MO_RIS_TaxRate_Deferred,0,MATCH(F131,MO_Common_ColumnHeader,0))</f>
        <v>0.147086031452359</v>
      </c>
      <c r="O131" s="55"/>
      <c r="P131" s="696" t="n">
        <f aca="false">IF(ISNUMBER(N131),N131-K131,"N/A")</f>
        <v>-0.00291396854764109</v>
      </c>
      <c r="Q131" s="696" t="n">
        <f aca="false">IFERROR(IF(ISNUMBER(N131),(N131-K131)/ABS(K131),"N/A"),"N/A")</f>
        <v>-0.0194264569842739</v>
      </c>
      <c r="R131" s="55"/>
      <c r="S131" s="697" t="n">
        <v>44852</v>
      </c>
      <c r="T131" s="698" t="s">
        <v>745</v>
      </c>
      <c r="U131" s="55"/>
    </row>
    <row r="132" customFormat="false" ht="15" hidden="false" customHeight="true" outlineLevel="0" collapsed="false">
      <c r="A132" s="679" t="n">
        <v>162</v>
      </c>
      <c r="B132" s="55"/>
      <c r="C132" s="55"/>
      <c r="D132" s="682"/>
      <c r="E132" s="56"/>
      <c r="F132" s="55"/>
      <c r="G132" s="55"/>
      <c r="H132" s="55"/>
      <c r="I132" s="48"/>
      <c r="J132" s="48"/>
      <c r="K132" s="48"/>
      <c r="L132" s="55"/>
      <c r="M132" s="55"/>
      <c r="N132" s="48"/>
      <c r="O132" s="55"/>
      <c r="P132" s="699"/>
      <c r="Q132" s="700"/>
      <c r="R132" s="55"/>
      <c r="S132" s="701"/>
      <c r="T132" s="702"/>
      <c r="U132" s="55"/>
    </row>
    <row r="133" s="691" customFormat="true" ht="15" hidden="false" customHeight="true" outlineLevel="0" collapsed="false">
      <c r="A133" s="679" t="n">
        <v>161</v>
      </c>
      <c r="B133" s="692" t="str">
        <f aca="false">IF(INDEX(MO_SNA_IsHistoricalPeriod,,MATCH(F133,MO_Common_ColumnHeader,0)),"Historical","Forward")</f>
        <v>Historical</v>
      </c>
      <c r="C133" s="55"/>
      <c r="D133" s="693" t="str">
        <f aca="true">INDEX(INDIRECT(E133),0,COLUMN(MO_Common_Column_A))</f>
        <v>Net Revenue</v>
      </c>
      <c r="E133" s="694" t="s">
        <v>671</v>
      </c>
      <c r="F133" s="692" t="s">
        <v>769</v>
      </c>
      <c r="G133" s="692"/>
      <c r="H133" s="55"/>
      <c r="I133" s="159" t="n">
        <v>6100</v>
      </c>
      <c r="J133" s="159" t="n">
        <v>6600</v>
      </c>
      <c r="K133" s="159" t="n">
        <f aca="false">AVERAGE(I133:J133)</f>
        <v>6350</v>
      </c>
      <c r="L133" s="55"/>
      <c r="M133" s="692" t="str">
        <f aca="false">IF(INDEX(MO_SNA_IsHistoricalPeriod,,MATCH(F133,MO_Common_ColumnHeader,0)),"Actual","Estimate")</f>
        <v>Actual</v>
      </c>
      <c r="N133" s="159" t="n">
        <f aca="true">IFERROR(INDEX(INDIRECT(E133),0,MATCH(F133,MO_Common_ColumnHeader,0)),"N/A")</f>
        <v>6430.2</v>
      </c>
      <c r="O133" s="55"/>
      <c r="P133" s="695" t="n">
        <f aca="false">IF(ISNUMBER(N133),N133-K133,"N/A")</f>
        <v>80.1999999999998</v>
      </c>
      <c r="Q133" s="696" t="n">
        <f aca="false">IFERROR(IF(ISNUMBER(N133),(N133-K133)/ABS(K133),"N/A"),"N/A")</f>
        <v>0.0126299212598425</v>
      </c>
      <c r="R133" s="55"/>
      <c r="S133" s="697" t="n">
        <v>44852</v>
      </c>
      <c r="T133" s="698" t="s">
        <v>745</v>
      </c>
      <c r="U133" s="55"/>
    </row>
    <row r="134" s="691" customFormat="true" ht="15" hidden="false" customHeight="true" outlineLevel="0" collapsed="false">
      <c r="A134" s="679" t="n">
        <v>160</v>
      </c>
      <c r="B134" s="692" t="str">
        <f aca="false">IF(INDEX(MO_SNA_IsHistoricalPeriod,,MATCH(F134,MO_Common_ColumnHeader,0)),"Historical","Forward")</f>
        <v>Historical</v>
      </c>
      <c r="C134" s="55"/>
      <c r="D134" s="693" t="s">
        <v>749</v>
      </c>
      <c r="E134" s="694" t="s">
        <v>750</v>
      </c>
      <c r="F134" s="692" t="s">
        <v>769</v>
      </c>
      <c r="G134" s="692"/>
      <c r="H134" s="55"/>
      <c r="I134" s="159" t="n">
        <v>1600</v>
      </c>
      <c r="J134" s="159" t="n">
        <v>1600</v>
      </c>
      <c r="K134" s="159" t="n">
        <f aca="false">AVERAGE(I134:J134)</f>
        <v>1600</v>
      </c>
      <c r="L134" s="55"/>
      <c r="M134" s="692" t="str">
        <f aca="false">IF(INDEX(MO_SNA_IsHistoricalPeriod,,MATCH(F134,MO_Common_ColumnHeader,0)),"Actual","Estimate")</f>
        <v>Actual</v>
      </c>
      <c r="N134" s="159" t="n">
        <f aca="true">IFERROR(INDEX(INDIRECT(E134),0,MATCH(F134,MO_Common_ColumnHeader,0)),"N/A")</f>
        <v>1682.3</v>
      </c>
      <c r="O134" s="55"/>
      <c r="P134" s="695" t="n">
        <f aca="false">IF(ISNUMBER(N134),N134-K134,"N/A")</f>
        <v>82.3000000000002</v>
      </c>
      <c r="Q134" s="696" t="n">
        <f aca="false">IFERROR(IF(ISNUMBER(N134),(N134-K134)/ABS(K134),"N/A"),"N/A")</f>
        <v>0.0514375000000001</v>
      </c>
      <c r="R134" s="55"/>
      <c r="S134" s="697" t="n">
        <v>44852</v>
      </c>
      <c r="T134" s="698" t="s">
        <v>745</v>
      </c>
      <c r="U134" s="55"/>
    </row>
    <row r="135" s="691" customFormat="true" ht="15" hidden="false" customHeight="true" outlineLevel="0" collapsed="false">
      <c r="A135" s="679" t="n">
        <v>159</v>
      </c>
      <c r="B135" s="692" t="str">
        <f aca="false">IF(INDEX(MO_SNA_IsHistoricalPeriod,,MATCH(F135,MO_Common_ColumnHeader,0)),"Historical","Forward")</f>
        <v>Historical</v>
      </c>
      <c r="C135" s="55"/>
      <c r="D135" s="693" t="str">
        <f aca="true">INDEX(INDIRECT(E135),0,COLUMN(MO_Common_Column_A))</f>
        <v>Gross Margin, %</v>
      </c>
      <c r="E135" s="694" t="s">
        <v>746</v>
      </c>
      <c r="F135" s="692" t="s">
        <v>769</v>
      </c>
      <c r="G135" s="692"/>
      <c r="H135" s="55"/>
      <c r="I135" s="359" t="n">
        <v>0.49</v>
      </c>
      <c r="J135" s="359" t="n">
        <v>0.49</v>
      </c>
      <c r="K135" s="359" t="n">
        <f aca="false">AVERAGE(I135:J135)</f>
        <v>0.49</v>
      </c>
      <c r="L135" s="55"/>
      <c r="M135" s="692" t="str">
        <f aca="false">IF(INDEX(MO_SNA_IsHistoricalPeriod,,MATCH(F135,MO_Common_ColumnHeader,0)),"Actual","Estimate")</f>
        <v>Actual</v>
      </c>
      <c r="N135" s="359" t="n">
        <f aca="true">IFERROR(INDEX(INDIRECT(E135),0,MATCH(F135,MO_Common_ColumnHeader,0)),"N/A")</f>
        <v>0.514898447948742</v>
      </c>
      <c r="O135" s="55"/>
      <c r="P135" s="696" t="n">
        <f aca="false">IF(ISNUMBER(N135),N135-K135,"N/A")</f>
        <v>0.024898447948742</v>
      </c>
      <c r="Q135" s="696" t="n">
        <f aca="false">IFERROR(IF(ISNUMBER(N135),(N135-K135)/ABS(K135),"N/A"),"N/A")</f>
        <v>0.0508131590790652</v>
      </c>
      <c r="R135" s="55"/>
      <c r="S135" s="697" t="n">
        <v>44852</v>
      </c>
      <c r="T135" s="698" t="s">
        <v>745</v>
      </c>
      <c r="U135" s="55"/>
    </row>
    <row r="136" s="691" customFormat="true" ht="15" hidden="false" customHeight="true" outlineLevel="0" collapsed="false">
      <c r="A136" s="679" t="n">
        <v>158</v>
      </c>
      <c r="B136" s="692" t="str">
        <f aca="false">IF(INDEX(MO_SNA_IsHistoricalPeriod,,MATCH(F136,MO_Common_ColumnHeader,0)),"Historical","Forward")</f>
        <v>Historical</v>
      </c>
      <c r="C136" s="55"/>
      <c r="D136" s="693" t="s">
        <v>751</v>
      </c>
      <c r="E136" s="694" t="s">
        <v>752</v>
      </c>
      <c r="F136" s="692" t="s">
        <v>769</v>
      </c>
      <c r="G136" s="692"/>
      <c r="H136" s="55"/>
      <c r="I136" s="159" t="n">
        <v>880</v>
      </c>
      <c r="J136" s="159" t="n">
        <v>880</v>
      </c>
      <c r="K136" s="159" t="n">
        <f aca="false">AVERAGE(I136:J136)</f>
        <v>880</v>
      </c>
      <c r="L136" s="55"/>
      <c r="M136" s="692" t="str">
        <f aca="false">IF(INDEX(MO_SNA_IsHistoricalPeriod,,MATCH(F136,MO_Common_ColumnHeader,0)),"Actual","Estimate")</f>
        <v>Actual</v>
      </c>
      <c r="N136" s="159" t="n">
        <f aca="true">IFERROR(INDEX(INDIRECT(E136),0,MATCH(F136,MO_Common_ColumnHeader,0)),"N/A")</f>
        <v>906.3</v>
      </c>
      <c r="O136" s="55"/>
      <c r="P136" s="695" t="n">
        <f aca="false">IF(ISNUMBER(N136),N136-K136,"N/A")</f>
        <v>26.3000000000002</v>
      </c>
      <c r="Q136" s="696" t="n">
        <f aca="false">IFERROR(IF(ISNUMBER(N136),(N136-K136)/ABS(K136),"N/A"),"N/A")</f>
        <v>0.0298863636363638</v>
      </c>
      <c r="R136" s="55"/>
      <c r="S136" s="697" t="n">
        <v>44852</v>
      </c>
      <c r="T136" s="698" t="s">
        <v>745</v>
      </c>
      <c r="U136" s="55"/>
    </row>
    <row r="137" s="691" customFormat="true" ht="15" hidden="false" customHeight="true" outlineLevel="0" collapsed="false">
      <c r="A137" s="679" t="n">
        <v>157</v>
      </c>
      <c r="B137" s="692" t="str">
        <f aca="false">IF(INDEX(MO_SNA_IsHistoricalPeriod,,MATCH(F137,MO_Common_ColumnHeader,0)),"Historical","Forward")</f>
        <v>Historical</v>
      </c>
      <c r="C137" s="55"/>
      <c r="D137" s="693" t="str">
        <f aca="true">INDEX(INDIRECT(E137),0,COLUMN(MO_Common_Column_A))</f>
        <v>SG&amp;A</v>
      </c>
      <c r="E137" s="694" t="s">
        <v>753</v>
      </c>
      <c r="F137" s="692" t="s">
        <v>769</v>
      </c>
      <c r="G137" s="692"/>
      <c r="H137" s="55"/>
      <c r="I137" s="159" t="n">
        <v>265</v>
      </c>
      <c r="J137" s="159" t="n">
        <v>265</v>
      </c>
      <c r="K137" s="159" t="n">
        <f aca="false">AVERAGE(I137:J137)</f>
        <v>265</v>
      </c>
      <c r="L137" s="55"/>
      <c r="M137" s="692" t="str">
        <f aca="false">IF(INDEX(MO_SNA_IsHistoricalPeriod,,MATCH(F137,MO_Common_ColumnHeader,0)),"Actual","Estimate")</f>
        <v>Actual</v>
      </c>
      <c r="N137" s="159" t="n">
        <f aca="true">IFERROR(INDEX(INDIRECT(E137),0,MATCH(F137,MO_Common_ColumnHeader,0)),"N/A")</f>
        <v>280.4</v>
      </c>
      <c r="O137" s="55"/>
      <c r="P137" s="695" t="n">
        <f aca="false">IF(ISNUMBER(N137),N137-K137,"N/A")</f>
        <v>15.4</v>
      </c>
      <c r="Q137" s="696" t="n">
        <f aca="false">IFERROR(IF(ISNUMBER(N137),(N137-K137)/ABS(K137),"N/A"),"N/A")</f>
        <v>0.0581132075471697</v>
      </c>
      <c r="R137" s="55"/>
      <c r="S137" s="697" t="n">
        <v>44852</v>
      </c>
      <c r="T137" s="698" t="s">
        <v>745</v>
      </c>
      <c r="U137" s="55"/>
    </row>
    <row r="138" customFormat="false" ht="15" hidden="false" customHeight="true" outlineLevel="0" collapsed="false">
      <c r="A138" s="679" t="n">
        <v>156</v>
      </c>
      <c r="B138" s="55"/>
      <c r="C138" s="55"/>
      <c r="D138" s="682"/>
      <c r="E138" s="56"/>
      <c r="F138" s="55"/>
      <c r="G138" s="55"/>
      <c r="H138" s="55"/>
      <c r="I138" s="48"/>
      <c r="J138" s="48"/>
      <c r="K138" s="48"/>
      <c r="L138" s="55"/>
      <c r="M138" s="55"/>
      <c r="N138" s="48"/>
      <c r="O138" s="55"/>
      <c r="P138" s="699"/>
      <c r="Q138" s="700"/>
      <c r="R138" s="55"/>
      <c r="S138" s="701"/>
      <c r="T138" s="702"/>
      <c r="U138" s="55"/>
    </row>
    <row r="139" s="691" customFormat="true" ht="15" hidden="false" customHeight="true" outlineLevel="0" collapsed="false">
      <c r="A139" s="679" t="n">
        <v>155</v>
      </c>
      <c r="B139" s="692" t="str">
        <f aca="false">IF(INDEX(MO_SNA_IsHistoricalPeriod,,MATCH(F139,MO_Common_ColumnHeader,0)),"Historical","Forward")</f>
        <v>Historical</v>
      </c>
      <c r="C139" s="55"/>
      <c r="D139" s="693" t="str">
        <f aca="true">INDEX(INDIRECT(E139),0,COLUMN(MO_Common_Column_A))</f>
        <v>Y/Y Total revenue growth, %</v>
      </c>
      <c r="E139" s="694" t="s">
        <v>759</v>
      </c>
      <c r="F139" s="692" t="s">
        <v>768</v>
      </c>
      <c r="G139" s="692"/>
      <c r="H139" s="55"/>
      <c r="I139" s="359" t="n">
        <v>0.1</v>
      </c>
      <c r="J139" s="359" t="n">
        <v>0.1</v>
      </c>
      <c r="K139" s="359" t="n">
        <f aca="false">AVERAGE(I139:J139)</f>
        <v>0.1</v>
      </c>
      <c r="L139" s="55"/>
      <c r="M139" s="692" t="str">
        <f aca="false">IF(INDEX(MO_SNA_IsHistoricalPeriod,,MATCH(F139,MO_Common_ColumnHeader,0)),"Actual","Estimate")</f>
        <v>Actual</v>
      </c>
      <c r="N139" s="359" t="n">
        <f aca="true">IFERROR(INDEX(INDIRECT(E139),0,MATCH(F139,MO_Common_ColumnHeader,0)),"N/A")</f>
        <v>0.137682016012036</v>
      </c>
      <c r="O139" s="55"/>
      <c r="P139" s="696" t="n">
        <f aca="false">IF(ISNUMBER(N139),N139-K139,"N/A")</f>
        <v>0.037682016012036</v>
      </c>
      <c r="Q139" s="696" t="n">
        <f aca="false">IFERROR(IF(ISNUMBER(N139),(N139-K139)/ABS(K139),"N/A"),"N/A")</f>
        <v>0.37682016012036</v>
      </c>
      <c r="R139" s="55"/>
      <c r="S139" s="697" t="n">
        <v>44762</v>
      </c>
      <c r="T139" s="698" t="s">
        <v>745</v>
      </c>
      <c r="U139" s="55"/>
    </row>
    <row r="140" s="691" customFormat="true" ht="15" hidden="false" customHeight="true" outlineLevel="0" collapsed="false">
      <c r="A140" s="679" t="n">
        <v>154</v>
      </c>
      <c r="B140" s="692" t="str">
        <f aca="false">IF(INDEX(MO_SNA_IsHistoricalPeriod,,MATCH(F140,MO_Common_ColumnHeader,0)),"Historical","Forward")</f>
        <v>Historical</v>
      </c>
      <c r="C140" s="55"/>
      <c r="D140" s="693" t="str">
        <f aca="true">INDEX(INDIRECT(E140),0,COLUMN(MO_Common_Column_A))</f>
        <v>Gross Margin, %</v>
      </c>
      <c r="E140" s="694" t="s">
        <v>746</v>
      </c>
      <c r="F140" s="692" t="s">
        <v>768</v>
      </c>
      <c r="G140" s="692"/>
      <c r="H140" s="55"/>
      <c r="I140" s="359" t="n">
        <v>0.49</v>
      </c>
      <c r="J140" s="359" t="n">
        <v>0.5</v>
      </c>
      <c r="K140" s="359" t="n">
        <f aca="false">AVERAGE(I140:J140)</f>
        <v>0.495</v>
      </c>
      <c r="L140" s="55"/>
      <c r="M140" s="692" t="str">
        <f aca="false">IF(INDEX(MO_SNA_IsHistoricalPeriod,,MATCH(F140,MO_Common_ColumnHeader,0)),"Actual","Estimate")</f>
        <v>Actual</v>
      </c>
      <c r="N140" s="359" t="n">
        <f aca="true">IFERROR(INDEX(INDIRECT(E140),0,MATCH(F140,MO_Common_ColumnHeader,0)),"N/A")</f>
        <v>0.505355776587605</v>
      </c>
      <c r="O140" s="55"/>
      <c r="P140" s="696" t="n">
        <f aca="false">IF(ISNUMBER(N140),N140-K140,"N/A")</f>
        <v>0.0103557765876053</v>
      </c>
      <c r="Q140" s="696" t="n">
        <f aca="false">IFERROR(IF(ISNUMBER(N140),(N140-K140)/ABS(K140),"N/A"),"N/A")</f>
        <v>0.0209207607830411</v>
      </c>
      <c r="R140" s="55"/>
      <c r="S140" s="697" t="n">
        <v>44762</v>
      </c>
      <c r="T140" s="698" t="s">
        <v>745</v>
      </c>
      <c r="U140" s="55"/>
    </row>
    <row r="141" customFormat="false" ht="15" hidden="false" customHeight="true" outlineLevel="0" collapsed="false">
      <c r="A141" s="679" t="n">
        <v>153</v>
      </c>
      <c r="B141" s="692" t="str">
        <f aca="false">IF(INDEX(MO_SNA_IsHistoricalPeriod,,MATCH(F141,MO_Common_ColumnHeader,0)),"Historical","Forward")</f>
        <v>Historical</v>
      </c>
      <c r="C141" s="55"/>
      <c r="D141" s="693" t="s">
        <v>747</v>
      </c>
      <c r="E141" s="694"/>
      <c r="F141" s="692" t="s">
        <v>768</v>
      </c>
      <c r="G141" s="692"/>
      <c r="H141" s="55"/>
      <c r="I141" s="359" t="n">
        <v>0.15</v>
      </c>
      <c r="J141" s="359" t="n">
        <v>0.16</v>
      </c>
      <c r="K141" s="359" t="n">
        <f aca="false">AVERAGE(I141:J141)</f>
        <v>0.155</v>
      </c>
      <c r="L141" s="55"/>
      <c r="M141" s="692" t="str">
        <f aca="false">IF(INDEX(MO_SNA_IsHistoricalPeriod,,MATCH(F141,MO_Common_ColumnHeader,0)),"Actual","Estimate")</f>
        <v>Actual</v>
      </c>
      <c r="N141" s="359" t="n">
        <f aca="false">INDEX(MO_RIS_TaxRate_Current,0,MATCH(F141,MO_Common_ColumnHeader,0))+INDEX(MO_RIS_TaxRate_Deferred,0,MATCH(F141,MO_Common_ColumnHeader,0))</f>
        <v>0.147086031452359</v>
      </c>
      <c r="O141" s="55"/>
      <c r="P141" s="696" t="n">
        <f aca="false">IF(ISNUMBER(N141),N141-K141,"N/A")</f>
        <v>-0.00791396854764109</v>
      </c>
      <c r="Q141" s="696" t="n">
        <f aca="false">IFERROR(IF(ISNUMBER(N141),(N141-K141)/ABS(K141),"N/A"),"N/A")</f>
        <v>-0.0510578615976845</v>
      </c>
      <c r="R141" s="55"/>
      <c r="S141" s="697" t="n">
        <v>44762</v>
      </c>
      <c r="T141" s="698" t="s">
        <v>745</v>
      </c>
      <c r="U141" s="55"/>
    </row>
    <row r="142" customFormat="false" ht="15" hidden="false" customHeight="true" outlineLevel="0" collapsed="false">
      <c r="A142" s="679" t="n">
        <v>152</v>
      </c>
      <c r="B142" s="55"/>
      <c r="C142" s="55"/>
      <c r="D142" s="682"/>
      <c r="E142" s="56"/>
      <c r="F142" s="55"/>
      <c r="G142" s="55"/>
      <c r="H142" s="55"/>
      <c r="I142" s="48"/>
      <c r="J142" s="48"/>
      <c r="K142" s="48"/>
      <c r="L142" s="55"/>
      <c r="M142" s="55"/>
      <c r="N142" s="48"/>
      <c r="O142" s="55"/>
      <c r="P142" s="699"/>
      <c r="Q142" s="700"/>
      <c r="R142" s="55"/>
      <c r="S142" s="701"/>
      <c r="T142" s="702"/>
      <c r="U142" s="55"/>
    </row>
    <row r="143" s="691" customFormat="true" ht="15" hidden="false" customHeight="true" outlineLevel="0" collapsed="false">
      <c r="A143" s="679" t="n">
        <v>151</v>
      </c>
      <c r="B143" s="692" t="str">
        <f aca="false">IF(INDEX(MO_SNA_IsHistoricalPeriod,,MATCH(F143,MO_Common_ColumnHeader,0)),"Historical","Forward")</f>
        <v>Historical</v>
      </c>
      <c r="C143" s="55"/>
      <c r="D143" s="693" t="str">
        <f aca="true">INDEX(INDIRECT(E143),0,COLUMN(MO_Common_Column_A))</f>
        <v>Net Revenue</v>
      </c>
      <c r="E143" s="694" t="s">
        <v>671</v>
      </c>
      <c r="F143" s="692" t="s">
        <v>770</v>
      </c>
      <c r="G143" s="692"/>
      <c r="H143" s="55"/>
      <c r="I143" s="159" t="n">
        <v>5100</v>
      </c>
      <c r="J143" s="159" t="n">
        <v>5400</v>
      </c>
      <c r="K143" s="159" t="n">
        <f aca="false">AVERAGE(I143:J143)</f>
        <v>5250</v>
      </c>
      <c r="L143" s="55"/>
      <c r="M143" s="692" t="str">
        <f aca="false">IF(INDEX(MO_SNA_IsHistoricalPeriod,,MATCH(F143,MO_Common_ColumnHeader,0)),"Actual","Estimate")</f>
        <v>Actual</v>
      </c>
      <c r="N143" s="159" t="n">
        <f aca="true">IFERROR(INDEX(INDIRECT(E143),0,MATCH(F143,MO_Common_ColumnHeader,0)),"N/A")</f>
        <v>5778.3</v>
      </c>
      <c r="O143" s="55"/>
      <c r="P143" s="695" t="n">
        <f aca="false">IF(ISNUMBER(N143),N143-K143,"N/A")</f>
        <v>528.299999999999</v>
      </c>
      <c r="Q143" s="696" t="n">
        <f aca="false">IFERROR(IF(ISNUMBER(N143),(N143-K143)/ABS(K143),"N/A"),"N/A")</f>
        <v>0.100628571428571</v>
      </c>
      <c r="R143" s="55"/>
      <c r="S143" s="697" t="n">
        <v>44762</v>
      </c>
      <c r="T143" s="698" t="s">
        <v>745</v>
      </c>
      <c r="U143" s="55"/>
    </row>
    <row r="144" s="691" customFormat="true" ht="15" hidden="false" customHeight="true" outlineLevel="0" collapsed="false">
      <c r="A144" s="679" t="n">
        <v>150</v>
      </c>
      <c r="B144" s="692" t="str">
        <f aca="false">IF(INDEX(MO_SNA_IsHistoricalPeriod,,MATCH(F144,MO_Common_ColumnHeader,0)),"Historical","Forward")</f>
        <v>Historical</v>
      </c>
      <c r="C144" s="55"/>
      <c r="D144" s="693" t="s">
        <v>749</v>
      </c>
      <c r="E144" s="694" t="s">
        <v>750</v>
      </c>
      <c r="F144" s="692" t="s">
        <v>770</v>
      </c>
      <c r="G144" s="692"/>
      <c r="H144" s="55"/>
      <c r="I144" s="159" t="n">
        <v>1400</v>
      </c>
      <c r="J144" s="159" t="n">
        <v>1400</v>
      </c>
      <c r="K144" s="159" t="n">
        <f aca="false">AVERAGE(I144:J144)</f>
        <v>1400</v>
      </c>
      <c r="L144" s="55"/>
      <c r="M144" s="692" t="str">
        <f aca="false">IF(INDEX(MO_SNA_IsHistoricalPeriod,,MATCH(F144,MO_Common_ColumnHeader,0)),"Actual","Estimate")</f>
        <v>Actual</v>
      </c>
      <c r="N144" s="159" t="n">
        <f aca="true">IFERROR(INDEX(INDIRECT(E144),0,MATCH(F144,MO_Common_ColumnHeader,0)),"N/A")</f>
        <v>1523.6</v>
      </c>
      <c r="O144" s="55"/>
      <c r="P144" s="695" t="n">
        <f aca="false">IF(ISNUMBER(N144),N144-K144,"N/A")</f>
        <v>123.6</v>
      </c>
      <c r="Q144" s="696" t="n">
        <f aca="false">IFERROR(IF(ISNUMBER(N144),(N144-K144)/ABS(K144),"N/A"),"N/A")</f>
        <v>0.0882857142857142</v>
      </c>
      <c r="R144" s="55"/>
      <c r="S144" s="697" t="n">
        <v>44762</v>
      </c>
      <c r="T144" s="698" t="s">
        <v>745</v>
      </c>
      <c r="U144" s="55"/>
    </row>
    <row r="145" s="691" customFormat="true" ht="15" hidden="false" customHeight="true" outlineLevel="0" collapsed="false">
      <c r="A145" s="679" t="n">
        <v>149</v>
      </c>
      <c r="B145" s="692" t="str">
        <f aca="false">IF(INDEX(MO_SNA_IsHistoricalPeriod,,MATCH(F145,MO_Common_ColumnHeader,0)),"Historical","Forward")</f>
        <v>Historical</v>
      </c>
      <c r="C145" s="55"/>
      <c r="D145" s="693" t="str">
        <f aca="true">INDEX(INDIRECT(E145),0,COLUMN(MO_Common_Column_A))</f>
        <v>Gross Margin, %</v>
      </c>
      <c r="E145" s="694" t="s">
        <v>746</v>
      </c>
      <c r="F145" s="692" t="s">
        <v>770</v>
      </c>
      <c r="G145" s="692"/>
      <c r="H145" s="55"/>
      <c r="I145" s="359" t="n">
        <v>0.49</v>
      </c>
      <c r="J145" s="359" t="n">
        <v>0.5</v>
      </c>
      <c r="K145" s="359" t="n">
        <f aca="false">AVERAGE(I145:J145)</f>
        <v>0.495</v>
      </c>
      <c r="L145" s="55"/>
      <c r="M145" s="692" t="str">
        <f aca="false">IF(INDEX(MO_SNA_IsHistoricalPeriod,,MATCH(F145,MO_Common_ColumnHeader,0)),"Actual","Estimate")</f>
        <v>Actual</v>
      </c>
      <c r="N145" s="359" t="n">
        <f aca="true">IFERROR(INDEX(INDIRECT(E145),0,MATCH(F145,MO_Common_ColumnHeader,0)),"N/A")</f>
        <v>0.518093556928508</v>
      </c>
      <c r="O145" s="55"/>
      <c r="P145" s="696" t="n">
        <f aca="false">IF(ISNUMBER(N145),N145-K145,"N/A")</f>
        <v>0.0230935569285083</v>
      </c>
      <c r="Q145" s="696" t="n">
        <f aca="false">IFERROR(IF(ISNUMBER(N145),(N145-K145)/ABS(K145),"N/A"),"N/A")</f>
        <v>0.0466536503606229</v>
      </c>
      <c r="R145" s="55"/>
      <c r="S145" s="697" t="n">
        <v>44762</v>
      </c>
      <c r="T145" s="698" t="s">
        <v>745</v>
      </c>
      <c r="U145" s="55"/>
    </row>
    <row r="146" s="691" customFormat="true" ht="15" hidden="false" customHeight="true" outlineLevel="0" collapsed="false">
      <c r="A146" s="679" t="n">
        <v>148</v>
      </c>
      <c r="B146" s="692" t="str">
        <f aca="false">IF(INDEX(MO_SNA_IsHistoricalPeriod,,MATCH(F146,MO_Common_ColumnHeader,0)),"Historical","Forward")</f>
        <v>Historical</v>
      </c>
      <c r="C146" s="55"/>
      <c r="D146" s="693" t="s">
        <v>751</v>
      </c>
      <c r="E146" s="694" t="s">
        <v>752</v>
      </c>
      <c r="F146" s="692" t="s">
        <v>770</v>
      </c>
      <c r="G146" s="692"/>
      <c r="H146" s="55"/>
      <c r="I146" s="159" t="n">
        <v>810</v>
      </c>
      <c r="J146" s="159" t="n">
        <v>810</v>
      </c>
      <c r="K146" s="159" t="n">
        <f aca="false">AVERAGE(I146:J146)</f>
        <v>810</v>
      </c>
      <c r="L146" s="55"/>
      <c r="M146" s="692" t="str">
        <f aca="false">IF(INDEX(MO_SNA_IsHistoricalPeriod,,MATCH(F146,MO_Common_ColumnHeader,0)),"Actual","Estimate")</f>
        <v>Actual</v>
      </c>
      <c r="N146" s="159" t="n">
        <f aca="true">IFERROR(INDEX(INDIRECT(E146),0,MATCH(F146,MO_Common_ColumnHeader,0)),"N/A")</f>
        <v>819.4</v>
      </c>
      <c r="O146" s="55"/>
      <c r="P146" s="695" t="n">
        <f aca="false">IF(ISNUMBER(N146),N146-K146,"N/A")</f>
        <v>9.39999999999998</v>
      </c>
      <c r="Q146" s="696" t="n">
        <f aca="false">IFERROR(IF(ISNUMBER(N146),(N146-K146)/ABS(K146),"N/A"),"N/A")</f>
        <v>0.0116049382716049</v>
      </c>
      <c r="R146" s="55"/>
      <c r="S146" s="697" t="n">
        <v>44762</v>
      </c>
      <c r="T146" s="698" t="s">
        <v>745</v>
      </c>
      <c r="U146" s="55"/>
    </row>
    <row r="147" s="691" customFormat="true" ht="15" hidden="false" customHeight="true" outlineLevel="0" collapsed="false">
      <c r="A147" s="679" t="n">
        <v>147</v>
      </c>
      <c r="B147" s="692" t="str">
        <f aca="false">IF(INDEX(MO_SNA_IsHistoricalPeriod,,MATCH(F147,MO_Common_ColumnHeader,0)),"Historical","Forward")</f>
        <v>Historical</v>
      </c>
      <c r="C147" s="55"/>
      <c r="D147" s="693" t="str">
        <f aca="true">INDEX(INDIRECT(E147),0,COLUMN(MO_Common_Column_A))</f>
        <v>SG&amp;A</v>
      </c>
      <c r="E147" s="694" t="s">
        <v>753</v>
      </c>
      <c r="F147" s="692" t="s">
        <v>770</v>
      </c>
      <c r="G147" s="692"/>
      <c r="H147" s="55"/>
      <c r="I147" s="159" t="n">
        <v>235</v>
      </c>
      <c r="J147" s="159" t="n">
        <v>235</v>
      </c>
      <c r="K147" s="159" t="n">
        <f aca="false">AVERAGE(I147:J147)</f>
        <v>235</v>
      </c>
      <c r="L147" s="55"/>
      <c r="M147" s="692" t="str">
        <f aca="false">IF(INDEX(MO_SNA_IsHistoricalPeriod,,MATCH(F147,MO_Common_ColumnHeader,0)),"Actual","Estimate")</f>
        <v>Actual</v>
      </c>
      <c r="N147" s="159" t="n">
        <f aca="true">IFERROR(INDEX(INDIRECT(E147),0,MATCH(F147,MO_Common_ColumnHeader,0)),"N/A")</f>
        <v>235.8</v>
      </c>
      <c r="O147" s="55"/>
      <c r="P147" s="695" t="n">
        <f aca="false">IF(ISNUMBER(N147),N147-K147,"N/A")</f>
        <v>0.800000000000011</v>
      </c>
      <c r="Q147" s="696" t="n">
        <f aca="false">IFERROR(IF(ISNUMBER(N147),(N147-K147)/ABS(K147),"N/A"),"N/A")</f>
        <v>0.00340425531914898</v>
      </c>
      <c r="R147" s="55"/>
      <c r="S147" s="697" t="n">
        <v>44762</v>
      </c>
      <c r="T147" s="698" t="s">
        <v>745</v>
      </c>
      <c r="U147" s="55"/>
    </row>
    <row r="148" customFormat="false" ht="15" hidden="false" customHeight="true" outlineLevel="0" collapsed="false">
      <c r="A148" s="679" t="n">
        <v>146</v>
      </c>
      <c r="B148" s="55"/>
      <c r="C148" s="55"/>
      <c r="D148" s="682"/>
      <c r="E148" s="56"/>
      <c r="F148" s="55"/>
      <c r="G148" s="55"/>
      <c r="H148" s="55"/>
      <c r="I148" s="48"/>
      <c r="J148" s="48"/>
      <c r="K148" s="48"/>
      <c r="L148" s="55"/>
      <c r="M148" s="55"/>
      <c r="N148" s="48"/>
      <c r="O148" s="55"/>
      <c r="P148" s="699"/>
      <c r="Q148" s="700"/>
      <c r="R148" s="55"/>
      <c r="S148" s="701"/>
      <c r="T148" s="702"/>
      <c r="U148" s="55"/>
    </row>
    <row r="149" s="691" customFormat="true" ht="15" hidden="false" customHeight="true" outlineLevel="0" collapsed="false">
      <c r="A149" s="679" t="n">
        <v>145</v>
      </c>
      <c r="B149" s="692" t="str">
        <f aca="false">IF(INDEX(MO_SNA_IsHistoricalPeriod,,MATCH(F149,MO_Common_ColumnHeader,0)),"Historical","Forward")</f>
        <v>Historical</v>
      </c>
      <c r="C149" s="55"/>
      <c r="D149" s="693" t="str">
        <f aca="true">INDEX(INDIRECT(E149),0,COLUMN(MO_Common_Column_A))</f>
        <v>Y/Y Total revenue growth, %</v>
      </c>
      <c r="E149" s="694" t="s">
        <v>759</v>
      </c>
      <c r="F149" s="692" t="s">
        <v>768</v>
      </c>
      <c r="G149" s="692"/>
      <c r="H149" s="55"/>
      <c r="I149" s="359" t="n">
        <v>0.2</v>
      </c>
      <c r="J149" s="359" t="n">
        <v>0.2</v>
      </c>
      <c r="K149" s="359" t="n">
        <f aca="false">AVERAGE(I149:J149)</f>
        <v>0.2</v>
      </c>
      <c r="L149" s="55"/>
      <c r="M149" s="692" t="str">
        <f aca="false">IF(INDEX(MO_SNA_IsHistoricalPeriod,,MATCH(F149,MO_Common_ColumnHeader,0)),"Actual","Estimate")</f>
        <v>Actual</v>
      </c>
      <c r="N149" s="359" t="n">
        <f aca="true">IFERROR(INDEX(INDIRECT(E149),0,MATCH(F149,MO_Common_ColumnHeader,0)),"N/A")</f>
        <v>0.137682016012036</v>
      </c>
      <c r="O149" s="55"/>
      <c r="P149" s="696" t="n">
        <f aca="false">IF(ISNUMBER(N149),N149-K149,"N/A")</f>
        <v>-0.062317983987964</v>
      </c>
      <c r="Q149" s="696" t="n">
        <f aca="false">IFERROR(IF(ISNUMBER(N149),(N149-K149)/ABS(K149),"N/A"),"N/A")</f>
        <v>-0.31158991993982</v>
      </c>
      <c r="R149" s="55"/>
      <c r="S149" s="697" t="n">
        <v>44671</v>
      </c>
      <c r="T149" s="698" t="s">
        <v>745</v>
      </c>
      <c r="U149" s="55"/>
    </row>
    <row r="150" customFormat="false" ht="15" hidden="false" customHeight="true" outlineLevel="0" collapsed="false">
      <c r="A150" s="679" t="n">
        <v>144</v>
      </c>
      <c r="B150" s="692" t="str">
        <f aca="false">IF(INDEX(MO_SNA_IsHistoricalPeriod,,MATCH(F150,MO_Common_ColumnHeader,0)),"Historical","Forward")</f>
        <v>Historical</v>
      </c>
      <c r="C150" s="55"/>
      <c r="D150" s="693" t="s">
        <v>747</v>
      </c>
      <c r="E150" s="694"/>
      <c r="F150" s="692" t="s">
        <v>768</v>
      </c>
      <c r="G150" s="692"/>
      <c r="H150" s="55"/>
      <c r="I150" s="359" t="n">
        <v>0.15</v>
      </c>
      <c r="J150" s="359" t="n">
        <v>0.16</v>
      </c>
      <c r="K150" s="359" t="n">
        <f aca="false">AVERAGE(I150:J150)</f>
        <v>0.155</v>
      </c>
      <c r="L150" s="55"/>
      <c r="M150" s="692" t="str">
        <f aca="false">IF(INDEX(MO_SNA_IsHistoricalPeriod,,MATCH(F150,MO_Common_ColumnHeader,0)),"Actual","Estimate")</f>
        <v>Actual</v>
      </c>
      <c r="N150" s="359" t="n">
        <f aca="false">INDEX(MO_RIS_TaxRate_Current,0,MATCH(F150,MO_Common_ColumnHeader,0))+INDEX(MO_RIS_TaxRate_Deferred,0,MATCH(F150,MO_Common_ColumnHeader,0))</f>
        <v>0.147086031452359</v>
      </c>
      <c r="O150" s="55"/>
      <c r="P150" s="696" t="n">
        <f aca="false">IF(ISNUMBER(N150),N150-K150,"N/A")</f>
        <v>-0.00791396854764109</v>
      </c>
      <c r="Q150" s="696" t="n">
        <f aca="false">IFERROR(IF(ISNUMBER(N150),(N150-K150)/ABS(K150),"N/A"),"N/A")</f>
        <v>-0.0510578615976845</v>
      </c>
      <c r="R150" s="55"/>
      <c r="S150" s="697" t="n">
        <v>44671</v>
      </c>
      <c r="T150" s="698" t="s">
        <v>745</v>
      </c>
      <c r="U150" s="55"/>
    </row>
    <row r="151" customFormat="false" ht="15" hidden="false" customHeight="true" outlineLevel="0" collapsed="false">
      <c r="A151" s="679" t="n">
        <v>143</v>
      </c>
      <c r="B151" s="55"/>
      <c r="C151" s="55"/>
      <c r="D151" s="682"/>
      <c r="E151" s="56"/>
      <c r="F151" s="55"/>
      <c r="G151" s="55"/>
      <c r="H151" s="55"/>
      <c r="I151" s="48"/>
      <c r="J151" s="48"/>
      <c r="K151" s="48"/>
      <c r="L151" s="55"/>
      <c r="M151" s="55"/>
      <c r="N151" s="48"/>
      <c r="O151" s="55"/>
      <c r="P151" s="699"/>
      <c r="Q151" s="700"/>
      <c r="R151" s="55"/>
      <c r="S151" s="701"/>
      <c r="T151" s="702"/>
      <c r="U151" s="55"/>
    </row>
    <row r="152" s="691" customFormat="true" ht="15" hidden="false" customHeight="true" outlineLevel="0" collapsed="false">
      <c r="A152" s="679" t="n">
        <v>142</v>
      </c>
      <c r="B152" s="692" t="str">
        <f aca="false">IF(INDEX(MO_SNA_IsHistoricalPeriod,,MATCH(F152,MO_Common_ColumnHeader,0)),"Historical","Forward")</f>
        <v>Historical</v>
      </c>
      <c r="C152" s="55"/>
      <c r="D152" s="693" t="str">
        <f aca="true">INDEX(INDIRECT(E152),0,COLUMN(MO_Common_Column_A))</f>
        <v>Net Revenue</v>
      </c>
      <c r="E152" s="694" t="s">
        <v>671</v>
      </c>
      <c r="F152" s="692" t="s">
        <v>771</v>
      </c>
      <c r="G152" s="692"/>
      <c r="H152" s="55"/>
      <c r="I152" s="159" t="n">
        <v>5100</v>
      </c>
      <c r="J152" s="159" t="n">
        <v>5300</v>
      </c>
      <c r="K152" s="159" t="n">
        <f aca="false">AVERAGE(I152:J152)</f>
        <v>5200</v>
      </c>
      <c r="L152" s="55"/>
      <c r="M152" s="692" t="str">
        <f aca="false">IF(INDEX(MO_SNA_IsHistoricalPeriod,,MATCH(F152,MO_Common_ColumnHeader,0)),"Actual","Estimate")</f>
        <v>Actual</v>
      </c>
      <c r="N152" s="159" t="n">
        <f aca="true">IFERROR(INDEX(INDIRECT(E152),0,MATCH(F152,MO_Common_ColumnHeader,0)),"N/A")</f>
        <v>5430.5</v>
      </c>
      <c r="O152" s="55"/>
      <c r="P152" s="695" t="n">
        <f aca="false">IF(ISNUMBER(N152),N152-K152,"N/A")</f>
        <v>230.5</v>
      </c>
      <c r="Q152" s="696" t="n">
        <f aca="false">IFERROR(IF(ISNUMBER(N152),(N152-K152)/ABS(K152),"N/A"),"N/A")</f>
        <v>0.0443269230769231</v>
      </c>
      <c r="R152" s="55"/>
      <c r="S152" s="697" t="n">
        <v>44671</v>
      </c>
      <c r="T152" s="698" t="s">
        <v>745</v>
      </c>
      <c r="U152" s="55"/>
    </row>
    <row r="153" s="691" customFormat="true" ht="15" hidden="false" customHeight="true" outlineLevel="0" collapsed="false">
      <c r="A153" s="679" t="n">
        <v>141</v>
      </c>
      <c r="B153" s="692" t="str">
        <f aca="false">IF(INDEX(MO_SNA_IsHistoricalPeriod,,MATCH(F153,MO_Common_ColumnHeader,0)),"Historical","Forward")</f>
        <v>Historical</v>
      </c>
      <c r="C153" s="55"/>
      <c r="D153" s="693" t="s">
        <v>749</v>
      </c>
      <c r="E153" s="694" t="s">
        <v>750</v>
      </c>
      <c r="F153" s="692" t="s">
        <v>771</v>
      </c>
      <c r="G153" s="692"/>
      <c r="H153" s="55"/>
      <c r="I153" s="159" t="n">
        <v>1200</v>
      </c>
      <c r="J153" s="159" t="n">
        <v>1200</v>
      </c>
      <c r="K153" s="159" t="n">
        <f aca="false">AVERAGE(I153:J153)</f>
        <v>1200</v>
      </c>
      <c r="L153" s="55"/>
      <c r="M153" s="692" t="str">
        <f aca="false">IF(INDEX(MO_SNA_IsHistoricalPeriod,,MATCH(F153,MO_Common_ColumnHeader,0)),"Actual","Estimate")</f>
        <v>Actual</v>
      </c>
      <c r="N153" s="159" t="n">
        <f aca="true">IFERROR(INDEX(INDIRECT(E153),0,MATCH(F153,MO_Common_ColumnHeader,0)),"N/A")</f>
        <v>1290</v>
      </c>
      <c r="O153" s="55"/>
      <c r="P153" s="695" t="n">
        <f aca="false">IF(ISNUMBER(N153),N153-K153,"N/A")</f>
        <v>90</v>
      </c>
      <c r="Q153" s="696" t="n">
        <f aca="false">IFERROR(IF(ISNUMBER(N153),(N153-K153)/ABS(K153),"N/A"),"N/A")</f>
        <v>0.075</v>
      </c>
      <c r="R153" s="55"/>
      <c r="S153" s="697" t="n">
        <v>44671</v>
      </c>
      <c r="T153" s="698" t="s">
        <v>745</v>
      </c>
      <c r="U153" s="55"/>
    </row>
    <row r="154" s="691" customFormat="true" ht="15" hidden="false" customHeight="true" outlineLevel="0" collapsed="false">
      <c r="A154" s="679" t="n">
        <v>140</v>
      </c>
      <c r="B154" s="692" t="str">
        <f aca="false">IF(INDEX(MO_SNA_IsHistoricalPeriod,,MATCH(F154,MO_Common_ColumnHeader,0)),"Historical","Forward")</f>
        <v>Historical</v>
      </c>
      <c r="C154" s="55"/>
      <c r="D154" s="693" t="str">
        <f aca="true">INDEX(INDIRECT(E154),0,COLUMN(MO_Common_Column_A))</f>
        <v>Gross Margin, %</v>
      </c>
      <c r="E154" s="694" t="s">
        <v>746</v>
      </c>
      <c r="F154" s="692" t="s">
        <v>771</v>
      </c>
      <c r="G154" s="692"/>
      <c r="H154" s="55"/>
      <c r="I154" s="359" t="n">
        <v>0.49</v>
      </c>
      <c r="J154" s="359" t="n">
        <v>0.5</v>
      </c>
      <c r="K154" s="359" t="n">
        <f aca="false">AVERAGE(I154:J154)</f>
        <v>0.495</v>
      </c>
      <c r="L154" s="55"/>
      <c r="M154" s="692" t="str">
        <f aca="false">IF(INDEX(MO_SNA_IsHistoricalPeriod,,MATCH(F154,MO_Common_ColumnHeader,0)),"Actual","Estimate")</f>
        <v>Actual</v>
      </c>
      <c r="N154" s="359" t="n">
        <f aca="true">IFERROR(INDEX(INDIRECT(E154),0,MATCH(F154,MO_Common_ColumnHeader,0)),"N/A")</f>
        <v>0.490654635853052</v>
      </c>
      <c r="O154" s="55"/>
      <c r="P154" s="696" t="n">
        <f aca="false">IF(ISNUMBER(N154),N154-K154,"N/A")</f>
        <v>-0.00434536414694775</v>
      </c>
      <c r="Q154" s="696" t="n">
        <f aca="false">IFERROR(IF(ISNUMBER(N154),(N154-K154)/ABS(K154),"N/A"),"N/A")</f>
        <v>-0.00877851342817727</v>
      </c>
      <c r="R154" s="55"/>
      <c r="S154" s="697" t="n">
        <v>44671</v>
      </c>
      <c r="T154" s="698" t="s">
        <v>745</v>
      </c>
      <c r="U154" s="55"/>
    </row>
    <row r="155" s="691" customFormat="true" ht="15" hidden="false" customHeight="true" outlineLevel="0" collapsed="false">
      <c r="A155" s="679" t="n">
        <v>139</v>
      </c>
      <c r="B155" s="692" t="str">
        <f aca="false">IF(INDEX(MO_SNA_IsHistoricalPeriod,,MATCH(F155,MO_Common_ColumnHeader,0)),"Historical","Forward")</f>
        <v>Historical</v>
      </c>
      <c r="C155" s="55"/>
      <c r="D155" s="693" t="s">
        <v>751</v>
      </c>
      <c r="E155" s="694" t="s">
        <v>752</v>
      </c>
      <c r="F155" s="692" t="s">
        <v>771</v>
      </c>
      <c r="G155" s="692"/>
      <c r="H155" s="55"/>
      <c r="I155" s="159" t="n">
        <v>790</v>
      </c>
      <c r="J155" s="159" t="n">
        <v>790</v>
      </c>
      <c r="K155" s="159" t="n">
        <f aca="false">AVERAGE(I155:J155)</f>
        <v>790</v>
      </c>
      <c r="L155" s="55"/>
      <c r="M155" s="692" t="str">
        <f aca="false">IF(INDEX(MO_SNA_IsHistoricalPeriod,,MATCH(F155,MO_Common_ColumnHeader,0)),"Actual","Estimate")</f>
        <v>Actual</v>
      </c>
      <c r="N155" s="159" t="n">
        <f aca="true">IFERROR(INDEX(INDIRECT(E155),0,MATCH(F155,MO_Common_ColumnHeader,0)),"N/A")</f>
        <v>789.1</v>
      </c>
      <c r="O155" s="55"/>
      <c r="P155" s="695" t="n">
        <f aca="false">IF(ISNUMBER(N155),N155-K155,"N/A")</f>
        <v>-0.899999999999977</v>
      </c>
      <c r="Q155" s="696" t="n">
        <f aca="false">IFERROR(IF(ISNUMBER(N155),(N155-K155)/ABS(K155),"N/A"),"N/A")</f>
        <v>-0.00113924050632909</v>
      </c>
      <c r="R155" s="55"/>
      <c r="S155" s="697" t="n">
        <v>44671</v>
      </c>
      <c r="T155" s="698" t="s">
        <v>745</v>
      </c>
      <c r="U155" s="55"/>
    </row>
    <row r="156" s="691" customFormat="true" ht="15" hidden="false" customHeight="true" outlineLevel="0" collapsed="false">
      <c r="A156" s="679" t="n">
        <v>138</v>
      </c>
      <c r="B156" s="692" t="str">
        <f aca="false">IF(INDEX(MO_SNA_IsHistoricalPeriod,,MATCH(F156,MO_Common_ColumnHeader,0)),"Historical","Forward")</f>
        <v>Historical</v>
      </c>
      <c r="C156" s="55"/>
      <c r="D156" s="693" t="str">
        <f aca="true">INDEX(INDIRECT(E156),0,COLUMN(MO_Common_Column_A))</f>
        <v>SG&amp;A</v>
      </c>
      <c r="E156" s="694" t="s">
        <v>753</v>
      </c>
      <c r="F156" s="692" t="s">
        <v>771</v>
      </c>
      <c r="G156" s="692"/>
      <c r="H156" s="55"/>
      <c r="I156" s="159" t="n">
        <v>220</v>
      </c>
      <c r="J156" s="159" t="n">
        <v>220</v>
      </c>
      <c r="K156" s="159" t="n">
        <f aca="false">AVERAGE(I156:J156)</f>
        <v>220</v>
      </c>
      <c r="L156" s="55"/>
      <c r="M156" s="692" t="str">
        <f aca="false">IF(INDEX(MO_SNA_IsHistoricalPeriod,,MATCH(F156,MO_Common_ColumnHeader,0)),"Actual","Estimate")</f>
        <v>Actual</v>
      </c>
      <c r="N156" s="159" t="n">
        <f aca="true">IFERROR(INDEX(INDIRECT(E156),0,MATCH(F156,MO_Common_ColumnHeader,0)),"N/A")</f>
        <v>222</v>
      </c>
      <c r="O156" s="55"/>
      <c r="P156" s="695" t="n">
        <f aca="false">IF(ISNUMBER(N156),N156-K156,"N/A")</f>
        <v>2</v>
      </c>
      <c r="Q156" s="696" t="n">
        <f aca="false">IFERROR(IF(ISNUMBER(N156),(N156-K156)/ABS(K156),"N/A"),"N/A")</f>
        <v>0.00909090909090909</v>
      </c>
      <c r="R156" s="55"/>
      <c r="S156" s="697" t="n">
        <v>44671</v>
      </c>
      <c r="T156" s="698" t="s">
        <v>745</v>
      </c>
      <c r="U156" s="55"/>
    </row>
    <row r="157" customFormat="false" ht="15" hidden="false" customHeight="true" outlineLevel="0" collapsed="false">
      <c r="A157" s="679" t="n">
        <v>137</v>
      </c>
      <c r="B157" s="55"/>
      <c r="C157" s="55"/>
      <c r="D157" s="682"/>
      <c r="E157" s="56"/>
      <c r="F157" s="55"/>
      <c r="G157" s="55"/>
      <c r="H157" s="55"/>
      <c r="I157" s="48"/>
      <c r="J157" s="48"/>
      <c r="K157" s="48"/>
      <c r="L157" s="55"/>
      <c r="M157" s="55"/>
      <c r="N157" s="48"/>
      <c r="O157" s="55"/>
      <c r="P157" s="699"/>
      <c r="Q157" s="700"/>
      <c r="R157" s="55"/>
      <c r="S157" s="701"/>
      <c r="T157" s="702"/>
      <c r="U157" s="55"/>
    </row>
    <row r="158" s="691" customFormat="true" ht="15" hidden="false" customHeight="true" outlineLevel="0" collapsed="false">
      <c r="A158" s="679" t="n">
        <v>136</v>
      </c>
      <c r="B158" s="692" t="str">
        <f aca="false">IF(INDEX(MO_SNA_IsHistoricalPeriod,,MATCH(F158,MO_Common_ColumnHeader,0)),"Historical","Forward")</f>
        <v>Historical</v>
      </c>
      <c r="C158" s="55"/>
      <c r="D158" s="693" t="str">
        <f aca="true">INDEX(INDIRECT(E158),0,COLUMN(MO_Common_Column_A))</f>
        <v>Y/Y Total revenue growth, %</v>
      </c>
      <c r="E158" s="694" t="s">
        <v>759</v>
      </c>
      <c r="F158" s="692" t="s">
        <v>768</v>
      </c>
      <c r="G158" s="692"/>
      <c r="H158" s="55"/>
      <c r="I158" s="359" t="n">
        <v>0.2</v>
      </c>
      <c r="J158" s="359" t="n">
        <v>0.2</v>
      </c>
      <c r="K158" s="359" t="n">
        <f aca="false">AVERAGE(I158:J158)</f>
        <v>0.2</v>
      </c>
      <c r="L158" s="55"/>
      <c r="M158" s="692" t="str">
        <f aca="false">IF(INDEX(MO_SNA_IsHistoricalPeriod,,MATCH(F158,MO_Common_ColumnHeader,0)),"Actual","Estimate")</f>
        <v>Actual</v>
      </c>
      <c r="N158" s="359" t="n">
        <f aca="true">IFERROR(INDEX(INDIRECT(E158),0,MATCH(F158,MO_Common_ColumnHeader,0)),"N/A")</f>
        <v>0.137682016012036</v>
      </c>
      <c r="O158" s="55"/>
      <c r="P158" s="696" t="n">
        <f aca="false">IF(ISNUMBER(N158),N158-K158,"N/A")</f>
        <v>-0.062317983987964</v>
      </c>
      <c r="Q158" s="696" t="n">
        <f aca="false">IFERROR(IF(ISNUMBER(N158),(N158-K158)/ABS(K158),"N/A"),"N/A")</f>
        <v>-0.31158991993982</v>
      </c>
      <c r="R158" s="55"/>
      <c r="S158" s="697" t="n">
        <v>44580</v>
      </c>
      <c r="T158" s="698" t="s">
        <v>745</v>
      </c>
      <c r="U158" s="55"/>
    </row>
    <row r="159" customFormat="false" ht="15" hidden="false" customHeight="true" outlineLevel="0" collapsed="false">
      <c r="A159" s="679" t="n">
        <v>135</v>
      </c>
      <c r="B159" s="692" t="str">
        <f aca="false">IF(INDEX(MO_SNA_IsHistoricalPeriod,,MATCH(F159,MO_Common_ColumnHeader,0)),"Historical","Forward")</f>
        <v>Historical</v>
      </c>
      <c r="C159" s="55"/>
      <c r="D159" s="693" t="s">
        <v>747</v>
      </c>
      <c r="E159" s="694"/>
      <c r="F159" s="692" t="s">
        <v>768</v>
      </c>
      <c r="G159" s="692"/>
      <c r="H159" s="55"/>
      <c r="I159" s="359" t="n">
        <v>0.15</v>
      </c>
      <c r="J159" s="359" t="n">
        <v>0.16</v>
      </c>
      <c r="K159" s="359" t="n">
        <f aca="false">AVERAGE(I159:J159)</f>
        <v>0.155</v>
      </c>
      <c r="L159" s="55"/>
      <c r="M159" s="692" t="str">
        <f aca="false">IF(INDEX(MO_SNA_IsHistoricalPeriod,,MATCH(F159,MO_Common_ColumnHeader,0)),"Actual","Estimate")</f>
        <v>Actual</v>
      </c>
      <c r="N159" s="359" t="n">
        <f aca="false">INDEX(MO_RIS_TaxRate_Current,0,MATCH(F159,MO_Common_ColumnHeader,0))+INDEX(MO_RIS_TaxRate_Deferred,0,MATCH(F159,MO_Common_ColumnHeader,0))</f>
        <v>0.147086031452359</v>
      </c>
      <c r="O159" s="55"/>
      <c r="P159" s="696" t="n">
        <f aca="false">IF(ISNUMBER(N159),N159-K159,"N/A")</f>
        <v>-0.00791396854764109</v>
      </c>
      <c r="Q159" s="696" t="n">
        <f aca="false">IFERROR(IF(ISNUMBER(N159),(N159-K159)/ABS(K159),"N/A"),"N/A")</f>
        <v>-0.0510578615976845</v>
      </c>
      <c r="R159" s="55"/>
      <c r="S159" s="697" t="n">
        <v>44580</v>
      </c>
      <c r="T159" s="698" t="s">
        <v>745</v>
      </c>
      <c r="U159" s="55"/>
    </row>
    <row r="160" customFormat="false" ht="15" hidden="false" customHeight="true" outlineLevel="0" collapsed="false">
      <c r="A160" s="679" t="n">
        <v>134</v>
      </c>
      <c r="B160" s="55"/>
      <c r="C160" s="55"/>
      <c r="D160" s="682"/>
      <c r="E160" s="56"/>
      <c r="F160" s="55"/>
      <c r="G160" s="55"/>
      <c r="H160" s="55"/>
      <c r="I160" s="48"/>
      <c r="J160" s="48"/>
      <c r="K160" s="48"/>
      <c r="L160" s="55"/>
      <c r="M160" s="55"/>
      <c r="N160" s="48"/>
      <c r="O160" s="55"/>
      <c r="P160" s="699"/>
      <c r="Q160" s="700"/>
      <c r="R160" s="55"/>
      <c r="S160" s="701"/>
      <c r="T160" s="702"/>
      <c r="U160" s="55"/>
    </row>
    <row r="161" s="691" customFormat="true" ht="15" hidden="false" customHeight="true" outlineLevel="0" collapsed="false">
      <c r="A161" s="679" t="n">
        <v>133</v>
      </c>
      <c r="B161" s="692" t="str">
        <f aca="false">IF(INDEX(MO_SNA_IsHistoricalPeriod,,MATCH(F161,MO_Common_ColumnHeader,0)),"Historical","Forward")</f>
        <v>Historical</v>
      </c>
      <c r="C161" s="55"/>
      <c r="D161" s="693" t="str">
        <f aca="true">INDEX(INDIRECT(E161),0,COLUMN(MO_Common_Column_A))</f>
        <v>Net Revenue</v>
      </c>
      <c r="E161" s="694" t="s">
        <v>671</v>
      </c>
      <c r="F161" s="692" t="s">
        <v>772</v>
      </c>
      <c r="G161" s="692"/>
      <c r="H161" s="55"/>
      <c r="I161" s="159" t="n">
        <v>3300</v>
      </c>
      <c r="J161" s="159" t="n">
        <v>3500</v>
      </c>
      <c r="K161" s="159" t="n">
        <f aca="false">AVERAGE(I161:J161)</f>
        <v>3400</v>
      </c>
      <c r="L161" s="55"/>
      <c r="M161" s="692" t="str">
        <f aca="false">IF(INDEX(MO_SNA_IsHistoricalPeriod,,MATCH(F161,MO_Common_ColumnHeader,0)),"Actual","Estimate")</f>
        <v>Actual</v>
      </c>
      <c r="N161" s="159" t="n">
        <f aca="true">IFERROR(INDEX(INDIRECT(E161),0,MATCH(F161,MO_Common_ColumnHeader,0)),"N/A")</f>
        <v>3534.4</v>
      </c>
      <c r="O161" s="55"/>
      <c r="P161" s="695" t="n">
        <f aca="false">IF(ISNUMBER(N161),N161-K161,"N/A")</f>
        <v>134.4</v>
      </c>
      <c r="Q161" s="696" t="n">
        <f aca="false">IFERROR(IF(ISNUMBER(N161),(N161-K161)/ABS(K161),"N/A"),"N/A")</f>
        <v>0.0395294117647058</v>
      </c>
      <c r="R161" s="55"/>
      <c r="S161" s="697" t="n">
        <v>44580</v>
      </c>
      <c r="T161" s="698" t="s">
        <v>745</v>
      </c>
      <c r="U161" s="55"/>
    </row>
    <row r="162" s="691" customFormat="true" ht="15" hidden="false" customHeight="true" outlineLevel="0" collapsed="false">
      <c r="A162" s="679" t="n">
        <v>132</v>
      </c>
      <c r="B162" s="692" t="str">
        <f aca="false">IF(INDEX(MO_SNA_IsHistoricalPeriod,,MATCH(F162,MO_Common_ColumnHeader,0)),"Historical","Forward")</f>
        <v>Historical</v>
      </c>
      <c r="C162" s="55"/>
      <c r="D162" s="693" t="s">
        <v>749</v>
      </c>
      <c r="E162" s="694" t="s">
        <v>750</v>
      </c>
      <c r="F162" s="692" t="s">
        <v>772</v>
      </c>
      <c r="G162" s="692"/>
      <c r="H162" s="55"/>
      <c r="I162" s="159" t="n">
        <v>1200</v>
      </c>
      <c r="J162" s="159" t="n">
        <v>1200</v>
      </c>
      <c r="K162" s="159" t="n">
        <f aca="false">AVERAGE(I162:J162)</f>
        <v>1200</v>
      </c>
      <c r="L162" s="55"/>
      <c r="M162" s="692" t="str">
        <f aca="false">IF(INDEX(MO_SNA_IsHistoricalPeriod,,MATCH(F162,MO_Common_ColumnHeader,0)),"Actual","Estimate")</f>
        <v>Actual</v>
      </c>
      <c r="N162" s="159" t="n">
        <f aca="true">IFERROR(INDEX(INDIRECT(E162),0,MATCH(F162,MO_Common_ColumnHeader,0)),"N/A")</f>
        <v>1247.2</v>
      </c>
      <c r="O162" s="55"/>
      <c r="P162" s="695" t="n">
        <f aca="false">IF(ISNUMBER(N162),N162-K162,"N/A")</f>
        <v>47.2</v>
      </c>
      <c r="Q162" s="696" t="n">
        <f aca="false">IFERROR(IF(ISNUMBER(N162),(N162-K162)/ABS(K162),"N/A"),"N/A")</f>
        <v>0.0393333333333334</v>
      </c>
      <c r="R162" s="55"/>
      <c r="S162" s="697" t="n">
        <v>44580</v>
      </c>
      <c r="T162" s="698" t="s">
        <v>745</v>
      </c>
      <c r="U162" s="55"/>
    </row>
    <row r="163" s="691" customFormat="true" ht="15" hidden="false" customHeight="true" outlineLevel="0" collapsed="false">
      <c r="A163" s="679" t="n">
        <v>131</v>
      </c>
      <c r="B163" s="692" t="str">
        <f aca="false">IF(INDEX(MO_SNA_IsHistoricalPeriod,,MATCH(F163,MO_Common_ColumnHeader,0)),"Historical","Forward")</f>
        <v>Historical</v>
      </c>
      <c r="C163" s="55"/>
      <c r="D163" s="693" t="str">
        <f aca="true">INDEX(INDIRECT(E163),0,COLUMN(MO_Common_Column_A))</f>
        <v>Gross Margin, %</v>
      </c>
      <c r="E163" s="694" t="s">
        <v>746</v>
      </c>
      <c r="F163" s="692" t="s">
        <v>772</v>
      </c>
      <c r="G163" s="692"/>
      <c r="H163" s="55"/>
      <c r="I163" s="359" t="n">
        <v>0.49</v>
      </c>
      <c r="J163" s="359" t="n">
        <v>0.49</v>
      </c>
      <c r="K163" s="359" t="n">
        <f aca="false">AVERAGE(I163:J163)</f>
        <v>0.49</v>
      </c>
      <c r="L163" s="55"/>
      <c r="M163" s="692" t="str">
        <f aca="false">IF(INDEX(MO_SNA_IsHistoricalPeriod,,MATCH(F163,MO_Common_ColumnHeader,0)),"Actual","Estimate")</f>
        <v>Actual</v>
      </c>
      <c r="N163" s="359" t="n">
        <f aca="true">IFERROR(INDEX(INDIRECT(E163),0,MATCH(F163,MO_Common_ColumnHeader,0)),"N/A")</f>
        <v>0.489757808963332</v>
      </c>
      <c r="O163" s="55"/>
      <c r="P163" s="696" t="n">
        <f aca="false">IF(ISNUMBER(N163),N163-K163,"N/A")</f>
        <v>-0.000242191036668227</v>
      </c>
      <c r="Q163" s="696" t="n">
        <f aca="false">IFERROR(IF(ISNUMBER(N163),(N163-K163)/ABS(K163),"N/A"),"N/A")</f>
        <v>-0.000494267421771891</v>
      </c>
      <c r="R163" s="55"/>
      <c r="S163" s="697" t="n">
        <v>44580</v>
      </c>
      <c r="T163" s="698" t="s">
        <v>745</v>
      </c>
      <c r="U163" s="55"/>
    </row>
    <row r="164" s="691" customFormat="true" ht="15" hidden="false" customHeight="true" outlineLevel="0" collapsed="false">
      <c r="A164" s="679" t="n">
        <v>130</v>
      </c>
      <c r="B164" s="692" t="str">
        <f aca="false">IF(INDEX(MO_SNA_IsHistoricalPeriod,,MATCH(F164,MO_Common_ColumnHeader,0)),"Historical","Forward")</f>
        <v>Historical</v>
      </c>
      <c r="C164" s="55"/>
      <c r="D164" s="693" t="s">
        <v>751</v>
      </c>
      <c r="E164" s="694" t="s">
        <v>752</v>
      </c>
      <c r="F164" s="692" t="s">
        <v>772</v>
      </c>
      <c r="G164" s="692"/>
      <c r="H164" s="55"/>
      <c r="I164" s="159" t="n">
        <v>760</v>
      </c>
      <c r="J164" s="159" t="n">
        <v>760</v>
      </c>
      <c r="K164" s="159" t="n">
        <f aca="false">AVERAGE(I164:J164)</f>
        <v>760</v>
      </c>
      <c r="L164" s="55"/>
      <c r="M164" s="692" t="str">
        <f aca="false">IF(INDEX(MO_SNA_IsHistoricalPeriod,,MATCH(F164,MO_Common_ColumnHeader,0)),"Actual","Estimate")</f>
        <v>Actual</v>
      </c>
      <c r="N164" s="159" t="n">
        <f aca="true">IFERROR(INDEX(INDIRECT(E164),0,MATCH(F164,MO_Common_ColumnHeader,0)),"N/A")</f>
        <v>738.7</v>
      </c>
      <c r="O164" s="55"/>
      <c r="P164" s="695" t="n">
        <f aca="false">IF(ISNUMBER(N164),N164-K164,"N/A")</f>
        <v>-21.3</v>
      </c>
      <c r="Q164" s="696" t="n">
        <f aca="false">IFERROR(IF(ISNUMBER(N164),(N164-K164)/ABS(K164),"N/A"),"N/A")</f>
        <v>-0.0280263157894736</v>
      </c>
      <c r="R164" s="55"/>
      <c r="S164" s="697" t="n">
        <v>44580</v>
      </c>
      <c r="T164" s="698" t="s">
        <v>745</v>
      </c>
      <c r="U164" s="55"/>
    </row>
    <row r="165" s="691" customFormat="true" ht="15" hidden="false" customHeight="true" outlineLevel="0" collapsed="false">
      <c r="A165" s="679" t="n">
        <v>129</v>
      </c>
      <c r="B165" s="692" t="str">
        <f aca="false">IF(INDEX(MO_SNA_IsHistoricalPeriod,,MATCH(F165,MO_Common_ColumnHeader,0)),"Historical","Forward")</f>
        <v>Historical</v>
      </c>
      <c r="C165" s="55"/>
      <c r="D165" s="693" t="str">
        <f aca="true">INDEX(INDIRECT(E165),0,COLUMN(MO_Common_Column_A))</f>
        <v>SG&amp;A</v>
      </c>
      <c r="E165" s="694" t="s">
        <v>753</v>
      </c>
      <c r="F165" s="692" t="s">
        <v>772</v>
      </c>
      <c r="G165" s="692"/>
      <c r="H165" s="55"/>
      <c r="I165" s="159" t="n">
        <v>210</v>
      </c>
      <c r="J165" s="159" t="n">
        <v>210</v>
      </c>
      <c r="K165" s="159" t="n">
        <f aca="false">AVERAGE(I165:J165)</f>
        <v>210</v>
      </c>
      <c r="L165" s="55"/>
      <c r="M165" s="692" t="str">
        <f aca="false">IF(INDEX(MO_SNA_IsHistoricalPeriod,,MATCH(F165,MO_Common_ColumnHeader,0)),"Actual","Estimate")</f>
        <v>Actual</v>
      </c>
      <c r="N165" s="159" t="n">
        <f aca="true">IFERROR(INDEX(INDIRECT(E165),0,MATCH(F165,MO_Common_ColumnHeader,0)),"N/A")</f>
        <v>207.7</v>
      </c>
      <c r="O165" s="55"/>
      <c r="P165" s="695" t="n">
        <f aca="false">IF(ISNUMBER(N165),N165-K165,"N/A")</f>
        <v>-2.30000000000001</v>
      </c>
      <c r="Q165" s="696" t="n">
        <f aca="false">IFERROR(IF(ISNUMBER(N165),(N165-K165)/ABS(K165),"N/A"),"N/A")</f>
        <v>-0.010952380952381</v>
      </c>
      <c r="R165" s="55"/>
      <c r="S165" s="697" t="n">
        <v>44580</v>
      </c>
      <c r="T165" s="698" t="s">
        <v>745</v>
      </c>
      <c r="U165" s="55"/>
    </row>
    <row r="166" customFormat="false" ht="15" hidden="false" customHeight="true" outlineLevel="0" collapsed="false">
      <c r="A166" s="679" t="n">
        <v>128</v>
      </c>
      <c r="B166" s="55"/>
      <c r="C166" s="55"/>
      <c r="D166" s="682"/>
      <c r="E166" s="56"/>
      <c r="F166" s="55"/>
      <c r="G166" s="55"/>
      <c r="H166" s="55"/>
      <c r="I166" s="48"/>
      <c r="J166" s="48"/>
      <c r="K166" s="48"/>
      <c r="L166" s="55"/>
      <c r="M166" s="55"/>
      <c r="N166" s="48"/>
      <c r="O166" s="55"/>
      <c r="P166" s="699"/>
      <c r="Q166" s="700"/>
      <c r="R166" s="55"/>
      <c r="S166" s="701"/>
      <c r="T166" s="702"/>
      <c r="U166" s="55"/>
    </row>
    <row r="167" s="691" customFormat="true" ht="15" hidden="false" customHeight="true" outlineLevel="0" collapsed="false">
      <c r="A167" s="679" t="n">
        <v>127</v>
      </c>
      <c r="B167" s="692" t="str">
        <f aca="false">IF(INDEX(MO_SNA_IsHistoricalPeriod,,MATCH(F167,MO_Common_ColumnHeader,0)),"Historical","Forward")</f>
        <v>Historical</v>
      </c>
      <c r="C167" s="55"/>
      <c r="D167" s="693" t="str">
        <f aca="true">INDEX(INDIRECT(E167),0,COLUMN(MO_Common_Column_A))</f>
        <v>Y/Y Total revenue growth, %</v>
      </c>
      <c r="E167" s="694" t="s">
        <v>759</v>
      </c>
      <c r="F167" s="692" t="s">
        <v>773</v>
      </c>
      <c r="G167" s="692"/>
      <c r="H167" s="55"/>
      <c r="I167" s="359" t="n">
        <v>0.35</v>
      </c>
      <c r="J167" s="359" t="n">
        <v>0.35</v>
      </c>
      <c r="K167" s="359" t="n">
        <f aca="false">AVERAGE(I167:J167)</f>
        <v>0.35</v>
      </c>
      <c r="L167" s="55"/>
      <c r="M167" s="692" t="str">
        <f aca="false">IF(INDEX(MO_SNA_IsHistoricalPeriod,,MATCH(F167,MO_Common_ColumnHeader,0)),"Actual","Estimate")</f>
        <v>Actual</v>
      </c>
      <c r="N167" s="359" t="n">
        <f aca="true">IFERROR(INDEX(INDIRECT(E167),0,MATCH(F167,MO_Common_ColumnHeader,0)),"N/A")</f>
        <v>0.331401795614694</v>
      </c>
      <c r="O167" s="55"/>
      <c r="P167" s="696" t="n">
        <f aca="false">IF(ISNUMBER(N167),N167-K167,"N/A")</f>
        <v>-0.0185982043853058</v>
      </c>
      <c r="Q167" s="696" t="n">
        <f aca="false">IFERROR(IF(ISNUMBER(N167),(N167-K167)/ABS(K167),"N/A"),"N/A")</f>
        <v>-0.0531377268151594</v>
      </c>
      <c r="R167" s="55"/>
      <c r="S167" s="697" t="n">
        <v>44488</v>
      </c>
      <c r="T167" s="698" t="s">
        <v>745</v>
      </c>
      <c r="U167" s="55"/>
    </row>
    <row r="168" customFormat="false" ht="15" hidden="false" customHeight="true" outlineLevel="0" collapsed="false">
      <c r="A168" s="679" t="n">
        <v>126</v>
      </c>
      <c r="B168" s="692" t="str">
        <f aca="false">IF(INDEX(MO_SNA_IsHistoricalPeriod,,MATCH(F168,MO_Common_ColumnHeader,0)),"Historical","Forward")</f>
        <v>Historical</v>
      </c>
      <c r="C168" s="55"/>
      <c r="D168" s="693" t="s">
        <v>747</v>
      </c>
      <c r="E168" s="694"/>
      <c r="F168" s="692" t="s">
        <v>773</v>
      </c>
      <c r="G168" s="692"/>
      <c r="H168" s="55"/>
      <c r="I168" s="359" t="n">
        <v>0.15</v>
      </c>
      <c r="J168" s="359" t="n">
        <v>0.15</v>
      </c>
      <c r="K168" s="359" t="n">
        <f aca="false">AVERAGE(I168:J168)</f>
        <v>0.15</v>
      </c>
      <c r="L168" s="55"/>
      <c r="M168" s="692" t="str">
        <f aca="false">IF(INDEX(MO_SNA_IsHistoricalPeriod,,MATCH(F168,MO_Common_ColumnHeader,0)),"Actual","Estimate")</f>
        <v>Actual</v>
      </c>
      <c r="N168" s="359" t="n">
        <f aca="false">INDEX(MO_RIS_TaxRate_Current,0,MATCH(F168,MO_Common_ColumnHeader,0))+INDEX(MO_RIS_TaxRate_Deferred,0,MATCH(F168,MO_Common_ColumnHeader,0))</f>
        <v>0.147930365263737</v>
      </c>
      <c r="O168" s="55"/>
      <c r="P168" s="696" t="n">
        <f aca="false">IF(ISNUMBER(N168),N168-K168,"N/A")</f>
        <v>-0.00206963473626279</v>
      </c>
      <c r="Q168" s="696" t="n">
        <f aca="false">IFERROR(IF(ISNUMBER(N168),(N168-K168)/ABS(K168),"N/A"),"N/A")</f>
        <v>-0.0137975649084186</v>
      </c>
      <c r="R168" s="55"/>
      <c r="S168" s="697" t="n">
        <v>44488</v>
      </c>
      <c r="T168" s="698" t="s">
        <v>745</v>
      </c>
      <c r="U168" s="55"/>
    </row>
    <row r="169" customFormat="false" ht="15" hidden="false" customHeight="true" outlineLevel="0" collapsed="false">
      <c r="A169" s="679" t="n">
        <v>125</v>
      </c>
      <c r="B169" s="55"/>
      <c r="C169" s="55"/>
      <c r="D169" s="682"/>
      <c r="E169" s="56"/>
      <c r="F169" s="55"/>
      <c r="G169" s="55"/>
      <c r="H169" s="55"/>
      <c r="I169" s="48"/>
      <c r="J169" s="48"/>
      <c r="K169" s="48"/>
      <c r="L169" s="55"/>
      <c r="M169" s="55"/>
      <c r="N169" s="48"/>
      <c r="O169" s="55"/>
      <c r="P169" s="699"/>
      <c r="Q169" s="700"/>
      <c r="R169" s="55"/>
      <c r="S169" s="701"/>
      <c r="T169" s="702"/>
      <c r="U169" s="55"/>
    </row>
    <row r="170" s="691" customFormat="true" ht="15" hidden="false" customHeight="true" outlineLevel="0" collapsed="false">
      <c r="A170" s="679" t="n">
        <v>124</v>
      </c>
      <c r="B170" s="692" t="str">
        <f aca="false">IF(INDEX(MO_SNA_IsHistoricalPeriod,,MATCH(F170,MO_Common_ColumnHeader,0)),"Historical","Forward")</f>
        <v>Historical</v>
      </c>
      <c r="C170" s="55"/>
      <c r="D170" s="693" t="str">
        <f aca="true">INDEX(INDIRECT(E170),0,COLUMN(MO_Common_Column_A))</f>
        <v>Net Revenue</v>
      </c>
      <c r="E170" s="694" t="s">
        <v>671</v>
      </c>
      <c r="F170" s="692" t="s">
        <v>774</v>
      </c>
      <c r="G170" s="692"/>
      <c r="H170" s="55"/>
      <c r="I170" s="159" t="n">
        <v>4900</v>
      </c>
      <c r="J170" s="159" t="n">
        <v>5200</v>
      </c>
      <c r="K170" s="159" t="n">
        <f aca="false">AVERAGE(I170:J170)</f>
        <v>5050</v>
      </c>
      <c r="L170" s="55"/>
      <c r="M170" s="692" t="str">
        <f aca="false">IF(INDEX(MO_SNA_IsHistoricalPeriod,,MATCH(F170,MO_Common_ColumnHeader,0)),"Actual","Estimate")</f>
        <v>Actual</v>
      </c>
      <c r="N170" s="159" t="n">
        <f aca="true">IFERROR(INDEX(INDIRECT(E170),0,MATCH(F170,MO_Common_ColumnHeader,0)),"N/A")</f>
        <v>4985.6</v>
      </c>
      <c r="O170" s="55"/>
      <c r="P170" s="695" t="n">
        <f aca="false">IF(ISNUMBER(N170),N170-K170,"N/A")</f>
        <v>-64.4000000000006</v>
      </c>
      <c r="Q170" s="696" t="n">
        <f aca="false">IFERROR(IF(ISNUMBER(N170),(N170-K170)/ABS(K170),"N/A"),"N/A")</f>
        <v>-0.0127524752475249</v>
      </c>
      <c r="R170" s="55"/>
      <c r="S170" s="697" t="n">
        <v>44488</v>
      </c>
      <c r="T170" s="698" t="s">
        <v>745</v>
      </c>
      <c r="U170" s="55"/>
    </row>
    <row r="171" s="691" customFormat="true" ht="15" hidden="false" customHeight="true" outlineLevel="0" collapsed="false">
      <c r="A171" s="679" t="n">
        <v>123</v>
      </c>
      <c r="B171" s="692" t="str">
        <f aca="false">IF(INDEX(MO_SNA_IsHistoricalPeriod,,MATCH(F171,MO_Common_ColumnHeader,0)),"Historical","Forward")</f>
        <v>Historical</v>
      </c>
      <c r="C171" s="55"/>
      <c r="D171" s="693" t="s">
        <v>749</v>
      </c>
      <c r="E171" s="694" t="s">
        <v>750</v>
      </c>
      <c r="F171" s="692" t="s">
        <v>774</v>
      </c>
      <c r="G171" s="692"/>
      <c r="H171" s="55"/>
      <c r="I171" s="159" t="n">
        <v>1100</v>
      </c>
      <c r="J171" s="159" t="n">
        <v>1100</v>
      </c>
      <c r="K171" s="159" t="n">
        <f aca="false">AVERAGE(I171:J171)</f>
        <v>1100</v>
      </c>
      <c r="L171" s="55"/>
      <c r="M171" s="692" t="str">
        <f aca="false">IF(INDEX(MO_SNA_IsHistoricalPeriod,,MATCH(F171,MO_Common_ColumnHeader,0)),"Actual","Estimate")</f>
        <v>Actual</v>
      </c>
      <c r="N171" s="159" t="n">
        <f aca="true">IFERROR(INDEX(INDIRECT(E171),0,MATCH(F171,MO_Common_ColumnHeader,0)),"N/A")</f>
        <v>1522.3</v>
      </c>
      <c r="O171" s="55"/>
      <c r="P171" s="695" t="n">
        <f aca="false">IF(ISNUMBER(N171),N171-K171,"N/A")</f>
        <v>422.3</v>
      </c>
      <c r="Q171" s="696" t="n">
        <f aca="false">IFERROR(IF(ISNUMBER(N171),(N171-K171)/ABS(K171),"N/A"),"N/A")</f>
        <v>0.383909090909091</v>
      </c>
      <c r="R171" s="55"/>
      <c r="S171" s="697" t="n">
        <v>44488</v>
      </c>
      <c r="T171" s="698" t="s">
        <v>745</v>
      </c>
      <c r="U171" s="55"/>
    </row>
    <row r="172" s="691" customFormat="true" ht="15" hidden="false" customHeight="true" outlineLevel="0" collapsed="false">
      <c r="A172" s="679" t="n">
        <v>122</v>
      </c>
      <c r="B172" s="692" t="str">
        <f aca="false">IF(INDEX(MO_SNA_IsHistoricalPeriod,,MATCH(F172,MO_Common_ColumnHeader,0)),"Historical","Forward")</f>
        <v>Historical</v>
      </c>
      <c r="C172" s="55"/>
      <c r="D172" s="693" t="str">
        <f aca="true">INDEX(INDIRECT(E172),0,COLUMN(MO_Common_Column_A))</f>
        <v>Gross Margin, %</v>
      </c>
      <c r="E172" s="694" t="s">
        <v>746</v>
      </c>
      <c r="F172" s="692" t="s">
        <v>774</v>
      </c>
      <c r="G172" s="692"/>
      <c r="H172" s="55"/>
      <c r="I172" s="359" t="n">
        <v>0.51</v>
      </c>
      <c r="J172" s="359" t="n">
        <v>0.52</v>
      </c>
      <c r="K172" s="359" t="n">
        <f aca="false">AVERAGE(I172:J172)</f>
        <v>0.515</v>
      </c>
      <c r="L172" s="55"/>
      <c r="M172" s="692" t="str">
        <f aca="false">IF(INDEX(MO_SNA_IsHistoricalPeriod,,MATCH(F172,MO_Common_ColumnHeader,0)),"Actual","Estimate")</f>
        <v>Actual</v>
      </c>
      <c r="N172" s="359" t="n">
        <f aca="true">IFERROR(INDEX(INDIRECT(E172),0,MATCH(F172,MO_Common_ColumnHeader,0)),"N/A")</f>
        <v>0.541680038510911</v>
      </c>
      <c r="O172" s="55"/>
      <c r="P172" s="696" t="n">
        <f aca="false">IF(ISNUMBER(N172),N172-K172,"N/A")</f>
        <v>0.0266800385109114</v>
      </c>
      <c r="Q172" s="696" t="n">
        <f aca="false">IFERROR(IF(ISNUMBER(N172),(N172-K172)/ABS(K172),"N/A"),"N/A")</f>
        <v>0.0518059000211872</v>
      </c>
      <c r="R172" s="55"/>
      <c r="S172" s="697" t="n">
        <v>44488</v>
      </c>
      <c r="T172" s="698" t="s">
        <v>745</v>
      </c>
      <c r="U172" s="55"/>
    </row>
    <row r="173" s="691" customFormat="true" ht="15" hidden="false" customHeight="true" outlineLevel="0" collapsed="false">
      <c r="A173" s="679" t="n">
        <v>121</v>
      </c>
      <c r="B173" s="692" t="str">
        <f aca="false">IF(INDEX(MO_SNA_IsHistoricalPeriod,,MATCH(F173,MO_Common_ColumnHeader,0)),"Historical","Forward")</f>
        <v>Historical</v>
      </c>
      <c r="C173" s="55"/>
      <c r="D173" s="693" t="s">
        <v>751</v>
      </c>
      <c r="E173" s="694" t="s">
        <v>752</v>
      </c>
      <c r="F173" s="692" t="s">
        <v>774</v>
      </c>
      <c r="G173" s="692"/>
      <c r="H173" s="55"/>
      <c r="I173" s="159" t="n">
        <v>670</v>
      </c>
      <c r="J173" s="159" t="n">
        <v>670</v>
      </c>
      <c r="K173" s="159" t="n">
        <f aca="false">AVERAGE(I173:J173)</f>
        <v>670</v>
      </c>
      <c r="L173" s="55"/>
      <c r="M173" s="692" t="str">
        <f aca="false">IF(INDEX(MO_SNA_IsHistoricalPeriod,,MATCH(F173,MO_Common_ColumnHeader,0)),"Actual","Estimate")</f>
        <v>Actual</v>
      </c>
      <c r="N173" s="159" t="n">
        <f aca="true">IFERROR(INDEX(INDIRECT(E173),0,MATCH(F173,MO_Common_ColumnHeader,0)),"N/A")</f>
        <v>680.6</v>
      </c>
      <c r="O173" s="55"/>
      <c r="P173" s="695" t="n">
        <f aca="false">IF(ISNUMBER(N173),N173-K173,"N/A")</f>
        <v>10.5999999999999</v>
      </c>
      <c r="Q173" s="696" t="n">
        <f aca="false">IFERROR(IF(ISNUMBER(N173),(N173-K173)/ABS(K173),"N/A"),"N/A")</f>
        <v>0.0158208955223879</v>
      </c>
      <c r="R173" s="55"/>
      <c r="S173" s="697" t="n">
        <v>44488</v>
      </c>
      <c r="T173" s="698" t="s">
        <v>745</v>
      </c>
      <c r="U173" s="55"/>
    </row>
    <row r="174" s="691" customFormat="true" ht="15" hidden="false" customHeight="true" outlineLevel="0" collapsed="false">
      <c r="A174" s="679" t="n">
        <v>120</v>
      </c>
      <c r="B174" s="692" t="str">
        <f aca="false">IF(INDEX(MO_SNA_IsHistoricalPeriod,,MATCH(F174,MO_Common_ColumnHeader,0)),"Historical","Forward")</f>
        <v>Historical</v>
      </c>
      <c r="C174" s="55"/>
      <c r="D174" s="693" t="str">
        <f aca="true">INDEX(INDIRECT(E174),0,COLUMN(MO_Common_Column_A))</f>
        <v>SG&amp;A</v>
      </c>
      <c r="E174" s="694" t="s">
        <v>753</v>
      </c>
      <c r="F174" s="692" t="s">
        <v>774</v>
      </c>
      <c r="G174" s="692"/>
      <c r="H174" s="55"/>
      <c r="I174" s="159" t="n">
        <v>195</v>
      </c>
      <c r="J174" s="159" t="n">
        <v>195</v>
      </c>
      <c r="K174" s="159" t="n">
        <f aca="false">AVERAGE(I174:J174)</f>
        <v>195</v>
      </c>
      <c r="L174" s="55"/>
      <c r="M174" s="692" t="str">
        <f aca="false">IF(INDEX(MO_SNA_IsHistoricalPeriod,,MATCH(F174,MO_Common_ColumnHeader,0)),"Actual","Estimate")</f>
        <v>Actual</v>
      </c>
      <c r="N174" s="159" t="n">
        <f aca="true">IFERROR(INDEX(INDIRECT(E174),0,MATCH(F174,MO_Common_ColumnHeader,0)),"N/A")</f>
        <v>202.5</v>
      </c>
      <c r="O174" s="55"/>
      <c r="P174" s="695" t="n">
        <f aca="false">IF(ISNUMBER(N174),N174-K174,"N/A")</f>
        <v>7.5</v>
      </c>
      <c r="Q174" s="696" t="n">
        <f aca="false">IFERROR(IF(ISNUMBER(N174),(N174-K174)/ABS(K174),"N/A"),"N/A")</f>
        <v>0.0384615384615385</v>
      </c>
      <c r="R174" s="55"/>
      <c r="S174" s="697" t="n">
        <v>44488</v>
      </c>
      <c r="T174" s="698" t="s">
        <v>745</v>
      </c>
      <c r="U174" s="55"/>
    </row>
    <row r="175" customFormat="false" ht="15" hidden="false" customHeight="true" outlineLevel="0" collapsed="false">
      <c r="A175" s="679" t="n">
        <v>119</v>
      </c>
      <c r="B175" s="55"/>
      <c r="C175" s="55"/>
      <c r="D175" s="682"/>
      <c r="E175" s="56"/>
      <c r="F175" s="55"/>
      <c r="G175" s="55"/>
      <c r="H175" s="55"/>
      <c r="I175" s="48"/>
      <c r="J175" s="48"/>
      <c r="K175" s="48"/>
      <c r="L175" s="55"/>
      <c r="M175" s="55"/>
      <c r="N175" s="48"/>
      <c r="O175" s="55"/>
      <c r="P175" s="699"/>
      <c r="Q175" s="700"/>
      <c r="R175" s="55"/>
      <c r="S175" s="701"/>
      <c r="T175" s="702"/>
      <c r="U175" s="55"/>
    </row>
    <row r="176" s="691" customFormat="true" ht="15" hidden="false" customHeight="true" outlineLevel="0" collapsed="false">
      <c r="A176" s="679" t="n">
        <v>118</v>
      </c>
      <c r="B176" s="692" t="str">
        <f aca="false">IF(INDEX(MO_SNA_IsHistoricalPeriod,,MATCH(F176,MO_Common_ColumnHeader,0)),"Historical","Forward")</f>
        <v>Historical</v>
      </c>
      <c r="C176" s="55"/>
      <c r="D176" s="693" t="str">
        <f aca="true">INDEX(INDIRECT(E176),0,COLUMN(MO_Common_Column_A))</f>
        <v>Y/Y Total revenue growth, %</v>
      </c>
      <c r="E176" s="694" t="s">
        <v>759</v>
      </c>
      <c r="F176" s="692" t="s">
        <v>773</v>
      </c>
      <c r="G176" s="692"/>
      <c r="H176" s="55"/>
      <c r="I176" s="359" t="n">
        <v>0.35</v>
      </c>
      <c r="J176" s="359" t="n">
        <v>0.35</v>
      </c>
      <c r="K176" s="359" t="n">
        <f aca="false">AVERAGE(I176:J176)</f>
        <v>0.35</v>
      </c>
      <c r="L176" s="55"/>
      <c r="M176" s="692" t="str">
        <f aca="false">IF(INDEX(MO_SNA_IsHistoricalPeriod,,MATCH(F176,MO_Common_ColumnHeader,0)),"Actual","Estimate")</f>
        <v>Actual</v>
      </c>
      <c r="N176" s="359" t="n">
        <f aca="true">IFERROR(INDEX(INDIRECT(E176),0,MATCH(F176,MO_Common_ColumnHeader,0)),"N/A")</f>
        <v>0.331401795614694</v>
      </c>
      <c r="O176" s="55"/>
      <c r="P176" s="696" t="n">
        <f aca="false">IF(ISNUMBER(N176),N176-K176,"N/A")</f>
        <v>-0.0185982043853058</v>
      </c>
      <c r="Q176" s="696" t="n">
        <f aca="false">IFERROR(IF(ISNUMBER(N176),(N176-K176)/ABS(K176),"N/A"),"N/A")</f>
        <v>-0.0531377268151594</v>
      </c>
      <c r="R176" s="55"/>
      <c r="S176" s="697" t="n">
        <v>44397</v>
      </c>
      <c r="T176" s="698" t="s">
        <v>745</v>
      </c>
      <c r="U176" s="55"/>
    </row>
    <row r="177" s="691" customFormat="true" ht="15" hidden="false" customHeight="true" outlineLevel="0" collapsed="false">
      <c r="A177" s="679" t="n">
        <v>117</v>
      </c>
      <c r="B177" s="692" t="str">
        <f aca="false">IF(INDEX(MO_SNA_IsHistoricalPeriod,,MATCH(F177,MO_Common_ColumnHeader,0)),"Historical","Forward")</f>
        <v>Historical</v>
      </c>
      <c r="C177" s="55"/>
      <c r="D177" s="693" t="str">
        <f aca="true">INDEX(INDIRECT(E177),0,COLUMN(MO_Common_Column_A))</f>
        <v>Gross Margin, %</v>
      </c>
      <c r="E177" s="694" t="s">
        <v>746</v>
      </c>
      <c r="F177" s="692" t="s">
        <v>773</v>
      </c>
      <c r="G177" s="692"/>
      <c r="H177" s="55"/>
      <c r="I177" s="359" t="n">
        <v>0.51</v>
      </c>
      <c r="J177" s="359" t="n">
        <v>0.52</v>
      </c>
      <c r="K177" s="359" t="n">
        <f aca="false">AVERAGE(I177:J177)</f>
        <v>0.515</v>
      </c>
      <c r="L177" s="55"/>
      <c r="M177" s="692" t="str">
        <f aca="false">IF(INDEX(MO_SNA_IsHistoricalPeriod,,MATCH(F177,MO_Common_ColumnHeader,0)),"Actual","Estimate")</f>
        <v>Actual</v>
      </c>
      <c r="N177" s="359" t="n">
        <f aca="true">IFERROR(INDEX(INDIRECT(E177),0,MATCH(F177,MO_Common_ColumnHeader,0)),"N/A")</f>
        <v>0.527053892859062</v>
      </c>
      <c r="O177" s="55"/>
      <c r="P177" s="696" t="n">
        <f aca="false">IF(ISNUMBER(N177),N177-K177,"N/A")</f>
        <v>0.0120538928590618</v>
      </c>
      <c r="Q177" s="696" t="n">
        <f aca="false">IFERROR(IF(ISNUMBER(N177),(N177-K177)/ABS(K177),"N/A"),"N/A")</f>
        <v>0.0234056172020617</v>
      </c>
      <c r="R177" s="55"/>
      <c r="S177" s="697" t="n">
        <v>44397</v>
      </c>
      <c r="T177" s="698" t="s">
        <v>745</v>
      </c>
      <c r="U177" s="55"/>
    </row>
    <row r="178" customFormat="false" ht="15" hidden="false" customHeight="true" outlineLevel="0" collapsed="false">
      <c r="A178" s="679" t="n">
        <v>116</v>
      </c>
      <c r="B178" s="692" t="str">
        <f aca="false">IF(INDEX(MO_SNA_IsHistoricalPeriod,,MATCH(F178,MO_Common_ColumnHeader,0)),"Historical","Forward")</f>
        <v>Historical</v>
      </c>
      <c r="C178" s="55"/>
      <c r="D178" s="693" t="s">
        <v>747</v>
      </c>
      <c r="E178" s="694"/>
      <c r="F178" s="692" t="s">
        <v>773</v>
      </c>
      <c r="G178" s="692"/>
      <c r="H178" s="55"/>
      <c r="I178" s="359" t="n">
        <v>0.15</v>
      </c>
      <c r="J178" s="359" t="n">
        <v>0.15</v>
      </c>
      <c r="K178" s="359" t="n">
        <f aca="false">AVERAGE(I178:J178)</f>
        <v>0.15</v>
      </c>
      <c r="L178" s="55"/>
      <c r="M178" s="692" t="str">
        <f aca="false">IF(INDEX(MO_SNA_IsHistoricalPeriod,,MATCH(F178,MO_Common_ColumnHeader,0)),"Actual","Estimate")</f>
        <v>Actual</v>
      </c>
      <c r="N178" s="359" t="n">
        <f aca="false">INDEX(MO_RIS_TaxRate_Current,0,MATCH(F178,MO_Common_ColumnHeader,0))+INDEX(MO_RIS_TaxRate_Deferred,0,MATCH(F178,MO_Common_ColumnHeader,0))</f>
        <v>0.147930365263737</v>
      </c>
      <c r="O178" s="55"/>
      <c r="P178" s="696" t="n">
        <f aca="false">IF(ISNUMBER(N178),N178-K178,"N/A")</f>
        <v>-0.00206963473626279</v>
      </c>
      <c r="Q178" s="696" t="n">
        <f aca="false">IFERROR(IF(ISNUMBER(N178),(N178-K178)/ABS(K178),"N/A"),"N/A")</f>
        <v>-0.0137975649084186</v>
      </c>
      <c r="R178" s="55"/>
      <c r="S178" s="697" t="n">
        <v>44397</v>
      </c>
      <c r="T178" s="698" t="s">
        <v>745</v>
      </c>
      <c r="U178" s="55"/>
    </row>
    <row r="179" customFormat="false" ht="15" hidden="false" customHeight="true" outlineLevel="0" collapsed="false">
      <c r="A179" s="679" t="n">
        <v>115</v>
      </c>
      <c r="B179" s="55"/>
      <c r="C179" s="55"/>
      <c r="D179" s="682"/>
      <c r="E179" s="56"/>
      <c r="F179" s="55"/>
      <c r="G179" s="55"/>
      <c r="H179" s="55"/>
      <c r="I179" s="48"/>
      <c r="J179" s="48"/>
      <c r="K179" s="48"/>
      <c r="L179" s="55"/>
      <c r="M179" s="55"/>
      <c r="N179" s="48"/>
      <c r="O179" s="55"/>
      <c r="P179" s="699"/>
      <c r="Q179" s="700"/>
      <c r="R179" s="55"/>
      <c r="S179" s="701"/>
      <c r="T179" s="702"/>
      <c r="U179" s="55"/>
    </row>
    <row r="180" s="691" customFormat="true" ht="15" hidden="false" customHeight="true" outlineLevel="0" collapsed="false">
      <c r="A180" s="679" t="n">
        <v>114</v>
      </c>
      <c r="B180" s="692" t="str">
        <f aca="false">IF(INDEX(MO_SNA_IsHistoricalPeriod,,MATCH(F180,MO_Common_ColumnHeader,0)),"Historical","Forward")</f>
        <v>Historical</v>
      </c>
      <c r="C180" s="55"/>
      <c r="D180" s="693" t="str">
        <f aca="true">INDEX(INDIRECT(E180),0,COLUMN(MO_Common_Column_A))</f>
        <v>Net Revenue</v>
      </c>
      <c r="E180" s="694" t="s">
        <v>671</v>
      </c>
      <c r="F180" s="692" t="s">
        <v>775</v>
      </c>
      <c r="G180" s="692"/>
      <c r="H180" s="55"/>
      <c r="I180" s="159" t="n">
        <v>5200</v>
      </c>
      <c r="J180" s="159" t="n">
        <v>5400</v>
      </c>
      <c r="K180" s="159" t="n">
        <f aca="false">AVERAGE(I180:J180)</f>
        <v>5300</v>
      </c>
      <c r="L180" s="55"/>
      <c r="M180" s="692" t="str">
        <f aca="false">IF(INDEX(MO_SNA_IsHistoricalPeriod,,MATCH(F180,MO_Common_ColumnHeader,0)),"Actual","Estimate")</f>
        <v>Actual</v>
      </c>
      <c r="N180" s="159" t="n">
        <f aca="true">IFERROR(INDEX(INDIRECT(E180),0,MATCH(F180,MO_Common_ColumnHeader,0)),"N/A")</f>
        <v>5241.3</v>
      </c>
      <c r="O180" s="55"/>
      <c r="P180" s="695" t="n">
        <f aca="false">IF(ISNUMBER(N180),N180-K180,"N/A")</f>
        <v>-58.6999999999998</v>
      </c>
      <c r="Q180" s="696" t="n">
        <f aca="false">IFERROR(IF(ISNUMBER(N180),(N180-K180)/ABS(K180),"N/A"),"N/A")</f>
        <v>-0.0110754716981132</v>
      </c>
      <c r="R180" s="55"/>
      <c r="S180" s="697" t="n">
        <v>44397</v>
      </c>
      <c r="T180" s="698" t="s">
        <v>745</v>
      </c>
      <c r="U180" s="55"/>
    </row>
    <row r="181" s="691" customFormat="true" ht="15" hidden="false" customHeight="true" outlineLevel="0" collapsed="false">
      <c r="A181" s="679" t="n">
        <v>113</v>
      </c>
      <c r="B181" s="692" t="str">
        <f aca="false">IF(INDEX(MO_SNA_IsHistoricalPeriod,,MATCH(F181,MO_Common_ColumnHeader,0)),"Historical","Forward")</f>
        <v>Historical</v>
      </c>
      <c r="C181" s="55"/>
      <c r="D181" s="693" t="s">
        <v>749</v>
      </c>
      <c r="E181" s="694" t="s">
        <v>750</v>
      </c>
      <c r="F181" s="692" t="s">
        <v>775</v>
      </c>
      <c r="G181" s="692"/>
      <c r="H181" s="55"/>
      <c r="I181" s="159" t="n">
        <v>1000</v>
      </c>
      <c r="J181" s="159" t="n">
        <v>1000</v>
      </c>
      <c r="K181" s="159" t="n">
        <f aca="false">AVERAGE(I181:J181)</f>
        <v>1000</v>
      </c>
      <c r="L181" s="55"/>
      <c r="M181" s="692" t="str">
        <f aca="false">IF(INDEX(MO_SNA_IsHistoricalPeriod,,MATCH(F181,MO_Common_ColumnHeader,0)),"Actual","Estimate")</f>
        <v>Actual</v>
      </c>
      <c r="N181" s="159" t="n">
        <f aca="true">IFERROR(INDEX(INDIRECT(E181),0,MATCH(F181,MO_Common_ColumnHeader,0)),"N/A")</f>
        <v>1130.2</v>
      </c>
      <c r="O181" s="55"/>
      <c r="P181" s="695" t="n">
        <f aca="false">IF(ISNUMBER(N181),N181-K181,"N/A")</f>
        <v>130.2</v>
      </c>
      <c r="Q181" s="696" t="n">
        <f aca="false">IFERROR(IF(ISNUMBER(N181),(N181-K181)/ABS(K181),"N/A"),"N/A")</f>
        <v>0.1302</v>
      </c>
      <c r="R181" s="55"/>
      <c r="S181" s="697" t="n">
        <v>44397</v>
      </c>
      <c r="T181" s="698" t="s">
        <v>745</v>
      </c>
      <c r="U181" s="55"/>
    </row>
    <row r="182" s="691" customFormat="true" ht="15" hidden="false" customHeight="true" outlineLevel="0" collapsed="false">
      <c r="A182" s="679" t="n">
        <v>112</v>
      </c>
      <c r="B182" s="692" t="str">
        <f aca="false">IF(INDEX(MO_SNA_IsHistoricalPeriod,,MATCH(F182,MO_Common_ColumnHeader,0)),"Historical","Forward")</f>
        <v>Historical</v>
      </c>
      <c r="C182" s="55"/>
      <c r="D182" s="693" t="str">
        <f aca="true">INDEX(INDIRECT(E182),0,COLUMN(MO_Common_Column_A))</f>
        <v>Gross Margin, %</v>
      </c>
      <c r="E182" s="694" t="s">
        <v>746</v>
      </c>
      <c r="F182" s="692" t="s">
        <v>775</v>
      </c>
      <c r="G182" s="692"/>
      <c r="H182" s="55"/>
      <c r="I182" s="359" t="n">
        <v>0.51</v>
      </c>
      <c r="J182" s="359" t="n">
        <v>0.52</v>
      </c>
      <c r="K182" s="359" t="n">
        <f aca="false">AVERAGE(I182:J182)</f>
        <v>0.515</v>
      </c>
      <c r="L182" s="55"/>
      <c r="M182" s="692" t="str">
        <f aca="false">IF(INDEX(MO_SNA_IsHistoricalPeriod,,MATCH(F182,MO_Common_ColumnHeader,0)),"Actual","Estimate")</f>
        <v>Actual</v>
      </c>
      <c r="N182" s="359" t="n">
        <f aca="true">IFERROR(INDEX(INDIRECT(E182),0,MATCH(F182,MO_Common_ColumnHeader,0)),"N/A")</f>
        <v>0.517314406731155</v>
      </c>
      <c r="O182" s="55"/>
      <c r="P182" s="696" t="n">
        <f aca="false">IF(ISNUMBER(N182),N182-K182,"N/A")</f>
        <v>0.00231440673115446</v>
      </c>
      <c r="Q182" s="696" t="n">
        <f aca="false">IFERROR(IF(ISNUMBER(N182),(N182-K182)/ABS(K182),"N/A"),"N/A")</f>
        <v>0.00449399365272711</v>
      </c>
      <c r="R182" s="55"/>
      <c r="S182" s="697" t="n">
        <v>44397</v>
      </c>
      <c r="T182" s="698" t="s">
        <v>745</v>
      </c>
      <c r="U182" s="55"/>
    </row>
    <row r="183" s="691" customFormat="true" ht="15" hidden="false" customHeight="true" outlineLevel="0" collapsed="false">
      <c r="A183" s="679" t="n">
        <v>111</v>
      </c>
      <c r="B183" s="692" t="str">
        <f aca="false">IF(INDEX(MO_SNA_IsHistoricalPeriod,,MATCH(F183,MO_Common_ColumnHeader,0)),"Historical","Forward")</f>
        <v>Historical</v>
      </c>
      <c r="C183" s="55"/>
      <c r="D183" s="693" t="s">
        <v>751</v>
      </c>
      <c r="E183" s="694" t="s">
        <v>752</v>
      </c>
      <c r="F183" s="692" t="s">
        <v>775</v>
      </c>
      <c r="G183" s="692"/>
      <c r="H183" s="55"/>
      <c r="I183" s="159" t="n">
        <v>645</v>
      </c>
      <c r="J183" s="159" t="n">
        <v>645</v>
      </c>
      <c r="K183" s="159" t="n">
        <f aca="false">AVERAGE(I183:J183)</f>
        <v>645</v>
      </c>
      <c r="L183" s="55"/>
      <c r="M183" s="692" t="str">
        <f aca="false">IF(INDEX(MO_SNA_IsHistoricalPeriod,,MATCH(F183,MO_Common_ColumnHeader,0)),"Actual","Estimate")</f>
        <v>Actual</v>
      </c>
      <c r="N183" s="159" t="n">
        <f aca="true">IFERROR(INDEX(INDIRECT(E183),0,MATCH(F183,MO_Common_ColumnHeader,0)),"N/A")</f>
        <v>609.2</v>
      </c>
      <c r="O183" s="55"/>
      <c r="P183" s="695" t="n">
        <f aca="false">IF(ISNUMBER(N183),N183-K183,"N/A")</f>
        <v>-35.8</v>
      </c>
      <c r="Q183" s="696" t="n">
        <f aca="false">IFERROR(IF(ISNUMBER(N183),(N183-K183)/ABS(K183),"N/A"),"N/A")</f>
        <v>-0.0555038759689922</v>
      </c>
      <c r="R183" s="55"/>
      <c r="S183" s="697" t="n">
        <v>44397</v>
      </c>
      <c r="T183" s="698" t="s">
        <v>745</v>
      </c>
      <c r="U183" s="55"/>
    </row>
    <row r="184" s="691" customFormat="true" ht="15" hidden="false" customHeight="true" outlineLevel="0" collapsed="false">
      <c r="A184" s="679" t="n">
        <v>110</v>
      </c>
      <c r="B184" s="692" t="str">
        <f aca="false">IF(INDEX(MO_SNA_IsHistoricalPeriod,,MATCH(F184,MO_Common_ColumnHeader,0)),"Historical","Forward")</f>
        <v>Historical</v>
      </c>
      <c r="C184" s="55"/>
      <c r="D184" s="693" t="str">
        <f aca="true">INDEX(INDIRECT(E184),0,COLUMN(MO_Common_Column_A))</f>
        <v>SG&amp;A</v>
      </c>
      <c r="E184" s="694" t="s">
        <v>753</v>
      </c>
      <c r="F184" s="692" t="s">
        <v>775</v>
      </c>
      <c r="G184" s="692"/>
      <c r="H184" s="55"/>
      <c r="I184" s="159" t="n">
        <v>180</v>
      </c>
      <c r="J184" s="159" t="n">
        <v>180</v>
      </c>
      <c r="K184" s="159" t="n">
        <f aca="false">AVERAGE(I184:J184)</f>
        <v>180</v>
      </c>
      <c r="L184" s="55"/>
      <c r="M184" s="692" t="str">
        <f aca="false">IF(INDEX(MO_SNA_IsHistoricalPeriod,,MATCH(F184,MO_Common_ColumnHeader,0)),"Actual","Estimate")</f>
        <v>Actual</v>
      </c>
      <c r="N184" s="159" t="n">
        <f aca="true">IFERROR(INDEX(INDIRECT(E184),0,MATCH(F184,MO_Common_ColumnHeader,0)),"N/A")</f>
        <v>182.9</v>
      </c>
      <c r="O184" s="55"/>
      <c r="P184" s="695" t="n">
        <f aca="false">IF(ISNUMBER(N184),N184-K184,"N/A")</f>
        <v>2.90000000000001</v>
      </c>
      <c r="Q184" s="696" t="n">
        <f aca="false">IFERROR(IF(ISNUMBER(N184),(N184-K184)/ABS(K184),"N/A"),"N/A")</f>
        <v>0.0161111111111111</v>
      </c>
      <c r="R184" s="55"/>
      <c r="S184" s="697" t="n">
        <v>44397</v>
      </c>
      <c r="T184" s="698" t="s">
        <v>745</v>
      </c>
      <c r="U184" s="55"/>
    </row>
    <row r="185" customFormat="false" ht="15" hidden="false" customHeight="true" outlineLevel="0" collapsed="false">
      <c r="A185" s="679" t="n">
        <v>109</v>
      </c>
      <c r="B185" s="55"/>
      <c r="C185" s="55"/>
      <c r="D185" s="682"/>
      <c r="E185" s="56"/>
      <c r="F185" s="55"/>
      <c r="G185" s="55"/>
      <c r="H185" s="55"/>
      <c r="I185" s="48"/>
      <c r="J185" s="48"/>
      <c r="K185" s="48"/>
      <c r="L185" s="55"/>
      <c r="M185" s="55"/>
      <c r="N185" s="48"/>
      <c r="O185" s="55"/>
      <c r="P185" s="699"/>
      <c r="Q185" s="700"/>
      <c r="R185" s="55"/>
      <c r="S185" s="701"/>
      <c r="T185" s="702"/>
      <c r="U185" s="55"/>
    </row>
    <row r="186" s="691" customFormat="true" ht="15" hidden="false" customHeight="true" outlineLevel="0" collapsed="false">
      <c r="A186" s="679" t="n">
        <v>108</v>
      </c>
      <c r="B186" s="692" t="str">
        <f aca="false">IF(INDEX(MO_SNA_IsHistoricalPeriod,,MATCH(F186,MO_Common_ColumnHeader,0)),"Historical","Forward")</f>
        <v>Historical</v>
      </c>
      <c r="C186" s="55"/>
      <c r="D186" s="693" t="str">
        <f aca="true">INDEX(INDIRECT(E186),0,COLUMN(MO_Common_Column_A))</f>
        <v>Y/Y Total revenue growth, %</v>
      </c>
      <c r="E186" s="694" t="s">
        <v>759</v>
      </c>
      <c r="F186" s="692" t="s">
        <v>773</v>
      </c>
      <c r="G186" s="692"/>
      <c r="H186" s="55"/>
      <c r="I186" s="359" t="n">
        <v>0.3</v>
      </c>
      <c r="J186" s="359" t="n">
        <v>0.3</v>
      </c>
      <c r="K186" s="359" t="n">
        <f aca="false">AVERAGE(I186:J186)</f>
        <v>0.3</v>
      </c>
      <c r="L186" s="55"/>
      <c r="M186" s="692" t="str">
        <f aca="false">IF(INDEX(MO_SNA_IsHistoricalPeriod,,MATCH(F186,MO_Common_ColumnHeader,0)),"Actual","Estimate")</f>
        <v>Actual</v>
      </c>
      <c r="N186" s="359" t="n">
        <f aca="true">IFERROR(INDEX(INDIRECT(E186),0,MATCH(F186,MO_Common_ColumnHeader,0)),"N/A")</f>
        <v>0.331401795614694</v>
      </c>
      <c r="O186" s="55"/>
      <c r="P186" s="696" t="n">
        <f aca="false">IF(ISNUMBER(N186),N186-K186,"N/A")</f>
        <v>0.0314017956146942</v>
      </c>
      <c r="Q186" s="696" t="n">
        <f aca="false">IFERROR(IF(ISNUMBER(N186),(N186-K186)/ABS(K186),"N/A"),"N/A")</f>
        <v>0.104672652048981</v>
      </c>
      <c r="R186" s="55"/>
      <c r="S186" s="697" t="n">
        <v>44306</v>
      </c>
      <c r="T186" s="698" t="s">
        <v>745</v>
      </c>
      <c r="U186" s="55"/>
    </row>
    <row r="187" s="691" customFormat="true" ht="15" hidden="false" customHeight="true" outlineLevel="0" collapsed="false">
      <c r="A187" s="679" t="n">
        <v>107</v>
      </c>
      <c r="B187" s="692" t="str">
        <f aca="false">IF(INDEX(MO_SNA_IsHistoricalPeriod,,MATCH(F187,MO_Common_ColumnHeader,0)),"Historical","Forward")</f>
        <v>Historical</v>
      </c>
      <c r="C187" s="55"/>
      <c r="D187" s="693" t="str">
        <f aca="true">INDEX(INDIRECT(E187),0,COLUMN(MO_Common_Column_A))</f>
        <v>Gross Margin, %</v>
      </c>
      <c r="E187" s="694" t="s">
        <v>746</v>
      </c>
      <c r="F187" s="692" t="s">
        <v>773</v>
      </c>
      <c r="G187" s="692"/>
      <c r="H187" s="55"/>
      <c r="I187" s="359" t="n">
        <v>0.51</v>
      </c>
      <c r="J187" s="359" t="n">
        <v>0.52</v>
      </c>
      <c r="K187" s="359" t="n">
        <f aca="false">AVERAGE(I187:J187)</f>
        <v>0.515</v>
      </c>
      <c r="L187" s="55"/>
      <c r="M187" s="692" t="str">
        <f aca="false">IF(INDEX(MO_SNA_IsHistoricalPeriod,,MATCH(F187,MO_Common_ColumnHeader,0)),"Actual","Estimate")</f>
        <v>Actual</v>
      </c>
      <c r="N187" s="359" t="n">
        <f aca="true">IFERROR(INDEX(INDIRECT(E187),0,MATCH(F187,MO_Common_ColumnHeader,0)),"N/A")</f>
        <v>0.527053892859062</v>
      </c>
      <c r="O187" s="55"/>
      <c r="P187" s="696" t="n">
        <f aca="false">IF(ISNUMBER(N187),N187-K187,"N/A")</f>
        <v>0.0120538928590618</v>
      </c>
      <c r="Q187" s="696" t="n">
        <f aca="false">IFERROR(IF(ISNUMBER(N187),(N187-K187)/ABS(K187),"N/A"),"N/A")</f>
        <v>0.0234056172020617</v>
      </c>
      <c r="R187" s="55"/>
      <c r="S187" s="697" t="n">
        <v>44306</v>
      </c>
      <c r="T187" s="698" t="s">
        <v>745</v>
      </c>
      <c r="U187" s="55"/>
    </row>
    <row r="188" customFormat="false" ht="15" hidden="false" customHeight="true" outlineLevel="0" collapsed="false">
      <c r="A188" s="679" t="n">
        <v>106</v>
      </c>
      <c r="B188" s="692" t="str">
        <f aca="false">IF(INDEX(MO_SNA_IsHistoricalPeriod,,MATCH(F188,MO_Common_ColumnHeader,0)),"Historical","Forward")</f>
        <v>Historical</v>
      </c>
      <c r="C188" s="55"/>
      <c r="D188" s="693" t="s">
        <v>747</v>
      </c>
      <c r="E188" s="694"/>
      <c r="F188" s="692" t="s">
        <v>773</v>
      </c>
      <c r="G188" s="692"/>
      <c r="H188" s="55"/>
      <c r="I188" s="359" t="n">
        <v>0.14</v>
      </c>
      <c r="J188" s="359" t="n">
        <v>0.15</v>
      </c>
      <c r="K188" s="359" t="n">
        <f aca="false">AVERAGE(I188:J188)</f>
        <v>0.145</v>
      </c>
      <c r="L188" s="55"/>
      <c r="M188" s="692" t="str">
        <f aca="false">IF(INDEX(MO_SNA_IsHistoricalPeriod,,MATCH(F188,MO_Common_ColumnHeader,0)),"Actual","Estimate")</f>
        <v>Actual</v>
      </c>
      <c r="N188" s="359" t="n">
        <f aca="false">INDEX(MO_RIS_TaxRate_Current,0,MATCH(F188,MO_Common_ColumnHeader,0))+INDEX(MO_RIS_TaxRate_Deferred,0,MATCH(F188,MO_Common_ColumnHeader,0))</f>
        <v>0.147930365263737</v>
      </c>
      <c r="O188" s="55"/>
      <c r="P188" s="696" t="n">
        <f aca="false">IF(ISNUMBER(N188),N188-K188,"N/A")</f>
        <v>0.00293036526373719</v>
      </c>
      <c r="Q188" s="696" t="n">
        <f aca="false">IFERROR(IF(ISNUMBER(N188),(N188-K188)/ABS(K188),"N/A"),"N/A")</f>
        <v>0.0202094156119806</v>
      </c>
      <c r="R188" s="55"/>
      <c r="S188" s="697" t="n">
        <v>44306</v>
      </c>
      <c r="T188" s="698" t="s">
        <v>745</v>
      </c>
      <c r="U188" s="55"/>
    </row>
    <row r="189" customFormat="false" ht="15" hidden="false" customHeight="true" outlineLevel="0" collapsed="false">
      <c r="A189" s="679" t="n">
        <v>105</v>
      </c>
      <c r="B189" s="55"/>
      <c r="C189" s="55"/>
      <c r="D189" s="682"/>
      <c r="E189" s="56"/>
      <c r="F189" s="55"/>
      <c r="G189" s="55"/>
      <c r="H189" s="55"/>
      <c r="I189" s="48"/>
      <c r="J189" s="48"/>
      <c r="K189" s="48"/>
      <c r="L189" s="55"/>
      <c r="M189" s="55"/>
      <c r="N189" s="48"/>
      <c r="O189" s="55"/>
      <c r="P189" s="699"/>
      <c r="Q189" s="700"/>
      <c r="R189" s="55"/>
      <c r="S189" s="701"/>
      <c r="T189" s="702"/>
      <c r="U189" s="55"/>
    </row>
    <row r="190" s="691" customFormat="true" ht="15" hidden="false" customHeight="true" outlineLevel="0" collapsed="false">
      <c r="A190" s="679" t="n">
        <v>104</v>
      </c>
      <c r="B190" s="692" t="str">
        <f aca="false">IF(INDEX(MO_SNA_IsHistoricalPeriod,,MATCH(F190,MO_Common_ColumnHeader,0)),"Historical","Forward")</f>
        <v>Historical</v>
      </c>
      <c r="C190" s="55"/>
      <c r="D190" s="693" t="str">
        <f aca="true">INDEX(INDIRECT(E190),0,COLUMN(MO_Common_Column_A))</f>
        <v>Net Revenue</v>
      </c>
      <c r="E190" s="694" t="s">
        <v>671</v>
      </c>
      <c r="F190" s="692" t="s">
        <v>776</v>
      </c>
      <c r="G190" s="692"/>
      <c r="H190" s="55"/>
      <c r="I190" s="159" t="n">
        <v>4000</v>
      </c>
      <c r="J190" s="159" t="n">
        <v>4100</v>
      </c>
      <c r="K190" s="159" t="n">
        <f aca="false">AVERAGE(I190:J190)</f>
        <v>4050</v>
      </c>
      <c r="L190" s="55"/>
      <c r="M190" s="692" t="str">
        <f aca="false">IF(INDEX(MO_SNA_IsHistoricalPeriod,,MATCH(F190,MO_Common_ColumnHeader,0)),"Actual","Estimate")</f>
        <v>Actual</v>
      </c>
      <c r="N190" s="159" t="n">
        <f aca="true">IFERROR(INDEX(INDIRECT(E190),0,MATCH(F190,MO_Common_ColumnHeader,0)),"N/A")</f>
        <v>4020.2</v>
      </c>
      <c r="O190" s="55"/>
      <c r="P190" s="695" t="n">
        <f aca="false">IF(ISNUMBER(N190),N190-K190,"N/A")</f>
        <v>-29.8000000000002</v>
      </c>
      <c r="Q190" s="696" t="n">
        <f aca="false">IFERROR(IF(ISNUMBER(N190),(N190-K190)/ABS(K190),"N/A"),"N/A")</f>
        <v>-0.00735802469135807</v>
      </c>
      <c r="R190" s="55"/>
      <c r="S190" s="697" t="n">
        <v>44306</v>
      </c>
      <c r="T190" s="698" t="s">
        <v>745</v>
      </c>
      <c r="U190" s="55"/>
    </row>
    <row r="191" s="691" customFormat="true" ht="15" hidden="false" customHeight="true" outlineLevel="0" collapsed="false">
      <c r="A191" s="679" t="n">
        <v>103</v>
      </c>
      <c r="B191" s="692" t="str">
        <f aca="false">IF(INDEX(MO_SNA_IsHistoricalPeriod,,MATCH(F191,MO_Common_ColumnHeader,0)),"Historical","Forward")</f>
        <v>Historical</v>
      </c>
      <c r="C191" s="55"/>
      <c r="D191" s="693" t="s">
        <v>749</v>
      </c>
      <c r="E191" s="694" t="s">
        <v>750</v>
      </c>
      <c r="F191" s="692" t="s">
        <v>776</v>
      </c>
      <c r="G191" s="692"/>
      <c r="H191" s="55"/>
      <c r="I191" s="159" t="n">
        <v>900</v>
      </c>
      <c r="J191" s="159" t="n">
        <v>900</v>
      </c>
      <c r="K191" s="159" t="n">
        <f aca="false">AVERAGE(I191:J191)</f>
        <v>900</v>
      </c>
      <c r="L191" s="55"/>
      <c r="M191" s="692" t="str">
        <f aca="false">IF(INDEX(MO_SNA_IsHistoricalPeriod,,MATCH(F191,MO_Common_ColumnHeader,0)),"Actual","Estimate")</f>
        <v>Actual</v>
      </c>
      <c r="N191" s="159" t="n">
        <f aca="true">IFERROR(INDEX(INDIRECT(E191),0,MATCH(F191,MO_Common_ColumnHeader,0)),"N/A")</f>
        <v>1070.6</v>
      </c>
      <c r="O191" s="55"/>
      <c r="P191" s="695" t="n">
        <f aca="false">IF(ISNUMBER(N191),N191-K191,"N/A")</f>
        <v>170.6</v>
      </c>
      <c r="Q191" s="696" t="n">
        <f aca="false">IFERROR(IF(ISNUMBER(N191),(N191-K191)/ABS(K191),"N/A"),"N/A")</f>
        <v>0.189555555555555</v>
      </c>
      <c r="R191" s="55"/>
      <c r="S191" s="697" t="n">
        <v>44306</v>
      </c>
      <c r="T191" s="698" t="s">
        <v>745</v>
      </c>
      <c r="U191" s="55"/>
    </row>
    <row r="192" s="691" customFormat="true" ht="15" hidden="false" customHeight="true" outlineLevel="0" collapsed="false">
      <c r="A192" s="679" t="n">
        <v>102</v>
      </c>
      <c r="B192" s="692" t="str">
        <f aca="false">IF(INDEX(MO_SNA_IsHistoricalPeriod,,MATCH(F192,MO_Common_ColumnHeader,0)),"Historical","Forward")</f>
        <v>Historical</v>
      </c>
      <c r="C192" s="55"/>
      <c r="D192" s="693" t="str">
        <f aca="true">INDEX(INDIRECT(E192),0,COLUMN(MO_Common_Column_A))</f>
        <v>Gross Margin, %</v>
      </c>
      <c r="E192" s="694" t="s">
        <v>746</v>
      </c>
      <c r="F192" s="692" t="s">
        <v>776</v>
      </c>
      <c r="G192" s="692"/>
      <c r="H192" s="55"/>
      <c r="I192" s="359" t="n">
        <v>0.49</v>
      </c>
      <c r="J192" s="359" t="n">
        <v>0.49</v>
      </c>
      <c r="K192" s="359" t="n">
        <f aca="false">AVERAGE(I192:J192)</f>
        <v>0.49</v>
      </c>
      <c r="L192" s="55"/>
      <c r="M192" s="692" t="str">
        <f aca="false">IF(INDEX(MO_SNA_IsHistoricalPeriod,,MATCH(F192,MO_Common_ColumnHeader,0)),"Actual","Estimate")</f>
        <v>Actual</v>
      </c>
      <c r="N192" s="359" t="n">
        <f aca="true">IFERROR(INDEX(INDIRECT(E192),0,MATCH(F192,MO_Common_ColumnHeader,0)),"N/A")</f>
        <v>0.508581662603851</v>
      </c>
      <c r="O192" s="55"/>
      <c r="P192" s="696" t="n">
        <f aca="false">IF(ISNUMBER(N192),N192-K192,"N/A")</f>
        <v>0.0185816626038506</v>
      </c>
      <c r="Q192" s="696" t="n">
        <f aca="false">IFERROR(IF(ISNUMBER(N192),(N192-K192)/ABS(K192),"N/A"),"N/A")</f>
        <v>0.0379217604160217</v>
      </c>
      <c r="R192" s="55"/>
      <c r="S192" s="697" t="n">
        <v>44306</v>
      </c>
      <c r="T192" s="698" t="s">
        <v>745</v>
      </c>
      <c r="U192" s="55"/>
    </row>
    <row r="193" s="691" customFormat="true" ht="15" hidden="false" customHeight="true" outlineLevel="0" collapsed="false">
      <c r="A193" s="679" t="n">
        <v>101</v>
      </c>
      <c r="B193" s="692" t="str">
        <f aca="false">IF(INDEX(MO_SNA_IsHistoricalPeriod,,MATCH(F193,MO_Common_ColumnHeader,0)),"Historical","Forward")</f>
        <v>Historical</v>
      </c>
      <c r="C193" s="55"/>
      <c r="D193" s="693" t="s">
        <v>751</v>
      </c>
      <c r="E193" s="694" t="s">
        <v>752</v>
      </c>
      <c r="F193" s="692" t="s">
        <v>776</v>
      </c>
      <c r="G193" s="692"/>
      <c r="H193" s="55"/>
      <c r="I193" s="159" t="n">
        <v>650</v>
      </c>
      <c r="J193" s="159" t="n">
        <v>650</v>
      </c>
      <c r="K193" s="159" t="n">
        <f aca="false">AVERAGE(I193:J193)</f>
        <v>650</v>
      </c>
      <c r="L193" s="55"/>
      <c r="M193" s="692" t="str">
        <f aca="false">IF(INDEX(MO_SNA_IsHistoricalPeriod,,MATCH(F193,MO_Common_ColumnHeader,0)),"Actual","Estimate")</f>
        <v>Actual</v>
      </c>
      <c r="N193" s="159" t="n">
        <f aca="true">IFERROR(INDEX(INDIRECT(E193),0,MATCH(F193,MO_Common_ColumnHeader,0)),"N/A")</f>
        <v>633.8</v>
      </c>
      <c r="O193" s="55"/>
      <c r="P193" s="695" t="n">
        <f aca="false">IF(ISNUMBER(N193),N193-K193,"N/A")</f>
        <v>-16.2</v>
      </c>
      <c r="Q193" s="696" t="n">
        <f aca="false">IFERROR(IF(ISNUMBER(N193),(N193-K193)/ABS(K193),"N/A"),"N/A")</f>
        <v>-0.024923076923077</v>
      </c>
      <c r="R193" s="55"/>
      <c r="S193" s="697" t="n">
        <v>44306</v>
      </c>
      <c r="T193" s="698" t="s">
        <v>745</v>
      </c>
      <c r="U193" s="55"/>
    </row>
    <row r="194" s="691" customFormat="true" ht="15" hidden="false" customHeight="true" outlineLevel="0" collapsed="false">
      <c r="A194" s="679" t="n">
        <v>100</v>
      </c>
      <c r="B194" s="692" t="str">
        <f aca="false">IF(INDEX(MO_SNA_IsHistoricalPeriod,,MATCH(F194,MO_Common_ColumnHeader,0)),"Historical","Forward")</f>
        <v>Historical</v>
      </c>
      <c r="C194" s="55"/>
      <c r="D194" s="693" t="str">
        <f aca="true">INDEX(INDIRECT(E194),0,COLUMN(MO_Common_Column_A))</f>
        <v>SG&amp;A</v>
      </c>
      <c r="E194" s="694" t="s">
        <v>753</v>
      </c>
      <c r="F194" s="692" t="s">
        <v>776</v>
      </c>
      <c r="G194" s="692"/>
      <c r="H194" s="55"/>
      <c r="I194" s="159" t="n">
        <v>175</v>
      </c>
      <c r="J194" s="159" t="n">
        <v>175</v>
      </c>
      <c r="K194" s="159" t="n">
        <f aca="false">AVERAGE(I194:J194)</f>
        <v>175</v>
      </c>
      <c r="L194" s="55"/>
      <c r="M194" s="692" t="str">
        <f aca="false">IF(INDEX(MO_SNA_IsHistoricalPeriod,,MATCH(F194,MO_Common_ColumnHeader,0)),"Actual","Estimate")</f>
        <v>Actual</v>
      </c>
      <c r="N194" s="159" t="n">
        <f aca="true">IFERROR(INDEX(INDIRECT(E194),0,MATCH(F194,MO_Common_ColumnHeader,0)),"N/A")</f>
        <v>171.8</v>
      </c>
      <c r="O194" s="55"/>
      <c r="P194" s="695" t="n">
        <f aca="false">IF(ISNUMBER(N194),N194-K194,"N/A")</f>
        <v>-3.19999999999999</v>
      </c>
      <c r="Q194" s="696" t="n">
        <f aca="false">IFERROR(IF(ISNUMBER(N194),(N194-K194)/ABS(K194),"N/A"),"N/A")</f>
        <v>-0.0182857142857142</v>
      </c>
      <c r="R194" s="55"/>
      <c r="S194" s="697" t="n">
        <v>44306</v>
      </c>
      <c r="T194" s="698" t="s">
        <v>745</v>
      </c>
      <c r="U194" s="55"/>
    </row>
    <row r="195" customFormat="false" ht="15" hidden="false" customHeight="true" outlineLevel="0" collapsed="false">
      <c r="A195" s="679" t="n">
        <v>99</v>
      </c>
      <c r="B195" s="55"/>
      <c r="C195" s="55"/>
      <c r="D195" s="682"/>
      <c r="E195" s="56"/>
      <c r="F195" s="55"/>
      <c r="G195" s="55"/>
      <c r="H195" s="55"/>
      <c r="I195" s="48"/>
      <c r="J195" s="48"/>
      <c r="K195" s="48"/>
      <c r="L195" s="55"/>
      <c r="M195" s="55"/>
      <c r="N195" s="48"/>
      <c r="O195" s="55"/>
      <c r="P195" s="699"/>
      <c r="Q195" s="700"/>
      <c r="R195" s="55"/>
      <c r="S195" s="701"/>
      <c r="T195" s="702"/>
      <c r="U195" s="55"/>
    </row>
    <row r="196" customFormat="false" ht="15" hidden="false" customHeight="true" outlineLevel="0" collapsed="false">
      <c r="A196" s="679" t="n">
        <v>98</v>
      </c>
      <c r="B196" s="692" t="str">
        <f aca="false">IF(INDEX(MO_SNA_IsHistoricalPeriod,,MATCH(F196,MO_Common_ColumnHeader,0)),"Historical","Forward")</f>
        <v>Historical</v>
      </c>
      <c r="C196" s="55"/>
      <c r="D196" s="693" t="s">
        <v>747</v>
      </c>
      <c r="E196" s="694"/>
      <c r="F196" s="692" t="s">
        <v>773</v>
      </c>
      <c r="G196" s="692"/>
      <c r="H196" s="55"/>
      <c r="I196" s="359" t="n">
        <v>0.14</v>
      </c>
      <c r="J196" s="359" t="n">
        <v>0.15</v>
      </c>
      <c r="K196" s="359" t="n">
        <f aca="false">AVERAGE(I196:J196)</f>
        <v>0.145</v>
      </c>
      <c r="L196" s="55"/>
      <c r="M196" s="692" t="str">
        <f aca="false">IF(INDEX(MO_SNA_IsHistoricalPeriod,,MATCH(F196,MO_Common_ColumnHeader,0)),"Actual","Estimate")</f>
        <v>Actual</v>
      </c>
      <c r="N196" s="359" t="n">
        <f aca="false">INDEX(MO_RIS_TaxRate_Current,0,MATCH(F196,MO_Common_ColumnHeader,0))+INDEX(MO_RIS_TaxRate_Deferred,0,MATCH(F196,MO_Common_ColumnHeader,0))</f>
        <v>0.147930365263737</v>
      </c>
      <c r="O196" s="55"/>
      <c r="P196" s="696" t="n">
        <f aca="false">IF(ISNUMBER(N196),N196-K196,"N/A")</f>
        <v>0.00293036526373719</v>
      </c>
      <c r="Q196" s="696" t="n">
        <f aca="false">IFERROR(IF(ISNUMBER(N196),(N196-K196)/ABS(K196),"N/A"),"N/A")</f>
        <v>0.0202094156119806</v>
      </c>
      <c r="R196" s="55"/>
      <c r="S196" s="697" t="n">
        <v>44215</v>
      </c>
      <c r="T196" s="698" t="s">
        <v>745</v>
      </c>
      <c r="U196" s="55"/>
    </row>
    <row r="197" customFormat="false" ht="15" hidden="false" customHeight="true" outlineLevel="0" collapsed="false">
      <c r="A197" s="679" t="n">
        <v>97</v>
      </c>
      <c r="B197" s="55"/>
      <c r="C197" s="55"/>
      <c r="D197" s="682"/>
      <c r="E197" s="56"/>
      <c r="F197" s="55"/>
      <c r="G197" s="55"/>
      <c r="H197" s="55"/>
      <c r="I197" s="48"/>
      <c r="J197" s="48"/>
      <c r="K197" s="48"/>
      <c r="L197" s="55"/>
      <c r="M197" s="55"/>
      <c r="N197" s="48"/>
      <c r="O197" s="55"/>
      <c r="P197" s="699"/>
      <c r="Q197" s="700"/>
      <c r="R197" s="55"/>
      <c r="S197" s="701"/>
      <c r="T197" s="702"/>
      <c r="U197" s="55"/>
    </row>
    <row r="198" s="691" customFormat="true" ht="15" hidden="false" customHeight="true" outlineLevel="0" collapsed="false">
      <c r="A198" s="679" t="n">
        <v>96</v>
      </c>
      <c r="B198" s="692" t="str">
        <f aca="false">IF(INDEX(MO_SNA_IsHistoricalPeriod,,MATCH(F198,MO_Common_ColumnHeader,0)),"Historical","Forward")</f>
        <v>Historical</v>
      </c>
      <c r="C198" s="55"/>
      <c r="D198" s="693" t="str">
        <f aca="true">INDEX(INDIRECT(E198),0,COLUMN(MO_Common_Column_A))</f>
        <v>Net Revenue</v>
      </c>
      <c r="E198" s="694" t="s">
        <v>671</v>
      </c>
      <c r="F198" s="692" t="s">
        <v>777</v>
      </c>
      <c r="G198" s="692"/>
      <c r="H198" s="55"/>
      <c r="I198" s="159" t="n">
        <v>3900</v>
      </c>
      <c r="J198" s="159" t="n">
        <v>4100</v>
      </c>
      <c r="K198" s="159" t="n">
        <f aca="false">AVERAGE(I198:J198)</f>
        <v>4000</v>
      </c>
      <c r="L198" s="55"/>
      <c r="M198" s="692" t="str">
        <f aca="false">IF(INDEX(MO_SNA_IsHistoricalPeriod,,MATCH(F198,MO_Common_ColumnHeader,0)),"Actual","Estimate")</f>
        <v>Actual</v>
      </c>
      <c r="N198" s="159" t="n">
        <f aca="true">IFERROR(INDEX(INDIRECT(E198),0,MATCH(F198,MO_Common_ColumnHeader,0)),"N/A")</f>
        <v>4363.9</v>
      </c>
      <c r="O198" s="55"/>
      <c r="P198" s="695" t="n">
        <f aca="false">IF(ISNUMBER(N198),N198-K198,"N/A")</f>
        <v>363.9</v>
      </c>
      <c r="Q198" s="696" t="n">
        <f aca="false">IFERROR(IF(ISNUMBER(N198),(N198-K198)/ABS(K198),"N/A"),"N/A")</f>
        <v>0.0909749999999999</v>
      </c>
      <c r="R198" s="55"/>
      <c r="S198" s="697" t="n">
        <v>44215</v>
      </c>
      <c r="T198" s="698" t="s">
        <v>745</v>
      </c>
      <c r="U198" s="55"/>
    </row>
    <row r="199" s="691" customFormat="true" ht="15" hidden="false" customHeight="true" outlineLevel="0" collapsed="false">
      <c r="A199" s="679" t="n">
        <v>95</v>
      </c>
      <c r="B199" s="692" t="str">
        <f aca="false">IF(INDEX(MO_SNA_IsHistoricalPeriod,,MATCH(F199,MO_Common_ColumnHeader,0)),"Historical","Forward")</f>
        <v>Historical</v>
      </c>
      <c r="C199" s="55"/>
      <c r="D199" s="693" t="s">
        <v>749</v>
      </c>
      <c r="E199" s="694" t="s">
        <v>750</v>
      </c>
      <c r="F199" s="692" t="s">
        <v>777</v>
      </c>
      <c r="G199" s="692"/>
      <c r="H199" s="55"/>
      <c r="I199" s="159" t="n">
        <v>950</v>
      </c>
      <c r="J199" s="159" t="n">
        <v>950</v>
      </c>
      <c r="K199" s="159" t="n">
        <f aca="false">AVERAGE(I199:J199)</f>
        <v>950</v>
      </c>
      <c r="L199" s="55"/>
      <c r="M199" s="692" t="str">
        <f aca="false">IF(INDEX(MO_SNA_IsHistoricalPeriod,,MATCH(F199,MO_Common_ColumnHeader,0)),"Actual","Estimate")</f>
        <v>Actual</v>
      </c>
      <c r="N199" s="159" t="n">
        <f aca="true">IFERROR(INDEX(INDIRECT(E199),0,MATCH(F199,MO_Common_ColumnHeader,0)),"N/A")</f>
        <v>1235.1</v>
      </c>
      <c r="O199" s="55"/>
      <c r="P199" s="695" t="n">
        <f aca="false">IF(ISNUMBER(N199),N199-K199,"N/A")</f>
        <v>285.1</v>
      </c>
      <c r="Q199" s="696" t="n">
        <f aca="false">IFERROR(IF(ISNUMBER(N199),(N199-K199)/ABS(K199),"N/A"),"N/A")</f>
        <v>0.300105263157895</v>
      </c>
      <c r="R199" s="55"/>
      <c r="S199" s="697" t="n">
        <v>44215</v>
      </c>
      <c r="T199" s="698" t="s">
        <v>745</v>
      </c>
      <c r="U199" s="55"/>
    </row>
    <row r="200" s="691" customFormat="true" ht="15" hidden="false" customHeight="true" outlineLevel="0" collapsed="false">
      <c r="A200" s="679" t="n">
        <v>94</v>
      </c>
      <c r="B200" s="692" t="str">
        <f aca="false">IF(INDEX(MO_SNA_IsHistoricalPeriod,,MATCH(F200,MO_Common_ColumnHeader,0)),"Historical","Forward")</f>
        <v>Historical</v>
      </c>
      <c r="C200" s="55"/>
      <c r="D200" s="693" t="str">
        <f aca="true">INDEX(INDIRECT(E200),0,COLUMN(MO_Common_Column_A))</f>
        <v>Gross Margin, %</v>
      </c>
      <c r="E200" s="694" t="s">
        <v>746</v>
      </c>
      <c r="F200" s="692" t="s">
        <v>777</v>
      </c>
      <c r="G200" s="692"/>
      <c r="H200" s="55"/>
      <c r="I200" s="359" t="n">
        <v>0.5</v>
      </c>
      <c r="J200" s="359" t="n">
        <v>0.51</v>
      </c>
      <c r="K200" s="359" t="n">
        <f aca="false">AVERAGE(I200:J200)</f>
        <v>0.505</v>
      </c>
      <c r="L200" s="55"/>
      <c r="M200" s="692" t="str">
        <f aca="false">IF(INDEX(MO_SNA_IsHistoricalPeriod,,MATCH(F200,MO_Common_ColumnHeader,0)),"Actual","Estimate")</f>
        <v>Actual</v>
      </c>
      <c r="N200" s="359" t="n">
        <f aca="true">IFERROR(INDEX(INDIRECT(E200),0,MATCH(F200,MO_Common_ColumnHeader,0)),"N/A")</f>
        <v>0.539059098512798</v>
      </c>
      <c r="O200" s="55"/>
      <c r="P200" s="696" t="n">
        <f aca="false">IF(ISNUMBER(N200),N200-K200,"N/A")</f>
        <v>0.0340590985127981</v>
      </c>
      <c r="Q200" s="696" t="n">
        <f aca="false">IFERROR(IF(ISNUMBER(N200),(N200-K200)/ABS(K200),"N/A"),"N/A")</f>
        <v>0.0674437594312834</v>
      </c>
      <c r="R200" s="55"/>
      <c r="S200" s="697" t="n">
        <v>44215</v>
      </c>
      <c r="T200" s="698" t="s">
        <v>745</v>
      </c>
      <c r="U200" s="55"/>
    </row>
    <row r="201" s="691" customFormat="true" ht="15" hidden="false" customHeight="true" outlineLevel="0" collapsed="false">
      <c r="A201" s="679" t="n">
        <v>93</v>
      </c>
      <c r="B201" s="692" t="str">
        <f aca="false">IF(INDEX(MO_SNA_IsHistoricalPeriod,,MATCH(F201,MO_Common_ColumnHeader,0)),"Historical","Forward")</f>
        <v>Historical</v>
      </c>
      <c r="C201" s="55"/>
      <c r="D201" s="693" t="s">
        <v>751</v>
      </c>
      <c r="E201" s="694" t="s">
        <v>752</v>
      </c>
      <c r="F201" s="692" t="s">
        <v>777</v>
      </c>
      <c r="G201" s="692"/>
      <c r="H201" s="55"/>
      <c r="I201" s="159" t="n">
        <v>620</v>
      </c>
      <c r="J201" s="159" t="n">
        <v>620</v>
      </c>
      <c r="K201" s="159" t="n">
        <f aca="false">AVERAGE(I201:J201)</f>
        <v>620</v>
      </c>
      <c r="L201" s="55"/>
      <c r="M201" s="692" t="str">
        <f aca="false">IF(INDEX(MO_SNA_IsHistoricalPeriod,,MATCH(F201,MO_Common_ColumnHeader,0)),"Actual","Estimate")</f>
        <v>Actual</v>
      </c>
      <c r="N201" s="159" t="n">
        <f aca="true">IFERROR(INDEX(INDIRECT(E201),0,MATCH(F201,MO_Common_ColumnHeader,0)),"N/A")</f>
        <v>623.4</v>
      </c>
      <c r="O201" s="55"/>
      <c r="P201" s="695" t="n">
        <f aca="false">IF(ISNUMBER(N201),N201-K201,"N/A")</f>
        <v>3.39999999999998</v>
      </c>
      <c r="Q201" s="696" t="n">
        <f aca="false">IFERROR(IF(ISNUMBER(N201),(N201-K201)/ABS(K201),"N/A"),"N/A")</f>
        <v>0.0054838709677419</v>
      </c>
      <c r="R201" s="55"/>
      <c r="S201" s="697" t="n">
        <v>44215</v>
      </c>
      <c r="T201" s="698" t="s">
        <v>745</v>
      </c>
      <c r="U201" s="55"/>
    </row>
    <row r="202" s="691" customFormat="true" ht="15" hidden="false" customHeight="true" outlineLevel="0" collapsed="false">
      <c r="A202" s="679" t="n">
        <v>92</v>
      </c>
      <c r="B202" s="692" t="str">
        <f aca="false">IF(INDEX(MO_SNA_IsHistoricalPeriod,,MATCH(F202,MO_Common_ColumnHeader,0)),"Historical","Forward")</f>
        <v>Historical</v>
      </c>
      <c r="C202" s="55"/>
      <c r="D202" s="693" t="str">
        <f aca="true">INDEX(INDIRECT(E202),0,COLUMN(MO_Common_Column_A))</f>
        <v>SG&amp;A</v>
      </c>
      <c r="E202" s="694" t="s">
        <v>753</v>
      </c>
      <c r="F202" s="692" t="s">
        <v>777</v>
      </c>
      <c r="G202" s="692"/>
      <c r="H202" s="55"/>
      <c r="I202" s="159" t="n">
        <v>165</v>
      </c>
      <c r="J202" s="159" t="n">
        <v>165</v>
      </c>
      <c r="K202" s="159" t="n">
        <f aca="false">AVERAGE(I202:J202)</f>
        <v>165</v>
      </c>
      <c r="L202" s="55"/>
      <c r="M202" s="692" t="str">
        <f aca="false">IF(INDEX(MO_SNA_IsHistoricalPeriod,,MATCH(F202,MO_Common_ColumnHeader,0)),"Actual","Estimate")</f>
        <v>Actual</v>
      </c>
      <c r="N202" s="159" t="n">
        <f aca="true">IFERROR(INDEX(INDIRECT(E202),0,MATCH(F202,MO_Common_ColumnHeader,0)),"N/A")</f>
        <v>168.4</v>
      </c>
      <c r="O202" s="55"/>
      <c r="P202" s="695" t="n">
        <f aca="false">IF(ISNUMBER(N202),N202-K202,"N/A")</f>
        <v>3.40000000000001</v>
      </c>
      <c r="Q202" s="696" t="n">
        <f aca="false">IFERROR(IF(ISNUMBER(N202),(N202-K202)/ABS(K202),"N/A"),"N/A")</f>
        <v>0.0206060606060606</v>
      </c>
      <c r="R202" s="55"/>
      <c r="S202" s="697" t="n">
        <v>44215</v>
      </c>
      <c r="T202" s="698" t="s">
        <v>745</v>
      </c>
      <c r="U202" s="55"/>
    </row>
    <row r="203" customFormat="false" ht="15" hidden="false" customHeight="true" outlineLevel="0" collapsed="false">
      <c r="A203" s="679" t="n">
        <v>91</v>
      </c>
      <c r="B203" s="55"/>
      <c r="C203" s="55"/>
      <c r="D203" s="682"/>
      <c r="E203" s="56"/>
      <c r="F203" s="55"/>
      <c r="G203" s="55"/>
      <c r="H203" s="55"/>
      <c r="I203" s="48"/>
      <c r="J203" s="48"/>
      <c r="K203" s="48"/>
      <c r="L203" s="55"/>
      <c r="M203" s="55"/>
      <c r="N203" s="48"/>
      <c r="O203" s="55"/>
      <c r="P203" s="699"/>
      <c r="Q203" s="700"/>
      <c r="R203" s="55"/>
      <c r="S203" s="701"/>
      <c r="T203" s="702"/>
      <c r="U203" s="55"/>
    </row>
    <row r="204" customFormat="false" ht="15" hidden="false" customHeight="true" outlineLevel="0" collapsed="false">
      <c r="A204" s="679" t="n">
        <v>90</v>
      </c>
      <c r="B204" s="692" t="str">
        <f aca="false">IF(INDEX(MO_SNA_IsHistoricalPeriod,,MATCH(F204,MO_Common_ColumnHeader,0)),"Historical","Forward")</f>
        <v>Historical</v>
      </c>
      <c r="C204" s="55"/>
      <c r="D204" s="693" t="s">
        <v>747</v>
      </c>
      <c r="E204" s="694"/>
      <c r="F204" s="692" t="s">
        <v>778</v>
      </c>
      <c r="G204" s="692"/>
      <c r="H204" s="55"/>
      <c r="I204" s="359" t="n">
        <v>0.14</v>
      </c>
      <c r="J204" s="359" t="n">
        <v>0.14</v>
      </c>
      <c r="K204" s="359" t="n">
        <f aca="false">AVERAGE(I204:J204)</f>
        <v>0.14</v>
      </c>
      <c r="L204" s="55"/>
      <c r="M204" s="692" t="str">
        <f aca="false">IF(INDEX(MO_SNA_IsHistoricalPeriod,,MATCH(F204,MO_Common_ColumnHeader,0)),"Actual","Estimate")</f>
        <v>Actual</v>
      </c>
      <c r="N204" s="359" t="n">
        <f aca="false">INDEX(MO_RIS_TaxRate_Current,0,MATCH(F204,MO_Common_ColumnHeader,0))+INDEX(MO_RIS_TaxRate_Deferred,0,MATCH(F204,MO_Common_ColumnHeader,0))</f>
        <v>0.134341810386826</v>
      </c>
      <c r="O204" s="55"/>
      <c r="P204" s="696" t="n">
        <f aca="false">IF(ISNUMBER(N204),N204-K204,"N/A")</f>
        <v>-0.00565818961317355</v>
      </c>
      <c r="Q204" s="696" t="n">
        <f aca="false">IFERROR(IF(ISNUMBER(N204),(N204-K204)/ABS(K204),"N/A"),"N/A")</f>
        <v>-0.0404156400940968</v>
      </c>
      <c r="R204" s="55"/>
      <c r="S204" s="697" t="n">
        <v>44118</v>
      </c>
      <c r="T204" s="698" t="s">
        <v>745</v>
      </c>
      <c r="U204" s="55"/>
    </row>
    <row r="205" customFormat="false" ht="15" hidden="false" customHeight="true" outlineLevel="0" collapsed="false">
      <c r="A205" s="679" t="n">
        <v>89</v>
      </c>
      <c r="B205" s="55"/>
      <c r="C205" s="55"/>
      <c r="D205" s="682"/>
      <c r="E205" s="56"/>
      <c r="F205" s="55"/>
      <c r="G205" s="55"/>
      <c r="H205" s="55"/>
      <c r="I205" s="48"/>
      <c r="J205" s="48"/>
      <c r="K205" s="48"/>
      <c r="L205" s="55"/>
      <c r="M205" s="55"/>
      <c r="N205" s="48"/>
      <c r="O205" s="55"/>
      <c r="P205" s="699"/>
      <c r="Q205" s="700"/>
      <c r="R205" s="55"/>
      <c r="S205" s="701"/>
      <c r="T205" s="702"/>
      <c r="U205" s="55"/>
    </row>
    <row r="206" s="691" customFormat="true" ht="15" hidden="false" customHeight="true" outlineLevel="0" collapsed="false">
      <c r="A206" s="679" t="n">
        <v>88</v>
      </c>
      <c r="B206" s="692" t="str">
        <f aca="false">IF(INDEX(MO_SNA_IsHistoricalPeriod,,MATCH(F206,MO_Common_ColumnHeader,0)),"Historical","Forward")</f>
        <v>Historical</v>
      </c>
      <c r="C206" s="55"/>
      <c r="D206" s="693" t="str">
        <f aca="true">INDEX(INDIRECT(E206),0,COLUMN(MO_Common_Column_A))</f>
        <v>Net Revenue</v>
      </c>
      <c r="E206" s="694" t="s">
        <v>671</v>
      </c>
      <c r="F206" s="692" t="s">
        <v>779</v>
      </c>
      <c r="G206" s="692"/>
      <c r="H206" s="55"/>
      <c r="I206" s="159" t="n">
        <v>3600</v>
      </c>
      <c r="J206" s="159" t="n">
        <v>3800</v>
      </c>
      <c r="K206" s="159" t="n">
        <f aca="false">AVERAGE(I206:J206)</f>
        <v>3700</v>
      </c>
      <c r="L206" s="55"/>
      <c r="M206" s="692" t="str">
        <f aca="false">IF(INDEX(MO_SNA_IsHistoricalPeriod,,MATCH(F206,MO_Common_ColumnHeader,0)),"Actual","Estimate")</f>
        <v>Actual</v>
      </c>
      <c r="N206" s="159" t="n">
        <f aca="true">IFERROR(INDEX(INDIRECT(E206),0,MATCH(F206,MO_Common_ColumnHeader,0)),"N/A")</f>
        <v>4254.2</v>
      </c>
      <c r="O206" s="55"/>
      <c r="P206" s="695" t="n">
        <f aca="false">IF(ISNUMBER(N206),N206-K206,"N/A")</f>
        <v>554.200000000001</v>
      </c>
      <c r="Q206" s="696" t="n">
        <f aca="false">IFERROR(IF(ISNUMBER(N206),(N206-K206)/ABS(K206),"N/A"),"N/A")</f>
        <v>0.149783783783784</v>
      </c>
      <c r="R206" s="55"/>
      <c r="S206" s="697" t="n">
        <v>44118</v>
      </c>
      <c r="T206" s="698" t="s">
        <v>745</v>
      </c>
      <c r="U206" s="55"/>
    </row>
    <row r="207" s="691" customFormat="true" ht="15" hidden="false" customHeight="true" outlineLevel="0" collapsed="false">
      <c r="A207" s="679" t="n">
        <v>87</v>
      </c>
      <c r="B207" s="692" t="str">
        <f aca="false">IF(INDEX(MO_SNA_IsHistoricalPeriod,,MATCH(F207,MO_Common_ColumnHeader,0)),"Historical","Forward")</f>
        <v>Historical</v>
      </c>
      <c r="C207" s="55"/>
      <c r="D207" s="693" t="s">
        <v>749</v>
      </c>
      <c r="E207" s="694" t="s">
        <v>750</v>
      </c>
      <c r="F207" s="692" t="s">
        <v>779</v>
      </c>
      <c r="G207" s="692"/>
      <c r="H207" s="55"/>
      <c r="I207" s="159" t="n">
        <v>900</v>
      </c>
      <c r="J207" s="159" t="n">
        <v>900</v>
      </c>
      <c r="K207" s="159" t="n">
        <f aca="false">AVERAGE(I207:J207)</f>
        <v>900</v>
      </c>
      <c r="L207" s="55"/>
      <c r="M207" s="692" t="str">
        <f aca="false">IF(INDEX(MO_SNA_IsHistoricalPeriod,,MATCH(F207,MO_Common_ColumnHeader,0)),"Actual","Estimate")</f>
        <v>Actual</v>
      </c>
      <c r="N207" s="159" t="n">
        <f aca="true">IFERROR(INDEX(INDIRECT(E207),0,MATCH(F207,MO_Common_ColumnHeader,0)),"N/A")</f>
        <v>1055.8</v>
      </c>
      <c r="O207" s="55"/>
      <c r="P207" s="695" t="n">
        <f aca="false">IF(ISNUMBER(N207),N207-K207,"N/A")</f>
        <v>155.8</v>
      </c>
      <c r="Q207" s="696" t="n">
        <f aca="false">IFERROR(IF(ISNUMBER(N207),(N207-K207)/ABS(K207),"N/A"),"N/A")</f>
        <v>0.173111111111111</v>
      </c>
      <c r="R207" s="55"/>
      <c r="S207" s="697" t="n">
        <v>44118</v>
      </c>
      <c r="T207" s="698" t="s">
        <v>745</v>
      </c>
      <c r="U207" s="55"/>
    </row>
    <row r="208" s="691" customFormat="true" ht="15" hidden="false" customHeight="true" outlineLevel="0" collapsed="false">
      <c r="A208" s="679" t="n">
        <v>86</v>
      </c>
      <c r="B208" s="692" t="str">
        <f aca="false">IF(INDEX(MO_SNA_IsHistoricalPeriod,,MATCH(F208,MO_Common_ColumnHeader,0)),"Historical","Forward")</f>
        <v>Historical</v>
      </c>
      <c r="C208" s="55"/>
      <c r="D208" s="693" t="str">
        <f aca="true">INDEX(INDIRECT(E208),0,COLUMN(MO_Common_Column_A))</f>
        <v>Gross Margin, %</v>
      </c>
      <c r="E208" s="694" t="s">
        <v>746</v>
      </c>
      <c r="F208" s="692" t="s">
        <v>779</v>
      </c>
      <c r="G208" s="692"/>
      <c r="H208" s="55"/>
      <c r="I208" s="359" t="n">
        <v>0.5</v>
      </c>
      <c r="J208" s="359" t="n">
        <v>0.5</v>
      </c>
      <c r="K208" s="359" t="n">
        <f aca="false">AVERAGE(I208:J208)</f>
        <v>0.5</v>
      </c>
      <c r="L208" s="55"/>
      <c r="M208" s="692" t="str">
        <f aca="false">IF(INDEX(MO_SNA_IsHistoricalPeriod,,MATCH(F208,MO_Common_ColumnHeader,0)),"Actual","Estimate")</f>
        <v>Actual</v>
      </c>
      <c r="N208" s="359" t="n">
        <f aca="true">IFERROR(INDEX(INDIRECT(E208),0,MATCH(F208,MO_Common_ColumnHeader,0)),"N/A")</f>
        <v>0.519768699167881</v>
      </c>
      <c r="O208" s="55"/>
      <c r="P208" s="696" t="n">
        <f aca="false">IF(ISNUMBER(N208),N208-K208,"N/A")</f>
        <v>0.0197686991678812</v>
      </c>
      <c r="Q208" s="696" t="n">
        <f aca="false">IFERROR(IF(ISNUMBER(N208),(N208-K208)/ABS(K208),"N/A"),"N/A")</f>
        <v>0.0395373983357623</v>
      </c>
      <c r="R208" s="55"/>
      <c r="S208" s="697" t="n">
        <v>44118</v>
      </c>
      <c r="T208" s="698" t="s">
        <v>745</v>
      </c>
      <c r="U208" s="55"/>
    </row>
    <row r="209" s="691" customFormat="true" ht="15" hidden="false" customHeight="true" outlineLevel="0" collapsed="false">
      <c r="A209" s="679" t="n">
        <v>85</v>
      </c>
      <c r="B209" s="692" t="str">
        <f aca="false">IF(INDEX(MO_SNA_IsHistoricalPeriod,,MATCH(F209,MO_Common_ColumnHeader,0)),"Historical","Forward")</f>
        <v>Historical</v>
      </c>
      <c r="C209" s="55"/>
      <c r="D209" s="693" t="s">
        <v>751</v>
      </c>
      <c r="E209" s="694" t="s">
        <v>752</v>
      </c>
      <c r="F209" s="692" t="s">
        <v>779</v>
      </c>
      <c r="G209" s="692"/>
      <c r="H209" s="55"/>
      <c r="I209" s="159" t="n">
        <v>550</v>
      </c>
      <c r="J209" s="159" t="n">
        <v>550</v>
      </c>
      <c r="K209" s="159" t="n">
        <f aca="false">AVERAGE(I209:J209)</f>
        <v>550</v>
      </c>
      <c r="L209" s="55"/>
      <c r="M209" s="692" t="str">
        <f aca="false">IF(INDEX(MO_SNA_IsHistoricalPeriod,,MATCH(F209,MO_Common_ColumnHeader,0)),"Actual","Estimate")</f>
        <v>Actual</v>
      </c>
      <c r="N209" s="159" t="n">
        <f aca="true">IFERROR(INDEX(INDIRECT(E209),0,MATCH(F209,MO_Common_ColumnHeader,0)),"N/A")</f>
        <v>555.9</v>
      </c>
      <c r="O209" s="55"/>
      <c r="P209" s="695" t="n">
        <f aca="false">IF(ISNUMBER(N209),N209-K209,"N/A")</f>
        <v>5.90000000000009</v>
      </c>
      <c r="Q209" s="696" t="n">
        <f aca="false">IFERROR(IF(ISNUMBER(N209),(N209-K209)/ABS(K209),"N/A"),"N/A")</f>
        <v>0.0107272727272729</v>
      </c>
      <c r="R209" s="55"/>
      <c r="S209" s="697" t="n">
        <v>44118</v>
      </c>
      <c r="T209" s="698" t="s">
        <v>745</v>
      </c>
      <c r="U209" s="55"/>
    </row>
    <row r="210" s="691" customFormat="true" ht="15" hidden="false" customHeight="true" outlineLevel="0" collapsed="false">
      <c r="A210" s="679" t="n">
        <v>84</v>
      </c>
      <c r="B210" s="692" t="str">
        <f aca="false">IF(INDEX(MO_SNA_IsHistoricalPeriod,,MATCH(F210,MO_Common_ColumnHeader,0)),"Historical","Forward")</f>
        <v>Historical</v>
      </c>
      <c r="C210" s="55"/>
      <c r="D210" s="693" t="str">
        <f aca="true">INDEX(INDIRECT(E210),0,COLUMN(MO_Common_Column_A))</f>
        <v>SG&amp;A</v>
      </c>
      <c r="E210" s="694" t="s">
        <v>753</v>
      </c>
      <c r="F210" s="692" t="s">
        <v>779</v>
      </c>
      <c r="G210" s="692"/>
      <c r="H210" s="55"/>
      <c r="I210" s="159" t="n">
        <v>140</v>
      </c>
      <c r="J210" s="159" t="n">
        <v>140</v>
      </c>
      <c r="K210" s="159" t="n">
        <f aca="false">AVERAGE(I210:J210)</f>
        <v>140</v>
      </c>
      <c r="L210" s="55"/>
      <c r="M210" s="692" t="str">
        <f aca="false">IF(INDEX(MO_SNA_IsHistoricalPeriod,,MATCH(F210,MO_Common_ColumnHeader,0)),"Actual","Estimate")</f>
        <v>Actual</v>
      </c>
      <c r="N210" s="159" t="n">
        <f aca="true">IFERROR(INDEX(INDIRECT(E210),0,MATCH(F210,MO_Common_ColumnHeader,0)),"N/A")</f>
        <v>151.5</v>
      </c>
      <c r="O210" s="55"/>
      <c r="P210" s="695" t="n">
        <f aca="false">IF(ISNUMBER(N210),N210-K210,"N/A")</f>
        <v>11.5</v>
      </c>
      <c r="Q210" s="696" t="n">
        <f aca="false">IFERROR(IF(ISNUMBER(N210),(N210-K210)/ABS(K210),"N/A"),"N/A")</f>
        <v>0.0821428571428571</v>
      </c>
      <c r="R210" s="55"/>
      <c r="S210" s="697" t="n">
        <v>44118</v>
      </c>
      <c r="T210" s="698" t="s">
        <v>745</v>
      </c>
      <c r="U210" s="55"/>
    </row>
    <row r="211" customFormat="false" ht="15" hidden="false" customHeight="true" outlineLevel="0" collapsed="false">
      <c r="A211" s="679" t="n">
        <v>83</v>
      </c>
      <c r="B211" s="692" t="str">
        <f aca="false">IF(INDEX(MO_SNA_IsHistoricalPeriod,,MATCH(F211,MO_Common_ColumnHeader,0)),"Historical","Forward")</f>
        <v>Historical</v>
      </c>
      <c r="C211" s="55"/>
      <c r="D211" s="693" t="s">
        <v>747</v>
      </c>
      <c r="E211" s="694"/>
      <c r="F211" s="692" t="s">
        <v>778</v>
      </c>
      <c r="G211" s="692"/>
      <c r="H211" s="55"/>
      <c r="I211" s="359" t="n">
        <v>0.14</v>
      </c>
      <c r="J211" s="359" t="n">
        <v>0.14</v>
      </c>
      <c r="K211" s="359" t="n">
        <f aca="false">AVERAGE(I211:J211)</f>
        <v>0.14</v>
      </c>
      <c r="L211" s="55"/>
      <c r="M211" s="692" t="str">
        <f aca="false">IF(INDEX(MO_SNA_IsHistoricalPeriod,,MATCH(F211,MO_Common_ColumnHeader,0)),"Actual","Estimate")</f>
        <v>Actual</v>
      </c>
      <c r="N211" s="359" t="n">
        <f aca="false">INDEX(MO_RIS_TaxRate_Current,0,MATCH(F211,MO_Common_ColumnHeader,0))+INDEX(MO_RIS_TaxRate_Deferred,0,MATCH(F211,MO_Common_ColumnHeader,0))</f>
        <v>0.134341810386826</v>
      </c>
      <c r="O211" s="55"/>
      <c r="P211" s="696" t="n">
        <f aca="false">IF(ISNUMBER(N211),N211-K211,"N/A")</f>
        <v>-0.00565818961317355</v>
      </c>
      <c r="Q211" s="696" t="n">
        <f aca="false">IFERROR(IF(ISNUMBER(N211),(N211-K211)/ABS(K211),"N/A"),"N/A")</f>
        <v>-0.0404156400940968</v>
      </c>
      <c r="R211" s="55"/>
      <c r="S211" s="697" t="n">
        <v>44118</v>
      </c>
      <c r="T211" s="698" t="s">
        <v>745</v>
      </c>
      <c r="U211" s="55"/>
    </row>
    <row r="212" customFormat="false" ht="15" hidden="false" customHeight="true" outlineLevel="0" collapsed="false">
      <c r="A212" s="679" t="n">
        <v>82</v>
      </c>
      <c r="B212" s="55"/>
      <c r="C212" s="55"/>
      <c r="D212" s="682"/>
      <c r="E212" s="56"/>
      <c r="F212" s="55"/>
      <c r="G212" s="55"/>
      <c r="H212" s="55"/>
      <c r="I212" s="48"/>
      <c r="J212" s="48"/>
      <c r="K212" s="48"/>
      <c r="L212" s="55"/>
      <c r="M212" s="55"/>
      <c r="N212" s="48"/>
      <c r="O212" s="55"/>
      <c r="P212" s="699"/>
      <c r="Q212" s="700"/>
      <c r="R212" s="55"/>
      <c r="S212" s="701"/>
      <c r="T212" s="702"/>
      <c r="U212" s="55"/>
    </row>
    <row r="213" s="691" customFormat="true" ht="15" hidden="false" customHeight="true" outlineLevel="0" collapsed="false">
      <c r="A213" s="679" t="n">
        <v>81</v>
      </c>
      <c r="B213" s="692" t="str">
        <f aca="false">IF(INDEX(MO_SNA_IsHistoricalPeriod,,MATCH(F213,MO_Common_ColumnHeader,0)),"Historical","Forward")</f>
        <v>Historical</v>
      </c>
      <c r="C213" s="55"/>
      <c r="D213" s="693" t="str">
        <f aca="true">INDEX(INDIRECT(E213),0,COLUMN(MO_Common_Column_A))</f>
        <v>Net Revenue</v>
      </c>
      <c r="E213" s="694" t="s">
        <v>671</v>
      </c>
      <c r="F213" s="692" t="s">
        <v>780</v>
      </c>
      <c r="G213" s="692"/>
      <c r="H213" s="55"/>
      <c r="I213" s="159" t="n">
        <v>3600</v>
      </c>
      <c r="J213" s="159" t="n">
        <v>3800</v>
      </c>
      <c r="K213" s="159" t="n">
        <f aca="false">AVERAGE(I213:J213)</f>
        <v>3700</v>
      </c>
      <c r="L213" s="55"/>
      <c r="M213" s="692" t="str">
        <f aca="false">IF(INDEX(MO_SNA_IsHistoricalPeriod,,MATCH(F213,MO_Common_ColumnHeader,0)),"Actual","Estimate")</f>
        <v>Actual</v>
      </c>
      <c r="N213" s="159" t="n">
        <f aca="true">IFERROR(INDEX(INDIRECT(E213),0,MATCH(F213,MO_Common_ColumnHeader,0)),"N/A")</f>
        <v>3958</v>
      </c>
      <c r="O213" s="55"/>
      <c r="P213" s="695" t="n">
        <f aca="false">IF(ISNUMBER(N213),N213-K213,"N/A")</f>
        <v>258</v>
      </c>
      <c r="Q213" s="696" t="n">
        <f aca="false">IFERROR(IF(ISNUMBER(N213),(N213-K213)/ABS(K213),"N/A"),"N/A")</f>
        <v>0.0697297297297297</v>
      </c>
      <c r="R213" s="55"/>
      <c r="S213" s="697" t="n">
        <v>44027</v>
      </c>
      <c r="T213" s="698" t="s">
        <v>745</v>
      </c>
      <c r="U213" s="55"/>
    </row>
    <row r="214" s="691" customFormat="true" ht="15" hidden="false" customHeight="true" outlineLevel="0" collapsed="false">
      <c r="A214" s="679" t="n">
        <v>80</v>
      </c>
      <c r="B214" s="692" t="str">
        <f aca="false">IF(INDEX(MO_SNA_IsHistoricalPeriod,,MATCH(F214,MO_Common_ColumnHeader,0)),"Historical","Forward")</f>
        <v>Historical</v>
      </c>
      <c r="C214" s="55"/>
      <c r="D214" s="693" t="s">
        <v>749</v>
      </c>
      <c r="E214" s="694" t="s">
        <v>750</v>
      </c>
      <c r="F214" s="692" t="s">
        <v>780</v>
      </c>
      <c r="G214" s="692"/>
      <c r="H214" s="55"/>
      <c r="I214" s="159" t="n">
        <v>850</v>
      </c>
      <c r="J214" s="159" t="n">
        <v>850</v>
      </c>
      <c r="K214" s="159" t="n">
        <f aca="false">AVERAGE(I214:J214)</f>
        <v>850</v>
      </c>
      <c r="L214" s="55"/>
      <c r="M214" s="692" t="str">
        <f aca="false">IF(INDEX(MO_SNA_IsHistoricalPeriod,,MATCH(F214,MO_Common_ColumnHeader,0)),"Actual","Estimate")</f>
        <v>Actual</v>
      </c>
      <c r="N214" s="159" t="n">
        <f aca="true">IFERROR(INDEX(INDIRECT(E214),0,MATCH(F214,MO_Common_ColumnHeader,0)),"N/A")</f>
        <v>862.4</v>
      </c>
      <c r="O214" s="55"/>
      <c r="P214" s="695" t="n">
        <f aca="false">IF(ISNUMBER(N214),N214-K214,"N/A")</f>
        <v>12.4</v>
      </c>
      <c r="Q214" s="696" t="n">
        <f aca="false">IFERROR(IF(ISNUMBER(N214),(N214-K214)/ABS(K214),"N/A"),"N/A")</f>
        <v>0.0145882352941176</v>
      </c>
      <c r="R214" s="55"/>
      <c r="S214" s="697" t="n">
        <v>44027</v>
      </c>
      <c r="T214" s="698" t="s">
        <v>745</v>
      </c>
      <c r="U214" s="55"/>
    </row>
    <row r="215" s="691" customFormat="true" ht="15" hidden="false" customHeight="true" outlineLevel="0" collapsed="false">
      <c r="A215" s="679" t="n">
        <v>79</v>
      </c>
      <c r="B215" s="692" t="str">
        <f aca="false">IF(INDEX(MO_SNA_IsHistoricalPeriod,,MATCH(F215,MO_Common_ColumnHeader,0)),"Historical","Forward")</f>
        <v>Historical</v>
      </c>
      <c r="C215" s="55"/>
      <c r="D215" s="693" t="str">
        <f aca="true">INDEX(INDIRECT(E215),0,COLUMN(MO_Common_Column_A))</f>
        <v>Gross Margin, %</v>
      </c>
      <c r="E215" s="694" t="s">
        <v>746</v>
      </c>
      <c r="F215" s="692" t="s">
        <v>780</v>
      </c>
      <c r="G215" s="692"/>
      <c r="H215" s="55"/>
      <c r="I215" s="359" t="n">
        <v>0.47</v>
      </c>
      <c r="J215" s="359" t="n">
        <v>0.48</v>
      </c>
      <c r="K215" s="359" t="n">
        <f aca="false">AVERAGE(I215:J215)</f>
        <v>0.475</v>
      </c>
      <c r="L215" s="55"/>
      <c r="M215" s="692" t="str">
        <f aca="false">IF(INDEX(MO_SNA_IsHistoricalPeriod,,MATCH(F215,MO_Common_ColumnHeader,0)),"Actual","Estimate")</f>
        <v>Actual</v>
      </c>
      <c r="N215" s="359" t="n">
        <f aca="true">IFERROR(INDEX(INDIRECT(E215),0,MATCH(F215,MO_Common_ColumnHeader,0)),"N/A")</f>
        <v>0.475341081354219</v>
      </c>
      <c r="O215" s="55"/>
      <c r="P215" s="696" t="n">
        <f aca="false">IF(ISNUMBER(N215),N215-K215,"N/A")</f>
        <v>0.000341081354219397</v>
      </c>
      <c r="Q215" s="696" t="n">
        <f aca="false">IFERROR(IF(ISNUMBER(N215),(N215-K215)/ABS(K215),"N/A"),"N/A")</f>
        <v>0.000718066008882941</v>
      </c>
      <c r="R215" s="55"/>
      <c r="S215" s="697" t="n">
        <v>44027</v>
      </c>
      <c r="T215" s="698" t="s">
        <v>745</v>
      </c>
      <c r="U215" s="55"/>
    </row>
    <row r="216" s="691" customFormat="true" ht="15" hidden="false" customHeight="true" outlineLevel="0" collapsed="false">
      <c r="A216" s="679" t="n">
        <v>78</v>
      </c>
      <c r="B216" s="692" t="str">
        <f aca="false">IF(INDEX(MO_SNA_IsHistoricalPeriod,,MATCH(F216,MO_Common_ColumnHeader,0)),"Historical","Forward")</f>
        <v>Historical</v>
      </c>
      <c r="C216" s="55"/>
      <c r="D216" s="693" t="s">
        <v>751</v>
      </c>
      <c r="E216" s="694" t="s">
        <v>752</v>
      </c>
      <c r="F216" s="692" t="s">
        <v>780</v>
      </c>
      <c r="G216" s="692"/>
      <c r="H216" s="55"/>
      <c r="I216" s="159" t="n">
        <v>545</v>
      </c>
      <c r="J216" s="159" t="n">
        <v>545</v>
      </c>
      <c r="K216" s="159" t="n">
        <f aca="false">AVERAGE(I216:J216)</f>
        <v>545</v>
      </c>
      <c r="L216" s="55"/>
      <c r="M216" s="692" t="str">
        <f aca="false">IF(INDEX(MO_SNA_IsHistoricalPeriod,,MATCH(F216,MO_Common_ColumnHeader,0)),"Actual","Estimate")</f>
        <v>Actual</v>
      </c>
      <c r="N216" s="159" t="n">
        <f aca="true">IFERROR(INDEX(INDIRECT(E216),0,MATCH(F216,MO_Common_ColumnHeader,0)),"N/A")</f>
        <v>534</v>
      </c>
      <c r="O216" s="55"/>
      <c r="P216" s="695" t="n">
        <f aca="false">IF(ISNUMBER(N216),N216-K216,"N/A")</f>
        <v>-11</v>
      </c>
      <c r="Q216" s="696" t="n">
        <f aca="false">IFERROR(IF(ISNUMBER(N216),(N216-K216)/ABS(K216),"N/A"),"N/A")</f>
        <v>-0.0201834862385321</v>
      </c>
      <c r="R216" s="55"/>
      <c r="S216" s="697" t="n">
        <v>44027</v>
      </c>
      <c r="T216" s="698" t="s">
        <v>745</v>
      </c>
      <c r="U216" s="55"/>
    </row>
    <row r="217" s="691" customFormat="true" ht="15" hidden="false" customHeight="true" outlineLevel="0" collapsed="false">
      <c r="A217" s="679" t="n">
        <v>77</v>
      </c>
      <c r="B217" s="692" t="str">
        <f aca="false">IF(INDEX(MO_SNA_IsHistoricalPeriod,,MATCH(F217,MO_Common_ColumnHeader,0)),"Historical","Forward")</f>
        <v>Historical</v>
      </c>
      <c r="C217" s="55"/>
      <c r="D217" s="693" t="str">
        <f aca="true">INDEX(INDIRECT(E217),0,COLUMN(MO_Common_Column_A))</f>
        <v>SG&amp;A</v>
      </c>
      <c r="E217" s="694" t="s">
        <v>753</v>
      </c>
      <c r="F217" s="692" t="s">
        <v>780</v>
      </c>
      <c r="G217" s="692"/>
      <c r="H217" s="55"/>
      <c r="I217" s="159" t="n">
        <v>140</v>
      </c>
      <c r="J217" s="159" t="n">
        <v>140</v>
      </c>
      <c r="K217" s="159" t="n">
        <f aca="false">AVERAGE(I217:J217)</f>
        <v>140</v>
      </c>
      <c r="L217" s="55"/>
      <c r="M217" s="692" t="str">
        <f aca="false">IF(INDEX(MO_SNA_IsHistoricalPeriod,,MATCH(F217,MO_Common_ColumnHeader,0)),"Actual","Estimate")</f>
        <v>Actual</v>
      </c>
      <c r="N217" s="159" t="n">
        <f aca="true">IFERROR(INDEX(INDIRECT(E217),0,MATCH(F217,MO_Common_ColumnHeader,0)),"N/A")</f>
        <v>131.5</v>
      </c>
      <c r="O217" s="55"/>
      <c r="P217" s="695" t="n">
        <f aca="false">IF(ISNUMBER(N217),N217-K217,"N/A")</f>
        <v>-8.5</v>
      </c>
      <c r="Q217" s="696" t="n">
        <f aca="false">IFERROR(IF(ISNUMBER(N217),(N217-K217)/ABS(K217),"N/A"),"N/A")</f>
        <v>-0.0607142857142857</v>
      </c>
      <c r="R217" s="55"/>
      <c r="S217" s="697" t="n">
        <v>44027</v>
      </c>
      <c r="T217" s="698" t="s">
        <v>745</v>
      </c>
      <c r="U217" s="55"/>
    </row>
    <row r="218" customFormat="false" ht="15" hidden="false" customHeight="true" outlineLevel="0" collapsed="false">
      <c r="A218" s="679" t="n">
        <v>76</v>
      </c>
      <c r="B218" s="55"/>
      <c r="C218" s="55"/>
      <c r="D218" s="682"/>
      <c r="E218" s="56"/>
      <c r="F218" s="55"/>
      <c r="G218" s="55"/>
      <c r="H218" s="55"/>
      <c r="I218" s="48"/>
      <c r="J218" s="48"/>
      <c r="K218" s="48"/>
      <c r="L218" s="55"/>
      <c r="M218" s="55"/>
      <c r="N218" s="48"/>
      <c r="O218" s="55"/>
      <c r="P218" s="699"/>
      <c r="Q218" s="700"/>
      <c r="R218" s="55"/>
      <c r="S218" s="701"/>
      <c r="T218" s="702"/>
      <c r="U218" s="55"/>
    </row>
    <row r="219" customFormat="false" ht="15" hidden="false" customHeight="true" outlineLevel="0" collapsed="false">
      <c r="A219" s="679" t="n">
        <v>75</v>
      </c>
      <c r="B219" s="692" t="str">
        <f aca="false">IF(INDEX(MO_SNA_IsHistoricalPeriod,,MATCH(F219,MO_Common_ColumnHeader,0)),"Historical","Forward")</f>
        <v>Historical</v>
      </c>
      <c r="C219" s="55"/>
      <c r="D219" s="693" t="s">
        <v>747</v>
      </c>
      <c r="E219" s="694"/>
      <c r="F219" s="692" t="s">
        <v>778</v>
      </c>
      <c r="G219" s="692"/>
      <c r="H219" s="55"/>
      <c r="I219" s="359" t="n">
        <v>0.14</v>
      </c>
      <c r="J219" s="359" t="n">
        <v>0.14</v>
      </c>
      <c r="K219" s="359" t="n">
        <f aca="false">AVERAGE(I219:J219)</f>
        <v>0.14</v>
      </c>
      <c r="L219" s="55"/>
      <c r="M219" s="692" t="str">
        <f aca="false">IF(INDEX(MO_SNA_IsHistoricalPeriod,,MATCH(F219,MO_Common_ColumnHeader,0)),"Actual","Estimate")</f>
        <v>Actual</v>
      </c>
      <c r="N219" s="359" t="n">
        <f aca="false">INDEX(MO_RIS_TaxRate_Current,0,MATCH(F219,MO_Common_ColumnHeader,0))+INDEX(MO_RIS_TaxRate_Deferred,0,MATCH(F219,MO_Common_ColumnHeader,0))</f>
        <v>0.134341810386826</v>
      </c>
      <c r="O219" s="55"/>
      <c r="P219" s="696" t="n">
        <f aca="false">IF(ISNUMBER(N219),N219-K219,"N/A")</f>
        <v>-0.00565818961317355</v>
      </c>
      <c r="Q219" s="696" t="n">
        <f aca="false">IFERROR(IF(ISNUMBER(N219),(N219-K219)/ABS(K219),"N/A"),"N/A")</f>
        <v>-0.0404156400940968</v>
      </c>
      <c r="R219" s="55"/>
      <c r="S219" s="697" t="n">
        <v>44027</v>
      </c>
      <c r="T219" s="698" t="s">
        <v>745</v>
      </c>
      <c r="U219" s="55"/>
    </row>
    <row r="220" customFormat="false" ht="15" hidden="false" customHeight="true" outlineLevel="0" collapsed="false">
      <c r="A220" s="679" t="n">
        <v>74</v>
      </c>
      <c r="B220" s="55"/>
      <c r="C220" s="55"/>
      <c r="D220" s="682"/>
      <c r="E220" s="56"/>
      <c r="F220" s="55"/>
      <c r="G220" s="55"/>
      <c r="H220" s="55"/>
      <c r="I220" s="48"/>
      <c r="J220" s="48"/>
      <c r="K220" s="48"/>
      <c r="L220" s="55"/>
      <c r="M220" s="55"/>
      <c r="N220" s="48"/>
      <c r="O220" s="55"/>
      <c r="P220" s="699"/>
      <c r="Q220" s="700"/>
      <c r="R220" s="55"/>
      <c r="S220" s="701"/>
      <c r="T220" s="702"/>
      <c r="U220" s="55"/>
    </row>
    <row r="221" s="691" customFormat="true" ht="15" hidden="false" customHeight="true" outlineLevel="0" collapsed="false">
      <c r="A221" s="679" t="n">
        <v>73</v>
      </c>
      <c r="B221" s="692" t="str">
        <f aca="false">IF(INDEX(MO_SNA_IsHistoricalPeriod,,MATCH(F221,MO_Common_ColumnHeader,0)),"Historical","Forward")</f>
        <v>Historical</v>
      </c>
      <c r="C221" s="55"/>
      <c r="D221" s="693" t="str">
        <f aca="true">INDEX(INDIRECT(E221),0,COLUMN(MO_Common_Column_A))</f>
        <v>Net Revenue</v>
      </c>
      <c r="E221" s="694" t="s">
        <v>671</v>
      </c>
      <c r="F221" s="692" t="s">
        <v>781</v>
      </c>
      <c r="G221" s="692"/>
      <c r="H221" s="55"/>
      <c r="I221" s="159" t="n">
        <v>2400</v>
      </c>
      <c r="J221" s="159" t="n">
        <v>2500</v>
      </c>
      <c r="K221" s="159" t="n">
        <f aca="false">AVERAGE(I221:J221)</f>
        <v>2450</v>
      </c>
      <c r="L221" s="55"/>
      <c r="M221" s="692" t="str">
        <f aca="false">IF(INDEX(MO_SNA_IsHistoricalPeriod,,MATCH(F221,MO_Common_ColumnHeader,0)),"Actual","Estimate")</f>
        <v>Actual</v>
      </c>
      <c r="N221" s="159" t="n">
        <f aca="true">IFERROR(INDEX(INDIRECT(E221),0,MATCH(F221,MO_Common_ColumnHeader,0)),"N/A")</f>
        <v>2440.6</v>
      </c>
      <c r="O221" s="55"/>
      <c r="P221" s="695" t="n">
        <f aca="false">IF(ISNUMBER(N221),N221-K221,"N/A")</f>
        <v>-9.40000000000009</v>
      </c>
      <c r="Q221" s="696" t="n">
        <f aca="false">IFERROR(IF(ISNUMBER(N221),(N221-K221)/ABS(K221),"N/A"),"N/A")</f>
        <v>-0.00383673469387759</v>
      </c>
      <c r="R221" s="55"/>
      <c r="S221" s="697" t="n">
        <v>43920</v>
      </c>
      <c r="T221" s="698" t="s">
        <v>782</v>
      </c>
      <c r="U221" s="55"/>
    </row>
    <row r="222" s="691" customFormat="true" ht="15" hidden="false" customHeight="true" outlineLevel="0" collapsed="false">
      <c r="A222" s="679" t="n">
        <v>72</v>
      </c>
      <c r="B222" s="692" t="str">
        <f aca="false">IF(INDEX(MO_SNA_IsHistoricalPeriod,,MATCH(F222,MO_Common_ColumnHeader,0)),"Historical","Forward")</f>
        <v>Historical</v>
      </c>
      <c r="C222" s="55"/>
      <c r="D222" s="693" t="str">
        <f aca="true">INDEX(INDIRECT(E222),0,COLUMN(MO_Common_Column_A))</f>
        <v>Gross Margin, %</v>
      </c>
      <c r="E222" s="694" t="s">
        <v>746</v>
      </c>
      <c r="F222" s="692" t="s">
        <v>781</v>
      </c>
      <c r="G222" s="692"/>
      <c r="H222" s="55"/>
      <c r="I222" s="359" t="n">
        <v>0.45</v>
      </c>
      <c r="J222" s="359" t="n">
        <v>0.46</v>
      </c>
      <c r="K222" s="359" t="n">
        <f aca="false">AVERAGE(I222:J222)</f>
        <v>0.455</v>
      </c>
      <c r="L222" s="55"/>
      <c r="M222" s="692" t="str">
        <f aca="false">IF(INDEX(MO_SNA_IsHistoricalPeriod,,MATCH(F222,MO_Common_ColumnHeader,0)),"Actual","Estimate")</f>
        <v>Actual</v>
      </c>
      <c r="N222" s="359" t="n">
        <f aca="true">IFERROR(INDEX(INDIRECT(E222),0,MATCH(F222,MO_Common_ColumnHeader,0)),"N/A")</f>
        <v>0.451282471523396</v>
      </c>
      <c r="O222" s="55"/>
      <c r="P222" s="696" t="n">
        <f aca="false">IF(ISNUMBER(N222),N222-K222,"N/A")</f>
        <v>-0.00371752847660417</v>
      </c>
      <c r="Q222" s="696" t="n">
        <f aca="false">IFERROR(IF(ISNUMBER(N222),(N222-K222)/ABS(K222),"N/A"),"N/A")</f>
        <v>-0.0081703922562729</v>
      </c>
      <c r="R222" s="55"/>
      <c r="S222" s="697" t="n">
        <v>43920</v>
      </c>
      <c r="T222" s="698" t="s">
        <v>782</v>
      </c>
      <c r="U222" s="55"/>
    </row>
    <row r="223" customFormat="false" ht="15" hidden="false" customHeight="true" outlineLevel="0" collapsed="false">
      <c r="A223" s="679" t="n">
        <v>71</v>
      </c>
      <c r="B223" s="55"/>
      <c r="C223" s="55"/>
      <c r="D223" s="682"/>
      <c r="E223" s="56"/>
      <c r="F223" s="55"/>
      <c r="G223" s="55"/>
      <c r="H223" s="55"/>
      <c r="I223" s="48"/>
      <c r="J223" s="48"/>
      <c r="K223" s="48"/>
      <c r="L223" s="55"/>
      <c r="M223" s="55"/>
      <c r="N223" s="48"/>
      <c r="O223" s="55"/>
      <c r="P223" s="699"/>
      <c r="Q223" s="700"/>
      <c r="R223" s="55"/>
      <c r="S223" s="701"/>
      <c r="T223" s="702"/>
      <c r="U223" s="55"/>
    </row>
    <row r="224" s="691" customFormat="true" ht="15" hidden="false" customHeight="true" outlineLevel="0" collapsed="false">
      <c r="A224" s="679" t="n">
        <v>70</v>
      </c>
      <c r="B224" s="692" t="str">
        <f aca="false">IF(INDEX(MO_SNA_IsHistoricalPeriod,,MATCH(F224,MO_Common_ColumnHeader,0)),"Historical","Forward")</f>
        <v>Historical</v>
      </c>
      <c r="C224" s="55"/>
      <c r="D224" s="693" t="str">
        <f aca="true">INDEX(INDIRECT(E224),0,COLUMN(MO_Common_Column_A))</f>
        <v>EUV units sold, # of units</v>
      </c>
      <c r="E224" s="694" t="s">
        <v>783</v>
      </c>
      <c r="F224" s="692" t="s">
        <v>773</v>
      </c>
      <c r="G224" s="692"/>
      <c r="H224" s="55"/>
      <c r="I224" s="214" t="n">
        <v>45</v>
      </c>
      <c r="J224" s="214" t="n">
        <v>50</v>
      </c>
      <c r="K224" s="214" t="n">
        <f aca="false">AVERAGE(I224:J224)</f>
        <v>47.5</v>
      </c>
      <c r="L224" s="55"/>
      <c r="M224" s="692" t="str">
        <f aca="false">IF(INDEX(MO_SNA_IsHistoricalPeriod,,MATCH(F224,MO_Common_ColumnHeader,0)),"Actual","Estimate")</f>
        <v>Actual</v>
      </c>
      <c r="N224" s="214" t="n">
        <f aca="true">IFERROR(INDEX(INDIRECT(E224),0,MATCH(F224,MO_Common_ColumnHeader,0)),"N/A")</f>
        <v>42</v>
      </c>
      <c r="O224" s="215"/>
      <c r="P224" s="703" t="n">
        <f aca="false">IF(ISNUMBER(N224),N224-K224,"N/A")</f>
        <v>-5.5</v>
      </c>
      <c r="Q224" s="696" t="n">
        <f aca="false">IFERROR(IF(ISNUMBER(N224),(N224-K224)/ABS(K224),"N/A"),"N/A")</f>
        <v>-0.115789473684211</v>
      </c>
      <c r="R224" s="55"/>
      <c r="S224" s="697" t="n">
        <v>43852</v>
      </c>
      <c r="T224" s="698" t="s">
        <v>784</v>
      </c>
      <c r="U224" s="55"/>
    </row>
    <row r="225" customFormat="false" ht="15" hidden="false" customHeight="true" outlineLevel="0" collapsed="false">
      <c r="A225" s="679" t="n">
        <v>69</v>
      </c>
      <c r="B225" s="55"/>
      <c r="C225" s="55"/>
      <c r="D225" s="682"/>
      <c r="E225" s="56"/>
      <c r="F225" s="55"/>
      <c r="G225" s="55"/>
      <c r="H225" s="55"/>
      <c r="I225" s="48"/>
      <c r="J225" s="48"/>
      <c r="K225" s="48"/>
      <c r="L225" s="55"/>
      <c r="M225" s="55"/>
      <c r="N225" s="48"/>
      <c r="O225" s="55"/>
      <c r="P225" s="699"/>
      <c r="Q225" s="700"/>
      <c r="R225" s="55"/>
      <c r="S225" s="701"/>
      <c r="T225" s="702"/>
      <c r="U225" s="55"/>
    </row>
    <row r="226" s="691" customFormat="true" ht="15" hidden="false" customHeight="true" outlineLevel="0" collapsed="false">
      <c r="A226" s="679" t="n">
        <v>68</v>
      </c>
      <c r="B226" s="692" t="str">
        <f aca="false">IF(INDEX(MO_SNA_IsHistoricalPeriod,,MATCH(F226,MO_Common_ColumnHeader,0)),"Historical","Forward")</f>
        <v>Historical</v>
      </c>
      <c r="C226" s="55"/>
      <c r="D226" s="693" t="str">
        <f aca="true">INDEX(INDIRECT(E226),0,COLUMN(MO_Common_Column_A))</f>
        <v>EUV units sold, # of units</v>
      </c>
      <c r="E226" s="694" t="s">
        <v>783</v>
      </c>
      <c r="F226" s="692" t="s">
        <v>778</v>
      </c>
      <c r="G226" s="692"/>
      <c r="H226" s="55"/>
      <c r="I226" s="214" t="n">
        <v>35</v>
      </c>
      <c r="J226" s="214" t="n">
        <v>35</v>
      </c>
      <c r="K226" s="214" t="n">
        <f aca="false">AVERAGE(I226:J226)</f>
        <v>35</v>
      </c>
      <c r="L226" s="55"/>
      <c r="M226" s="692" t="str">
        <f aca="false">IF(INDEX(MO_SNA_IsHistoricalPeriod,,MATCH(F226,MO_Common_ColumnHeader,0)),"Actual","Estimate")</f>
        <v>Actual</v>
      </c>
      <c r="N226" s="214" t="n">
        <f aca="true">IFERROR(INDEX(INDIRECT(E226),0,MATCH(F226,MO_Common_ColumnHeader,0)),"N/A")</f>
        <v>31</v>
      </c>
      <c r="O226" s="215"/>
      <c r="P226" s="703" t="n">
        <f aca="false">IF(ISNUMBER(N226),N226-K226,"N/A")</f>
        <v>-4</v>
      </c>
      <c r="Q226" s="696" t="n">
        <f aca="false">IFERROR(IF(ISNUMBER(N226),(N226-K226)/ABS(K226),"N/A"),"N/A")</f>
        <v>-0.114285714285714</v>
      </c>
      <c r="R226" s="55"/>
      <c r="S226" s="697" t="n">
        <v>43852</v>
      </c>
      <c r="T226" s="698" t="s">
        <v>784</v>
      </c>
      <c r="U226" s="55"/>
    </row>
    <row r="227" s="691" customFormat="true" ht="15" hidden="false" customHeight="true" outlineLevel="0" collapsed="false">
      <c r="A227" s="679" t="n">
        <v>67</v>
      </c>
      <c r="B227" s="692" t="str">
        <f aca="false">IF(INDEX(MO_SNA_IsHistoricalPeriod,,MATCH(F227,MO_Common_ColumnHeader,0)),"Historical","Forward")</f>
        <v>Historical</v>
      </c>
      <c r="C227" s="55"/>
      <c r="D227" s="693" t="str">
        <f aca="true">INDEX(INDIRECT(E227),0,COLUMN(MO_Common_Column_A))</f>
        <v>EUV sales, mm</v>
      </c>
      <c r="E227" s="694" t="s">
        <v>785</v>
      </c>
      <c r="F227" s="692" t="s">
        <v>778</v>
      </c>
      <c r="G227" s="692"/>
      <c r="H227" s="55"/>
      <c r="I227" s="159" t="n">
        <v>4500</v>
      </c>
      <c r="J227" s="159" t="n">
        <v>4500</v>
      </c>
      <c r="K227" s="159" t="n">
        <f aca="false">AVERAGE(I227:J227)</f>
        <v>4500</v>
      </c>
      <c r="L227" s="55"/>
      <c r="M227" s="692" t="str">
        <f aca="false">IF(INDEX(MO_SNA_IsHistoricalPeriod,,MATCH(F227,MO_Common_ColumnHeader,0)),"Actual","Estimate")</f>
        <v>Actual</v>
      </c>
      <c r="N227" s="159" t="n">
        <f aca="true">IFERROR(INDEX(INDIRECT(E227),0,MATCH(F227,MO_Common_ColumnHeader,0)),"N/A")</f>
        <v>4463.8</v>
      </c>
      <c r="O227" s="48"/>
      <c r="P227" s="695" t="n">
        <f aca="false">IF(ISNUMBER(N227),N227-K227,"N/A")</f>
        <v>-36.1999999999998</v>
      </c>
      <c r="Q227" s="696" t="n">
        <f aca="false">IFERROR(IF(ISNUMBER(N227),(N227-K227)/ABS(K227),"N/A"),"N/A")</f>
        <v>-0.0080444444444444</v>
      </c>
      <c r="R227" s="55"/>
      <c r="S227" s="697" t="n">
        <v>43852</v>
      </c>
      <c r="T227" s="698" t="s">
        <v>784</v>
      </c>
      <c r="U227" s="55"/>
    </row>
    <row r="228" s="691" customFormat="true" ht="15" hidden="false" customHeight="true" outlineLevel="0" collapsed="false">
      <c r="A228" s="679" t="n">
        <v>66</v>
      </c>
      <c r="B228" s="692" t="str">
        <f aca="false">IF(INDEX(MO_SNA_IsHistoricalPeriod,,MATCH(F228,MO_Common_ColumnHeader,0)),"Historical","Forward")</f>
        <v>Historical</v>
      </c>
      <c r="C228" s="55"/>
      <c r="D228" s="693" t="str">
        <f aca="true">INDEX(INDIRECT(E228),0,COLUMN(MO_Common_Column_A))</f>
        <v>Net service and field option sales, mm</v>
      </c>
      <c r="E228" s="694" t="s">
        <v>750</v>
      </c>
      <c r="F228" s="692" t="s">
        <v>778</v>
      </c>
      <c r="G228" s="692"/>
      <c r="H228" s="55"/>
      <c r="I228" s="159" t="n">
        <v>3400</v>
      </c>
      <c r="J228" s="159" t="n">
        <v>3400</v>
      </c>
      <c r="K228" s="159" t="n">
        <f aca="false">AVERAGE(I228:J228)</f>
        <v>3400</v>
      </c>
      <c r="L228" s="55"/>
      <c r="M228" s="692" t="str">
        <f aca="false">IF(INDEX(MO_SNA_IsHistoricalPeriod,,MATCH(F228,MO_Common_ColumnHeader,0)),"Actual","Estimate")</f>
        <v>Actual</v>
      </c>
      <c r="N228" s="159" t="n">
        <f aca="true">IFERROR(INDEX(INDIRECT(E228),0,MATCH(F228,MO_Common_ColumnHeader,0)),"N/A")</f>
        <v>3661.9</v>
      </c>
      <c r="O228" s="48"/>
      <c r="P228" s="695" t="n">
        <f aca="false">IF(ISNUMBER(N228),N228-K228,"N/A")</f>
        <v>261.9</v>
      </c>
      <c r="Q228" s="696" t="n">
        <f aca="false">IFERROR(IF(ISNUMBER(N228),(N228-K228)/ABS(K228),"N/A"),"N/A")</f>
        <v>0.0770294117647059</v>
      </c>
      <c r="R228" s="55"/>
      <c r="S228" s="697" t="n">
        <v>43852</v>
      </c>
      <c r="T228" s="698" t="s">
        <v>784</v>
      </c>
      <c r="U228" s="55"/>
    </row>
    <row r="229" customFormat="false" ht="15" hidden="false" customHeight="true" outlineLevel="0" collapsed="false">
      <c r="A229" s="679" t="n">
        <v>65</v>
      </c>
      <c r="B229" s="692" t="str">
        <f aca="false">IF(INDEX(MO_SNA_IsHistoricalPeriod,,MATCH(F229,MO_Common_ColumnHeader,0)),"Historical","Forward")</f>
        <v>Historical</v>
      </c>
      <c r="C229" s="55"/>
      <c r="D229" s="693" t="s">
        <v>747</v>
      </c>
      <c r="E229" s="694"/>
      <c r="F229" s="692" t="s">
        <v>778</v>
      </c>
      <c r="G229" s="692"/>
      <c r="H229" s="55"/>
      <c r="I229" s="359" t="n">
        <v>0.13</v>
      </c>
      <c r="J229" s="359" t="n">
        <v>0.13</v>
      </c>
      <c r="K229" s="359" t="n">
        <f aca="false">AVERAGE(I229:J229)</f>
        <v>0.13</v>
      </c>
      <c r="L229" s="55"/>
      <c r="M229" s="692" t="str">
        <f aca="false">IF(INDEX(MO_SNA_IsHistoricalPeriod,,MATCH(F229,MO_Common_ColumnHeader,0)),"Actual","Estimate")</f>
        <v>Actual</v>
      </c>
      <c r="N229" s="359" t="n">
        <f aca="false">INDEX(MO_RIS_TaxRate_Current,0,MATCH(F229,MO_Common_ColumnHeader,0))+INDEX(MO_RIS_TaxRate_Deferred,0,MATCH(F229,MO_Common_ColumnHeader,0))</f>
        <v>0.134341810386826</v>
      </c>
      <c r="O229" s="55"/>
      <c r="P229" s="696" t="n">
        <f aca="false">IF(ISNUMBER(N229),N229-K229,"N/A")</f>
        <v>0.00434181038682646</v>
      </c>
      <c r="Q229" s="696" t="n">
        <f aca="false">IFERROR(IF(ISNUMBER(N229),(N229-K229)/ABS(K229),"N/A"),"N/A")</f>
        <v>0.0333985414371266</v>
      </c>
      <c r="R229" s="55"/>
      <c r="S229" s="697" t="n">
        <v>43852</v>
      </c>
      <c r="T229" s="698" t="s">
        <v>745</v>
      </c>
      <c r="U229" s="55"/>
    </row>
    <row r="230" customFormat="false" ht="15" hidden="false" customHeight="true" outlineLevel="0" collapsed="false">
      <c r="A230" s="679" t="n">
        <v>64</v>
      </c>
      <c r="B230" s="55"/>
      <c r="C230" s="55"/>
      <c r="D230" s="682"/>
      <c r="E230" s="56"/>
      <c r="F230" s="55"/>
      <c r="G230" s="55"/>
      <c r="H230" s="55"/>
      <c r="I230" s="48"/>
      <c r="J230" s="48"/>
      <c r="K230" s="48"/>
      <c r="L230" s="55"/>
      <c r="M230" s="55"/>
      <c r="N230" s="48"/>
      <c r="O230" s="55"/>
      <c r="P230" s="699"/>
      <c r="Q230" s="700"/>
      <c r="R230" s="55"/>
      <c r="S230" s="701"/>
      <c r="T230" s="702"/>
      <c r="U230" s="55"/>
    </row>
    <row r="231" s="691" customFormat="true" ht="15" hidden="false" customHeight="true" outlineLevel="0" collapsed="false">
      <c r="A231" s="679" t="n">
        <v>63</v>
      </c>
      <c r="B231" s="692" t="str">
        <f aca="false">IF(INDEX(MO_SNA_IsHistoricalPeriod,,MATCH(F231,MO_Common_ColumnHeader,0)),"Historical","Forward")</f>
        <v>Historical</v>
      </c>
      <c r="C231" s="55"/>
      <c r="D231" s="693" t="str">
        <f aca="true">INDEX(INDIRECT(E231),0,COLUMN(MO_Common_Column_A))</f>
        <v>Net Revenue</v>
      </c>
      <c r="E231" s="694" t="s">
        <v>671</v>
      </c>
      <c r="F231" s="692" t="s">
        <v>781</v>
      </c>
      <c r="G231" s="692"/>
      <c r="H231" s="55"/>
      <c r="I231" s="159" t="n">
        <v>3100</v>
      </c>
      <c r="J231" s="159" t="n">
        <v>3300</v>
      </c>
      <c r="K231" s="159" t="n">
        <f aca="false">AVERAGE(I231:J231)</f>
        <v>3200</v>
      </c>
      <c r="L231" s="55"/>
      <c r="M231" s="692" t="str">
        <f aca="false">IF(INDEX(MO_SNA_IsHistoricalPeriod,,MATCH(F231,MO_Common_ColumnHeader,0)),"Actual","Estimate")</f>
        <v>Actual</v>
      </c>
      <c r="N231" s="159" t="n">
        <f aca="true">IFERROR(INDEX(INDIRECT(E231),0,MATCH(F231,MO_Common_ColumnHeader,0)),"N/A")</f>
        <v>2440.6</v>
      </c>
      <c r="O231" s="55"/>
      <c r="P231" s="695" t="n">
        <f aca="false">IF(ISNUMBER(N231),N231-K231,"N/A")</f>
        <v>-759.4</v>
      </c>
      <c r="Q231" s="696" t="n">
        <f aca="false">IFERROR(IF(ISNUMBER(N231),(N231-K231)/ABS(K231),"N/A"),"N/A")</f>
        <v>-0.2373125</v>
      </c>
      <c r="R231" s="55"/>
      <c r="S231" s="697" t="n">
        <v>43852</v>
      </c>
      <c r="T231" s="698" t="s">
        <v>745</v>
      </c>
      <c r="U231" s="55"/>
    </row>
    <row r="232" s="691" customFormat="true" ht="15" hidden="false" customHeight="true" outlineLevel="0" collapsed="false">
      <c r="A232" s="679" t="n">
        <v>62</v>
      </c>
      <c r="B232" s="692" t="str">
        <f aca="false">IF(INDEX(MO_SNA_IsHistoricalPeriod,,MATCH(F232,MO_Common_ColumnHeader,0)),"Historical","Forward")</f>
        <v>Historical</v>
      </c>
      <c r="C232" s="55"/>
      <c r="D232" s="693" t="s">
        <v>749</v>
      </c>
      <c r="E232" s="694" t="s">
        <v>750</v>
      </c>
      <c r="F232" s="692" t="s">
        <v>781</v>
      </c>
      <c r="G232" s="692"/>
      <c r="H232" s="55"/>
      <c r="I232" s="159" t="n">
        <v>950</v>
      </c>
      <c r="J232" s="159" t="n">
        <v>950</v>
      </c>
      <c r="K232" s="159" t="n">
        <f aca="false">AVERAGE(I232:J232)</f>
        <v>950</v>
      </c>
      <c r="L232" s="55"/>
      <c r="M232" s="692" t="str">
        <f aca="false">IF(INDEX(MO_SNA_IsHistoricalPeriod,,MATCH(F232,MO_Common_ColumnHeader,0)),"Actual","Estimate")</f>
        <v>Actual</v>
      </c>
      <c r="N232" s="159" t="n">
        <f aca="true">IFERROR(INDEX(INDIRECT(E232),0,MATCH(F232,MO_Common_ColumnHeader,0)),"N/A")</f>
        <v>856.6</v>
      </c>
      <c r="O232" s="55"/>
      <c r="P232" s="695" t="n">
        <f aca="false">IF(ISNUMBER(N232),N232-K232,"N/A")</f>
        <v>-93.4</v>
      </c>
      <c r="Q232" s="696" t="n">
        <f aca="false">IFERROR(IF(ISNUMBER(N232),(N232-K232)/ABS(K232),"N/A"),"N/A")</f>
        <v>-0.0983157894736842</v>
      </c>
      <c r="R232" s="55"/>
      <c r="S232" s="697" t="n">
        <v>43852</v>
      </c>
      <c r="T232" s="698" t="s">
        <v>745</v>
      </c>
      <c r="U232" s="55"/>
    </row>
    <row r="233" s="691" customFormat="true" ht="15" hidden="false" customHeight="true" outlineLevel="0" collapsed="false">
      <c r="A233" s="679" t="n">
        <v>61</v>
      </c>
      <c r="B233" s="692" t="str">
        <f aca="false">IF(INDEX(MO_SNA_IsHistoricalPeriod,,MATCH(F233,MO_Common_ColumnHeader,0)),"Historical","Forward")</f>
        <v>Historical</v>
      </c>
      <c r="C233" s="55"/>
      <c r="D233" s="693" t="str">
        <f aca="true">INDEX(INDIRECT(E233),0,COLUMN(MO_Common_Column_A))</f>
        <v>Gross Margin, %</v>
      </c>
      <c r="E233" s="694" t="s">
        <v>746</v>
      </c>
      <c r="F233" s="692" t="s">
        <v>781</v>
      </c>
      <c r="G233" s="692"/>
      <c r="H233" s="55"/>
      <c r="I233" s="359" t="n">
        <v>0.46</v>
      </c>
      <c r="J233" s="359" t="n">
        <v>0.47</v>
      </c>
      <c r="K233" s="359" t="n">
        <f aca="false">AVERAGE(I233:J233)</f>
        <v>0.465</v>
      </c>
      <c r="L233" s="55"/>
      <c r="M233" s="692" t="str">
        <f aca="false">IF(INDEX(MO_SNA_IsHistoricalPeriod,,MATCH(F233,MO_Common_ColumnHeader,0)),"Actual","Estimate")</f>
        <v>Actual</v>
      </c>
      <c r="N233" s="359" t="n">
        <f aca="true">IFERROR(INDEX(INDIRECT(E233),0,MATCH(F233,MO_Common_ColumnHeader,0)),"N/A")</f>
        <v>0.451282471523396</v>
      </c>
      <c r="O233" s="55"/>
      <c r="P233" s="696" t="n">
        <f aca="false">IF(ISNUMBER(N233),N233-K233,"N/A")</f>
        <v>-0.0137175284766041</v>
      </c>
      <c r="Q233" s="696" t="n">
        <f aca="false">IFERROR(IF(ISNUMBER(N233),(N233-K233)/ABS(K233),"N/A"),"N/A")</f>
        <v>-0.0295000612400089</v>
      </c>
      <c r="R233" s="55"/>
      <c r="S233" s="697" t="n">
        <v>43852</v>
      </c>
      <c r="T233" s="698" t="s">
        <v>745</v>
      </c>
      <c r="U233" s="55"/>
    </row>
    <row r="234" s="691" customFormat="true" ht="15" hidden="false" customHeight="true" outlineLevel="0" collapsed="false">
      <c r="A234" s="679" t="n">
        <v>60</v>
      </c>
      <c r="B234" s="692" t="str">
        <f aca="false">IF(INDEX(MO_SNA_IsHistoricalPeriod,,MATCH(F234,MO_Common_ColumnHeader,0)),"Historical","Forward")</f>
        <v>Historical</v>
      </c>
      <c r="C234" s="55"/>
      <c r="D234" s="693" t="s">
        <v>751</v>
      </c>
      <c r="E234" s="694" t="s">
        <v>752</v>
      </c>
      <c r="F234" s="692" t="s">
        <v>781</v>
      </c>
      <c r="G234" s="692"/>
      <c r="H234" s="55"/>
      <c r="I234" s="159" t="n">
        <v>550</v>
      </c>
      <c r="J234" s="159" t="n">
        <v>550</v>
      </c>
      <c r="K234" s="159" t="n">
        <f aca="false">AVERAGE(I234:J234)</f>
        <v>550</v>
      </c>
      <c r="L234" s="55"/>
      <c r="M234" s="692" t="str">
        <f aca="false">IF(INDEX(MO_SNA_IsHistoricalPeriod,,MATCH(F234,MO_Common_ColumnHeader,0)),"Actual","Estimate")</f>
        <v>Actual</v>
      </c>
      <c r="N234" s="159" t="n">
        <f aca="true">IFERROR(INDEX(INDIRECT(E234),0,MATCH(F234,MO_Common_ColumnHeader,0)),"N/A")</f>
        <v>544</v>
      </c>
      <c r="O234" s="55"/>
      <c r="P234" s="695" t="n">
        <f aca="false">IF(ISNUMBER(N234),N234-K234,"N/A")</f>
        <v>-6</v>
      </c>
      <c r="Q234" s="696" t="n">
        <f aca="false">IFERROR(IF(ISNUMBER(N234),(N234-K234)/ABS(K234),"N/A"),"N/A")</f>
        <v>-0.0109090909090909</v>
      </c>
      <c r="R234" s="55"/>
      <c r="S234" s="697" t="n">
        <v>43852</v>
      </c>
      <c r="T234" s="698" t="s">
        <v>745</v>
      </c>
      <c r="U234" s="55"/>
    </row>
    <row r="235" s="691" customFormat="true" ht="15" hidden="false" customHeight="true" outlineLevel="0" collapsed="false">
      <c r="A235" s="679" t="n">
        <v>59</v>
      </c>
      <c r="B235" s="692" t="str">
        <f aca="false">IF(INDEX(MO_SNA_IsHistoricalPeriod,,MATCH(F235,MO_Common_ColumnHeader,0)),"Historical","Forward")</f>
        <v>Historical</v>
      </c>
      <c r="C235" s="55"/>
      <c r="D235" s="693" t="str">
        <f aca="true">INDEX(INDIRECT(E235),0,COLUMN(MO_Common_Column_A))</f>
        <v>SG&amp;A</v>
      </c>
      <c r="E235" s="694" t="s">
        <v>753</v>
      </c>
      <c r="F235" s="692" t="s">
        <v>781</v>
      </c>
      <c r="G235" s="692"/>
      <c r="H235" s="55"/>
      <c r="I235" s="159" t="n">
        <v>140</v>
      </c>
      <c r="J235" s="159" t="n">
        <v>140</v>
      </c>
      <c r="K235" s="159" t="n">
        <f aca="false">AVERAGE(I235:J235)</f>
        <v>140</v>
      </c>
      <c r="L235" s="55"/>
      <c r="M235" s="692" t="str">
        <f aca="false">IF(INDEX(MO_SNA_IsHistoricalPeriod,,MATCH(F235,MO_Common_ColumnHeader,0)),"Actual","Estimate")</f>
        <v>Actual</v>
      </c>
      <c r="N235" s="159" t="n">
        <f aca="true">IFERROR(INDEX(INDIRECT(E235),0,MATCH(F235,MO_Common_ColumnHeader,0)),"N/A")</f>
        <v>130.7</v>
      </c>
      <c r="O235" s="55"/>
      <c r="P235" s="695" t="n">
        <f aca="false">IF(ISNUMBER(N235),N235-K235,"N/A")</f>
        <v>-9.30000000000001</v>
      </c>
      <c r="Q235" s="696" t="n">
        <f aca="false">IFERROR(IF(ISNUMBER(N235),(N235-K235)/ABS(K235),"N/A"),"N/A")</f>
        <v>-0.0664285714285715</v>
      </c>
      <c r="R235" s="55"/>
      <c r="S235" s="697" t="n">
        <v>43852</v>
      </c>
      <c r="T235" s="698" t="s">
        <v>745</v>
      </c>
      <c r="U235" s="55"/>
    </row>
    <row r="236" customFormat="false" ht="15" hidden="false" customHeight="true" outlineLevel="0" collapsed="false">
      <c r="A236" s="679" t="n">
        <v>58</v>
      </c>
      <c r="B236" s="55"/>
      <c r="C236" s="55"/>
      <c r="D236" s="682"/>
      <c r="E236" s="56"/>
      <c r="F236" s="55"/>
      <c r="G236" s="55"/>
      <c r="H236" s="55"/>
      <c r="I236" s="48"/>
      <c r="J236" s="48"/>
      <c r="K236" s="48"/>
      <c r="L236" s="55"/>
      <c r="M236" s="55"/>
      <c r="N236" s="48"/>
      <c r="O236" s="55"/>
      <c r="P236" s="699"/>
      <c r="Q236" s="700"/>
      <c r="R236" s="55"/>
      <c r="S236" s="701"/>
      <c r="T236" s="702"/>
      <c r="U236" s="55"/>
    </row>
    <row r="237" customFormat="false" ht="15" hidden="false" customHeight="true" outlineLevel="0" collapsed="false">
      <c r="A237" s="679" t="n">
        <v>57</v>
      </c>
      <c r="B237" s="692" t="str">
        <f aca="false">IF(INDEX(MO_SNA_IsHistoricalPeriod,,MATCH(F237,MO_Common_ColumnHeader,0)),"Historical","Forward")</f>
        <v>Historical</v>
      </c>
      <c r="C237" s="55"/>
      <c r="D237" s="693" t="s">
        <v>747</v>
      </c>
      <c r="E237" s="694"/>
      <c r="F237" s="692" t="s">
        <v>786</v>
      </c>
      <c r="G237" s="692"/>
      <c r="H237" s="55"/>
      <c r="I237" s="359" t="n">
        <v>0.07</v>
      </c>
      <c r="J237" s="359" t="n">
        <v>0.07</v>
      </c>
      <c r="K237" s="359" t="n">
        <f aca="false">AVERAGE(I237:J237)</f>
        <v>0.07</v>
      </c>
      <c r="L237" s="55"/>
      <c r="M237" s="692" t="str">
        <f aca="false">IF(INDEX(MO_SNA_IsHistoricalPeriod,,MATCH(F237,MO_Common_ColumnHeader,0)),"Actual","Estimate")</f>
        <v>Actual</v>
      </c>
      <c r="N237" s="359" t="n">
        <f aca="false">INDEX(MO_RIS_TaxRate_Current,0,MATCH(F237,MO_Common_ColumnHeader,0))+INDEX(MO_RIS_TaxRate_Deferred,0,MATCH(F237,MO_Common_ColumnHeader,0))</f>
        <v>0.0688577586206896</v>
      </c>
      <c r="O237" s="55"/>
      <c r="P237" s="696" t="n">
        <f aca="false">IF(ISNUMBER(N237),N237-K237,"N/A")</f>
        <v>-0.00114224137931036</v>
      </c>
      <c r="Q237" s="696" t="n">
        <f aca="false">IFERROR(IF(ISNUMBER(N237),(N237-K237)/ABS(K237),"N/A"),"N/A")</f>
        <v>-0.016317733990148</v>
      </c>
      <c r="R237" s="55"/>
      <c r="S237" s="697" t="n">
        <v>43754</v>
      </c>
      <c r="T237" s="698" t="s">
        <v>745</v>
      </c>
      <c r="U237" s="55"/>
    </row>
    <row r="238" customFormat="false" ht="15" hidden="false" customHeight="true" outlineLevel="0" collapsed="false">
      <c r="A238" s="679" t="n">
        <v>56</v>
      </c>
      <c r="B238" s="55"/>
      <c r="C238" s="55"/>
      <c r="D238" s="682"/>
      <c r="E238" s="56"/>
      <c r="F238" s="55"/>
      <c r="G238" s="55"/>
      <c r="H238" s="55"/>
      <c r="I238" s="48"/>
      <c r="J238" s="48"/>
      <c r="K238" s="48"/>
      <c r="L238" s="55"/>
      <c r="M238" s="55"/>
      <c r="N238" s="48"/>
      <c r="O238" s="55"/>
      <c r="P238" s="699"/>
      <c r="Q238" s="700"/>
      <c r="R238" s="55"/>
      <c r="S238" s="701"/>
      <c r="T238" s="702"/>
      <c r="U238" s="55"/>
    </row>
    <row r="239" customFormat="false" ht="15" hidden="false" customHeight="true" outlineLevel="0" collapsed="false">
      <c r="A239" s="679" t="n">
        <v>55</v>
      </c>
      <c r="B239" s="692" t="str">
        <f aca="false">IF(INDEX(MO_SNA_IsHistoricalPeriod,,MATCH(F239,MO_Common_ColumnHeader,0)),"Historical","Forward")</f>
        <v>Historical</v>
      </c>
      <c r="C239" s="55"/>
      <c r="D239" s="693" t="str">
        <f aca="true">INDEX(INDIRECT(E239),0,COLUMN(MO_Common_Column_A))</f>
        <v>Net Revenue</v>
      </c>
      <c r="E239" s="694" t="s">
        <v>671</v>
      </c>
      <c r="F239" s="692" t="s">
        <v>787</v>
      </c>
      <c r="G239" s="692"/>
      <c r="H239" s="55"/>
      <c r="I239" s="159" t="n">
        <v>3900</v>
      </c>
      <c r="J239" s="159" t="n">
        <v>3900</v>
      </c>
      <c r="K239" s="159" t="n">
        <f aca="false">AVERAGE(I239:J239)</f>
        <v>3900</v>
      </c>
      <c r="L239" s="55"/>
      <c r="M239" s="692" t="str">
        <f aca="false">IF(INDEX(MO_SNA_IsHistoricalPeriod,,MATCH(F239,MO_Common_ColumnHeader,0)),"Actual","Estimate")</f>
        <v>Actual</v>
      </c>
      <c r="N239" s="159" t="n">
        <f aca="true">IFERROR(INDEX(INDIRECT(E239),0,MATCH(F239,MO_Common_ColumnHeader,0)),"N/A")</f>
        <v>4036.5</v>
      </c>
      <c r="O239" s="55"/>
      <c r="P239" s="695" t="n">
        <f aca="false">IF(ISNUMBER(N239),N239-K239,"N/A")</f>
        <v>136.500000000001</v>
      </c>
      <c r="Q239" s="696" t="n">
        <f aca="false">IFERROR(IF(ISNUMBER(N239),(N239-K239)/ABS(K239),"N/A"),"N/A")</f>
        <v>0.0350000000000004</v>
      </c>
      <c r="R239" s="55"/>
      <c r="S239" s="697" t="n">
        <v>43754</v>
      </c>
      <c r="T239" s="698" t="s">
        <v>745</v>
      </c>
      <c r="U239" s="55"/>
    </row>
    <row r="240" customFormat="false" ht="15" hidden="false" customHeight="true" outlineLevel="0" collapsed="false">
      <c r="A240" s="679" t="n">
        <v>54</v>
      </c>
      <c r="B240" s="692" t="str">
        <f aca="false">IF(INDEX(MO_SNA_IsHistoricalPeriod,,MATCH(F240,MO_Common_ColumnHeader,0)),"Historical","Forward")</f>
        <v>Historical</v>
      </c>
      <c r="C240" s="55"/>
      <c r="D240" s="693" t="str">
        <f aca="true">INDEX(INDIRECT(E240),0,COLUMN(MO_Common_Column_A))</f>
        <v>EUV units sold, # of units</v>
      </c>
      <c r="E240" s="694" t="s">
        <v>783</v>
      </c>
      <c r="F240" s="692" t="s">
        <v>787</v>
      </c>
      <c r="G240" s="692"/>
      <c r="H240" s="55"/>
      <c r="I240" s="214" t="n">
        <v>8</v>
      </c>
      <c r="J240" s="214" t="n">
        <v>8</v>
      </c>
      <c r="K240" s="214" t="n">
        <f aca="false">AVERAGE(I240:J240)</f>
        <v>8</v>
      </c>
      <c r="L240" s="55"/>
      <c r="M240" s="692" t="str">
        <f aca="false">IF(INDEX(MO_SNA_IsHistoricalPeriod,,MATCH(F240,MO_Common_ColumnHeader,0)),"Actual","Estimate")</f>
        <v>Actual</v>
      </c>
      <c r="N240" s="214" t="n">
        <f aca="true">IFERROR(INDEX(INDIRECT(E240),0,MATCH(F240,MO_Common_ColumnHeader,0)),"N/A")</f>
        <v>8</v>
      </c>
      <c r="O240" s="215"/>
      <c r="P240" s="703" t="n">
        <f aca="false">IF(ISNUMBER(N240),N240-K240,"N/A")</f>
        <v>0</v>
      </c>
      <c r="Q240" s="696" t="n">
        <f aca="false">IFERROR(IF(ISNUMBER(N240),(N240-K240)/ABS(K240),"N/A"),"N/A")</f>
        <v>0</v>
      </c>
      <c r="R240" s="55"/>
      <c r="S240" s="697" t="n">
        <v>43754</v>
      </c>
      <c r="T240" s="698" t="s">
        <v>745</v>
      </c>
      <c r="U240" s="55"/>
    </row>
    <row r="241" customFormat="false" ht="15" hidden="false" customHeight="true" outlineLevel="0" collapsed="false">
      <c r="A241" s="679" t="n">
        <v>53</v>
      </c>
      <c r="B241" s="692" t="str">
        <f aca="false">IF(INDEX(MO_SNA_IsHistoricalPeriod,,MATCH(F241,MO_Common_ColumnHeader,0)),"Historical","Forward")</f>
        <v>Historical</v>
      </c>
      <c r="C241" s="55"/>
      <c r="D241" s="693" t="str">
        <f aca="true">INDEX(INDIRECT(E241),0,COLUMN(MO_Common_Column_A))</f>
        <v>EUV sales, mm</v>
      </c>
      <c r="E241" s="694" t="s">
        <v>785</v>
      </c>
      <c r="F241" s="692" t="s">
        <v>787</v>
      </c>
      <c r="G241" s="692"/>
      <c r="H241" s="55"/>
      <c r="I241" s="159" t="n">
        <v>950</v>
      </c>
      <c r="J241" s="159" t="n">
        <v>950</v>
      </c>
      <c r="K241" s="159" t="n">
        <f aca="false">AVERAGE(I241:J241)</f>
        <v>950</v>
      </c>
      <c r="L241" s="55"/>
      <c r="M241" s="692" t="str">
        <f aca="false">IF(INDEX(MO_SNA_IsHistoricalPeriod,,MATCH(F241,MO_Common_ColumnHeader,0)),"Actual","Estimate")</f>
        <v>Actual</v>
      </c>
      <c r="N241" s="159" t="n">
        <f aca="true">IFERROR(INDEX(INDIRECT(E241),0,MATCH(F241,MO_Common_ColumnHeader,0)),"N/A")</f>
        <v>907.932</v>
      </c>
      <c r="O241" s="48"/>
      <c r="P241" s="695" t="n">
        <f aca="false">IF(ISNUMBER(N241),N241-K241,"N/A")</f>
        <v>-42.0679999999998</v>
      </c>
      <c r="Q241" s="696" t="n">
        <f aca="false">IFERROR(IF(ISNUMBER(N241),(N241-K241)/ABS(K241),"N/A"),"N/A")</f>
        <v>-0.0442821052631576</v>
      </c>
      <c r="R241" s="55"/>
      <c r="S241" s="697" t="n">
        <v>43754</v>
      </c>
      <c r="T241" s="698" t="s">
        <v>745</v>
      </c>
      <c r="U241" s="55"/>
    </row>
    <row r="242" customFormat="false" ht="15" hidden="false" customHeight="true" outlineLevel="0" collapsed="false">
      <c r="A242" s="679" t="n">
        <v>52</v>
      </c>
      <c r="B242" s="692" t="str">
        <f aca="false">IF(INDEX(MO_SNA_IsHistoricalPeriod,,MATCH(F242,MO_Common_ColumnHeader,0)),"Historical","Forward")</f>
        <v>Historical</v>
      </c>
      <c r="C242" s="55"/>
      <c r="D242" s="693" t="s">
        <v>749</v>
      </c>
      <c r="E242" s="694" t="s">
        <v>750</v>
      </c>
      <c r="F242" s="692" t="s">
        <v>787</v>
      </c>
      <c r="G242" s="692"/>
      <c r="H242" s="55"/>
      <c r="I242" s="159" t="n">
        <v>850</v>
      </c>
      <c r="J242" s="159" t="n">
        <v>850</v>
      </c>
      <c r="K242" s="159" t="n">
        <f aca="false">AVERAGE(I242:J242)</f>
        <v>850</v>
      </c>
      <c r="L242" s="55"/>
      <c r="M242" s="692" t="str">
        <f aca="false">IF(INDEX(MO_SNA_IsHistoricalPeriod,,MATCH(F242,MO_Common_ColumnHeader,0)),"Actual","Estimate")</f>
        <v>Actual</v>
      </c>
      <c r="N242" s="159" t="n">
        <f aca="true">IFERROR(INDEX(INDIRECT(E242),0,MATCH(F242,MO_Common_ColumnHeader,0)),"N/A")</f>
        <v>905.7</v>
      </c>
      <c r="O242" s="55"/>
      <c r="P242" s="695" t="n">
        <f aca="false">IF(ISNUMBER(N242),N242-K242,"N/A")</f>
        <v>55.7000000000003</v>
      </c>
      <c r="Q242" s="696" t="n">
        <f aca="false">IFERROR(IF(ISNUMBER(N242),(N242-K242)/ABS(K242),"N/A"),"N/A")</f>
        <v>0.0655294117647062</v>
      </c>
      <c r="R242" s="55"/>
      <c r="S242" s="697" t="n">
        <v>43754</v>
      </c>
      <c r="T242" s="698" t="s">
        <v>745</v>
      </c>
      <c r="U242" s="55"/>
    </row>
    <row r="243" customFormat="false" ht="15" hidden="false" customHeight="true" outlineLevel="0" collapsed="false">
      <c r="A243" s="679" t="n">
        <v>51</v>
      </c>
      <c r="B243" s="692" t="str">
        <f aca="false">IF(INDEX(MO_SNA_IsHistoricalPeriod,,MATCH(F243,MO_Common_ColumnHeader,0)),"Historical","Forward")</f>
        <v>Historical</v>
      </c>
      <c r="C243" s="55"/>
      <c r="D243" s="693" t="str">
        <f aca="true">INDEX(INDIRECT(E243),0,COLUMN(MO_Common_Column_A))</f>
        <v>Gross Margin, %</v>
      </c>
      <c r="E243" s="694" t="s">
        <v>746</v>
      </c>
      <c r="F243" s="692" t="s">
        <v>787</v>
      </c>
      <c r="G243" s="692"/>
      <c r="H243" s="55"/>
      <c r="I243" s="359" t="n">
        <v>0.48</v>
      </c>
      <c r="J243" s="359" t="n">
        <v>0.49</v>
      </c>
      <c r="K243" s="359" t="n">
        <f aca="false">AVERAGE(I243:J243)</f>
        <v>0.485</v>
      </c>
      <c r="L243" s="55"/>
      <c r="M243" s="692" t="str">
        <f aca="false">IF(INDEX(MO_SNA_IsHistoricalPeriod,,MATCH(F243,MO_Common_ColumnHeader,0)),"Actual","Estimate")</f>
        <v>Actual</v>
      </c>
      <c r="N243" s="359" t="n">
        <f aca="true">IFERROR(INDEX(INDIRECT(E243),0,MATCH(F243,MO_Common_ColumnHeader,0)),"N/A")</f>
        <v>0.480663941533507</v>
      </c>
      <c r="O243" s="55"/>
      <c r="P243" s="696" t="n">
        <f aca="false">IF(ISNUMBER(N243),N243-K243,"N/A")</f>
        <v>-0.0043360584664931</v>
      </c>
      <c r="Q243" s="696" t="n">
        <f aca="false">IFERROR(IF(ISNUMBER(N243),(N243-K243)/ABS(K243),"N/A"),"N/A")</f>
        <v>-0.00894032673503732</v>
      </c>
      <c r="R243" s="55"/>
      <c r="S243" s="697" t="n">
        <v>43754</v>
      </c>
      <c r="T243" s="698" t="s">
        <v>745</v>
      </c>
      <c r="U243" s="55"/>
    </row>
    <row r="244" customFormat="false" ht="15" hidden="false" customHeight="true" outlineLevel="0" collapsed="false">
      <c r="A244" s="679" t="n">
        <v>50</v>
      </c>
      <c r="B244" s="692" t="str">
        <f aca="false">IF(INDEX(MO_SNA_IsHistoricalPeriod,,MATCH(F244,MO_Common_ColumnHeader,0)),"Historical","Forward")</f>
        <v>Historical</v>
      </c>
      <c r="C244" s="55"/>
      <c r="D244" s="693" t="s">
        <v>751</v>
      </c>
      <c r="E244" s="694" t="s">
        <v>752</v>
      </c>
      <c r="F244" s="692" t="s">
        <v>787</v>
      </c>
      <c r="G244" s="692"/>
      <c r="H244" s="55"/>
      <c r="I244" s="159" t="n">
        <v>500</v>
      </c>
      <c r="J244" s="159" t="n">
        <v>500</v>
      </c>
      <c r="K244" s="159" t="n">
        <f aca="false">AVERAGE(I244:J244)</f>
        <v>500</v>
      </c>
      <c r="L244" s="55"/>
      <c r="M244" s="692" t="str">
        <f aca="false">IF(INDEX(MO_SNA_IsHistoricalPeriod,,MATCH(F244,MO_Common_ColumnHeader,0)),"Actual","Estimate")</f>
        <v>Actual</v>
      </c>
      <c r="N244" s="159" t="n">
        <f aca="true">IFERROR(INDEX(INDIRECT(E244),0,MATCH(F244,MO_Common_ColumnHeader,0)),"N/A")</f>
        <v>516.1</v>
      </c>
      <c r="O244" s="55"/>
      <c r="P244" s="695" t="n">
        <f aca="false">IF(ISNUMBER(N244),N244-K244,"N/A")</f>
        <v>16.0999999999999</v>
      </c>
      <c r="Q244" s="696" t="n">
        <f aca="false">IFERROR(IF(ISNUMBER(N244),(N244-K244)/ABS(K244),"N/A"),"N/A")</f>
        <v>0.0321999999999998</v>
      </c>
      <c r="R244" s="55"/>
      <c r="S244" s="697" t="n">
        <v>43754</v>
      </c>
      <c r="T244" s="698" t="s">
        <v>745</v>
      </c>
      <c r="U244" s="55"/>
    </row>
    <row r="245" customFormat="false" ht="15" hidden="false" customHeight="true" outlineLevel="0" collapsed="false">
      <c r="A245" s="679" t="n">
        <v>49</v>
      </c>
      <c r="B245" s="692" t="str">
        <f aca="false">IF(INDEX(MO_SNA_IsHistoricalPeriod,,MATCH(F245,MO_Common_ColumnHeader,0)),"Historical","Forward")</f>
        <v>Historical</v>
      </c>
      <c r="C245" s="55"/>
      <c r="D245" s="693" t="str">
        <f aca="true">INDEX(INDIRECT(E245),0,COLUMN(MO_Common_Column_A))</f>
        <v>SG&amp;A</v>
      </c>
      <c r="E245" s="694" t="s">
        <v>753</v>
      </c>
      <c r="F245" s="692" t="s">
        <v>787</v>
      </c>
      <c r="G245" s="692"/>
      <c r="H245" s="55"/>
      <c r="I245" s="159" t="n">
        <v>135</v>
      </c>
      <c r="J245" s="159" t="n">
        <v>135</v>
      </c>
      <c r="K245" s="159" t="n">
        <f aca="false">AVERAGE(I245:J245)</f>
        <v>135</v>
      </c>
      <c r="L245" s="55"/>
      <c r="M245" s="692" t="str">
        <f aca="false">IF(INDEX(MO_SNA_IsHistoricalPeriod,,MATCH(F245,MO_Common_ColumnHeader,0)),"Actual","Estimate")</f>
        <v>Actual</v>
      </c>
      <c r="N245" s="159" t="n">
        <f aca="true">IFERROR(INDEX(INDIRECT(E245),0,MATCH(F245,MO_Common_ColumnHeader,0)),"N/A")</f>
        <v>147.5</v>
      </c>
      <c r="O245" s="55"/>
      <c r="P245" s="695" t="n">
        <f aca="false">IF(ISNUMBER(N245),N245-K245,"N/A")</f>
        <v>12.5</v>
      </c>
      <c r="Q245" s="696" t="n">
        <f aca="false">IFERROR(IF(ISNUMBER(N245),(N245-K245)/ABS(K245),"N/A"),"N/A")</f>
        <v>0.0925925925925926</v>
      </c>
      <c r="R245" s="55"/>
      <c r="S245" s="697" t="n">
        <v>43754</v>
      </c>
      <c r="T245" s="698" t="s">
        <v>745</v>
      </c>
      <c r="U245" s="55"/>
    </row>
    <row r="246" customFormat="false" ht="15" hidden="false" customHeight="true" outlineLevel="0" collapsed="false">
      <c r="A246" s="679" t="n">
        <v>48</v>
      </c>
      <c r="B246" s="55"/>
      <c r="C246" s="55"/>
      <c r="D246" s="682"/>
      <c r="E246" s="56"/>
      <c r="F246" s="55"/>
      <c r="G246" s="55"/>
      <c r="H246" s="55"/>
      <c r="I246" s="48"/>
      <c r="J246" s="48"/>
      <c r="K246" s="48"/>
      <c r="L246" s="55"/>
      <c r="M246" s="55"/>
      <c r="N246" s="48"/>
      <c r="O246" s="55"/>
      <c r="P246" s="699"/>
      <c r="Q246" s="700"/>
      <c r="R246" s="55"/>
      <c r="S246" s="701"/>
      <c r="T246" s="702"/>
      <c r="U246" s="55"/>
    </row>
    <row r="247" customFormat="false" ht="15" hidden="false" customHeight="true" outlineLevel="0" collapsed="false">
      <c r="A247" s="679" t="n">
        <v>47</v>
      </c>
      <c r="B247" s="692" t="str">
        <f aca="false">IF(INDEX(MO_SNA_IsHistoricalPeriod,,MATCH(F247,MO_Common_ColumnHeader,0)),"Historical","Forward")</f>
        <v>Historical</v>
      </c>
      <c r="C247" s="55"/>
      <c r="D247" s="693" t="s">
        <v>747</v>
      </c>
      <c r="E247" s="694"/>
      <c r="F247" s="692" t="s">
        <v>786</v>
      </c>
      <c r="G247" s="692"/>
      <c r="H247" s="55"/>
      <c r="I247" s="359" t="n">
        <v>0.09</v>
      </c>
      <c r="J247" s="359" t="n">
        <v>0.09</v>
      </c>
      <c r="K247" s="359" t="n">
        <f aca="false">AVERAGE(I247:J247)</f>
        <v>0.09</v>
      </c>
      <c r="L247" s="55"/>
      <c r="M247" s="692" t="str">
        <f aca="false">IF(INDEX(MO_SNA_IsHistoricalPeriod,,MATCH(F247,MO_Common_ColumnHeader,0)),"Actual","Estimate")</f>
        <v>Actual</v>
      </c>
      <c r="N247" s="359" t="n">
        <f aca="false">INDEX(MO_RIS_TaxRate_Current,0,MATCH(F247,MO_Common_ColumnHeader,0))+INDEX(MO_RIS_TaxRate_Deferred,0,MATCH(F247,MO_Common_ColumnHeader,0))</f>
        <v>0.0688577586206896</v>
      </c>
      <c r="O247" s="55"/>
      <c r="P247" s="696" t="n">
        <f aca="false">IF(ISNUMBER(N247),N247-K247,"N/A")</f>
        <v>-0.0211422413793104</v>
      </c>
      <c r="Q247" s="696" t="n">
        <f aca="false">IFERROR(IF(ISNUMBER(N247),(N247-K247)/ABS(K247),"N/A"),"N/A")</f>
        <v>-0.234913793103448</v>
      </c>
      <c r="R247" s="55"/>
      <c r="S247" s="697" t="n">
        <v>43663</v>
      </c>
      <c r="T247" s="698" t="s">
        <v>745</v>
      </c>
      <c r="U247" s="55"/>
    </row>
    <row r="248" customFormat="false" ht="15" hidden="false" customHeight="true" outlineLevel="0" collapsed="false">
      <c r="A248" s="679" t="n">
        <v>46</v>
      </c>
      <c r="B248" s="55"/>
      <c r="C248" s="55"/>
      <c r="D248" s="682"/>
      <c r="E248" s="56"/>
      <c r="F248" s="55"/>
      <c r="G248" s="55"/>
      <c r="H248" s="55"/>
      <c r="I248" s="48"/>
      <c r="J248" s="48"/>
      <c r="K248" s="48"/>
      <c r="L248" s="55"/>
      <c r="M248" s="55"/>
      <c r="N248" s="48"/>
      <c r="O248" s="55"/>
      <c r="P248" s="699"/>
      <c r="Q248" s="700"/>
      <c r="R248" s="55"/>
      <c r="S248" s="701"/>
      <c r="T248" s="702" t="s">
        <v>788</v>
      </c>
      <c r="U248" s="55"/>
    </row>
    <row r="249" customFormat="false" ht="15" hidden="false" customHeight="true" outlineLevel="0" collapsed="false">
      <c r="A249" s="679" t="n">
        <v>45</v>
      </c>
      <c r="B249" s="692" t="str">
        <f aca="false">IF(INDEX(MO_SNA_IsHistoricalPeriod,,MATCH(F249,MO_Common_ColumnHeader,0)),"Historical","Forward")</f>
        <v>Historical</v>
      </c>
      <c r="C249" s="55"/>
      <c r="D249" s="693" t="str">
        <f aca="true">INDEX(INDIRECT(E249),0,COLUMN(MO_Common_Column_A))</f>
        <v>Net Revenue</v>
      </c>
      <c r="E249" s="694" t="s">
        <v>671</v>
      </c>
      <c r="F249" s="692" t="s">
        <v>789</v>
      </c>
      <c r="G249" s="692"/>
      <c r="H249" s="55"/>
      <c r="I249" s="159" t="n">
        <v>3000</v>
      </c>
      <c r="J249" s="159" t="n">
        <v>3000</v>
      </c>
      <c r="K249" s="159" t="n">
        <f aca="false">AVERAGE(I249:J249)</f>
        <v>3000</v>
      </c>
      <c r="L249" s="55"/>
      <c r="M249" s="692" t="str">
        <f aca="false">IF(INDEX(MO_SNA_IsHistoricalPeriod,,MATCH(F249,MO_Common_ColumnHeader,0)),"Actual","Estimate")</f>
        <v>Actual</v>
      </c>
      <c r="N249" s="159" t="n">
        <f aca="true">IFERROR(INDEX(INDIRECT(E249),0,MATCH(F249,MO_Common_ColumnHeader,0)),"N/A")</f>
        <v>2986.5</v>
      </c>
      <c r="O249" s="55"/>
      <c r="P249" s="695" t="n">
        <f aca="false">IF(ISNUMBER(N249),N249-K249,"N/A")</f>
        <v>-13.5</v>
      </c>
      <c r="Q249" s="696" t="n">
        <f aca="false">IFERROR(IF(ISNUMBER(N249),(N249-K249)/ABS(K249),"N/A"),"N/A")</f>
        <v>-0.0045</v>
      </c>
      <c r="R249" s="55"/>
      <c r="S249" s="697" t="n">
        <v>43663</v>
      </c>
      <c r="T249" s="698" t="s">
        <v>745</v>
      </c>
      <c r="U249" s="55"/>
    </row>
    <row r="250" customFormat="false" ht="15" hidden="false" customHeight="true" outlineLevel="0" collapsed="false">
      <c r="A250" s="679" t="n">
        <v>44</v>
      </c>
      <c r="B250" s="692" t="str">
        <f aca="false">IF(INDEX(MO_SNA_IsHistoricalPeriod,,MATCH(F250,MO_Common_ColumnHeader,0)),"Historical","Forward")</f>
        <v>Historical</v>
      </c>
      <c r="C250" s="55"/>
      <c r="D250" s="693" t="str">
        <f aca="true">INDEX(INDIRECT(E250),0,COLUMN(MO_Common_Column_A))</f>
        <v>EUV units sold, # of units</v>
      </c>
      <c r="E250" s="694" t="s">
        <v>783</v>
      </c>
      <c r="F250" s="692" t="s">
        <v>789</v>
      </c>
      <c r="G250" s="692"/>
      <c r="H250" s="55"/>
      <c r="I250" s="214" t="n">
        <v>7</v>
      </c>
      <c r="J250" s="214" t="n">
        <v>7</v>
      </c>
      <c r="K250" s="214" t="n">
        <f aca="false">AVERAGE(I250:J250)</f>
        <v>7</v>
      </c>
      <c r="L250" s="55"/>
      <c r="M250" s="692" t="str">
        <f aca="false">IF(INDEX(MO_SNA_IsHistoricalPeriod,,MATCH(F250,MO_Common_ColumnHeader,0)),"Actual","Estimate")</f>
        <v>Actual</v>
      </c>
      <c r="N250" s="214" t="n">
        <f aca="true">IFERROR(INDEX(INDIRECT(E250),0,MATCH(F250,MO_Common_ColumnHeader,0)),"N/A")</f>
        <v>7</v>
      </c>
      <c r="O250" s="215"/>
      <c r="P250" s="703" t="n">
        <f aca="false">IF(ISNUMBER(N250),N250-K250,"N/A")</f>
        <v>0</v>
      </c>
      <c r="Q250" s="696" t="n">
        <f aca="false">IFERROR(IF(ISNUMBER(N250),(N250-K250)/ABS(K250),"N/A"),"N/A")</f>
        <v>0</v>
      </c>
      <c r="R250" s="55"/>
      <c r="S250" s="697" t="n">
        <v>43663</v>
      </c>
      <c r="T250" s="698" t="s">
        <v>745</v>
      </c>
      <c r="U250" s="55"/>
    </row>
    <row r="251" customFormat="false" ht="15" hidden="false" customHeight="true" outlineLevel="0" collapsed="false">
      <c r="A251" s="679" t="n">
        <v>43</v>
      </c>
      <c r="B251" s="692" t="str">
        <f aca="false">IF(INDEX(MO_SNA_IsHistoricalPeriod,,MATCH(F251,MO_Common_ColumnHeader,0)),"Historical","Forward")</f>
        <v>Historical</v>
      </c>
      <c r="C251" s="55"/>
      <c r="D251" s="693" t="str">
        <f aca="true">INDEX(INDIRECT(E251),0,COLUMN(MO_Common_Column_A))</f>
        <v>EUV sales, mm</v>
      </c>
      <c r="E251" s="694" t="s">
        <v>785</v>
      </c>
      <c r="F251" s="692" t="s">
        <v>789</v>
      </c>
      <c r="G251" s="692"/>
      <c r="H251" s="55"/>
      <c r="I251" s="159" t="n">
        <v>750</v>
      </c>
      <c r="J251" s="159" t="n">
        <v>750</v>
      </c>
      <c r="K251" s="159" t="n">
        <f aca="false">AVERAGE(I251:J251)</f>
        <v>750</v>
      </c>
      <c r="L251" s="55"/>
      <c r="M251" s="692" t="str">
        <f aca="false">IF(INDEX(MO_SNA_IsHistoricalPeriod,,MATCH(F251,MO_Common_ColumnHeader,0)),"Actual","Estimate")</f>
        <v>Actual</v>
      </c>
      <c r="N251" s="159" t="n">
        <f aca="true">IFERROR(INDEX(INDIRECT(E251),0,MATCH(F251,MO_Common_ColumnHeader,0)),"N/A")</f>
        <v>744.192</v>
      </c>
      <c r="O251" s="48"/>
      <c r="P251" s="695" t="n">
        <f aca="false">IF(ISNUMBER(N251),N251-K251,"N/A")</f>
        <v>-5.80799999999999</v>
      </c>
      <c r="Q251" s="696" t="n">
        <f aca="false">IFERROR(IF(ISNUMBER(N251),(N251-K251)/ABS(K251),"N/A"),"N/A")</f>
        <v>-0.00774399999999999</v>
      </c>
      <c r="R251" s="55"/>
      <c r="S251" s="697" t="n">
        <v>43663</v>
      </c>
      <c r="T251" s="698" t="s">
        <v>745</v>
      </c>
      <c r="U251" s="55"/>
    </row>
    <row r="252" customFormat="false" ht="15" hidden="false" customHeight="true" outlineLevel="0" collapsed="false">
      <c r="A252" s="679" t="n">
        <v>42</v>
      </c>
      <c r="B252" s="692" t="str">
        <f aca="false">IF(INDEX(MO_SNA_IsHistoricalPeriod,,MATCH(F252,MO_Common_ColumnHeader,0)),"Historical","Forward")</f>
        <v>Historical</v>
      </c>
      <c r="C252" s="55"/>
      <c r="D252" s="693" t="str">
        <f aca="true">INDEX(INDIRECT(E252),0,COLUMN(MO_Common_Column_A))</f>
        <v>Net service and field option sales, mm</v>
      </c>
      <c r="E252" s="694" t="s">
        <v>750</v>
      </c>
      <c r="F252" s="692" t="s">
        <v>789</v>
      </c>
      <c r="G252" s="692"/>
      <c r="H252" s="55"/>
      <c r="I252" s="159" t="n">
        <v>700</v>
      </c>
      <c r="J252" s="159" t="n">
        <v>700</v>
      </c>
      <c r="K252" s="159" t="n">
        <f aca="false">AVERAGE(I252:J252)</f>
        <v>700</v>
      </c>
      <c r="L252" s="55"/>
      <c r="M252" s="692" t="str">
        <f aca="false">IF(INDEX(MO_SNA_IsHistoricalPeriod,,MATCH(F252,MO_Common_ColumnHeader,0)),"Actual","Estimate")</f>
        <v>Actual</v>
      </c>
      <c r="N252" s="159" t="n">
        <f aca="true">IFERROR(INDEX(INDIRECT(E252),0,MATCH(F252,MO_Common_ColumnHeader,0)),"N/A")</f>
        <v>660.9</v>
      </c>
      <c r="O252" s="55"/>
      <c r="P252" s="695" t="n">
        <f aca="false">IF(ISNUMBER(N252),N252-K252,"N/A")</f>
        <v>-39.1</v>
      </c>
      <c r="Q252" s="696" t="n">
        <f aca="false">IFERROR(IF(ISNUMBER(N252),(N252-K252)/ABS(K252),"N/A"),"N/A")</f>
        <v>-0.0558571428571429</v>
      </c>
      <c r="R252" s="55"/>
      <c r="S252" s="697" t="n">
        <v>43663</v>
      </c>
      <c r="T252" s="698" t="s">
        <v>745</v>
      </c>
      <c r="U252" s="55"/>
    </row>
    <row r="253" customFormat="false" ht="15" hidden="false" customHeight="true" outlineLevel="0" collapsed="false">
      <c r="A253" s="679" t="n">
        <v>41</v>
      </c>
      <c r="B253" s="692" t="str">
        <f aca="false">IF(INDEX(MO_SNA_IsHistoricalPeriod,,MATCH(F253,MO_Common_ColumnHeader,0)),"Historical","Forward")</f>
        <v>Historical</v>
      </c>
      <c r="C253" s="55"/>
      <c r="D253" s="693" t="str">
        <f aca="true">INDEX(INDIRECT(E253),0,COLUMN(MO_Common_Column_A))</f>
        <v>Gross Margin, %</v>
      </c>
      <c r="E253" s="694" t="s">
        <v>746</v>
      </c>
      <c r="F253" s="692" t="s">
        <v>789</v>
      </c>
      <c r="G253" s="692"/>
      <c r="H253" s="55"/>
      <c r="I253" s="359" t="n">
        <v>0.43</v>
      </c>
      <c r="J253" s="359" t="n">
        <v>0.44</v>
      </c>
      <c r="K253" s="359" t="n">
        <f aca="false">AVERAGE(I253:J253)</f>
        <v>0.435</v>
      </c>
      <c r="L253" s="55"/>
      <c r="M253" s="692" t="str">
        <f aca="false">IF(INDEX(MO_SNA_IsHistoricalPeriod,,MATCH(F253,MO_Common_ColumnHeader,0)),"Actual","Estimate")</f>
        <v>Actual</v>
      </c>
      <c r="N253" s="359" t="n">
        <f aca="true">IFERROR(INDEX(INDIRECT(E253),0,MATCH(F253,MO_Common_ColumnHeader,0)),"N/A")</f>
        <v>0.437435124727942</v>
      </c>
      <c r="O253" s="55"/>
      <c r="P253" s="696" t="n">
        <f aca="false">IF(ISNUMBER(N253),N253-K253,"N/A")</f>
        <v>0.00243512472794244</v>
      </c>
      <c r="Q253" s="696" t="n">
        <f aca="false">IFERROR(IF(ISNUMBER(N253),(N253-K253)/ABS(K253),"N/A"),"N/A")</f>
        <v>0.00559798788032745</v>
      </c>
      <c r="R253" s="55"/>
      <c r="S253" s="697" t="n">
        <v>43663</v>
      </c>
      <c r="T253" s="698" t="s">
        <v>745</v>
      </c>
      <c r="U253" s="55"/>
    </row>
    <row r="254" customFormat="false" ht="15" hidden="false" customHeight="true" outlineLevel="0" collapsed="false">
      <c r="A254" s="679" t="n">
        <v>40</v>
      </c>
      <c r="B254" s="692" t="str">
        <f aca="false">IF(INDEX(MO_SNA_IsHistoricalPeriod,,MATCH(F254,MO_Common_ColumnHeader,0)),"Historical","Forward")</f>
        <v>Historical</v>
      </c>
      <c r="C254" s="55"/>
      <c r="D254" s="693" t="s">
        <v>751</v>
      </c>
      <c r="E254" s="694" t="s">
        <v>752</v>
      </c>
      <c r="F254" s="692" t="s">
        <v>789</v>
      </c>
      <c r="G254" s="692"/>
      <c r="H254" s="55"/>
      <c r="I254" s="159" t="n">
        <v>495</v>
      </c>
      <c r="J254" s="159" t="n">
        <v>495</v>
      </c>
      <c r="K254" s="159" t="n">
        <f aca="false">AVERAGE(I254:J254)</f>
        <v>495</v>
      </c>
      <c r="L254" s="55"/>
      <c r="M254" s="692" t="str">
        <f aca="false">IF(INDEX(MO_SNA_IsHistoricalPeriod,,MATCH(F254,MO_Common_ColumnHeader,0)),"Actual","Estimate")</f>
        <v>Actual</v>
      </c>
      <c r="N254" s="159" t="n">
        <f aca="true">IFERROR(INDEX(INDIRECT(E254),0,MATCH(F254,MO_Common_ColumnHeader,0)),"N/A")</f>
        <v>492.3</v>
      </c>
      <c r="O254" s="55"/>
      <c r="P254" s="695" t="n">
        <f aca="false">IF(ISNUMBER(N254),N254-K254,"N/A")</f>
        <v>-2.69999999999999</v>
      </c>
      <c r="Q254" s="696" t="n">
        <f aca="false">IFERROR(IF(ISNUMBER(N254),(N254-K254)/ABS(K254),"N/A"),"N/A")</f>
        <v>-0.00545454545454543</v>
      </c>
      <c r="R254" s="55"/>
      <c r="S254" s="697" t="n">
        <v>43663</v>
      </c>
      <c r="T254" s="698" t="s">
        <v>745</v>
      </c>
      <c r="U254" s="55"/>
    </row>
    <row r="255" customFormat="false" ht="15" hidden="false" customHeight="true" outlineLevel="0" collapsed="false">
      <c r="A255" s="679" t="n">
        <v>39</v>
      </c>
      <c r="B255" s="692" t="str">
        <f aca="false">IF(INDEX(MO_SNA_IsHistoricalPeriod,,MATCH(F255,MO_Common_ColumnHeader,0)),"Historical","Forward")</f>
        <v>Historical</v>
      </c>
      <c r="C255" s="55"/>
      <c r="D255" s="693" t="str">
        <f aca="true">INDEX(INDIRECT(E255),0,COLUMN(MO_Common_Column_A))</f>
        <v>SG&amp;A</v>
      </c>
      <c r="E255" s="694" t="s">
        <v>753</v>
      </c>
      <c r="F255" s="692" t="s">
        <v>789</v>
      </c>
      <c r="G255" s="692"/>
      <c r="H255" s="55"/>
      <c r="I255" s="159" t="n">
        <v>125</v>
      </c>
      <c r="J255" s="159" t="n">
        <v>125</v>
      </c>
      <c r="K255" s="159" t="n">
        <f aca="false">AVERAGE(I255:J255)</f>
        <v>125</v>
      </c>
      <c r="L255" s="55"/>
      <c r="M255" s="692" t="str">
        <f aca="false">IF(INDEX(MO_SNA_IsHistoricalPeriod,,MATCH(F255,MO_Common_ColumnHeader,0)),"Actual","Estimate")</f>
        <v>Actual</v>
      </c>
      <c r="N255" s="159" t="n">
        <f aca="true">IFERROR(INDEX(INDIRECT(E255),0,MATCH(F255,MO_Common_ColumnHeader,0)),"N/A")</f>
        <v>128.5</v>
      </c>
      <c r="O255" s="55"/>
      <c r="P255" s="695" t="n">
        <f aca="false">IF(ISNUMBER(N255),N255-K255,"N/A")</f>
        <v>3.5</v>
      </c>
      <c r="Q255" s="696" t="n">
        <f aca="false">IFERROR(IF(ISNUMBER(N255),(N255-K255)/ABS(K255),"N/A"),"N/A")</f>
        <v>0.028</v>
      </c>
      <c r="R255" s="55"/>
      <c r="S255" s="697" t="n">
        <v>43663</v>
      </c>
      <c r="T255" s="698" t="s">
        <v>745</v>
      </c>
      <c r="U255" s="55"/>
    </row>
    <row r="256" customFormat="false" ht="15" hidden="false" customHeight="true" outlineLevel="0" collapsed="false">
      <c r="A256" s="679" t="n">
        <v>38</v>
      </c>
      <c r="B256" s="55"/>
      <c r="C256" s="55"/>
      <c r="D256" s="682"/>
      <c r="E256" s="56"/>
      <c r="F256" s="55"/>
      <c r="G256" s="55"/>
      <c r="H256" s="55"/>
      <c r="I256" s="48"/>
      <c r="J256" s="48"/>
      <c r="K256" s="48"/>
      <c r="L256" s="55"/>
      <c r="M256" s="55"/>
      <c r="N256" s="48"/>
      <c r="O256" s="55"/>
      <c r="P256" s="699"/>
      <c r="Q256" s="700"/>
      <c r="R256" s="55"/>
      <c r="S256" s="701"/>
      <c r="T256" s="702"/>
      <c r="U256" s="55"/>
    </row>
    <row r="257" customFormat="false" ht="15" hidden="false" customHeight="true" outlineLevel="0" collapsed="false">
      <c r="A257" s="679" t="n">
        <v>37</v>
      </c>
      <c r="B257" s="692" t="str">
        <f aca="false">IF(INDEX(MO_SNA_IsHistoricalPeriod,,MATCH(F257,MO_Common_ColumnHeader,0)),"Historical","Forward")</f>
        <v>Historical</v>
      </c>
      <c r="C257" s="55"/>
      <c r="D257" s="693" t="str">
        <f aca="true">INDEX(INDIRECT(E257),0,COLUMN(MO_Common_Column_A))</f>
        <v>EUV units sold, # of units</v>
      </c>
      <c r="E257" s="694" t="s">
        <v>783</v>
      </c>
      <c r="F257" s="692" t="s">
        <v>786</v>
      </c>
      <c r="G257" s="692"/>
      <c r="H257" s="55"/>
      <c r="I257" s="159" t="n">
        <v>30</v>
      </c>
      <c r="J257" s="159" t="n">
        <v>30</v>
      </c>
      <c r="K257" s="159" t="n">
        <f aca="false">AVERAGE(I257:J257)</f>
        <v>30</v>
      </c>
      <c r="L257" s="55"/>
      <c r="M257" s="692" t="str">
        <f aca="false">IF(INDEX(MO_SNA_IsHistoricalPeriod,,MATCH(F257,MO_Common_ColumnHeader,0)),"Actual","Estimate")</f>
        <v>Actual</v>
      </c>
      <c r="N257" s="159" t="n">
        <f aca="true">IFERROR(INDEX(INDIRECT(E257),0,MATCH(F257,MO_Common_ColumnHeader,0)),"N/A")</f>
        <v>26</v>
      </c>
      <c r="O257" s="55"/>
      <c r="P257" s="695" t="n">
        <f aca="false">IF(ISNUMBER(N257),N257-K257,"N/A")</f>
        <v>-4</v>
      </c>
      <c r="Q257" s="696" t="n">
        <f aca="false">IFERROR(IF(ISNUMBER(N257),(N257-K257)/ABS(K257),"N/A"),"N/A")</f>
        <v>-0.133333333333333</v>
      </c>
      <c r="R257" s="55"/>
      <c r="S257" s="697" t="n">
        <v>43572</v>
      </c>
      <c r="T257" s="698" t="s">
        <v>790</v>
      </c>
      <c r="U257" s="55"/>
    </row>
    <row r="258" customFormat="false" ht="15" hidden="false" customHeight="true" outlineLevel="0" collapsed="false">
      <c r="A258" s="679" t="n">
        <v>36</v>
      </c>
      <c r="B258" s="55"/>
      <c r="C258" s="55"/>
      <c r="D258" s="682"/>
      <c r="E258" s="56"/>
      <c r="F258" s="55"/>
      <c r="G258" s="55"/>
      <c r="H258" s="55"/>
      <c r="I258" s="48"/>
      <c r="J258" s="48"/>
      <c r="K258" s="48"/>
      <c r="L258" s="55"/>
      <c r="M258" s="55"/>
      <c r="N258" s="48"/>
      <c r="O258" s="55"/>
      <c r="P258" s="699"/>
      <c r="Q258" s="700"/>
      <c r="R258" s="55"/>
      <c r="S258" s="701"/>
      <c r="T258" s="702"/>
      <c r="U258" s="55"/>
    </row>
    <row r="259" customFormat="false" ht="15" hidden="false" customHeight="true" outlineLevel="0" collapsed="false">
      <c r="A259" s="679" t="n">
        <v>35</v>
      </c>
      <c r="B259" s="692" t="str">
        <f aca="false">IF(INDEX(MO_SNA_IsHistoricalPeriod,,MATCH(F259,MO_Common_ColumnHeader,0)),"Historical","Forward")</f>
        <v>Historical</v>
      </c>
      <c r="C259" s="55"/>
      <c r="D259" s="693" t="str">
        <f aca="true">INDEX(INDIRECT(E259),0,COLUMN(MO_Common_Column_A))</f>
        <v>Net Revenue</v>
      </c>
      <c r="E259" s="694" t="s">
        <v>671</v>
      </c>
      <c r="F259" s="692" t="s">
        <v>791</v>
      </c>
      <c r="G259" s="692"/>
      <c r="H259" s="55"/>
      <c r="I259" s="159" t="n">
        <v>2500</v>
      </c>
      <c r="J259" s="159" t="n">
        <v>2600</v>
      </c>
      <c r="K259" s="159" t="n">
        <f aca="false">AVERAGE(I259:J259)</f>
        <v>2550</v>
      </c>
      <c r="L259" s="55"/>
      <c r="M259" s="692" t="str">
        <f aca="false">IF(INDEX(MO_SNA_IsHistoricalPeriod,,MATCH(F259,MO_Common_ColumnHeader,0)),"Actual","Estimate")</f>
        <v>Actual</v>
      </c>
      <c r="N259" s="159" t="n">
        <f aca="true">IFERROR(INDEX(INDIRECT(E259),0,MATCH(F259,MO_Common_ColumnHeader,0)),"N/A")</f>
        <v>2567.9</v>
      </c>
      <c r="O259" s="55"/>
      <c r="P259" s="695" t="n">
        <f aca="false">IF(ISNUMBER(N259),N259-K259,"N/A")</f>
        <v>17.9000000000001</v>
      </c>
      <c r="Q259" s="696" t="n">
        <f aca="false">IFERROR(IF(ISNUMBER(N259),(N259-K259)/ABS(K259),"N/A"),"N/A")</f>
        <v>0.00701960784313729</v>
      </c>
      <c r="R259" s="55"/>
      <c r="S259" s="697" t="n">
        <v>43572</v>
      </c>
      <c r="T259" s="698" t="s">
        <v>782</v>
      </c>
      <c r="U259" s="55"/>
    </row>
    <row r="260" customFormat="false" ht="15" hidden="false" customHeight="true" outlineLevel="0" collapsed="false">
      <c r="A260" s="679" t="n">
        <v>34</v>
      </c>
      <c r="B260" s="692" t="str">
        <f aca="false">IF(INDEX(MO_SNA_IsHistoricalPeriod,,MATCH(F260,MO_Common_ColumnHeader,0)),"Historical","Forward")</f>
        <v>Historical</v>
      </c>
      <c r="C260" s="55"/>
      <c r="D260" s="693" t="s">
        <v>751</v>
      </c>
      <c r="E260" s="694" t="s">
        <v>752</v>
      </c>
      <c r="F260" s="692" t="s">
        <v>791</v>
      </c>
      <c r="G260" s="692"/>
      <c r="H260" s="55"/>
      <c r="I260" s="159" t="n">
        <v>485</v>
      </c>
      <c r="J260" s="159" t="n">
        <v>485</v>
      </c>
      <c r="K260" s="159" t="n">
        <f aca="false">AVERAGE(I260:J260)</f>
        <v>485</v>
      </c>
      <c r="L260" s="55"/>
      <c r="M260" s="692" t="str">
        <f aca="false">IF(INDEX(MO_SNA_IsHistoricalPeriod,,MATCH(F260,MO_Common_ColumnHeader,0)),"Actual","Estimate")</f>
        <v>Actual</v>
      </c>
      <c r="N260" s="159" t="n">
        <f aca="true">IFERROR(INDEX(INDIRECT(E260),0,MATCH(F260,MO_Common_ColumnHeader,0)),"N/A")</f>
        <v>487.4</v>
      </c>
      <c r="O260" s="55"/>
      <c r="P260" s="695" t="n">
        <f aca="false">IF(ISNUMBER(N260),N260-K260,"N/A")</f>
        <v>2.39999999999998</v>
      </c>
      <c r="Q260" s="696" t="n">
        <f aca="false">IFERROR(IF(ISNUMBER(N260),(N260-K260)/ABS(K260),"N/A"),"N/A")</f>
        <v>0.00494845360824738</v>
      </c>
      <c r="R260" s="55"/>
      <c r="S260" s="697" t="n">
        <v>43572</v>
      </c>
      <c r="T260" s="698" t="s">
        <v>782</v>
      </c>
      <c r="U260" s="55"/>
    </row>
    <row r="261" customFormat="false" ht="15" hidden="false" customHeight="true" outlineLevel="0" collapsed="false">
      <c r="A261" s="679" t="n">
        <v>33</v>
      </c>
      <c r="B261" s="692" t="str">
        <f aca="false">IF(INDEX(MO_SNA_IsHistoricalPeriod,,MATCH(F261,MO_Common_ColumnHeader,0)),"Historical","Forward")</f>
        <v>Historical</v>
      </c>
      <c r="C261" s="55"/>
      <c r="D261" s="693" t="str">
        <f aca="true">INDEX(INDIRECT(E261),0,COLUMN(MO_Common_Column_A))</f>
        <v>Gross Margin, %</v>
      </c>
      <c r="E261" s="694" t="s">
        <v>746</v>
      </c>
      <c r="F261" s="692" t="s">
        <v>791</v>
      </c>
      <c r="G261" s="692"/>
      <c r="H261" s="55"/>
      <c r="I261" s="359" t="n">
        <v>0.41</v>
      </c>
      <c r="J261" s="359" t="n">
        <v>0.42</v>
      </c>
      <c r="K261" s="359" t="n">
        <f aca="false">AVERAGE(I261:J261)</f>
        <v>0.415</v>
      </c>
      <c r="L261" s="55"/>
      <c r="M261" s="692" t="str">
        <f aca="false">IF(INDEX(MO_SNA_IsHistoricalPeriod,,MATCH(F261,MO_Common_ColumnHeader,0)),"Actual","Estimate")</f>
        <v>Actual</v>
      </c>
      <c r="N261" s="359" t="n">
        <f aca="true">IFERROR(INDEX(INDIRECT(E261),0,MATCH(F261,MO_Common_ColumnHeader,0)),"N/A")</f>
        <v>0.430390591533938</v>
      </c>
      <c r="O261" s="55"/>
      <c r="P261" s="696" t="n">
        <f aca="false">IF(ISNUMBER(N261),N261-K261,"N/A")</f>
        <v>0.0153905915339382</v>
      </c>
      <c r="Q261" s="696" t="n">
        <f aca="false">IFERROR(IF(ISNUMBER(N261),(N261-K261)/ABS(K261),"N/A"),"N/A")</f>
        <v>0.0370857627323813</v>
      </c>
      <c r="R261" s="55"/>
      <c r="S261" s="697" t="n">
        <v>43572</v>
      </c>
      <c r="T261" s="698" t="s">
        <v>782</v>
      </c>
      <c r="U261" s="55"/>
    </row>
    <row r="262" customFormat="false" ht="15" hidden="false" customHeight="true" outlineLevel="0" collapsed="false">
      <c r="A262" s="679" t="n">
        <v>32</v>
      </c>
      <c r="B262" s="692" t="str">
        <f aca="false">IF(INDEX(MO_SNA_IsHistoricalPeriod,,MATCH(F262,MO_Common_ColumnHeader,0)),"Historical","Forward")</f>
        <v>Historical</v>
      </c>
      <c r="C262" s="55"/>
      <c r="D262" s="693" t="str">
        <f aca="true">INDEX(INDIRECT(E262),0,COLUMN(MO_Common_Column_A))</f>
        <v>SG&amp;A</v>
      </c>
      <c r="E262" s="694" t="s">
        <v>753</v>
      </c>
      <c r="F262" s="692" t="s">
        <v>791</v>
      </c>
      <c r="G262" s="692"/>
      <c r="H262" s="55"/>
      <c r="I262" s="159" t="n">
        <v>125</v>
      </c>
      <c r="J262" s="159" t="n">
        <v>125</v>
      </c>
      <c r="K262" s="159" t="n">
        <f aca="false">AVERAGE(I262:J262)</f>
        <v>125</v>
      </c>
      <c r="L262" s="55"/>
      <c r="M262" s="692" t="str">
        <f aca="false">IF(INDEX(MO_SNA_IsHistoricalPeriod,,MATCH(F262,MO_Common_ColumnHeader,0)),"Actual","Estimate")</f>
        <v>Actual</v>
      </c>
      <c r="N262" s="159" t="n">
        <f aca="true">IFERROR(INDEX(INDIRECT(E262),0,MATCH(F262,MO_Common_ColumnHeader,0)),"N/A")</f>
        <v>123.5</v>
      </c>
      <c r="O262" s="55"/>
      <c r="P262" s="695" t="n">
        <f aca="false">IF(ISNUMBER(N262),N262-K262,"N/A")</f>
        <v>-1.5</v>
      </c>
      <c r="Q262" s="696" t="n">
        <f aca="false">IFERROR(IF(ISNUMBER(N262),(N262-K262)/ABS(K262),"N/A"),"N/A")</f>
        <v>-0.012</v>
      </c>
      <c r="R262" s="55"/>
      <c r="S262" s="697" t="n">
        <v>43572</v>
      </c>
      <c r="T262" s="698" t="s">
        <v>782</v>
      </c>
      <c r="U262" s="55"/>
    </row>
    <row r="263" customFormat="false" ht="15" hidden="false" customHeight="true" outlineLevel="0" collapsed="false">
      <c r="A263" s="679" t="n">
        <v>31</v>
      </c>
      <c r="B263" s="692" t="str">
        <f aca="false">IF(INDEX(MO_SNA_IsHistoricalPeriod,,MATCH(F263,MO_Common_ColumnHeader,0)),"Historical","Forward")</f>
        <v>Historical</v>
      </c>
      <c r="C263" s="55"/>
      <c r="D263" s="693" t="s">
        <v>747</v>
      </c>
      <c r="E263" s="694"/>
      <c r="F263" s="692" t="s">
        <v>791</v>
      </c>
      <c r="G263" s="692"/>
      <c r="H263" s="55"/>
      <c r="I263" s="359" t="n">
        <v>0.11</v>
      </c>
      <c r="J263" s="359" t="n">
        <v>0.11</v>
      </c>
      <c r="K263" s="359" t="n">
        <f aca="false">AVERAGE(I263:J263)</f>
        <v>0.11</v>
      </c>
      <c r="L263" s="55"/>
      <c r="M263" s="692" t="str">
        <f aca="false">IF(INDEX(MO_SNA_IsHistoricalPeriod,,MATCH(F263,MO_Common_ColumnHeader,0)),"Actual","Estimate")</f>
        <v>Actual</v>
      </c>
      <c r="N263" s="359" t="n">
        <f aca="false">INDEX(MO_RIS_TaxRate_Current,0,MATCH(F263,MO_Common_ColumnHeader,0))+INDEX(MO_RIS_TaxRate_Deferred,0,MATCH(F263,MO_Common_ColumnHeader,0))</f>
        <v>0.0385780650373662</v>
      </c>
      <c r="O263" s="55"/>
      <c r="P263" s="696" t="n">
        <f aca="false">IF(ISNUMBER(N263),N263-K263,"N/A")</f>
        <v>-0.0714219349626338</v>
      </c>
      <c r="Q263" s="696" t="n">
        <f aca="false">IFERROR(IF(ISNUMBER(N263),(N263-K263)/ABS(K263),"N/A"),"N/A")</f>
        <v>-0.649290317842126</v>
      </c>
      <c r="R263" s="55"/>
      <c r="S263" s="697" t="n">
        <v>43572</v>
      </c>
      <c r="T263" s="698" t="s">
        <v>782</v>
      </c>
      <c r="U263" s="55"/>
    </row>
    <row r="264" customFormat="false" ht="15" hidden="false" customHeight="true" outlineLevel="0" collapsed="false">
      <c r="A264" s="679" t="n">
        <v>30</v>
      </c>
      <c r="B264" s="55"/>
      <c r="C264" s="55"/>
      <c r="D264" s="682"/>
      <c r="E264" s="56"/>
      <c r="F264" s="55"/>
      <c r="G264" s="55"/>
      <c r="H264" s="55"/>
      <c r="I264" s="48"/>
      <c r="J264" s="48"/>
      <c r="K264" s="48"/>
      <c r="L264" s="55"/>
      <c r="M264" s="55"/>
      <c r="N264" s="48"/>
      <c r="O264" s="55"/>
      <c r="P264" s="699"/>
      <c r="Q264" s="700"/>
      <c r="R264" s="55"/>
      <c r="S264" s="701"/>
      <c r="T264" s="702"/>
      <c r="U264" s="55"/>
    </row>
    <row r="265" customFormat="false" ht="15" hidden="false" customHeight="true" outlineLevel="0" collapsed="false">
      <c r="A265" s="679" t="n">
        <v>29</v>
      </c>
      <c r="B265" s="692" t="str">
        <f aca="false">IF(INDEX(MO_SNA_IsHistoricalPeriod,,MATCH(F265,MO_Common_ColumnHeader,0)),"Historical","Forward")</f>
        <v>Historical</v>
      </c>
      <c r="C265" s="55"/>
      <c r="D265" s="693" t="str">
        <f aca="true">INDEX(INDIRECT(E265),0,COLUMN(MO_Common_Column_A))</f>
        <v>EUV units sold, # of units</v>
      </c>
      <c r="E265" s="694" t="s">
        <v>783</v>
      </c>
      <c r="F265" s="692" t="s">
        <v>786</v>
      </c>
      <c r="G265" s="692"/>
      <c r="H265" s="55"/>
      <c r="I265" s="159" t="n">
        <v>30</v>
      </c>
      <c r="J265" s="159" t="n">
        <v>30</v>
      </c>
      <c r="K265" s="159" t="n">
        <f aca="false">AVERAGE(I265:J265)</f>
        <v>30</v>
      </c>
      <c r="L265" s="55"/>
      <c r="M265" s="692" t="str">
        <f aca="false">IF(INDEX(MO_SNA_IsHistoricalPeriod,,MATCH(F265,MO_Common_ColumnHeader,0)),"Actual","Estimate")</f>
        <v>Actual</v>
      </c>
      <c r="N265" s="159" t="n">
        <f aca="true">IFERROR(INDEX(INDIRECT(E265),0,MATCH(F265,MO_Common_ColumnHeader,0)),"N/A")</f>
        <v>26</v>
      </c>
      <c r="O265" s="55"/>
      <c r="P265" s="695" t="n">
        <f aca="false">IF(ISNUMBER(N265),N265-K265,"N/A")</f>
        <v>-4</v>
      </c>
      <c r="Q265" s="696" t="n">
        <f aca="false">IFERROR(IF(ISNUMBER(N265),(N265-K265)/ABS(K265),"N/A"),"N/A")</f>
        <v>-0.133333333333333</v>
      </c>
      <c r="R265" s="55"/>
      <c r="S265" s="697" t="n">
        <v>43488</v>
      </c>
      <c r="T265" s="698" t="s">
        <v>782</v>
      </c>
      <c r="U265" s="55"/>
    </row>
    <row r="266" customFormat="false" ht="15" hidden="false" customHeight="true" outlineLevel="0" collapsed="false">
      <c r="A266" s="679" t="n">
        <v>28</v>
      </c>
      <c r="B266" s="55"/>
      <c r="C266" s="55"/>
      <c r="D266" s="682"/>
      <c r="E266" s="56"/>
      <c r="F266" s="55"/>
      <c r="G266" s="55"/>
      <c r="H266" s="55"/>
      <c r="I266" s="48"/>
      <c r="J266" s="48"/>
      <c r="K266" s="48"/>
      <c r="L266" s="55"/>
      <c r="M266" s="55"/>
      <c r="N266" s="48"/>
      <c r="O266" s="55"/>
      <c r="P266" s="699"/>
      <c r="Q266" s="700"/>
      <c r="R266" s="55"/>
      <c r="S266" s="701"/>
      <c r="T266" s="702"/>
      <c r="U266" s="55"/>
    </row>
    <row r="267" customFormat="false" ht="15" hidden="false" customHeight="true" outlineLevel="0" collapsed="false">
      <c r="A267" s="679" t="n">
        <v>27</v>
      </c>
      <c r="B267" s="692" t="str">
        <f aca="false">IF(INDEX(MO_SNA_IsHistoricalPeriod,,MATCH(F267,MO_Common_ColumnHeader,0)),"Historical","Forward")</f>
        <v>Historical</v>
      </c>
      <c r="C267" s="55"/>
      <c r="D267" s="693" t="str">
        <f aca="true">INDEX(INDIRECT(E267),0,COLUMN(MO_Common_Column_A))</f>
        <v>Net Revenue</v>
      </c>
      <c r="E267" s="694" t="s">
        <v>671</v>
      </c>
      <c r="F267" s="692" t="s">
        <v>792</v>
      </c>
      <c r="G267" s="692"/>
      <c r="H267" s="55"/>
      <c r="I267" s="159" t="n">
        <v>2100</v>
      </c>
      <c r="J267" s="159" t="n">
        <v>2100</v>
      </c>
      <c r="K267" s="159" t="n">
        <f aca="false">AVERAGE(I267:J267)</f>
        <v>2100</v>
      </c>
      <c r="L267" s="55"/>
      <c r="M267" s="692" t="str">
        <f aca="false">IF(INDEX(MO_SNA_IsHistoricalPeriod,,MATCH(F267,MO_Common_ColumnHeader,0)),"Actual","Estimate")</f>
        <v>Actual</v>
      </c>
      <c r="N267" s="159" t="n">
        <f aca="true">IFERROR(INDEX(INDIRECT(E267),0,MATCH(F267,MO_Common_ColumnHeader,0)),"N/A")</f>
        <v>2229.1</v>
      </c>
      <c r="O267" s="55"/>
      <c r="P267" s="695" t="n">
        <f aca="false">IF(ISNUMBER(N267),N267-K267,"N/A")</f>
        <v>129.1</v>
      </c>
      <c r="Q267" s="696" t="n">
        <f aca="false">IFERROR(IF(ISNUMBER(N267),(N267-K267)/ABS(K267),"N/A"),"N/A")</f>
        <v>0.0614761904761904</v>
      </c>
      <c r="R267" s="55"/>
      <c r="S267" s="697" t="n">
        <v>43488</v>
      </c>
      <c r="T267" s="698" t="s">
        <v>782</v>
      </c>
      <c r="U267" s="55"/>
    </row>
    <row r="268" customFormat="false" ht="15" hidden="false" customHeight="true" outlineLevel="0" collapsed="false">
      <c r="A268" s="679" t="n">
        <v>26</v>
      </c>
      <c r="B268" s="692" t="str">
        <f aca="false">IF(INDEX(MO_SNA_IsHistoricalPeriod,,MATCH(F268,MO_Common_ColumnHeader,0)),"Historical","Forward")</f>
        <v>Historical</v>
      </c>
      <c r="C268" s="55"/>
      <c r="D268" s="693" t="s">
        <v>751</v>
      </c>
      <c r="E268" s="694" t="s">
        <v>752</v>
      </c>
      <c r="F268" s="692" t="s">
        <v>792</v>
      </c>
      <c r="G268" s="692"/>
      <c r="H268" s="55"/>
      <c r="I268" s="159" t="n">
        <v>480</v>
      </c>
      <c r="J268" s="159" t="n">
        <v>480</v>
      </c>
      <c r="K268" s="159" t="n">
        <f aca="false">AVERAGE(I268:J268)</f>
        <v>480</v>
      </c>
      <c r="L268" s="55"/>
      <c r="M268" s="692" t="str">
        <f aca="false">IF(INDEX(MO_SNA_IsHistoricalPeriod,,MATCH(F268,MO_Common_ColumnHeader,0)),"Actual","Estimate")</f>
        <v>Actual</v>
      </c>
      <c r="N268" s="159" t="n">
        <f aca="true">IFERROR(INDEX(INDIRECT(E268),0,MATCH(F268,MO_Common_ColumnHeader,0)),"N/A")</f>
        <v>472.7</v>
      </c>
      <c r="O268" s="55"/>
      <c r="P268" s="695" t="n">
        <f aca="false">IF(ISNUMBER(N268),N268-K268,"N/A")</f>
        <v>-7.30000000000001</v>
      </c>
      <c r="Q268" s="696" t="n">
        <f aca="false">IFERROR(IF(ISNUMBER(N268),(N268-K268)/ABS(K268),"N/A"),"N/A")</f>
        <v>-0.0152083333333334</v>
      </c>
      <c r="R268" s="55"/>
      <c r="S268" s="697" t="n">
        <v>43488</v>
      </c>
      <c r="T268" s="698" t="s">
        <v>782</v>
      </c>
      <c r="U268" s="55"/>
    </row>
    <row r="269" customFormat="false" ht="15" hidden="false" customHeight="true" outlineLevel="0" collapsed="false">
      <c r="A269" s="679" t="n">
        <v>25</v>
      </c>
      <c r="B269" s="692" t="str">
        <f aca="false">IF(INDEX(MO_SNA_IsHistoricalPeriod,,MATCH(F269,MO_Common_ColumnHeader,0)),"Historical","Forward")</f>
        <v>Historical</v>
      </c>
      <c r="C269" s="55"/>
      <c r="D269" s="693" t="str">
        <f aca="true">INDEX(INDIRECT(E269),0,COLUMN(MO_Common_Column_A))</f>
        <v>Gross Margin, %</v>
      </c>
      <c r="E269" s="694" t="s">
        <v>746</v>
      </c>
      <c r="F269" s="692" t="s">
        <v>792</v>
      </c>
      <c r="G269" s="692"/>
      <c r="H269" s="55"/>
      <c r="I269" s="359" t="n">
        <v>0.4</v>
      </c>
      <c r="J269" s="359" t="n">
        <v>0.4</v>
      </c>
      <c r="K269" s="359" t="n">
        <f aca="false">AVERAGE(I269:J269)</f>
        <v>0.4</v>
      </c>
      <c r="L269" s="55"/>
      <c r="M269" s="692" t="str">
        <f aca="false">IF(INDEX(MO_SNA_IsHistoricalPeriod,,MATCH(F269,MO_Common_ColumnHeader,0)),"Actual","Estimate")</f>
        <v>Actual</v>
      </c>
      <c r="N269" s="359" t="n">
        <f aca="true">IFERROR(INDEX(INDIRECT(E269),0,MATCH(F269,MO_Common_ColumnHeader,0)),"N/A")</f>
        <v>0.416311515858418</v>
      </c>
      <c r="O269" s="55"/>
      <c r="P269" s="696" t="n">
        <f aca="false">IF(ISNUMBER(N269),N269-K269,"N/A")</f>
        <v>0.0163115158584182</v>
      </c>
      <c r="Q269" s="696" t="n">
        <f aca="false">IFERROR(IF(ISNUMBER(N269),(N269-K269)/ABS(K269),"N/A"),"N/A")</f>
        <v>0.0407787896460454</v>
      </c>
      <c r="R269" s="55"/>
      <c r="S269" s="697" t="n">
        <v>43488</v>
      </c>
      <c r="T269" s="698" t="s">
        <v>782</v>
      </c>
      <c r="U269" s="55"/>
    </row>
    <row r="270" customFormat="false" ht="15" hidden="false" customHeight="true" outlineLevel="0" collapsed="false">
      <c r="A270" s="679" t="n">
        <v>24</v>
      </c>
      <c r="B270" s="692" t="str">
        <f aca="false">IF(INDEX(MO_SNA_IsHistoricalPeriod,,MATCH(F270,MO_Common_ColumnHeader,0)),"Historical","Forward")</f>
        <v>Historical</v>
      </c>
      <c r="C270" s="55"/>
      <c r="D270" s="693" t="str">
        <f aca="true">INDEX(INDIRECT(E270),0,COLUMN(MO_Common_Column_A))</f>
        <v>SG&amp;A</v>
      </c>
      <c r="E270" s="694" t="s">
        <v>753</v>
      </c>
      <c r="F270" s="692" t="s">
        <v>792</v>
      </c>
      <c r="G270" s="692"/>
      <c r="H270" s="55"/>
      <c r="I270" s="159" t="n">
        <v>130</v>
      </c>
      <c r="J270" s="159" t="n">
        <v>130</v>
      </c>
      <c r="K270" s="159" t="n">
        <f aca="false">AVERAGE(I270:J270)</f>
        <v>130</v>
      </c>
      <c r="L270" s="55"/>
      <c r="M270" s="692" t="str">
        <f aca="false">IF(INDEX(MO_SNA_IsHistoricalPeriod,,MATCH(F270,MO_Common_ColumnHeader,0)),"Actual","Estimate")</f>
        <v>Actual</v>
      </c>
      <c r="N270" s="159" t="n">
        <f aca="true">IFERROR(INDEX(INDIRECT(E270),0,MATCH(F270,MO_Common_ColumnHeader,0)),"N/A")</f>
        <v>121</v>
      </c>
      <c r="O270" s="55"/>
      <c r="P270" s="695" t="n">
        <f aca="false">IF(ISNUMBER(N270),N270-K270,"N/A")</f>
        <v>-9</v>
      </c>
      <c r="Q270" s="696" t="n">
        <f aca="false">IFERROR(IF(ISNUMBER(N270),(N270-K270)/ABS(K270),"N/A"),"N/A")</f>
        <v>-0.0692307692307692</v>
      </c>
      <c r="R270" s="55"/>
      <c r="S270" s="697" t="n">
        <v>43488</v>
      </c>
      <c r="T270" s="698" t="s">
        <v>782</v>
      </c>
      <c r="U270" s="55"/>
    </row>
    <row r="271" customFormat="false" ht="15" hidden="false" customHeight="true" outlineLevel="0" collapsed="false">
      <c r="A271" s="679" t="n">
        <v>23</v>
      </c>
      <c r="B271" s="692" t="str">
        <f aca="false">IF(INDEX(MO_SNA_IsHistoricalPeriod,,MATCH(F271,MO_Common_ColumnHeader,0)),"Historical","Forward")</f>
        <v>Historical</v>
      </c>
      <c r="C271" s="55"/>
      <c r="D271" s="693" t="s">
        <v>747</v>
      </c>
      <c r="E271" s="694"/>
      <c r="F271" s="692" t="s">
        <v>792</v>
      </c>
      <c r="G271" s="692"/>
      <c r="H271" s="55"/>
      <c r="I271" s="359" t="n">
        <v>0.14</v>
      </c>
      <c r="J271" s="359" t="n">
        <v>0.14</v>
      </c>
      <c r="K271" s="359" t="n">
        <f aca="false">AVERAGE(I271:J271)</f>
        <v>0.14</v>
      </c>
      <c r="L271" s="55"/>
      <c r="M271" s="692" t="str">
        <f aca="false">IF(INDEX(MO_SNA_IsHistoricalPeriod,,MATCH(F271,MO_Common_ColumnHeader,0)),"Actual","Estimate")</f>
        <v>Actual</v>
      </c>
      <c r="N271" s="359" t="n">
        <f aca="false">INDEX(MO_RIS_TaxRate_Current,0,MATCH(F271,MO_Common_ColumnHeader,0))+INDEX(MO_RIS_TaxRate_Deferred,0,MATCH(F271,MO_Common_ColumnHeader,0))</f>
        <v>-0.0502364066193853</v>
      </c>
      <c r="O271" s="55"/>
      <c r="P271" s="696" t="n">
        <f aca="false">IF(ISNUMBER(N271),N271-K271,"N/A")</f>
        <v>-0.190236406619385</v>
      </c>
      <c r="Q271" s="696" t="n">
        <f aca="false">IFERROR(IF(ISNUMBER(N271),(N271-K271)/ABS(K271),"N/A"),"N/A")</f>
        <v>-1.35883147585275</v>
      </c>
      <c r="R271" s="55"/>
      <c r="S271" s="697" t="n">
        <v>43488</v>
      </c>
      <c r="T271" s="698" t="s">
        <v>782</v>
      </c>
      <c r="U271" s="55"/>
    </row>
    <row r="272" customFormat="false" ht="15" hidden="false" customHeight="true" outlineLevel="0" collapsed="false">
      <c r="A272" s="679" t="n">
        <v>22</v>
      </c>
      <c r="B272" s="55"/>
      <c r="C272" s="55"/>
      <c r="D272" s="682"/>
      <c r="E272" s="56"/>
      <c r="F272" s="55"/>
      <c r="G272" s="55"/>
      <c r="H272" s="55"/>
      <c r="I272" s="48"/>
      <c r="J272" s="48"/>
      <c r="K272" s="48"/>
      <c r="L272" s="55"/>
      <c r="M272" s="55"/>
      <c r="N272" s="48"/>
      <c r="O272" s="55"/>
      <c r="P272" s="699"/>
      <c r="Q272" s="700"/>
      <c r="R272" s="55"/>
      <c r="S272" s="701"/>
      <c r="T272" s="702"/>
      <c r="U272" s="55"/>
    </row>
    <row r="273" customFormat="false" ht="15" hidden="false" customHeight="true" outlineLevel="0" collapsed="false">
      <c r="A273" s="679" t="n">
        <v>21</v>
      </c>
      <c r="B273" s="692" t="str">
        <f aca="false">IF(INDEX(MO_SNA_IsHistoricalPeriod,,MATCH(F273,MO_Common_ColumnHeader,0)),"Historical","Forward")</f>
        <v>Historical</v>
      </c>
      <c r="C273" s="55"/>
      <c r="D273" s="693" t="str">
        <f aca="true">INDEX(INDIRECT(E273),0,COLUMN(MO_Common_Column_A))</f>
        <v>EUV units sold, # of units</v>
      </c>
      <c r="E273" s="694" t="s">
        <v>783</v>
      </c>
      <c r="F273" s="692" t="s">
        <v>786</v>
      </c>
      <c r="G273" s="692"/>
      <c r="H273" s="55"/>
      <c r="I273" s="159" t="n">
        <v>30</v>
      </c>
      <c r="J273" s="159" t="n">
        <v>30</v>
      </c>
      <c r="K273" s="159" t="n">
        <f aca="false">AVERAGE(I273:J273)</f>
        <v>30</v>
      </c>
      <c r="L273" s="55"/>
      <c r="M273" s="692" t="str">
        <f aca="false">IF(INDEX(MO_SNA_IsHistoricalPeriod,,MATCH(F273,MO_Common_ColumnHeader,0)),"Actual","Estimate")</f>
        <v>Actual</v>
      </c>
      <c r="N273" s="159" t="n">
        <f aca="true">IFERROR(INDEX(INDIRECT(E273),0,MATCH(F273,MO_Common_ColumnHeader,0)),"N/A")</f>
        <v>26</v>
      </c>
      <c r="O273" s="55"/>
      <c r="P273" s="695" t="n">
        <f aca="false">IF(ISNUMBER(N273),N273-K273,"N/A")</f>
        <v>-4</v>
      </c>
      <c r="Q273" s="696" t="n">
        <f aca="false">IFERROR(IF(ISNUMBER(N273),(N273-K273)/ABS(K273),"N/A"),"N/A")</f>
        <v>-0.133333333333333</v>
      </c>
      <c r="R273" s="55"/>
      <c r="S273" s="697" t="n">
        <v>43390</v>
      </c>
      <c r="T273" s="698" t="s">
        <v>782</v>
      </c>
      <c r="U273" s="55"/>
    </row>
    <row r="274" customFormat="false" ht="15" hidden="false" customHeight="true" outlineLevel="0" collapsed="false">
      <c r="A274" s="679" t="n">
        <v>20</v>
      </c>
      <c r="B274" s="55"/>
      <c r="C274" s="55"/>
      <c r="D274" s="682"/>
      <c r="E274" s="56"/>
      <c r="F274" s="55"/>
      <c r="G274" s="55"/>
      <c r="H274" s="55"/>
      <c r="I274" s="48"/>
      <c r="J274" s="48"/>
      <c r="K274" s="48"/>
      <c r="L274" s="55"/>
      <c r="M274" s="55"/>
      <c r="N274" s="48"/>
      <c r="O274" s="55"/>
      <c r="P274" s="699"/>
      <c r="Q274" s="700"/>
      <c r="R274" s="55"/>
      <c r="S274" s="701"/>
      <c r="T274" s="702"/>
      <c r="U274" s="55"/>
    </row>
    <row r="275" customFormat="false" ht="15" hidden="false" customHeight="true" outlineLevel="0" collapsed="false">
      <c r="A275" s="679" t="n">
        <v>19</v>
      </c>
      <c r="B275" s="692" t="str">
        <f aca="false">IF(INDEX(MO_SNA_IsHistoricalPeriod,,MATCH(F275,MO_Common_ColumnHeader,0)),"Historical","Forward")</f>
        <v>Historical</v>
      </c>
      <c r="C275" s="55"/>
      <c r="D275" s="693" t="str">
        <f aca="true">INDEX(INDIRECT(E275),0,COLUMN(MO_Common_Column_A))</f>
        <v>EUV units sold, # of units</v>
      </c>
      <c r="E275" s="694" t="s">
        <v>783</v>
      </c>
      <c r="F275" s="692" t="s">
        <v>793</v>
      </c>
      <c r="G275" s="692"/>
      <c r="H275" s="55"/>
      <c r="I275" s="159" t="n">
        <v>18</v>
      </c>
      <c r="J275" s="159" t="n">
        <v>18</v>
      </c>
      <c r="K275" s="159" t="n">
        <f aca="false">AVERAGE(I275:J275)</f>
        <v>18</v>
      </c>
      <c r="L275" s="55"/>
      <c r="M275" s="692" t="str">
        <f aca="false">IF(INDEX(MO_SNA_IsHistoricalPeriod,,MATCH(F275,MO_Common_ColumnHeader,0)),"Actual","Estimate")</f>
        <v>Actual</v>
      </c>
      <c r="N275" s="159" t="n">
        <f aca="true">IFERROR(INDEX(INDIRECT(E275),0,MATCH(F275,MO_Common_ColumnHeader,0)),"N/A")</f>
        <v>18</v>
      </c>
      <c r="O275" s="55"/>
      <c r="P275" s="695" t="n">
        <f aca="false">IF(ISNUMBER(N275),N275-K275,"N/A")</f>
        <v>0</v>
      </c>
      <c r="Q275" s="696" t="n">
        <f aca="false">IFERROR(IF(ISNUMBER(N275),(N275-K275)/ABS(K275),"N/A"),"N/A")</f>
        <v>0</v>
      </c>
      <c r="R275" s="55"/>
      <c r="S275" s="697" t="n">
        <v>43390</v>
      </c>
      <c r="T275" s="698" t="s">
        <v>782</v>
      </c>
      <c r="U275" s="55"/>
    </row>
    <row r="276" customFormat="false" ht="15" hidden="false" customHeight="true" outlineLevel="0" collapsed="false">
      <c r="A276" s="679" t="n">
        <v>18</v>
      </c>
      <c r="B276" s="55"/>
      <c r="C276" s="55"/>
      <c r="D276" s="682"/>
      <c r="E276" s="56"/>
      <c r="F276" s="55"/>
      <c r="G276" s="55"/>
      <c r="H276" s="55"/>
      <c r="I276" s="48"/>
      <c r="J276" s="48"/>
      <c r="K276" s="48"/>
      <c r="L276" s="55"/>
      <c r="M276" s="55"/>
      <c r="N276" s="48"/>
      <c r="O276" s="55"/>
      <c r="P276" s="699"/>
      <c r="Q276" s="700"/>
      <c r="R276" s="55"/>
      <c r="S276" s="701"/>
      <c r="T276" s="702"/>
      <c r="U276" s="55"/>
    </row>
    <row r="277" customFormat="false" ht="15" hidden="false" customHeight="true" outlineLevel="0" collapsed="false">
      <c r="A277" s="679" t="n">
        <v>17</v>
      </c>
      <c r="B277" s="692" t="str">
        <f aca="false">IF(INDEX(MO_SNA_IsHistoricalPeriod,,MATCH(F277,MO_Common_ColumnHeader,0)),"Historical","Forward")</f>
        <v>Historical</v>
      </c>
      <c r="C277" s="55"/>
      <c r="D277" s="693" t="str">
        <f aca="true">INDEX(INDIRECT(E277),0,COLUMN(MO_Common_Column_A))</f>
        <v>Net Revenue</v>
      </c>
      <c r="E277" s="694" t="s">
        <v>671</v>
      </c>
      <c r="F277" s="692" t="s">
        <v>794</v>
      </c>
      <c r="G277" s="692"/>
      <c r="H277" s="55"/>
      <c r="I277" s="159" t="n">
        <v>3000</v>
      </c>
      <c r="J277" s="159" t="n">
        <v>3000</v>
      </c>
      <c r="K277" s="159" t="n">
        <f aca="false">AVERAGE(I277:J277)</f>
        <v>3000</v>
      </c>
      <c r="L277" s="55"/>
      <c r="M277" s="692" t="str">
        <f aca="false">IF(INDEX(MO_SNA_IsHistoricalPeriod,,MATCH(F277,MO_Common_ColumnHeader,0)),"Actual","Estimate")</f>
        <v>Actual</v>
      </c>
      <c r="N277" s="159" t="n">
        <f aca="true">IFERROR(INDEX(INDIRECT(E277),0,MATCH(F277,MO_Common_ColumnHeader,0)),"N/A")</f>
        <v>3142.5</v>
      </c>
      <c r="O277" s="55"/>
      <c r="P277" s="695" t="n">
        <f aca="false">IF(ISNUMBER(N277),N277-K277,"N/A")</f>
        <v>142.5</v>
      </c>
      <c r="Q277" s="696" t="n">
        <f aca="false">IFERROR(IF(ISNUMBER(N277),(N277-K277)/ABS(K277),"N/A"),"N/A")</f>
        <v>0.0475000000000002</v>
      </c>
      <c r="R277" s="55"/>
      <c r="S277" s="697" t="n">
        <v>43390</v>
      </c>
      <c r="T277" s="698" t="s">
        <v>782</v>
      </c>
      <c r="U277" s="55"/>
    </row>
    <row r="278" customFormat="false" ht="15" hidden="false" customHeight="true" outlineLevel="0" collapsed="false">
      <c r="A278" s="679" t="n">
        <v>16</v>
      </c>
      <c r="B278" s="692" t="str">
        <f aca="false">IF(INDEX(MO_SNA_IsHistoricalPeriod,,MATCH(F278,MO_Common_ColumnHeader,0)),"Historical","Forward")</f>
        <v>Historical</v>
      </c>
      <c r="C278" s="55"/>
      <c r="D278" s="693" t="str">
        <f aca="true">INDEX(INDIRECT(E278),0,COLUMN(MO_Common_Column_A))</f>
        <v>Gross Margin, %</v>
      </c>
      <c r="E278" s="694" t="s">
        <v>746</v>
      </c>
      <c r="F278" s="692" t="s">
        <v>794</v>
      </c>
      <c r="G278" s="692"/>
      <c r="H278" s="55"/>
      <c r="I278" s="359" t="n">
        <v>0.48</v>
      </c>
      <c r="J278" s="359" t="n">
        <v>0.48</v>
      </c>
      <c r="K278" s="359" t="n">
        <f aca="false">AVERAGE(I278:J278)</f>
        <v>0.48</v>
      </c>
      <c r="L278" s="55"/>
      <c r="M278" s="692" t="str">
        <f aca="false">IF(INDEX(MO_SNA_IsHistoricalPeriod,,MATCH(F278,MO_Common_ColumnHeader,0)),"Actual","Estimate")</f>
        <v>Actual</v>
      </c>
      <c r="N278" s="359" t="n">
        <f aca="true">IFERROR(INDEX(INDIRECT(E278),0,MATCH(F278,MO_Common_ColumnHeader,0)),"N/A")</f>
        <v>0.443245823389022</v>
      </c>
      <c r="O278" s="55"/>
      <c r="P278" s="696" t="n">
        <f aca="false">IF(ISNUMBER(N278),N278-K278,"N/A")</f>
        <v>-0.0367541766109782</v>
      </c>
      <c r="Q278" s="696" t="n">
        <f aca="false">IFERROR(IF(ISNUMBER(N278),(N278-K278)/ABS(K278),"N/A"),"N/A")</f>
        <v>-0.0765712012728713</v>
      </c>
      <c r="R278" s="55"/>
      <c r="S278" s="697" t="n">
        <v>43390</v>
      </c>
      <c r="T278" s="698" t="s">
        <v>782</v>
      </c>
      <c r="U278" s="55"/>
    </row>
    <row r="279" customFormat="false" ht="15" hidden="false" customHeight="true" outlineLevel="0" collapsed="false">
      <c r="A279" s="679" t="n">
        <v>15</v>
      </c>
      <c r="B279" s="692" t="str">
        <f aca="false">IF(INDEX(MO_SNA_IsHistoricalPeriod,,MATCH(F279,MO_Common_ColumnHeader,0)),"Historical","Forward")</f>
        <v>Historical</v>
      </c>
      <c r="C279" s="55"/>
      <c r="D279" s="693" t="s">
        <v>751</v>
      </c>
      <c r="E279" s="694" t="s">
        <v>752</v>
      </c>
      <c r="F279" s="692" t="s">
        <v>794</v>
      </c>
      <c r="G279" s="692"/>
      <c r="H279" s="55"/>
      <c r="I279" s="159" t="n">
        <v>420</v>
      </c>
      <c r="J279" s="159" t="n">
        <v>420</v>
      </c>
      <c r="K279" s="159" t="n">
        <f aca="false">AVERAGE(I279:J279)</f>
        <v>420</v>
      </c>
      <c r="L279" s="55"/>
      <c r="M279" s="692" t="str">
        <f aca="false">IF(INDEX(MO_SNA_IsHistoricalPeriod,,MATCH(F279,MO_Common_ColumnHeader,0)),"Actual","Estimate")</f>
        <v>Actual</v>
      </c>
      <c r="N279" s="159" t="n">
        <f aca="true">IFERROR(INDEX(INDIRECT(E279),0,MATCH(F279,MO_Common_ColumnHeader,0)),"N/A")</f>
        <v>442.4</v>
      </c>
      <c r="O279" s="55"/>
      <c r="P279" s="695" t="n">
        <f aca="false">IF(ISNUMBER(N279),N279-K279,"N/A")</f>
        <v>22.4000000000001</v>
      </c>
      <c r="Q279" s="696" t="n">
        <f aca="false">IFERROR(IF(ISNUMBER(N279),(N279-K279)/ABS(K279),"N/A"),"N/A")</f>
        <v>0.0533333333333336</v>
      </c>
      <c r="R279" s="55"/>
      <c r="S279" s="697" t="n">
        <v>43390</v>
      </c>
      <c r="T279" s="698" t="s">
        <v>782</v>
      </c>
      <c r="U279" s="55"/>
    </row>
    <row r="280" customFormat="false" ht="15" hidden="false" customHeight="true" outlineLevel="0" collapsed="false">
      <c r="A280" s="679" t="n">
        <v>14</v>
      </c>
      <c r="B280" s="692" t="str">
        <f aca="false">IF(INDEX(MO_SNA_IsHistoricalPeriod,,MATCH(F280,MO_Common_ColumnHeader,0)),"Historical","Forward")</f>
        <v>Historical</v>
      </c>
      <c r="C280" s="55"/>
      <c r="D280" s="693" t="str">
        <f aca="true">INDEX(INDIRECT(E280),0,COLUMN(MO_Common_Column_A))</f>
        <v>SG&amp;A</v>
      </c>
      <c r="E280" s="694" t="s">
        <v>753</v>
      </c>
      <c r="F280" s="692" t="s">
        <v>794</v>
      </c>
      <c r="G280" s="692"/>
      <c r="H280" s="55"/>
      <c r="I280" s="159" t="n">
        <v>135</v>
      </c>
      <c r="J280" s="159" t="n">
        <v>135</v>
      </c>
      <c r="K280" s="159" t="n">
        <f aca="false">AVERAGE(I280:J280)</f>
        <v>135</v>
      </c>
      <c r="L280" s="55"/>
      <c r="M280" s="692" t="str">
        <f aca="false">IF(INDEX(MO_SNA_IsHistoricalPeriod,,MATCH(F280,MO_Common_ColumnHeader,0)),"Actual","Estimate")</f>
        <v>Actual</v>
      </c>
      <c r="N280" s="159" t="n">
        <f aca="true">IFERROR(INDEX(INDIRECT(E280),0,MATCH(F280,MO_Common_ColumnHeader,0)),"N/A")</f>
        <v>134.6</v>
      </c>
      <c r="O280" s="55"/>
      <c r="P280" s="695" t="n">
        <f aca="false">IF(ISNUMBER(N280),N280-K280,"N/A")</f>
        <v>-0.399999999999977</v>
      </c>
      <c r="Q280" s="696" t="n">
        <f aca="false">IFERROR(IF(ISNUMBER(N280),(N280-K280)/ABS(K280),"N/A"),"N/A")</f>
        <v>-0.00296296296296279</v>
      </c>
      <c r="R280" s="55"/>
      <c r="S280" s="697" t="n">
        <v>43390</v>
      </c>
      <c r="T280" s="698" t="s">
        <v>782</v>
      </c>
      <c r="U280" s="55"/>
    </row>
    <row r="281" customFormat="false" ht="15" hidden="false" customHeight="true" outlineLevel="0" collapsed="false">
      <c r="A281" s="679" t="n">
        <v>13</v>
      </c>
      <c r="B281" s="692" t="str">
        <f aca="false">IF(INDEX(MO_SNA_IsHistoricalPeriod,,MATCH(F281,MO_Common_ColumnHeader,0)),"Historical","Forward")</f>
        <v>Historical</v>
      </c>
      <c r="C281" s="55"/>
      <c r="D281" s="693" t="s">
        <v>747</v>
      </c>
      <c r="E281" s="694"/>
      <c r="F281" s="692" t="s">
        <v>794</v>
      </c>
      <c r="G281" s="692"/>
      <c r="H281" s="55"/>
      <c r="I281" s="359" t="n">
        <v>0.14</v>
      </c>
      <c r="J281" s="359" t="n">
        <v>0.14</v>
      </c>
      <c r="K281" s="359" t="n">
        <f aca="false">AVERAGE(I281:J281)</f>
        <v>0.14</v>
      </c>
      <c r="L281" s="55"/>
      <c r="M281" s="692" t="str">
        <f aca="false">IF(INDEX(MO_SNA_IsHistoricalPeriod,,MATCH(F281,MO_Common_ColumnHeader,0)),"Actual","Estimate")</f>
        <v>Actual</v>
      </c>
      <c r="N281" s="359" t="n">
        <f aca="false">INDEX(MO_RIS_TaxRate_Current,0,MATCH(F281,MO_Common_ColumnHeader,0))+INDEX(MO_RIS_TaxRate_Deferred,0,MATCH(F281,MO_Common_ColumnHeader,0))</f>
        <v>0.0484533591106814</v>
      </c>
      <c r="O281" s="55"/>
      <c r="P281" s="696" t="n">
        <f aca="false">IF(ISNUMBER(N281),N281-K281,"N/A")</f>
        <v>-0.0915466408893186</v>
      </c>
      <c r="Q281" s="696" t="n">
        <f aca="false">IFERROR(IF(ISNUMBER(N281),(N281-K281)/ABS(K281),"N/A"),"N/A")</f>
        <v>-0.653904577780847</v>
      </c>
      <c r="R281" s="55"/>
      <c r="S281" s="697" t="n">
        <v>43390</v>
      </c>
      <c r="T281" s="698" t="s">
        <v>782</v>
      </c>
      <c r="U281" s="55"/>
    </row>
    <row r="282" customFormat="false" ht="15" hidden="false" customHeight="true" outlineLevel="0" collapsed="false">
      <c r="A282" s="679" t="n">
        <v>12</v>
      </c>
      <c r="B282" s="55"/>
      <c r="C282" s="55"/>
      <c r="D282" s="682"/>
      <c r="E282" s="56"/>
      <c r="F282" s="55"/>
      <c r="G282" s="55"/>
      <c r="H282" s="55"/>
      <c r="I282" s="48"/>
      <c r="J282" s="48"/>
      <c r="K282" s="48"/>
      <c r="L282" s="55"/>
      <c r="M282" s="55"/>
      <c r="N282" s="48"/>
      <c r="O282" s="55"/>
      <c r="P282" s="699"/>
      <c r="Q282" s="700"/>
      <c r="R282" s="55"/>
      <c r="S282" s="701"/>
      <c r="T282" s="702"/>
      <c r="U282" s="55"/>
    </row>
    <row r="283" customFormat="false" ht="15" hidden="false" customHeight="true" outlineLevel="0" collapsed="false">
      <c r="A283" s="679" t="n">
        <v>11</v>
      </c>
      <c r="B283" s="692" t="str">
        <f aca="false">IF(INDEX(MO_SNA_IsHistoricalPeriod,,MATCH(F283,MO_Common_ColumnHeader,0)),"Historical","Forward")</f>
        <v>Historical</v>
      </c>
      <c r="C283" s="55"/>
      <c r="D283" s="693" t="str">
        <f aca="true">INDEX(INDIRECT(E283),0,COLUMN(MO_Common_Column_A))</f>
        <v>Net Revenue</v>
      </c>
      <c r="E283" s="694" t="s">
        <v>671</v>
      </c>
      <c r="F283" s="692" t="s">
        <v>795</v>
      </c>
      <c r="G283" s="692"/>
      <c r="H283" s="55"/>
      <c r="I283" s="159" t="n">
        <v>2700</v>
      </c>
      <c r="J283" s="159" t="n">
        <v>2800</v>
      </c>
      <c r="K283" s="159" t="n">
        <f aca="false">AVERAGE(I283:J283)</f>
        <v>2750</v>
      </c>
      <c r="L283" s="55"/>
      <c r="M283" s="692" t="str">
        <f aca="false">IF(INDEX(MO_SNA_IsHistoricalPeriod,,MATCH(F283,MO_Common_ColumnHeader,0)),"Actual","Estimate")</f>
        <v>Actual</v>
      </c>
      <c r="N283" s="159" t="n">
        <f aca="true">IFERROR(INDEX(INDIRECT(E283),0,MATCH(F283,MO_Common_ColumnHeader,0)),"N/A")</f>
        <v>2776.1</v>
      </c>
      <c r="O283" s="55"/>
      <c r="P283" s="695" t="n">
        <f aca="false">IF(ISNUMBER(N283),N283-K283,"N/A")</f>
        <v>26.0999999999999</v>
      </c>
      <c r="Q283" s="696" t="n">
        <f aca="false">IFERROR(IF(ISNUMBER(N283),(N283-K283)/ABS(K283),"N/A"),"N/A")</f>
        <v>0.00949090909090906</v>
      </c>
      <c r="R283" s="55"/>
      <c r="S283" s="697" t="n">
        <v>43299</v>
      </c>
      <c r="T283" s="698" t="s">
        <v>782</v>
      </c>
      <c r="U283" s="55"/>
    </row>
    <row r="284" customFormat="false" ht="15" hidden="false" customHeight="true" outlineLevel="0" collapsed="false">
      <c r="A284" s="679" t="n">
        <v>10</v>
      </c>
      <c r="B284" s="692" t="str">
        <f aca="false">IF(INDEX(MO_SNA_IsHistoricalPeriod,,MATCH(F284,MO_Common_ColumnHeader,0)),"Historical","Forward")</f>
        <v>Historical</v>
      </c>
      <c r="C284" s="55"/>
      <c r="D284" s="693" t="str">
        <f aca="true">INDEX(INDIRECT(E284),0,COLUMN(MO_Common_Column_A))</f>
        <v>Gross Margin, %</v>
      </c>
      <c r="E284" s="694" t="s">
        <v>746</v>
      </c>
      <c r="F284" s="692" t="s">
        <v>795</v>
      </c>
      <c r="G284" s="692"/>
      <c r="H284" s="55"/>
      <c r="I284" s="359" t="n">
        <v>0.47</v>
      </c>
      <c r="J284" s="359" t="n">
        <v>0.48</v>
      </c>
      <c r="K284" s="359" t="n">
        <f aca="false">AVERAGE(I284:J284)</f>
        <v>0.475</v>
      </c>
      <c r="L284" s="55"/>
      <c r="M284" s="692" t="str">
        <f aca="false">IF(INDEX(MO_SNA_IsHistoricalPeriod,,MATCH(F284,MO_Common_ColumnHeader,0)),"Actual","Estimate")</f>
        <v>Actual</v>
      </c>
      <c r="N284" s="359" t="n">
        <f aca="true">IFERROR(INDEX(INDIRECT(E284),0,MATCH(F284,MO_Common_ColumnHeader,0)),"N/A")</f>
        <v>0.481214653650805</v>
      </c>
      <c r="O284" s="55"/>
      <c r="P284" s="696" t="n">
        <f aca="false">IF(ISNUMBER(N284),N284-K284,"N/A")</f>
        <v>0.00621465365080509</v>
      </c>
      <c r="Q284" s="696" t="n">
        <f aca="false">IFERROR(IF(ISNUMBER(N284),(N284-K284)/ABS(K284),"N/A"),"N/A")</f>
        <v>0.013083481370116</v>
      </c>
      <c r="R284" s="55"/>
      <c r="S284" s="697" t="n">
        <v>43299</v>
      </c>
      <c r="T284" s="698" t="s">
        <v>782</v>
      </c>
      <c r="U284" s="55"/>
    </row>
    <row r="285" customFormat="false" ht="15" hidden="false" customHeight="true" outlineLevel="0" collapsed="false">
      <c r="A285" s="679" t="n">
        <v>9</v>
      </c>
      <c r="B285" s="692" t="str">
        <f aca="false">IF(INDEX(MO_SNA_IsHistoricalPeriod,,MATCH(F285,MO_Common_ColumnHeader,0)),"Historical","Forward")</f>
        <v>Historical</v>
      </c>
      <c r="C285" s="55"/>
      <c r="D285" s="693" t="s">
        <v>751</v>
      </c>
      <c r="E285" s="694" t="s">
        <v>752</v>
      </c>
      <c r="F285" s="692" t="s">
        <v>795</v>
      </c>
      <c r="G285" s="692"/>
      <c r="H285" s="55"/>
      <c r="I285" s="159" t="n">
        <v>395</v>
      </c>
      <c r="J285" s="159" t="n">
        <v>395</v>
      </c>
      <c r="K285" s="159" t="n">
        <f aca="false">AVERAGE(I285:J285)</f>
        <v>395</v>
      </c>
      <c r="L285" s="55"/>
      <c r="M285" s="692" t="str">
        <f aca="false">IF(INDEX(MO_SNA_IsHistoricalPeriod,,MATCH(F285,MO_Common_ColumnHeader,0)),"Actual","Estimate")</f>
        <v>Actual</v>
      </c>
      <c r="N285" s="159" t="n">
        <f aca="true">IFERROR(INDEX(INDIRECT(E285),0,MATCH(F285,MO_Common_ColumnHeader,0)),"N/A")</f>
        <v>396.3</v>
      </c>
      <c r="O285" s="55"/>
      <c r="P285" s="695" t="n">
        <f aca="false">IF(ISNUMBER(N285),N285-K285,"N/A")</f>
        <v>1.30000000000001</v>
      </c>
      <c r="Q285" s="696" t="n">
        <f aca="false">IFERROR(IF(ISNUMBER(N285),(N285-K285)/ABS(K285),"N/A"),"N/A")</f>
        <v>0.00329113924050636</v>
      </c>
      <c r="R285" s="55"/>
      <c r="S285" s="697" t="n">
        <v>43299</v>
      </c>
      <c r="T285" s="698" t="s">
        <v>782</v>
      </c>
      <c r="U285" s="55"/>
    </row>
    <row r="286" customFormat="false" ht="15" hidden="false" customHeight="true" outlineLevel="0" collapsed="false">
      <c r="A286" s="679" t="n">
        <v>8</v>
      </c>
      <c r="B286" s="692" t="str">
        <f aca="false">IF(INDEX(MO_SNA_IsHistoricalPeriod,,MATCH(F286,MO_Common_ColumnHeader,0)),"Historical","Forward")</f>
        <v>Historical</v>
      </c>
      <c r="C286" s="55"/>
      <c r="D286" s="693" t="str">
        <f aca="true">INDEX(INDIRECT(E286),0,COLUMN(MO_Common_Column_A))</f>
        <v>SG&amp;A</v>
      </c>
      <c r="E286" s="694" t="s">
        <v>753</v>
      </c>
      <c r="F286" s="692" t="s">
        <v>795</v>
      </c>
      <c r="G286" s="692"/>
      <c r="H286" s="55"/>
      <c r="I286" s="159" t="n">
        <v>120</v>
      </c>
      <c r="J286" s="159" t="n">
        <v>120</v>
      </c>
      <c r="K286" s="159" t="n">
        <f aca="false">AVERAGE(I286:J286)</f>
        <v>120</v>
      </c>
      <c r="L286" s="55"/>
      <c r="M286" s="692" t="str">
        <f aca="false">IF(INDEX(MO_SNA_IsHistoricalPeriod,,MATCH(F286,MO_Common_ColumnHeader,0)),"Actual","Estimate")</f>
        <v>Actual</v>
      </c>
      <c r="N286" s="159" t="n">
        <f aca="true">IFERROR(INDEX(INDIRECT(E286),0,MATCH(F286,MO_Common_ColumnHeader,0)),"N/A")</f>
        <v>121.8</v>
      </c>
      <c r="O286" s="55"/>
      <c r="P286" s="695" t="n">
        <f aca="false">IF(ISNUMBER(N286),N286-K286,"N/A")</f>
        <v>1.8</v>
      </c>
      <c r="Q286" s="696" t="n">
        <f aca="false">IFERROR(IF(ISNUMBER(N286),(N286-K286)/ABS(K286),"N/A"),"N/A")</f>
        <v>0.015</v>
      </c>
      <c r="R286" s="55"/>
      <c r="S286" s="697" t="n">
        <v>43299</v>
      </c>
      <c r="T286" s="698" t="s">
        <v>782</v>
      </c>
      <c r="U286" s="55"/>
    </row>
    <row r="287" customFormat="false" ht="15" hidden="false" customHeight="true" outlineLevel="0" collapsed="false">
      <c r="A287" s="679" t="n">
        <v>7</v>
      </c>
      <c r="B287" s="692" t="str">
        <f aca="false">IF(INDEX(MO_SNA_IsHistoricalPeriod,,MATCH(F287,MO_Common_ColumnHeader,0)),"Historical","Forward")</f>
        <v>Historical</v>
      </c>
      <c r="C287" s="55"/>
      <c r="D287" s="693" t="s">
        <v>747</v>
      </c>
      <c r="E287" s="694"/>
      <c r="F287" s="692" t="s">
        <v>795</v>
      </c>
      <c r="G287" s="692"/>
      <c r="H287" s="55"/>
      <c r="I287" s="359" t="n">
        <v>0.14</v>
      </c>
      <c r="J287" s="359" t="n">
        <v>0.14</v>
      </c>
      <c r="K287" s="359" t="n">
        <f aca="false">AVERAGE(I287:J287)</f>
        <v>0.14</v>
      </c>
      <c r="L287" s="55"/>
      <c r="M287" s="692" t="str">
        <f aca="false">IF(INDEX(MO_SNA_IsHistoricalPeriod,,MATCH(F287,MO_Common_ColumnHeader,0)),"Actual","Estimate")</f>
        <v>Actual</v>
      </c>
      <c r="N287" s="359" t="n">
        <f aca="false">INDEX(MO_RIS_TaxRate_Current,0,MATCH(F287,MO_Common_ColumnHeader,0))+INDEX(MO_RIS_TaxRate_Deferred,0,MATCH(F287,MO_Common_ColumnHeader,0))</f>
        <v>0.16</v>
      </c>
      <c r="O287" s="55"/>
      <c r="P287" s="696" t="n">
        <f aca="false">IF(ISNUMBER(N287),N287-K287,"N/A")</f>
        <v>0.02</v>
      </c>
      <c r="Q287" s="696" t="n">
        <f aca="false">IFERROR(IF(ISNUMBER(N287),(N287-K287)/ABS(K287),"N/A"),"N/A")</f>
        <v>0.142857142857143</v>
      </c>
      <c r="R287" s="55"/>
      <c r="S287" s="697" t="n">
        <v>43299</v>
      </c>
      <c r="T287" s="698" t="s">
        <v>782</v>
      </c>
      <c r="U287" s="55"/>
    </row>
    <row r="288" customFormat="false" ht="15" hidden="false" customHeight="true" outlineLevel="0" collapsed="false">
      <c r="A288" s="679" t="n">
        <v>6</v>
      </c>
      <c r="B288" s="55"/>
      <c r="C288" s="55"/>
      <c r="D288" s="682"/>
      <c r="E288" s="56"/>
      <c r="F288" s="55"/>
      <c r="G288" s="55"/>
      <c r="H288" s="55"/>
      <c r="I288" s="48"/>
      <c r="J288" s="48"/>
      <c r="K288" s="48"/>
      <c r="L288" s="55"/>
      <c r="M288" s="55"/>
      <c r="N288" s="48"/>
      <c r="O288" s="55"/>
      <c r="P288" s="699"/>
      <c r="Q288" s="700"/>
      <c r="R288" s="55"/>
      <c r="S288" s="701"/>
      <c r="T288" s="702"/>
      <c r="U288" s="55"/>
    </row>
    <row r="289" customFormat="false" ht="15" hidden="false" customHeight="true" outlineLevel="0" collapsed="false">
      <c r="A289" s="679" t="n">
        <v>5</v>
      </c>
      <c r="B289" s="692" t="str">
        <f aca="false">IF(INDEX(MO_SNA_IsHistoricalPeriod,,MATCH(F289,MO_Common_ColumnHeader,0)),"Historical","Forward")</f>
        <v>Historical</v>
      </c>
      <c r="C289" s="55"/>
      <c r="D289" s="693" t="str">
        <f aca="true">INDEX(INDIRECT(E289),0,COLUMN(MO_Common_Column_A))</f>
        <v>Net Revenue</v>
      </c>
      <c r="E289" s="694" t="s">
        <v>671</v>
      </c>
      <c r="F289" s="692" t="s">
        <v>796</v>
      </c>
      <c r="G289" s="692"/>
      <c r="H289" s="55"/>
      <c r="I289" s="159" t="n">
        <v>2500</v>
      </c>
      <c r="J289" s="159" t="n">
        <v>2600</v>
      </c>
      <c r="K289" s="159" t="n">
        <f aca="false">AVERAGE(I289:J289)</f>
        <v>2550</v>
      </c>
      <c r="L289" s="55"/>
      <c r="M289" s="692" t="str">
        <f aca="false">IF(INDEX(MO_SNA_IsHistoricalPeriod,,MATCH(F289,MO_Common_ColumnHeader,0)),"Actual","Estimate")</f>
        <v>Actual</v>
      </c>
      <c r="N289" s="159" t="n">
        <f aca="true">IFERROR(INDEX(INDIRECT(E289),0,MATCH(F289,MO_Common_ColumnHeader,0)),"N/A")</f>
        <v>2740.4</v>
      </c>
      <c r="O289" s="55"/>
      <c r="P289" s="695" t="n">
        <f aca="false">IF(ISNUMBER(N289),N289-K289,"N/A")</f>
        <v>190.4</v>
      </c>
      <c r="Q289" s="696" t="n">
        <f aca="false">IFERROR(IF(ISNUMBER(N289),(N289-K289)/ABS(K289),"N/A"),"N/A")</f>
        <v>0.0746666666666667</v>
      </c>
      <c r="R289" s="55"/>
      <c r="S289" s="697" t="n">
        <v>43208</v>
      </c>
      <c r="T289" s="698" t="s">
        <v>782</v>
      </c>
      <c r="U289" s="55"/>
    </row>
    <row r="290" customFormat="false" ht="15" hidden="false" customHeight="true" outlineLevel="0" collapsed="false">
      <c r="A290" s="679" t="n">
        <v>4</v>
      </c>
      <c r="B290" s="692" t="str">
        <f aca="false">IF(INDEX(MO_SNA_IsHistoricalPeriod,,MATCH(F290,MO_Common_ColumnHeader,0)),"Historical","Forward")</f>
        <v>Historical</v>
      </c>
      <c r="C290" s="55"/>
      <c r="D290" s="693" t="str">
        <f aca="true">INDEX(INDIRECT(E290),0,COLUMN(MO_Common_Column_A))</f>
        <v>Gross Margin, %</v>
      </c>
      <c r="E290" s="694" t="s">
        <v>746</v>
      </c>
      <c r="F290" s="692" t="s">
        <v>796</v>
      </c>
      <c r="G290" s="692"/>
      <c r="H290" s="55"/>
      <c r="I290" s="359" t="n">
        <v>0.43</v>
      </c>
      <c r="J290" s="359" t="n">
        <v>0.43</v>
      </c>
      <c r="K290" s="359" t="n">
        <f aca="false">AVERAGE(I290:J290)</f>
        <v>0.43</v>
      </c>
      <c r="L290" s="55"/>
      <c r="M290" s="692" t="str">
        <f aca="false">IF(INDEX(MO_SNA_IsHistoricalPeriod,,MATCH(F290,MO_Common_ColumnHeader,0)),"Actual","Estimate")</f>
        <v>Actual</v>
      </c>
      <c r="N290" s="359" t="n">
        <f aca="true">IFERROR(INDEX(INDIRECT(E290),0,MATCH(F290,MO_Common_ColumnHeader,0)),"N/A")</f>
        <v>0.433111954459203</v>
      </c>
      <c r="O290" s="55"/>
      <c r="P290" s="696" t="n">
        <f aca="false">IF(ISNUMBER(N290),N290-K290,"N/A")</f>
        <v>0.00311195445920304</v>
      </c>
      <c r="Q290" s="696" t="n">
        <f aca="false">IFERROR(IF(ISNUMBER(N290),(N290-K290)/ABS(K290),"N/A"),"N/A")</f>
        <v>0.00723710339349544</v>
      </c>
      <c r="R290" s="55"/>
      <c r="S290" s="697" t="n">
        <v>43208</v>
      </c>
      <c r="T290" s="698" t="s">
        <v>782</v>
      </c>
      <c r="U290" s="55"/>
    </row>
    <row r="291" customFormat="false" ht="15" hidden="false" customHeight="true" outlineLevel="0" collapsed="false">
      <c r="A291" s="679" t="n">
        <v>3</v>
      </c>
      <c r="B291" s="692" t="str">
        <f aca="false">IF(INDEX(MO_SNA_IsHistoricalPeriod,,MATCH(F291,MO_Common_ColumnHeader,0)),"Historical","Forward")</f>
        <v>Historical</v>
      </c>
      <c r="C291" s="55"/>
      <c r="D291" s="693" t="s">
        <v>751</v>
      </c>
      <c r="E291" s="694" t="s">
        <v>752</v>
      </c>
      <c r="F291" s="692" t="s">
        <v>796</v>
      </c>
      <c r="G291" s="692"/>
      <c r="H291" s="55"/>
      <c r="I291" s="159" t="n">
        <v>375</v>
      </c>
      <c r="J291" s="159" t="n">
        <v>375</v>
      </c>
      <c r="K291" s="159" t="n">
        <f aca="false">AVERAGE(I291:J291)</f>
        <v>375</v>
      </c>
      <c r="L291" s="55"/>
      <c r="M291" s="692" t="str">
        <f aca="false">IF(INDEX(MO_SNA_IsHistoricalPeriod,,MATCH(F291,MO_Common_ColumnHeader,0)),"Actual","Estimate")</f>
        <v>Actual</v>
      </c>
      <c r="N291" s="159" t="n">
        <f aca="true">IFERROR(INDEX(INDIRECT(E291),0,MATCH(F291,MO_Common_ColumnHeader,0)),"N/A")</f>
        <v>380.1</v>
      </c>
      <c r="O291" s="55"/>
      <c r="P291" s="695" t="n">
        <f aca="false">IF(ISNUMBER(N291),N291-K291,"N/A")</f>
        <v>5.10000000000002</v>
      </c>
      <c r="Q291" s="696" t="n">
        <f aca="false">IFERROR(IF(ISNUMBER(N291),(N291-K291)/ABS(K291),"N/A"),"N/A")</f>
        <v>0.0136000000000001</v>
      </c>
      <c r="R291" s="55"/>
      <c r="S291" s="697" t="n">
        <v>43208</v>
      </c>
      <c r="T291" s="698" t="s">
        <v>782</v>
      </c>
      <c r="U291" s="55"/>
    </row>
    <row r="292" customFormat="false" ht="15" hidden="false" customHeight="true" outlineLevel="0" collapsed="false">
      <c r="A292" s="679" t="n">
        <v>2</v>
      </c>
      <c r="B292" s="692" t="str">
        <f aca="false">IF(INDEX(MO_SNA_IsHistoricalPeriod,,MATCH(F292,MO_Common_ColumnHeader,0)),"Historical","Forward")</f>
        <v>Historical</v>
      </c>
      <c r="C292" s="55"/>
      <c r="D292" s="693" t="str">
        <f aca="true">INDEX(INDIRECT(E292),0,COLUMN(MO_Common_Column_A))</f>
        <v>SG&amp;A</v>
      </c>
      <c r="E292" s="694" t="s">
        <v>753</v>
      </c>
      <c r="F292" s="692" t="s">
        <v>796</v>
      </c>
      <c r="G292" s="692"/>
      <c r="H292" s="55"/>
      <c r="I292" s="159" t="n">
        <v>115</v>
      </c>
      <c r="J292" s="159" t="n">
        <v>115</v>
      </c>
      <c r="K292" s="159" t="n">
        <f aca="false">AVERAGE(I292:J292)</f>
        <v>115</v>
      </c>
      <c r="L292" s="55"/>
      <c r="M292" s="692" t="str">
        <f aca="false">IF(INDEX(MO_SNA_IsHistoricalPeriod,,MATCH(F292,MO_Common_ColumnHeader,0)),"Actual","Estimate")</f>
        <v>Actual</v>
      </c>
      <c r="N292" s="159" t="n">
        <f aca="true">IFERROR(INDEX(INDIRECT(E292),0,MATCH(F292,MO_Common_ColumnHeader,0)),"N/A")</f>
        <v>117.4</v>
      </c>
      <c r="O292" s="55"/>
      <c r="P292" s="695" t="n">
        <f aca="false">IF(ISNUMBER(N292),N292-K292,"N/A")</f>
        <v>2.40000000000001</v>
      </c>
      <c r="Q292" s="696" t="n">
        <f aca="false">IFERROR(IF(ISNUMBER(N292),(N292-K292)/ABS(K292),"N/A"),"N/A")</f>
        <v>0.0208695652173914</v>
      </c>
      <c r="R292" s="55"/>
      <c r="S292" s="697" t="n">
        <v>43208</v>
      </c>
      <c r="T292" s="698" t="s">
        <v>782</v>
      </c>
      <c r="U292" s="55"/>
    </row>
    <row r="293" customFormat="false" ht="15" hidden="false" customHeight="true" outlineLevel="0" collapsed="false">
      <c r="A293" s="679" t="n">
        <v>1</v>
      </c>
      <c r="B293" s="692" t="str">
        <f aca="false">IF(INDEX(MO_SNA_IsHistoricalPeriod,,MATCH(F293,MO_Common_ColumnHeader,0)),"Historical","Forward")</f>
        <v>Historical</v>
      </c>
      <c r="C293" s="55"/>
      <c r="D293" s="693" t="s">
        <v>747</v>
      </c>
      <c r="E293" s="694"/>
      <c r="F293" s="692" t="s">
        <v>796</v>
      </c>
      <c r="G293" s="692"/>
      <c r="H293" s="55"/>
      <c r="I293" s="359" t="n">
        <v>0.14</v>
      </c>
      <c r="J293" s="359" t="n">
        <v>0.14</v>
      </c>
      <c r="K293" s="359" t="n">
        <f aca="false">AVERAGE(I293:J293)</f>
        <v>0.14</v>
      </c>
      <c r="L293" s="55"/>
      <c r="M293" s="692" t="str">
        <f aca="false">IF(INDEX(MO_SNA_IsHistoricalPeriod,,MATCH(F293,MO_Common_ColumnHeader,0)),"Actual","Estimate")</f>
        <v>Actual</v>
      </c>
      <c r="N293" s="359" t="n">
        <f aca="false">INDEX(MO_RIS_TaxRate_Current,0,MATCH(F293,MO_Common_ColumnHeader,0))+INDEX(MO_RIS_TaxRate_Deferred,0,MATCH(F293,MO_Common_ColumnHeader,0))</f>
        <v>0.155459146782357</v>
      </c>
      <c r="O293" s="55"/>
      <c r="P293" s="696" t="n">
        <f aca="false">IF(ISNUMBER(N293),N293-K293,"N/A")</f>
        <v>0.0154591467823572</v>
      </c>
      <c r="Q293" s="696" t="n">
        <f aca="false">IFERROR(IF(ISNUMBER(N293),(N293-K293)/ABS(K293),"N/A"),"N/A")</f>
        <v>0.110422477016837</v>
      </c>
      <c r="R293" s="55"/>
      <c r="S293" s="697" t="n">
        <v>43208</v>
      </c>
      <c r="T293" s="698" t="s">
        <v>782</v>
      </c>
      <c r="U293" s="55"/>
    </row>
    <row r="294" customFormat="false" ht="15" hidden="false" customHeight="true" outlineLevel="0" collapsed="false">
      <c r="A294" s="679" t="n">
        <v>0</v>
      </c>
      <c r="B294" s="55"/>
      <c r="C294" s="55"/>
      <c r="D294" s="55"/>
      <c r="E294" s="56"/>
      <c r="F294" s="55"/>
      <c r="G294" s="55"/>
      <c r="H294" s="55"/>
      <c r="I294" s="48"/>
      <c r="J294" s="48"/>
      <c r="K294" s="48"/>
      <c r="L294" s="55"/>
      <c r="M294" s="55"/>
      <c r="N294" s="48"/>
      <c r="O294" s="55"/>
      <c r="P294" s="704"/>
      <c r="Q294" s="705"/>
      <c r="R294" s="55"/>
      <c r="S294" s="701"/>
      <c r="T294" s="706"/>
      <c r="U294" s="55"/>
    </row>
  </sheetData>
  <autoFilter ref="A5:U5"/>
  <mergeCells count="4">
    <mergeCell ref="I4:K4"/>
    <mergeCell ref="M4:N4"/>
    <mergeCell ref="P4:Q4"/>
    <mergeCell ref="S4:T4"/>
  </mergeCells>
  <conditionalFormatting sqref="Q7">
    <cfRule type="colorScale" priority="2">
      <colorScale>
        <cfvo type="num" val="-0.1"/>
        <cfvo type="num" val="0"/>
        <cfvo type="num" val="0.1"/>
        <color rgb="FFF8696B"/>
        <color rgb="FFFFEB84"/>
        <color rgb="FF63BE7B"/>
      </colorScale>
    </cfRule>
    <cfRule type="colorScale" priority="3">
      <colorScale>
        <cfvo type="num" val="-0.1"/>
        <cfvo type="num" val="0"/>
        <cfvo type="num" val="0.1"/>
        <color rgb="FFF8696B"/>
        <color rgb="FFFFEB84"/>
        <color rgb="FF63BE7B"/>
      </colorScale>
    </cfRule>
    <cfRule type="colorScale" priority="4">
      <colorScale>
        <cfvo type="num" val="-0.1"/>
        <cfvo type="num" val="0"/>
        <cfvo type="num" val="0.1"/>
        <color rgb="FFF8696B"/>
        <color rgb="FFFFEB84"/>
        <color rgb="FF63BE7B"/>
      </colorScale>
    </cfRule>
  </conditionalFormatting>
  <conditionalFormatting sqref="Q6">
    <cfRule type="colorScale" priority="5">
      <colorScale>
        <cfvo type="num" val="-0.1"/>
        <cfvo type="num" val="0"/>
        <cfvo type="num" val="0.1"/>
        <color rgb="FFF8696B"/>
        <color rgb="FFFFEB84"/>
        <color rgb="FF63BE7B"/>
      </colorScale>
    </cfRule>
    <cfRule type="colorScale" priority="6">
      <colorScale>
        <cfvo type="num" val="-0.1"/>
        <cfvo type="num" val="0"/>
        <cfvo type="num" val="0.1"/>
        <color rgb="FFF8696B"/>
        <color rgb="FFFFEB84"/>
        <color rgb="FF63BE7B"/>
      </colorScale>
    </cfRule>
  </conditionalFormatting>
  <conditionalFormatting sqref="Q15">
    <cfRule type="colorScale" priority="7">
      <colorScale>
        <cfvo type="num" val="-0.1"/>
        <cfvo type="num" val="0"/>
        <cfvo type="num" val="0.1"/>
        <color rgb="FFF8696B"/>
        <color rgb="FFFFEB84"/>
        <color rgb="FF63BE7B"/>
      </colorScale>
    </cfRule>
    <cfRule type="colorScale" priority="8">
      <colorScale>
        <cfvo type="num" val="-0.1"/>
        <cfvo type="num" val="0"/>
        <cfvo type="num" val="0.1"/>
        <color rgb="FFF8696B"/>
        <color rgb="FFFFEB84"/>
        <color rgb="FF63BE7B"/>
      </colorScale>
    </cfRule>
  </conditionalFormatting>
  <conditionalFormatting sqref="Q9">
    <cfRule type="colorScale" priority="9">
      <colorScale>
        <cfvo type="num" val="-0.1"/>
        <cfvo type="num" val="0"/>
        <cfvo type="num" val="0.1"/>
        <color rgb="FFF8696B"/>
        <color rgb="FFFFEB84"/>
        <color rgb="FF63BE7B"/>
      </colorScale>
    </cfRule>
    <cfRule type="colorScale" priority="10">
      <colorScale>
        <cfvo type="num" val="-0.1"/>
        <cfvo type="num" val="0"/>
        <cfvo type="num" val="0.1"/>
        <color rgb="FFF8696B"/>
        <color rgb="FFFFEB84"/>
        <color rgb="FF63BE7B"/>
      </colorScale>
    </cfRule>
  </conditionalFormatting>
  <conditionalFormatting sqref="Q8">
    <cfRule type="colorScale" priority="11">
      <colorScale>
        <cfvo type="num" val="-0.1"/>
        <cfvo type="num" val="0"/>
        <cfvo type="num" val="0.1"/>
        <color rgb="FFF8696B"/>
        <color rgb="FFFFEB84"/>
        <color rgb="FF63BE7B"/>
      </colorScale>
    </cfRule>
  </conditionalFormatting>
  <conditionalFormatting sqref="Q11:Q12">
    <cfRule type="colorScale" priority="12">
      <colorScale>
        <cfvo type="num" val="-0.1"/>
        <cfvo type="num" val="0"/>
        <cfvo type="num" val="0.1"/>
        <color rgb="FFF8696B"/>
        <color rgb="FFFFEB84"/>
        <color rgb="FF63BE7B"/>
      </colorScale>
    </cfRule>
    <cfRule type="colorScale" priority="13">
      <colorScale>
        <cfvo type="num" val="-0.1"/>
        <cfvo type="num" val="0"/>
        <cfvo type="num" val="0.1"/>
        <color rgb="FFF8696B"/>
        <color rgb="FFFFEB84"/>
        <color rgb="FF63BE7B"/>
      </colorScale>
    </cfRule>
  </conditionalFormatting>
  <conditionalFormatting sqref="Q10">
    <cfRule type="colorScale" priority="14">
      <colorScale>
        <cfvo type="num" val="-0.1"/>
        <cfvo type="num" val="0"/>
        <cfvo type="num" val="0.1"/>
        <color rgb="FFF8696B"/>
        <color rgb="FFFFEB84"/>
        <color rgb="FF63BE7B"/>
      </colorScale>
    </cfRule>
    <cfRule type="colorScale" priority="15">
      <colorScale>
        <cfvo type="num" val="-0.1"/>
        <cfvo type="num" val="0"/>
        <cfvo type="num" val="0.1"/>
        <color rgb="FFF8696B"/>
        <color rgb="FFFFEB84"/>
        <color rgb="FF63BE7B"/>
      </colorScale>
    </cfRule>
  </conditionalFormatting>
  <conditionalFormatting sqref="Q12:Q14">
    <cfRule type="colorScale" priority="16">
      <colorScale>
        <cfvo type="num" val="-0.1"/>
        <cfvo type="num" val="0"/>
        <cfvo type="num" val="0.1"/>
        <color rgb="FFF8696B"/>
        <color rgb="FFFFEB84"/>
        <color rgb="FF63BE7B"/>
      </colorScale>
    </cfRule>
  </conditionalFormatting>
  <conditionalFormatting sqref="Q17">
    <cfRule type="colorScale" priority="17">
      <colorScale>
        <cfvo type="num" val="-0.1"/>
        <cfvo type="num" val="0"/>
        <cfvo type="num" val="0.1"/>
        <color rgb="FFF8696B"/>
        <color rgb="FFFFEB84"/>
        <color rgb="FF63BE7B"/>
      </colorScale>
    </cfRule>
    <cfRule type="colorScale" priority="18">
      <colorScale>
        <cfvo type="num" val="-0.1"/>
        <cfvo type="num" val="0"/>
        <cfvo type="num" val="0.1"/>
        <color rgb="FFF8696B"/>
        <color rgb="FFFFEB84"/>
        <color rgb="FF63BE7B"/>
      </colorScale>
    </cfRule>
    <cfRule type="colorScale" priority="19">
      <colorScale>
        <cfvo type="num" val="-0.1"/>
        <cfvo type="num" val="0"/>
        <cfvo type="num" val="0.1"/>
        <color rgb="FFF8696B"/>
        <color rgb="FFFFEB84"/>
        <color rgb="FF63BE7B"/>
      </colorScale>
    </cfRule>
  </conditionalFormatting>
  <conditionalFormatting sqref="Q16">
    <cfRule type="colorScale" priority="20">
      <colorScale>
        <cfvo type="num" val="-0.1"/>
        <cfvo type="num" val="0"/>
        <cfvo type="num" val="0.1"/>
        <color rgb="FFF8696B"/>
        <color rgb="FFFFEB84"/>
        <color rgb="FF63BE7B"/>
      </colorScale>
    </cfRule>
    <cfRule type="colorScale" priority="21">
      <colorScale>
        <cfvo type="num" val="-0.1"/>
        <cfvo type="num" val="0"/>
        <cfvo type="num" val="0.1"/>
        <color rgb="FFF8696B"/>
        <color rgb="FFFFEB84"/>
        <color rgb="FF63BE7B"/>
      </colorScale>
    </cfRule>
  </conditionalFormatting>
  <conditionalFormatting sqref="Q25">
    <cfRule type="colorScale" priority="22">
      <colorScale>
        <cfvo type="num" val="-0.1"/>
        <cfvo type="num" val="0"/>
        <cfvo type="num" val="0.1"/>
        <color rgb="FFF8696B"/>
        <color rgb="FFFFEB84"/>
        <color rgb="FF63BE7B"/>
      </colorScale>
    </cfRule>
    <cfRule type="colorScale" priority="23">
      <colorScale>
        <cfvo type="num" val="-0.1"/>
        <cfvo type="num" val="0"/>
        <cfvo type="num" val="0.1"/>
        <color rgb="FFF8696B"/>
        <color rgb="FFFFEB84"/>
        <color rgb="FF63BE7B"/>
      </colorScale>
    </cfRule>
  </conditionalFormatting>
  <conditionalFormatting sqref="Q19">
    <cfRule type="colorScale" priority="24">
      <colorScale>
        <cfvo type="num" val="-0.1"/>
        <cfvo type="num" val="0"/>
        <cfvo type="num" val="0.1"/>
        <color rgb="FFF8696B"/>
        <color rgb="FFFFEB84"/>
        <color rgb="FF63BE7B"/>
      </colorScale>
    </cfRule>
    <cfRule type="colorScale" priority="25">
      <colorScale>
        <cfvo type="num" val="-0.1"/>
        <cfvo type="num" val="0"/>
        <cfvo type="num" val="0.1"/>
        <color rgb="FFF8696B"/>
        <color rgb="FFFFEB84"/>
        <color rgb="FF63BE7B"/>
      </colorScale>
    </cfRule>
  </conditionalFormatting>
  <conditionalFormatting sqref="Q18">
    <cfRule type="colorScale" priority="26">
      <colorScale>
        <cfvo type="num" val="-0.1"/>
        <cfvo type="num" val="0"/>
        <cfvo type="num" val="0.1"/>
        <color rgb="FFF8696B"/>
        <color rgb="FFFFEB84"/>
        <color rgb="FF63BE7B"/>
      </colorScale>
    </cfRule>
  </conditionalFormatting>
  <conditionalFormatting sqref="Q21:Q22">
    <cfRule type="colorScale" priority="27">
      <colorScale>
        <cfvo type="num" val="-0.1"/>
        <cfvo type="num" val="0"/>
        <cfvo type="num" val="0.1"/>
        <color rgb="FFF8696B"/>
        <color rgb="FFFFEB84"/>
        <color rgb="FF63BE7B"/>
      </colorScale>
    </cfRule>
    <cfRule type="colorScale" priority="28">
      <colorScale>
        <cfvo type="num" val="-0.1"/>
        <cfvo type="num" val="0"/>
        <cfvo type="num" val="0.1"/>
        <color rgb="FFF8696B"/>
        <color rgb="FFFFEB84"/>
        <color rgb="FF63BE7B"/>
      </colorScale>
    </cfRule>
  </conditionalFormatting>
  <conditionalFormatting sqref="Q20">
    <cfRule type="colorScale" priority="29">
      <colorScale>
        <cfvo type="num" val="-0.1"/>
        <cfvo type="num" val="0"/>
        <cfvo type="num" val="0.1"/>
        <color rgb="FFF8696B"/>
        <color rgb="FFFFEB84"/>
        <color rgb="FF63BE7B"/>
      </colorScale>
    </cfRule>
    <cfRule type="colorScale" priority="30">
      <colorScale>
        <cfvo type="num" val="-0.1"/>
        <cfvo type="num" val="0"/>
        <cfvo type="num" val="0.1"/>
        <color rgb="FFF8696B"/>
        <color rgb="FFFFEB84"/>
        <color rgb="FF63BE7B"/>
      </colorScale>
    </cfRule>
  </conditionalFormatting>
  <conditionalFormatting sqref="Q22:Q24">
    <cfRule type="colorScale" priority="31">
      <colorScale>
        <cfvo type="num" val="-0.1"/>
        <cfvo type="num" val="0"/>
        <cfvo type="num" val="0.1"/>
        <color rgb="FFF8696B"/>
        <color rgb="FFFFEB84"/>
        <color rgb="FF63BE7B"/>
      </colorScale>
    </cfRule>
  </conditionalFormatting>
  <conditionalFormatting sqref="Q27">
    <cfRule type="colorScale" priority="32">
      <colorScale>
        <cfvo type="num" val="-0.1"/>
        <cfvo type="num" val="0"/>
        <cfvo type="num" val="0.1"/>
        <color rgb="FFF8696B"/>
        <color rgb="FFFFEB84"/>
        <color rgb="FF63BE7B"/>
      </colorScale>
    </cfRule>
    <cfRule type="colorScale" priority="33">
      <colorScale>
        <cfvo type="num" val="-0.1"/>
        <cfvo type="num" val="0"/>
        <cfvo type="num" val="0.1"/>
        <color rgb="FFF8696B"/>
        <color rgb="FFFFEB84"/>
        <color rgb="FF63BE7B"/>
      </colorScale>
    </cfRule>
    <cfRule type="colorScale" priority="34">
      <colorScale>
        <cfvo type="num" val="-0.1"/>
        <cfvo type="num" val="0"/>
        <cfvo type="num" val="0.1"/>
        <color rgb="FFF8696B"/>
        <color rgb="FFFFEB84"/>
        <color rgb="FF63BE7B"/>
      </colorScale>
    </cfRule>
  </conditionalFormatting>
  <conditionalFormatting sqref="Q26">
    <cfRule type="colorScale" priority="35">
      <colorScale>
        <cfvo type="num" val="-0.1"/>
        <cfvo type="num" val="0"/>
        <cfvo type="num" val="0.1"/>
        <color rgb="FFF8696B"/>
        <color rgb="FFFFEB84"/>
        <color rgb="FF63BE7B"/>
      </colorScale>
    </cfRule>
    <cfRule type="colorScale" priority="36">
      <colorScale>
        <cfvo type="num" val="-0.1"/>
        <cfvo type="num" val="0"/>
        <cfvo type="num" val="0.1"/>
        <color rgb="FFF8696B"/>
        <color rgb="FFFFEB84"/>
        <color rgb="FF63BE7B"/>
      </colorScale>
    </cfRule>
  </conditionalFormatting>
  <conditionalFormatting sqref="Q35">
    <cfRule type="colorScale" priority="37">
      <colorScale>
        <cfvo type="num" val="-0.1"/>
        <cfvo type="num" val="0"/>
        <cfvo type="num" val="0.1"/>
        <color rgb="FFF8696B"/>
        <color rgb="FFFFEB84"/>
        <color rgb="FF63BE7B"/>
      </colorScale>
    </cfRule>
    <cfRule type="colorScale" priority="38">
      <colorScale>
        <cfvo type="num" val="-0.1"/>
        <cfvo type="num" val="0"/>
        <cfvo type="num" val="0.1"/>
        <color rgb="FFF8696B"/>
        <color rgb="FFFFEB84"/>
        <color rgb="FF63BE7B"/>
      </colorScale>
    </cfRule>
  </conditionalFormatting>
  <conditionalFormatting sqref="Q29">
    <cfRule type="colorScale" priority="39">
      <colorScale>
        <cfvo type="num" val="-0.1"/>
        <cfvo type="num" val="0"/>
        <cfvo type="num" val="0.1"/>
        <color rgb="FFF8696B"/>
        <color rgb="FFFFEB84"/>
        <color rgb="FF63BE7B"/>
      </colorScale>
    </cfRule>
    <cfRule type="colorScale" priority="40">
      <colorScale>
        <cfvo type="num" val="-0.1"/>
        <cfvo type="num" val="0"/>
        <cfvo type="num" val="0.1"/>
        <color rgb="FFF8696B"/>
        <color rgb="FFFFEB84"/>
        <color rgb="FF63BE7B"/>
      </colorScale>
    </cfRule>
  </conditionalFormatting>
  <conditionalFormatting sqref="Q28">
    <cfRule type="colorScale" priority="41">
      <colorScale>
        <cfvo type="num" val="-0.1"/>
        <cfvo type="num" val="0"/>
        <cfvo type="num" val="0.1"/>
        <color rgb="FFF8696B"/>
        <color rgb="FFFFEB84"/>
        <color rgb="FF63BE7B"/>
      </colorScale>
    </cfRule>
  </conditionalFormatting>
  <conditionalFormatting sqref="Q31:Q32">
    <cfRule type="colorScale" priority="42">
      <colorScale>
        <cfvo type="num" val="-0.1"/>
        <cfvo type="num" val="0"/>
        <cfvo type="num" val="0.1"/>
        <color rgb="FFF8696B"/>
        <color rgb="FFFFEB84"/>
        <color rgb="FF63BE7B"/>
      </colorScale>
    </cfRule>
    <cfRule type="colorScale" priority="43">
      <colorScale>
        <cfvo type="num" val="-0.1"/>
        <cfvo type="num" val="0"/>
        <cfvo type="num" val="0.1"/>
        <color rgb="FFF8696B"/>
        <color rgb="FFFFEB84"/>
        <color rgb="FF63BE7B"/>
      </colorScale>
    </cfRule>
  </conditionalFormatting>
  <conditionalFormatting sqref="Q30">
    <cfRule type="colorScale" priority="44">
      <colorScale>
        <cfvo type="num" val="-0.1"/>
        <cfvo type="num" val="0"/>
        <cfvo type="num" val="0.1"/>
        <color rgb="FFF8696B"/>
        <color rgb="FFFFEB84"/>
        <color rgb="FF63BE7B"/>
      </colorScale>
    </cfRule>
    <cfRule type="colorScale" priority="45">
      <colorScale>
        <cfvo type="num" val="-0.1"/>
        <cfvo type="num" val="0"/>
        <cfvo type="num" val="0.1"/>
        <color rgb="FFF8696B"/>
        <color rgb="FFFFEB84"/>
        <color rgb="FF63BE7B"/>
      </colorScale>
    </cfRule>
  </conditionalFormatting>
  <conditionalFormatting sqref="Q32:Q34">
    <cfRule type="colorScale" priority="46">
      <colorScale>
        <cfvo type="num" val="-0.1"/>
        <cfvo type="num" val="0"/>
        <cfvo type="num" val="0.1"/>
        <color rgb="FFF8696B"/>
        <color rgb="FFFFEB84"/>
        <color rgb="FF63BE7B"/>
      </colorScale>
    </cfRule>
  </conditionalFormatting>
  <conditionalFormatting sqref="Q37">
    <cfRule type="colorScale" priority="47">
      <colorScale>
        <cfvo type="num" val="-0.1"/>
        <cfvo type="num" val="0"/>
        <cfvo type="num" val="0.1"/>
        <color rgb="FFF8696B"/>
        <color rgb="FFFFEB84"/>
        <color rgb="FF63BE7B"/>
      </colorScale>
    </cfRule>
    <cfRule type="colorScale" priority="48">
      <colorScale>
        <cfvo type="num" val="-0.1"/>
        <cfvo type="num" val="0"/>
        <cfvo type="num" val="0.1"/>
        <color rgb="FFF8696B"/>
        <color rgb="FFFFEB84"/>
        <color rgb="FF63BE7B"/>
      </colorScale>
    </cfRule>
    <cfRule type="colorScale" priority="49">
      <colorScale>
        <cfvo type="num" val="-0.1"/>
        <cfvo type="num" val="0"/>
        <cfvo type="num" val="0.1"/>
        <color rgb="FFF8696B"/>
        <color rgb="FFFFEB84"/>
        <color rgb="FF63BE7B"/>
      </colorScale>
    </cfRule>
  </conditionalFormatting>
  <conditionalFormatting sqref="Q36">
    <cfRule type="colorScale" priority="50">
      <colorScale>
        <cfvo type="num" val="-0.1"/>
        <cfvo type="num" val="0"/>
        <cfvo type="num" val="0.1"/>
        <color rgb="FFF8696B"/>
        <color rgb="FFFFEB84"/>
        <color rgb="FF63BE7B"/>
      </colorScale>
    </cfRule>
    <cfRule type="colorScale" priority="51">
      <colorScale>
        <cfvo type="num" val="-0.1"/>
        <cfvo type="num" val="0"/>
        <cfvo type="num" val="0.1"/>
        <color rgb="FFF8696B"/>
        <color rgb="FFFFEB84"/>
        <color rgb="FF63BE7B"/>
      </colorScale>
    </cfRule>
  </conditionalFormatting>
  <conditionalFormatting sqref="Q45">
    <cfRule type="colorScale" priority="52">
      <colorScale>
        <cfvo type="num" val="-0.1"/>
        <cfvo type="num" val="0"/>
        <cfvo type="num" val="0.1"/>
        <color rgb="FFF8696B"/>
        <color rgb="FFFFEB84"/>
        <color rgb="FF63BE7B"/>
      </colorScale>
    </cfRule>
    <cfRule type="colorScale" priority="53">
      <colorScale>
        <cfvo type="num" val="-0.1"/>
        <cfvo type="num" val="0"/>
        <cfvo type="num" val="0.1"/>
        <color rgb="FFF8696B"/>
        <color rgb="FFFFEB84"/>
        <color rgb="FF63BE7B"/>
      </colorScale>
    </cfRule>
  </conditionalFormatting>
  <conditionalFormatting sqref="Q39">
    <cfRule type="colorScale" priority="54">
      <colorScale>
        <cfvo type="num" val="-0.1"/>
        <cfvo type="num" val="0"/>
        <cfvo type="num" val="0.1"/>
        <color rgb="FFF8696B"/>
        <color rgb="FFFFEB84"/>
        <color rgb="FF63BE7B"/>
      </colorScale>
    </cfRule>
    <cfRule type="colorScale" priority="55">
      <colorScale>
        <cfvo type="num" val="-0.1"/>
        <cfvo type="num" val="0"/>
        <cfvo type="num" val="0.1"/>
        <color rgb="FFF8696B"/>
        <color rgb="FFFFEB84"/>
        <color rgb="FF63BE7B"/>
      </colorScale>
    </cfRule>
  </conditionalFormatting>
  <conditionalFormatting sqref="Q38">
    <cfRule type="colorScale" priority="56">
      <colorScale>
        <cfvo type="num" val="-0.1"/>
        <cfvo type="num" val="0"/>
        <cfvo type="num" val="0.1"/>
        <color rgb="FFF8696B"/>
        <color rgb="FFFFEB84"/>
        <color rgb="FF63BE7B"/>
      </colorScale>
    </cfRule>
  </conditionalFormatting>
  <conditionalFormatting sqref="Q41:Q42">
    <cfRule type="colorScale" priority="57">
      <colorScale>
        <cfvo type="num" val="-0.1"/>
        <cfvo type="num" val="0"/>
        <cfvo type="num" val="0.1"/>
        <color rgb="FFF8696B"/>
        <color rgb="FFFFEB84"/>
        <color rgb="FF63BE7B"/>
      </colorScale>
    </cfRule>
    <cfRule type="colorScale" priority="58">
      <colorScale>
        <cfvo type="num" val="-0.1"/>
        <cfvo type="num" val="0"/>
        <cfvo type="num" val="0.1"/>
        <color rgb="FFF8696B"/>
        <color rgb="FFFFEB84"/>
        <color rgb="FF63BE7B"/>
      </colorScale>
    </cfRule>
  </conditionalFormatting>
  <conditionalFormatting sqref="Q40">
    <cfRule type="colorScale" priority="59">
      <colorScale>
        <cfvo type="num" val="-0.1"/>
        <cfvo type="num" val="0"/>
        <cfvo type="num" val="0.1"/>
        <color rgb="FFF8696B"/>
        <color rgb="FFFFEB84"/>
        <color rgb="FF63BE7B"/>
      </colorScale>
    </cfRule>
    <cfRule type="colorScale" priority="60">
      <colorScale>
        <cfvo type="num" val="-0.1"/>
        <cfvo type="num" val="0"/>
        <cfvo type="num" val="0.1"/>
        <color rgb="FFF8696B"/>
        <color rgb="FFFFEB84"/>
        <color rgb="FF63BE7B"/>
      </colorScale>
    </cfRule>
  </conditionalFormatting>
  <conditionalFormatting sqref="Q42:Q44">
    <cfRule type="colorScale" priority="61">
      <colorScale>
        <cfvo type="num" val="-0.1"/>
        <cfvo type="num" val="0"/>
        <cfvo type="num" val="0.1"/>
        <color rgb="FFF8696B"/>
        <color rgb="FFFFEB84"/>
        <color rgb="FF63BE7B"/>
      </colorScale>
    </cfRule>
  </conditionalFormatting>
  <conditionalFormatting sqref="Q47">
    <cfRule type="colorScale" priority="62">
      <colorScale>
        <cfvo type="num" val="-0.1"/>
        <cfvo type="num" val="0"/>
        <cfvo type="num" val="0.1"/>
        <color rgb="FFF8696B"/>
        <color rgb="FFFFEB84"/>
        <color rgb="FF63BE7B"/>
      </colorScale>
    </cfRule>
    <cfRule type="colorScale" priority="63">
      <colorScale>
        <cfvo type="num" val="-0.1"/>
        <cfvo type="num" val="0"/>
        <cfvo type="num" val="0.1"/>
        <color rgb="FFF8696B"/>
        <color rgb="FFFFEB84"/>
        <color rgb="FF63BE7B"/>
      </colorScale>
    </cfRule>
    <cfRule type="colorScale" priority="64">
      <colorScale>
        <cfvo type="num" val="-0.1"/>
        <cfvo type="num" val="0"/>
        <cfvo type="num" val="0.1"/>
        <color rgb="FFF8696B"/>
        <color rgb="FFFFEB84"/>
        <color rgb="FF63BE7B"/>
      </colorScale>
    </cfRule>
  </conditionalFormatting>
  <conditionalFormatting sqref="Q46">
    <cfRule type="colorScale" priority="65">
      <colorScale>
        <cfvo type="num" val="-0.1"/>
        <cfvo type="num" val="0"/>
        <cfvo type="num" val="0.1"/>
        <color rgb="FFF8696B"/>
        <color rgb="FFFFEB84"/>
        <color rgb="FF63BE7B"/>
      </colorScale>
    </cfRule>
    <cfRule type="colorScale" priority="66">
      <colorScale>
        <cfvo type="num" val="-0.1"/>
        <cfvo type="num" val="0"/>
        <cfvo type="num" val="0.1"/>
        <color rgb="FFF8696B"/>
        <color rgb="FFFFEB84"/>
        <color rgb="FF63BE7B"/>
      </colorScale>
    </cfRule>
  </conditionalFormatting>
  <conditionalFormatting sqref="Q55">
    <cfRule type="colorScale" priority="67">
      <colorScale>
        <cfvo type="num" val="-0.1"/>
        <cfvo type="num" val="0"/>
        <cfvo type="num" val="0.1"/>
        <color rgb="FFF8696B"/>
        <color rgb="FFFFEB84"/>
        <color rgb="FF63BE7B"/>
      </colorScale>
    </cfRule>
    <cfRule type="colorScale" priority="68">
      <colorScale>
        <cfvo type="num" val="-0.1"/>
        <cfvo type="num" val="0"/>
        <cfvo type="num" val="0.1"/>
        <color rgb="FFF8696B"/>
        <color rgb="FFFFEB84"/>
        <color rgb="FF63BE7B"/>
      </colorScale>
    </cfRule>
  </conditionalFormatting>
  <conditionalFormatting sqref="Q49">
    <cfRule type="colorScale" priority="69">
      <colorScale>
        <cfvo type="num" val="-0.1"/>
        <cfvo type="num" val="0"/>
        <cfvo type="num" val="0.1"/>
        <color rgb="FFF8696B"/>
        <color rgb="FFFFEB84"/>
        <color rgb="FF63BE7B"/>
      </colorScale>
    </cfRule>
    <cfRule type="colorScale" priority="70">
      <colorScale>
        <cfvo type="num" val="-0.1"/>
        <cfvo type="num" val="0"/>
        <cfvo type="num" val="0.1"/>
        <color rgb="FFF8696B"/>
        <color rgb="FFFFEB84"/>
        <color rgb="FF63BE7B"/>
      </colorScale>
    </cfRule>
  </conditionalFormatting>
  <conditionalFormatting sqref="Q48">
    <cfRule type="colorScale" priority="71">
      <colorScale>
        <cfvo type="num" val="-0.1"/>
        <cfvo type="num" val="0"/>
        <cfvo type="num" val="0.1"/>
        <color rgb="FFF8696B"/>
        <color rgb="FFFFEB84"/>
        <color rgb="FF63BE7B"/>
      </colorScale>
    </cfRule>
  </conditionalFormatting>
  <conditionalFormatting sqref="Q51:Q52">
    <cfRule type="colorScale" priority="72">
      <colorScale>
        <cfvo type="num" val="-0.1"/>
        <cfvo type="num" val="0"/>
        <cfvo type="num" val="0.1"/>
        <color rgb="FFF8696B"/>
        <color rgb="FFFFEB84"/>
        <color rgb="FF63BE7B"/>
      </colorScale>
    </cfRule>
    <cfRule type="colorScale" priority="73">
      <colorScale>
        <cfvo type="num" val="-0.1"/>
        <cfvo type="num" val="0"/>
        <cfvo type="num" val="0.1"/>
        <color rgb="FFF8696B"/>
        <color rgb="FFFFEB84"/>
        <color rgb="FF63BE7B"/>
      </colorScale>
    </cfRule>
  </conditionalFormatting>
  <conditionalFormatting sqref="Q50">
    <cfRule type="colorScale" priority="74">
      <colorScale>
        <cfvo type="num" val="-0.1"/>
        <cfvo type="num" val="0"/>
        <cfvo type="num" val="0.1"/>
        <color rgb="FFF8696B"/>
        <color rgb="FFFFEB84"/>
        <color rgb="FF63BE7B"/>
      </colorScale>
    </cfRule>
    <cfRule type="colorScale" priority="75">
      <colorScale>
        <cfvo type="num" val="-0.1"/>
        <cfvo type="num" val="0"/>
        <cfvo type="num" val="0.1"/>
        <color rgb="FFF8696B"/>
        <color rgb="FFFFEB84"/>
        <color rgb="FF63BE7B"/>
      </colorScale>
    </cfRule>
  </conditionalFormatting>
  <conditionalFormatting sqref="Q52:Q54">
    <cfRule type="colorScale" priority="76">
      <colorScale>
        <cfvo type="num" val="-0.1"/>
        <cfvo type="num" val="0"/>
        <cfvo type="num" val="0.1"/>
        <color rgb="FFF8696B"/>
        <color rgb="FFFFEB84"/>
        <color rgb="FF63BE7B"/>
      </colorScale>
    </cfRule>
  </conditionalFormatting>
  <conditionalFormatting sqref="Q57">
    <cfRule type="colorScale" priority="77">
      <colorScale>
        <cfvo type="num" val="-0.1"/>
        <cfvo type="num" val="0"/>
        <cfvo type="num" val="0.1"/>
        <color rgb="FFF8696B"/>
        <color rgb="FFFFEB84"/>
        <color rgb="FF63BE7B"/>
      </colorScale>
    </cfRule>
    <cfRule type="colorScale" priority="78">
      <colorScale>
        <cfvo type="num" val="-0.1"/>
        <cfvo type="num" val="0"/>
        <cfvo type="num" val="0.1"/>
        <color rgb="FFF8696B"/>
        <color rgb="FFFFEB84"/>
        <color rgb="FF63BE7B"/>
      </colorScale>
    </cfRule>
    <cfRule type="colorScale" priority="79">
      <colorScale>
        <cfvo type="num" val="-0.1"/>
        <cfvo type="num" val="0"/>
        <cfvo type="num" val="0.1"/>
        <color rgb="FFF8696B"/>
        <color rgb="FFFFEB84"/>
        <color rgb="FF63BE7B"/>
      </colorScale>
    </cfRule>
  </conditionalFormatting>
  <conditionalFormatting sqref="Q56">
    <cfRule type="colorScale" priority="80">
      <colorScale>
        <cfvo type="num" val="-0.1"/>
        <cfvo type="num" val="0"/>
        <cfvo type="num" val="0.1"/>
        <color rgb="FFF8696B"/>
        <color rgb="FFFFEB84"/>
        <color rgb="FF63BE7B"/>
      </colorScale>
    </cfRule>
    <cfRule type="colorScale" priority="81">
      <colorScale>
        <cfvo type="num" val="-0.1"/>
        <cfvo type="num" val="0"/>
        <cfvo type="num" val="0.1"/>
        <color rgb="FFF8696B"/>
        <color rgb="FFFFEB84"/>
        <color rgb="FF63BE7B"/>
      </colorScale>
    </cfRule>
  </conditionalFormatting>
  <conditionalFormatting sqref="Q65">
    <cfRule type="colorScale" priority="82">
      <colorScale>
        <cfvo type="num" val="-0.1"/>
        <cfvo type="num" val="0"/>
        <cfvo type="num" val="0.1"/>
        <color rgb="FFF8696B"/>
        <color rgb="FFFFEB84"/>
        <color rgb="FF63BE7B"/>
      </colorScale>
    </cfRule>
    <cfRule type="colorScale" priority="83">
      <colorScale>
        <cfvo type="num" val="-0.1"/>
        <cfvo type="num" val="0"/>
        <cfvo type="num" val="0.1"/>
        <color rgb="FFF8696B"/>
        <color rgb="FFFFEB84"/>
        <color rgb="FF63BE7B"/>
      </colorScale>
    </cfRule>
  </conditionalFormatting>
  <conditionalFormatting sqref="Q59">
    <cfRule type="colorScale" priority="84">
      <colorScale>
        <cfvo type="num" val="-0.1"/>
        <cfvo type="num" val="0"/>
        <cfvo type="num" val="0.1"/>
        <color rgb="FFF8696B"/>
        <color rgb="FFFFEB84"/>
        <color rgb="FF63BE7B"/>
      </colorScale>
    </cfRule>
    <cfRule type="colorScale" priority="85">
      <colorScale>
        <cfvo type="num" val="-0.1"/>
        <cfvo type="num" val="0"/>
        <cfvo type="num" val="0.1"/>
        <color rgb="FFF8696B"/>
        <color rgb="FFFFEB84"/>
        <color rgb="FF63BE7B"/>
      </colorScale>
    </cfRule>
  </conditionalFormatting>
  <conditionalFormatting sqref="Q58">
    <cfRule type="colorScale" priority="86">
      <colorScale>
        <cfvo type="num" val="-0.1"/>
        <cfvo type="num" val="0"/>
        <cfvo type="num" val="0.1"/>
        <color rgb="FFF8696B"/>
        <color rgb="FFFFEB84"/>
        <color rgb="FF63BE7B"/>
      </colorScale>
    </cfRule>
  </conditionalFormatting>
  <conditionalFormatting sqref="Q61:Q62">
    <cfRule type="colorScale" priority="87">
      <colorScale>
        <cfvo type="num" val="-0.1"/>
        <cfvo type="num" val="0"/>
        <cfvo type="num" val="0.1"/>
        <color rgb="FFF8696B"/>
        <color rgb="FFFFEB84"/>
        <color rgb="FF63BE7B"/>
      </colorScale>
    </cfRule>
    <cfRule type="colorScale" priority="88">
      <colorScale>
        <cfvo type="num" val="-0.1"/>
        <cfvo type="num" val="0"/>
        <cfvo type="num" val="0.1"/>
        <color rgb="FFF8696B"/>
        <color rgb="FFFFEB84"/>
        <color rgb="FF63BE7B"/>
      </colorScale>
    </cfRule>
  </conditionalFormatting>
  <conditionalFormatting sqref="Q60">
    <cfRule type="colorScale" priority="89">
      <colorScale>
        <cfvo type="num" val="-0.1"/>
        <cfvo type="num" val="0"/>
        <cfvo type="num" val="0.1"/>
        <color rgb="FFF8696B"/>
        <color rgb="FFFFEB84"/>
        <color rgb="FF63BE7B"/>
      </colorScale>
    </cfRule>
    <cfRule type="colorScale" priority="90">
      <colorScale>
        <cfvo type="num" val="-0.1"/>
        <cfvo type="num" val="0"/>
        <cfvo type="num" val="0.1"/>
        <color rgb="FFF8696B"/>
        <color rgb="FFFFEB84"/>
        <color rgb="FF63BE7B"/>
      </colorScale>
    </cfRule>
  </conditionalFormatting>
  <conditionalFormatting sqref="Q62:Q64">
    <cfRule type="colorScale" priority="91">
      <colorScale>
        <cfvo type="num" val="-0.1"/>
        <cfvo type="num" val="0"/>
        <cfvo type="num" val="0.1"/>
        <color rgb="FFF8696B"/>
        <color rgb="FFFFEB84"/>
        <color rgb="FF63BE7B"/>
      </colorScale>
    </cfRule>
  </conditionalFormatting>
  <conditionalFormatting sqref="Q66">
    <cfRule type="colorScale" priority="92">
      <colorScale>
        <cfvo type="num" val="-0.1"/>
        <cfvo type="num" val="0"/>
        <cfvo type="num" val="0.1"/>
        <color rgb="FFF8696B"/>
        <color rgb="FFFFEB84"/>
        <color rgb="FF63BE7B"/>
      </colorScale>
    </cfRule>
    <cfRule type="colorScale" priority="93">
      <colorScale>
        <cfvo type="num" val="-0.1"/>
        <cfvo type="num" val="0"/>
        <cfvo type="num" val="0.1"/>
        <color rgb="FFF8696B"/>
        <color rgb="FFFFEB84"/>
        <color rgb="FF63BE7B"/>
      </colorScale>
    </cfRule>
    <cfRule type="colorScale" priority="94">
      <colorScale>
        <cfvo type="num" val="-0.1"/>
        <cfvo type="num" val="0"/>
        <cfvo type="num" val="0.1"/>
        <color rgb="FFF8696B"/>
        <color rgb="FFFFEB84"/>
        <color rgb="FF63BE7B"/>
      </colorScale>
    </cfRule>
  </conditionalFormatting>
  <conditionalFormatting sqref="Q74">
    <cfRule type="colorScale" priority="95">
      <colorScale>
        <cfvo type="num" val="-0.1"/>
        <cfvo type="num" val="0"/>
        <cfvo type="num" val="0.1"/>
        <color rgb="FFF8696B"/>
        <color rgb="FFFFEB84"/>
        <color rgb="FF63BE7B"/>
      </colorScale>
    </cfRule>
    <cfRule type="colorScale" priority="96">
      <colorScale>
        <cfvo type="num" val="-0.1"/>
        <cfvo type="num" val="0"/>
        <cfvo type="num" val="0.1"/>
        <color rgb="FFF8696B"/>
        <color rgb="FFFFEB84"/>
        <color rgb="FF63BE7B"/>
      </colorScale>
    </cfRule>
  </conditionalFormatting>
  <conditionalFormatting sqref="Q68">
    <cfRule type="colorScale" priority="97">
      <colorScale>
        <cfvo type="num" val="-0.1"/>
        <cfvo type="num" val="0"/>
        <cfvo type="num" val="0.1"/>
        <color rgb="FFF8696B"/>
        <color rgb="FFFFEB84"/>
        <color rgb="FF63BE7B"/>
      </colorScale>
    </cfRule>
    <cfRule type="colorScale" priority="98">
      <colorScale>
        <cfvo type="num" val="-0.1"/>
        <cfvo type="num" val="0"/>
        <cfvo type="num" val="0.1"/>
        <color rgb="FFF8696B"/>
        <color rgb="FFFFEB84"/>
        <color rgb="FF63BE7B"/>
      </colorScale>
    </cfRule>
  </conditionalFormatting>
  <conditionalFormatting sqref="Q67">
    <cfRule type="colorScale" priority="99">
      <colorScale>
        <cfvo type="num" val="-0.1"/>
        <cfvo type="num" val="0"/>
        <cfvo type="num" val="0.1"/>
        <color rgb="FFF8696B"/>
        <color rgb="FFFFEB84"/>
        <color rgb="FF63BE7B"/>
      </colorScale>
    </cfRule>
  </conditionalFormatting>
  <conditionalFormatting sqref="Q70:Q71">
    <cfRule type="colorScale" priority="100">
      <colorScale>
        <cfvo type="num" val="-0.1"/>
        <cfvo type="num" val="0"/>
        <cfvo type="num" val="0.1"/>
        <color rgb="FFF8696B"/>
        <color rgb="FFFFEB84"/>
        <color rgb="FF63BE7B"/>
      </colorScale>
    </cfRule>
    <cfRule type="colorScale" priority="101">
      <colorScale>
        <cfvo type="num" val="-0.1"/>
        <cfvo type="num" val="0"/>
        <cfvo type="num" val="0.1"/>
        <color rgb="FFF8696B"/>
        <color rgb="FFFFEB84"/>
        <color rgb="FF63BE7B"/>
      </colorScale>
    </cfRule>
  </conditionalFormatting>
  <conditionalFormatting sqref="Q69">
    <cfRule type="colorScale" priority="102">
      <colorScale>
        <cfvo type="num" val="-0.1"/>
        <cfvo type="num" val="0"/>
        <cfvo type="num" val="0.1"/>
        <color rgb="FFF8696B"/>
        <color rgb="FFFFEB84"/>
        <color rgb="FF63BE7B"/>
      </colorScale>
    </cfRule>
    <cfRule type="colorScale" priority="103">
      <colorScale>
        <cfvo type="num" val="-0.1"/>
        <cfvo type="num" val="0"/>
        <cfvo type="num" val="0.1"/>
        <color rgb="FFF8696B"/>
        <color rgb="FFFFEB84"/>
        <color rgb="FF63BE7B"/>
      </colorScale>
    </cfRule>
  </conditionalFormatting>
  <conditionalFormatting sqref="Q71:Q73">
    <cfRule type="colorScale" priority="104">
      <colorScale>
        <cfvo type="num" val="-0.1"/>
        <cfvo type="num" val="0"/>
        <cfvo type="num" val="0.1"/>
        <color rgb="FFF8696B"/>
        <color rgb="FFFFEB84"/>
        <color rgb="FF63BE7B"/>
      </colorScale>
    </cfRule>
  </conditionalFormatting>
  <conditionalFormatting sqref="Q75">
    <cfRule type="colorScale" priority="105">
      <colorScale>
        <cfvo type="num" val="-0.1"/>
        <cfvo type="num" val="0"/>
        <cfvo type="num" val="0.1"/>
        <color rgb="FFF8696B"/>
        <color rgb="FFFFEB84"/>
        <color rgb="FF63BE7B"/>
      </colorScale>
    </cfRule>
    <cfRule type="colorScale" priority="106">
      <colorScale>
        <cfvo type="num" val="-0.1"/>
        <cfvo type="num" val="0"/>
        <cfvo type="num" val="0.1"/>
        <color rgb="FFF8696B"/>
        <color rgb="FFFFEB84"/>
        <color rgb="FF63BE7B"/>
      </colorScale>
    </cfRule>
    <cfRule type="colorScale" priority="107">
      <colorScale>
        <cfvo type="num" val="-0.1"/>
        <cfvo type="num" val="0"/>
        <cfvo type="num" val="0.1"/>
        <color rgb="FFF8696B"/>
        <color rgb="FFFFEB84"/>
        <color rgb="FF63BE7B"/>
      </colorScale>
    </cfRule>
  </conditionalFormatting>
  <conditionalFormatting sqref="Q83">
    <cfRule type="colorScale" priority="108">
      <colorScale>
        <cfvo type="num" val="-0.1"/>
        <cfvo type="num" val="0"/>
        <cfvo type="num" val="0.1"/>
        <color rgb="FFF8696B"/>
        <color rgb="FFFFEB84"/>
        <color rgb="FF63BE7B"/>
      </colorScale>
    </cfRule>
    <cfRule type="colorScale" priority="109">
      <colorScale>
        <cfvo type="num" val="-0.1"/>
        <cfvo type="num" val="0"/>
        <cfvo type="num" val="0.1"/>
        <color rgb="FFF8696B"/>
        <color rgb="FFFFEB84"/>
        <color rgb="FF63BE7B"/>
      </colorScale>
    </cfRule>
  </conditionalFormatting>
  <conditionalFormatting sqref="Q77">
    <cfRule type="colorScale" priority="110">
      <colorScale>
        <cfvo type="num" val="-0.1"/>
        <cfvo type="num" val="0"/>
        <cfvo type="num" val="0.1"/>
        <color rgb="FFF8696B"/>
        <color rgb="FFFFEB84"/>
        <color rgb="FF63BE7B"/>
      </colorScale>
    </cfRule>
    <cfRule type="colorScale" priority="111">
      <colorScale>
        <cfvo type="num" val="-0.1"/>
        <cfvo type="num" val="0"/>
        <cfvo type="num" val="0.1"/>
        <color rgb="FFF8696B"/>
        <color rgb="FFFFEB84"/>
        <color rgb="FF63BE7B"/>
      </colorScale>
    </cfRule>
  </conditionalFormatting>
  <conditionalFormatting sqref="Q76">
    <cfRule type="colorScale" priority="112">
      <colorScale>
        <cfvo type="num" val="-0.1"/>
        <cfvo type="num" val="0"/>
        <cfvo type="num" val="0.1"/>
        <color rgb="FFF8696B"/>
        <color rgb="FFFFEB84"/>
        <color rgb="FF63BE7B"/>
      </colorScale>
    </cfRule>
  </conditionalFormatting>
  <conditionalFormatting sqref="Q79:Q80">
    <cfRule type="colorScale" priority="113">
      <colorScale>
        <cfvo type="num" val="-0.1"/>
        <cfvo type="num" val="0"/>
        <cfvo type="num" val="0.1"/>
        <color rgb="FFF8696B"/>
        <color rgb="FFFFEB84"/>
        <color rgb="FF63BE7B"/>
      </colorScale>
    </cfRule>
    <cfRule type="colorScale" priority="114">
      <colorScale>
        <cfvo type="num" val="-0.1"/>
        <cfvo type="num" val="0"/>
        <cfvo type="num" val="0.1"/>
        <color rgb="FFF8696B"/>
        <color rgb="FFFFEB84"/>
        <color rgb="FF63BE7B"/>
      </colorScale>
    </cfRule>
  </conditionalFormatting>
  <conditionalFormatting sqref="Q78">
    <cfRule type="colorScale" priority="115">
      <colorScale>
        <cfvo type="num" val="-0.1"/>
        <cfvo type="num" val="0"/>
        <cfvo type="num" val="0.1"/>
        <color rgb="FFF8696B"/>
        <color rgb="FFFFEB84"/>
        <color rgb="FF63BE7B"/>
      </colorScale>
    </cfRule>
    <cfRule type="colorScale" priority="116">
      <colorScale>
        <cfvo type="num" val="-0.1"/>
        <cfvo type="num" val="0"/>
        <cfvo type="num" val="0.1"/>
        <color rgb="FFF8696B"/>
        <color rgb="FFFFEB84"/>
        <color rgb="FF63BE7B"/>
      </colorScale>
    </cfRule>
  </conditionalFormatting>
  <conditionalFormatting sqref="Q80:Q82">
    <cfRule type="colorScale" priority="117">
      <colorScale>
        <cfvo type="num" val="-0.1"/>
        <cfvo type="num" val="0"/>
        <cfvo type="num" val="0.1"/>
        <color rgb="FFF8696B"/>
        <color rgb="FFFFEB84"/>
        <color rgb="FF63BE7B"/>
      </colorScale>
    </cfRule>
  </conditionalFormatting>
  <conditionalFormatting sqref="Q84">
    <cfRule type="colorScale" priority="118">
      <colorScale>
        <cfvo type="num" val="-0.1"/>
        <cfvo type="num" val="0"/>
        <cfvo type="num" val="0.1"/>
        <color rgb="FFF8696B"/>
        <color rgb="FFFFEB84"/>
        <color rgb="FF63BE7B"/>
      </colorScale>
    </cfRule>
    <cfRule type="colorScale" priority="119">
      <colorScale>
        <cfvo type="num" val="-0.1"/>
        <cfvo type="num" val="0"/>
        <cfvo type="num" val="0.1"/>
        <color rgb="FFF8696B"/>
        <color rgb="FFFFEB84"/>
        <color rgb="FF63BE7B"/>
      </colorScale>
    </cfRule>
    <cfRule type="colorScale" priority="120">
      <colorScale>
        <cfvo type="num" val="-0.1"/>
        <cfvo type="num" val="0"/>
        <cfvo type="num" val="0.1"/>
        <color rgb="FFF8696B"/>
        <color rgb="FFFFEB84"/>
        <color rgb="FF63BE7B"/>
      </colorScale>
    </cfRule>
  </conditionalFormatting>
  <conditionalFormatting sqref="Q92">
    <cfRule type="colorScale" priority="121">
      <colorScale>
        <cfvo type="num" val="-0.1"/>
        <cfvo type="num" val="0"/>
        <cfvo type="num" val="0.1"/>
        <color rgb="FFF8696B"/>
        <color rgb="FFFFEB84"/>
        <color rgb="FF63BE7B"/>
      </colorScale>
    </cfRule>
    <cfRule type="colorScale" priority="122">
      <colorScale>
        <cfvo type="num" val="-0.1"/>
        <cfvo type="num" val="0"/>
        <cfvo type="num" val="0.1"/>
        <color rgb="FFF8696B"/>
        <color rgb="FFFFEB84"/>
        <color rgb="FF63BE7B"/>
      </colorScale>
    </cfRule>
  </conditionalFormatting>
  <conditionalFormatting sqref="Q86">
    <cfRule type="colorScale" priority="123">
      <colorScale>
        <cfvo type="num" val="-0.1"/>
        <cfvo type="num" val="0"/>
        <cfvo type="num" val="0.1"/>
        <color rgb="FFF8696B"/>
        <color rgb="FFFFEB84"/>
        <color rgb="FF63BE7B"/>
      </colorScale>
    </cfRule>
    <cfRule type="colorScale" priority="124">
      <colorScale>
        <cfvo type="num" val="-0.1"/>
        <cfvo type="num" val="0"/>
        <cfvo type="num" val="0.1"/>
        <color rgb="FFF8696B"/>
        <color rgb="FFFFEB84"/>
        <color rgb="FF63BE7B"/>
      </colorScale>
    </cfRule>
  </conditionalFormatting>
  <conditionalFormatting sqref="Q85">
    <cfRule type="colorScale" priority="125">
      <colorScale>
        <cfvo type="num" val="-0.1"/>
        <cfvo type="num" val="0"/>
        <cfvo type="num" val="0.1"/>
        <color rgb="FFF8696B"/>
        <color rgb="FFFFEB84"/>
        <color rgb="FF63BE7B"/>
      </colorScale>
    </cfRule>
  </conditionalFormatting>
  <conditionalFormatting sqref="Q88:Q89">
    <cfRule type="colorScale" priority="126">
      <colorScale>
        <cfvo type="num" val="-0.1"/>
        <cfvo type="num" val="0"/>
        <cfvo type="num" val="0.1"/>
        <color rgb="FFF8696B"/>
        <color rgb="FFFFEB84"/>
        <color rgb="FF63BE7B"/>
      </colorScale>
    </cfRule>
    <cfRule type="colorScale" priority="127">
      <colorScale>
        <cfvo type="num" val="-0.1"/>
        <cfvo type="num" val="0"/>
        <cfvo type="num" val="0.1"/>
        <color rgb="FFF8696B"/>
        <color rgb="FFFFEB84"/>
        <color rgb="FF63BE7B"/>
      </colorScale>
    </cfRule>
  </conditionalFormatting>
  <conditionalFormatting sqref="Q87">
    <cfRule type="colorScale" priority="128">
      <colorScale>
        <cfvo type="num" val="-0.1"/>
        <cfvo type="num" val="0"/>
        <cfvo type="num" val="0.1"/>
        <color rgb="FFF8696B"/>
        <color rgb="FFFFEB84"/>
        <color rgb="FF63BE7B"/>
      </colorScale>
    </cfRule>
    <cfRule type="colorScale" priority="129">
      <colorScale>
        <cfvo type="num" val="-0.1"/>
        <cfvo type="num" val="0"/>
        <cfvo type="num" val="0.1"/>
        <color rgb="FFF8696B"/>
        <color rgb="FFFFEB84"/>
        <color rgb="FF63BE7B"/>
      </colorScale>
    </cfRule>
  </conditionalFormatting>
  <conditionalFormatting sqref="Q89:Q91">
    <cfRule type="colorScale" priority="130">
      <colorScale>
        <cfvo type="num" val="-0.1"/>
        <cfvo type="num" val="0"/>
        <cfvo type="num" val="0.1"/>
        <color rgb="FFF8696B"/>
        <color rgb="FFFFEB84"/>
        <color rgb="FF63BE7B"/>
      </colorScale>
    </cfRule>
  </conditionalFormatting>
  <conditionalFormatting sqref="Q93">
    <cfRule type="colorScale" priority="131">
      <colorScale>
        <cfvo type="num" val="-0.1"/>
        <cfvo type="num" val="0"/>
        <cfvo type="num" val="0.1"/>
        <color rgb="FFF8696B"/>
        <color rgb="FFFFEB84"/>
        <color rgb="FF63BE7B"/>
      </colorScale>
    </cfRule>
    <cfRule type="colorScale" priority="132">
      <colorScale>
        <cfvo type="num" val="-0.1"/>
        <cfvo type="num" val="0"/>
        <cfvo type="num" val="0.1"/>
        <color rgb="FFF8696B"/>
        <color rgb="FFFFEB84"/>
        <color rgb="FF63BE7B"/>
      </colorScale>
    </cfRule>
    <cfRule type="colorScale" priority="133">
      <colorScale>
        <cfvo type="num" val="-0.1"/>
        <cfvo type="num" val="0"/>
        <cfvo type="num" val="0.1"/>
        <color rgb="FFF8696B"/>
        <color rgb="FFFFEB84"/>
        <color rgb="FF63BE7B"/>
      </colorScale>
    </cfRule>
  </conditionalFormatting>
  <conditionalFormatting sqref="Q101">
    <cfRule type="colorScale" priority="134">
      <colorScale>
        <cfvo type="num" val="-0.1"/>
        <cfvo type="num" val="0"/>
        <cfvo type="num" val="0.1"/>
        <color rgb="FFF8696B"/>
        <color rgb="FFFFEB84"/>
        <color rgb="FF63BE7B"/>
      </colorScale>
    </cfRule>
    <cfRule type="colorScale" priority="135">
      <colorScale>
        <cfvo type="num" val="-0.1"/>
        <cfvo type="num" val="0"/>
        <cfvo type="num" val="0.1"/>
        <color rgb="FFF8696B"/>
        <color rgb="FFFFEB84"/>
        <color rgb="FF63BE7B"/>
      </colorScale>
    </cfRule>
  </conditionalFormatting>
  <conditionalFormatting sqref="Q95">
    <cfRule type="colorScale" priority="136">
      <colorScale>
        <cfvo type="num" val="-0.1"/>
        <cfvo type="num" val="0"/>
        <cfvo type="num" val="0.1"/>
        <color rgb="FFF8696B"/>
        <color rgb="FFFFEB84"/>
        <color rgb="FF63BE7B"/>
      </colorScale>
    </cfRule>
    <cfRule type="colorScale" priority="137">
      <colorScale>
        <cfvo type="num" val="-0.1"/>
        <cfvo type="num" val="0"/>
        <cfvo type="num" val="0.1"/>
        <color rgb="FFF8696B"/>
        <color rgb="FFFFEB84"/>
        <color rgb="FF63BE7B"/>
      </colorScale>
    </cfRule>
  </conditionalFormatting>
  <conditionalFormatting sqref="Q94">
    <cfRule type="colorScale" priority="138">
      <colorScale>
        <cfvo type="num" val="-0.1"/>
        <cfvo type="num" val="0"/>
        <cfvo type="num" val="0.1"/>
        <color rgb="FFF8696B"/>
        <color rgb="FFFFEB84"/>
        <color rgb="FF63BE7B"/>
      </colorScale>
    </cfRule>
  </conditionalFormatting>
  <conditionalFormatting sqref="Q97:Q98">
    <cfRule type="colorScale" priority="139">
      <colorScale>
        <cfvo type="num" val="-0.1"/>
        <cfvo type="num" val="0"/>
        <cfvo type="num" val="0.1"/>
        <color rgb="FFF8696B"/>
        <color rgb="FFFFEB84"/>
        <color rgb="FF63BE7B"/>
      </colorScale>
    </cfRule>
    <cfRule type="colorScale" priority="140">
      <colorScale>
        <cfvo type="num" val="-0.1"/>
        <cfvo type="num" val="0"/>
        <cfvo type="num" val="0.1"/>
        <color rgb="FFF8696B"/>
        <color rgb="FFFFEB84"/>
        <color rgb="FF63BE7B"/>
      </colorScale>
    </cfRule>
  </conditionalFormatting>
  <conditionalFormatting sqref="Q96">
    <cfRule type="colorScale" priority="141">
      <colorScale>
        <cfvo type="num" val="-0.1"/>
        <cfvo type="num" val="0"/>
        <cfvo type="num" val="0.1"/>
        <color rgb="FFF8696B"/>
        <color rgb="FFFFEB84"/>
        <color rgb="FF63BE7B"/>
      </colorScale>
    </cfRule>
    <cfRule type="colorScale" priority="142">
      <colorScale>
        <cfvo type="num" val="-0.1"/>
        <cfvo type="num" val="0"/>
        <cfvo type="num" val="0.1"/>
        <color rgb="FFF8696B"/>
        <color rgb="FFFFEB84"/>
        <color rgb="FF63BE7B"/>
      </colorScale>
    </cfRule>
  </conditionalFormatting>
  <conditionalFormatting sqref="Q98:Q100">
    <cfRule type="colorScale" priority="143">
      <colorScale>
        <cfvo type="num" val="-0.1"/>
        <cfvo type="num" val="0"/>
        <cfvo type="num" val="0.1"/>
        <color rgb="FFF8696B"/>
        <color rgb="FFFFEB84"/>
        <color rgb="FF63BE7B"/>
      </colorScale>
    </cfRule>
  </conditionalFormatting>
  <conditionalFormatting sqref="Q102">
    <cfRule type="colorScale" priority="144">
      <colorScale>
        <cfvo type="num" val="-0.1"/>
        <cfvo type="num" val="0"/>
        <cfvo type="num" val="0.1"/>
        <color rgb="FFF8696B"/>
        <color rgb="FFFFEB84"/>
        <color rgb="FF63BE7B"/>
      </colorScale>
    </cfRule>
    <cfRule type="colorScale" priority="145">
      <colorScale>
        <cfvo type="num" val="-0.1"/>
        <cfvo type="num" val="0"/>
        <cfvo type="num" val="0.1"/>
        <color rgb="FFF8696B"/>
        <color rgb="FFFFEB84"/>
        <color rgb="FF63BE7B"/>
      </colorScale>
    </cfRule>
    <cfRule type="colorScale" priority="146">
      <colorScale>
        <cfvo type="num" val="-0.1"/>
        <cfvo type="num" val="0"/>
        <cfvo type="num" val="0.1"/>
        <color rgb="FFF8696B"/>
        <color rgb="FFFFEB84"/>
        <color rgb="FF63BE7B"/>
      </colorScale>
    </cfRule>
  </conditionalFormatting>
  <conditionalFormatting sqref="Q110">
    <cfRule type="colorScale" priority="147">
      <colorScale>
        <cfvo type="num" val="-0.1"/>
        <cfvo type="num" val="0"/>
        <cfvo type="num" val="0.1"/>
        <color rgb="FFF8696B"/>
        <color rgb="FFFFEB84"/>
        <color rgb="FF63BE7B"/>
      </colorScale>
    </cfRule>
    <cfRule type="colorScale" priority="148">
      <colorScale>
        <cfvo type="num" val="-0.1"/>
        <cfvo type="num" val="0"/>
        <cfvo type="num" val="0.1"/>
        <color rgb="FFF8696B"/>
        <color rgb="FFFFEB84"/>
        <color rgb="FF63BE7B"/>
      </colorScale>
    </cfRule>
  </conditionalFormatting>
  <conditionalFormatting sqref="Q104">
    <cfRule type="colorScale" priority="149">
      <colorScale>
        <cfvo type="num" val="-0.1"/>
        <cfvo type="num" val="0"/>
        <cfvo type="num" val="0.1"/>
        <color rgb="FFF8696B"/>
        <color rgb="FFFFEB84"/>
        <color rgb="FF63BE7B"/>
      </colorScale>
    </cfRule>
    <cfRule type="colorScale" priority="150">
      <colorScale>
        <cfvo type="num" val="-0.1"/>
        <cfvo type="num" val="0"/>
        <cfvo type="num" val="0.1"/>
        <color rgb="FFF8696B"/>
        <color rgb="FFFFEB84"/>
        <color rgb="FF63BE7B"/>
      </colorScale>
    </cfRule>
  </conditionalFormatting>
  <conditionalFormatting sqref="Q103">
    <cfRule type="colorScale" priority="151">
      <colorScale>
        <cfvo type="num" val="-0.1"/>
        <cfvo type="num" val="0"/>
        <cfvo type="num" val="0.1"/>
        <color rgb="FFF8696B"/>
        <color rgb="FFFFEB84"/>
        <color rgb="FF63BE7B"/>
      </colorScale>
    </cfRule>
  </conditionalFormatting>
  <conditionalFormatting sqref="Q106:Q107">
    <cfRule type="colorScale" priority="152">
      <colorScale>
        <cfvo type="num" val="-0.1"/>
        <cfvo type="num" val="0"/>
        <cfvo type="num" val="0.1"/>
        <color rgb="FFF8696B"/>
        <color rgb="FFFFEB84"/>
        <color rgb="FF63BE7B"/>
      </colorScale>
    </cfRule>
    <cfRule type="colorScale" priority="153">
      <colorScale>
        <cfvo type="num" val="-0.1"/>
        <cfvo type="num" val="0"/>
        <cfvo type="num" val="0.1"/>
        <color rgb="FFF8696B"/>
        <color rgb="FFFFEB84"/>
        <color rgb="FF63BE7B"/>
      </colorScale>
    </cfRule>
  </conditionalFormatting>
  <conditionalFormatting sqref="Q105">
    <cfRule type="colorScale" priority="154">
      <colorScale>
        <cfvo type="num" val="-0.1"/>
        <cfvo type="num" val="0"/>
        <cfvo type="num" val="0.1"/>
        <color rgb="FFF8696B"/>
        <color rgb="FFFFEB84"/>
        <color rgb="FF63BE7B"/>
      </colorScale>
    </cfRule>
    <cfRule type="colorScale" priority="155">
      <colorScale>
        <cfvo type="num" val="-0.1"/>
        <cfvo type="num" val="0"/>
        <cfvo type="num" val="0.1"/>
        <color rgb="FFF8696B"/>
        <color rgb="FFFFEB84"/>
        <color rgb="FF63BE7B"/>
      </colorScale>
    </cfRule>
  </conditionalFormatting>
  <conditionalFormatting sqref="Q107:Q109">
    <cfRule type="colorScale" priority="156">
      <colorScale>
        <cfvo type="num" val="-0.1"/>
        <cfvo type="num" val="0"/>
        <cfvo type="num" val="0.1"/>
        <color rgb="FFF8696B"/>
        <color rgb="FFFFEB84"/>
        <color rgb="FF63BE7B"/>
      </colorScale>
    </cfRule>
  </conditionalFormatting>
  <conditionalFormatting sqref="Q111">
    <cfRule type="colorScale" priority="157">
      <colorScale>
        <cfvo type="num" val="-0.1"/>
        <cfvo type="num" val="0"/>
        <cfvo type="num" val="0.1"/>
        <color rgb="FFF8696B"/>
        <color rgb="FFFFEB84"/>
        <color rgb="FF63BE7B"/>
      </colorScale>
    </cfRule>
    <cfRule type="colorScale" priority="158">
      <colorScale>
        <cfvo type="num" val="-0.1"/>
        <cfvo type="num" val="0"/>
        <cfvo type="num" val="0.1"/>
        <color rgb="FFF8696B"/>
        <color rgb="FFFFEB84"/>
        <color rgb="FF63BE7B"/>
      </colorScale>
    </cfRule>
    <cfRule type="colorScale" priority="159">
      <colorScale>
        <cfvo type="num" val="-0.1"/>
        <cfvo type="num" val="0"/>
        <cfvo type="num" val="0.1"/>
        <color rgb="FFF8696B"/>
        <color rgb="FFFFEB84"/>
        <color rgb="FF63BE7B"/>
      </colorScale>
    </cfRule>
  </conditionalFormatting>
  <conditionalFormatting sqref="Q119">
    <cfRule type="colorScale" priority="160">
      <colorScale>
        <cfvo type="num" val="-0.1"/>
        <cfvo type="num" val="0"/>
        <cfvo type="num" val="0.1"/>
        <color rgb="FFF8696B"/>
        <color rgb="FFFFEB84"/>
        <color rgb="FF63BE7B"/>
      </colorScale>
    </cfRule>
    <cfRule type="colorScale" priority="161">
      <colorScale>
        <cfvo type="num" val="-0.1"/>
        <cfvo type="num" val="0"/>
        <cfvo type="num" val="0.1"/>
        <color rgb="FFF8696B"/>
        <color rgb="FFFFEB84"/>
        <color rgb="FF63BE7B"/>
      </colorScale>
    </cfRule>
  </conditionalFormatting>
  <conditionalFormatting sqref="Q113">
    <cfRule type="colorScale" priority="162">
      <colorScale>
        <cfvo type="num" val="-0.1"/>
        <cfvo type="num" val="0"/>
        <cfvo type="num" val="0.1"/>
        <color rgb="FFF8696B"/>
        <color rgb="FFFFEB84"/>
        <color rgb="FF63BE7B"/>
      </colorScale>
    </cfRule>
    <cfRule type="colorScale" priority="163">
      <colorScale>
        <cfvo type="num" val="-0.1"/>
        <cfvo type="num" val="0"/>
        <cfvo type="num" val="0.1"/>
        <color rgb="FFF8696B"/>
        <color rgb="FFFFEB84"/>
        <color rgb="FF63BE7B"/>
      </colorScale>
    </cfRule>
  </conditionalFormatting>
  <conditionalFormatting sqref="Q112">
    <cfRule type="colorScale" priority="164">
      <colorScale>
        <cfvo type="num" val="-0.1"/>
        <cfvo type="num" val="0"/>
        <cfvo type="num" val="0.1"/>
        <color rgb="FFF8696B"/>
        <color rgb="FFFFEB84"/>
        <color rgb="FF63BE7B"/>
      </colorScale>
    </cfRule>
  </conditionalFormatting>
  <conditionalFormatting sqref="Q115:Q116">
    <cfRule type="colorScale" priority="165">
      <colorScale>
        <cfvo type="num" val="-0.1"/>
        <cfvo type="num" val="0"/>
        <cfvo type="num" val="0.1"/>
        <color rgb="FFF8696B"/>
        <color rgb="FFFFEB84"/>
        <color rgb="FF63BE7B"/>
      </colorScale>
    </cfRule>
    <cfRule type="colorScale" priority="166">
      <colorScale>
        <cfvo type="num" val="-0.1"/>
        <cfvo type="num" val="0"/>
        <cfvo type="num" val="0.1"/>
        <color rgb="FFF8696B"/>
        <color rgb="FFFFEB84"/>
        <color rgb="FF63BE7B"/>
      </colorScale>
    </cfRule>
  </conditionalFormatting>
  <conditionalFormatting sqref="Q114">
    <cfRule type="colorScale" priority="167">
      <colorScale>
        <cfvo type="num" val="-0.1"/>
        <cfvo type="num" val="0"/>
        <cfvo type="num" val="0.1"/>
        <color rgb="FFF8696B"/>
        <color rgb="FFFFEB84"/>
        <color rgb="FF63BE7B"/>
      </colorScale>
    </cfRule>
    <cfRule type="colorScale" priority="168">
      <colorScale>
        <cfvo type="num" val="-0.1"/>
        <cfvo type="num" val="0"/>
        <cfvo type="num" val="0.1"/>
        <color rgb="FFF8696B"/>
        <color rgb="FFFFEB84"/>
        <color rgb="FF63BE7B"/>
      </colorScale>
    </cfRule>
  </conditionalFormatting>
  <conditionalFormatting sqref="Q116:Q118">
    <cfRule type="colorScale" priority="169">
      <colorScale>
        <cfvo type="num" val="-0.1"/>
        <cfvo type="num" val="0"/>
        <cfvo type="num" val="0.1"/>
        <color rgb="FFF8696B"/>
        <color rgb="FFFFEB84"/>
        <color rgb="FF63BE7B"/>
      </colorScale>
    </cfRule>
  </conditionalFormatting>
  <conditionalFormatting sqref="Q120">
    <cfRule type="colorScale" priority="170">
      <colorScale>
        <cfvo type="num" val="-0.1"/>
        <cfvo type="num" val="0"/>
        <cfvo type="num" val="0.1"/>
        <color rgb="FFF8696B"/>
        <color rgb="FFFFEB84"/>
        <color rgb="FF63BE7B"/>
      </colorScale>
    </cfRule>
    <cfRule type="colorScale" priority="171">
      <colorScale>
        <cfvo type="num" val="-0.1"/>
        <cfvo type="num" val="0"/>
        <cfvo type="num" val="0.1"/>
        <color rgb="FFF8696B"/>
        <color rgb="FFFFEB84"/>
        <color rgb="FF63BE7B"/>
      </colorScale>
    </cfRule>
    <cfRule type="colorScale" priority="172">
      <colorScale>
        <cfvo type="num" val="-0.1"/>
        <cfvo type="num" val="0"/>
        <cfvo type="num" val="0.1"/>
        <color rgb="FFF8696B"/>
        <color rgb="FFFFEB84"/>
        <color rgb="FF63BE7B"/>
      </colorScale>
    </cfRule>
  </conditionalFormatting>
  <conditionalFormatting sqref="Q128">
    <cfRule type="colorScale" priority="173">
      <colorScale>
        <cfvo type="num" val="-0.1"/>
        <cfvo type="num" val="0"/>
        <cfvo type="num" val="0.1"/>
        <color rgb="FFF8696B"/>
        <color rgb="FFFFEB84"/>
        <color rgb="FF63BE7B"/>
      </colorScale>
    </cfRule>
    <cfRule type="colorScale" priority="174">
      <colorScale>
        <cfvo type="num" val="-0.1"/>
        <cfvo type="num" val="0"/>
        <cfvo type="num" val="0.1"/>
        <color rgb="FFF8696B"/>
        <color rgb="FFFFEB84"/>
        <color rgb="FF63BE7B"/>
      </colorScale>
    </cfRule>
  </conditionalFormatting>
  <conditionalFormatting sqref="Q122">
    <cfRule type="colorScale" priority="175">
      <colorScale>
        <cfvo type="num" val="-0.1"/>
        <cfvo type="num" val="0"/>
        <cfvo type="num" val="0.1"/>
        <color rgb="FFF8696B"/>
        <color rgb="FFFFEB84"/>
        <color rgb="FF63BE7B"/>
      </colorScale>
    </cfRule>
    <cfRule type="colorScale" priority="176">
      <colorScale>
        <cfvo type="num" val="-0.1"/>
        <cfvo type="num" val="0"/>
        <cfvo type="num" val="0.1"/>
        <color rgb="FFF8696B"/>
        <color rgb="FFFFEB84"/>
        <color rgb="FF63BE7B"/>
      </colorScale>
    </cfRule>
  </conditionalFormatting>
  <conditionalFormatting sqref="Q121">
    <cfRule type="colorScale" priority="177">
      <colorScale>
        <cfvo type="num" val="-0.1"/>
        <cfvo type="num" val="0"/>
        <cfvo type="num" val="0.1"/>
        <color rgb="FFF8696B"/>
        <color rgb="FFFFEB84"/>
        <color rgb="FF63BE7B"/>
      </colorScale>
    </cfRule>
  </conditionalFormatting>
  <conditionalFormatting sqref="Q124:Q125">
    <cfRule type="colorScale" priority="178">
      <colorScale>
        <cfvo type="num" val="-0.1"/>
        <cfvo type="num" val="0"/>
        <cfvo type="num" val="0.1"/>
        <color rgb="FFF8696B"/>
        <color rgb="FFFFEB84"/>
        <color rgb="FF63BE7B"/>
      </colorScale>
    </cfRule>
    <cfRule type="colorScale" priority="179">
      <colorScale>
        <cfvo type="num" val="-0.1"/>
        <cfvo type="num" val="0"/>
        <cfvo type="num" val="0.1"/>
        <color rgb="FFF8696B"/>
        <color rgb="FFFFEB84"/>
        <color rgb="FF63BE7B"/>
      </colorScale>
    </cfRule>
  </conditionalFormatting>
  <conditionalFormatting sqref="Q123">
    <cfRule type="colorScale" priority="180">
      <colorScale>
        <cfvo type="num" val="-0.1"/>
        <cfvo type="num" val="0"/>
        <cfvo type="num" val="0.1"/>
        <color rgb="FFF8696B"/>
        <color rgb="FFFFEB84"/>
        <color rgb="FF63BE7B"/>
      </colorScale>
    </cfRule>
    <cfRule type="colorScale" priority="181">
      <colorScale>
        <cfvo type="num" val="-0.1"/>
        <cfvo type="num" val="0"/>
        <cfvo type="num" val="0.1"/>
        <color rgb="FFF8696B"/>
        <color rgb="FFFFEB84"/>
        <color rgb="FF63BE7B"/>
      </colorScale>
    </cfRule>
  </conditionalFormatting>
  <conditionalFormatting sqref="Q125:Q127">
    <cfRule type="colorScale" priority="182">
      <colorScale>
        <cfvo type="num" val="-0.1"/>
        <cfvo type="num" val="0"/>
        <cfvo type="num" val="0.1"/>
        <color rgb="FFF8696B"/>
        <color rgb="FFFFEB84"/>
        <color rgb="FF63BE7B"/>
      </colorScale>
    </cfRule>
  </conditionalFormatting>
  <conditionalFormatting sqref="Q129">
    <cfRule type="colorScale" priority="183">
      <colorScale>
        <cfvo type="num" val="-0.1"/>
        <cfvo type="num" val="0"/>
        <cfvo type="num" val="0.1"/>
        <color rgb="FFF8696B"/>
        <color rgb="FFFFEB84"/>
        <color rgb="FF63BE7B"/>
      </colorScale>
    </cfRule>
    <cfRule type="colorScale" priority="184">
      <colorScale>
        <cfvo type="num" val="-0.1"/>
        <cfvo type="num" val="0"/>
        <cfvo type="num" val="0.1"/>
        <color rgb="FFF8696B"/>
        <color rgb="FFFFEB84"/>
        <color rgb="FF63BE7B"/>
      </colorScale>
    </cfRule>
  </conditionalFormatting>
  <conditionalFormatting sqref="Q130">
    <cfRule type="colorScale" priority="185">
      <colorScale>
        <cfvo type="num" val="-0.1"/>
        <cfvo type="num" val="0"/>
        <cfvo type="num" val="0.1"/>
        <color rgb="FFF8696B"/>
        <color rgb="FFFFEB84"/>
        <color rgb="FF63BE7B"/>
      </colorScale>
    </cfRule>
    <cfRule type="colorScale" priority="186">
      <colorScale>
        <cfvo type="num" val="-0.1"/>
        <cfvo type="num" val="0"/>
        <cfvo type="num" val="0.1"/>
        <color rgb="FFF8696B"/>
        <color rgb="FFFFEB84"/>
        <color rgb="FF63BE7B"/>
      </colorScale>
    </cfRule>
    <cfRule type="colorScale" priority="187">
      <colorScale>
        <cfvo type="num" val="-0.1"/>
        <cfvo type="num" val="0"/>
        <cfvo type="num" val="0.1"/>
        <color rgb="FFF8696B"/>
        <color rgb="FFFFEB84"/>
        <color rgb="FF63BE7B"/>
      </colorScale>
    </cfRule>
  </conditionalFormatting>
  <conditionalFormatting sqref="Q138">
    <cfRule type="colorScale" priority="188">
      <colorScale>
        <cfvo type="num" val="-0.1"/>
        <cfvo type="num" val="0"/>
        <cfvo type="num" val="0.1"/>
        <color rgb="FFF8696B"/>
        <color rgb="FFFFEB84"/>
        <color rgb="FF63BE7B"/>
      </colorScale>
    </cfRule>
    <cfRule type="colorScale" priority="189">
      <colorScale>
        <cfvo type="num" val="-0.1"/>
        <cfvo type="num" val="0"/>
        <cfvo type="num" val="0.1"/>
        <color rgb="FFF8696B"/>
        <color rgb="FFFFEB84"/>
        <color rgb="FF63BE7B"/>
      </colorScale>
    </cfRule>
  </conditionalFormatting>
  <conditionalFormatting sqref="Q132">
    <cfRule type="colorScale" priority="190">
      <colorScale>
        <cfvo type="num" val="-0.1"/>
        <cfvo type="num" val="0"/>
        <cfvo type="num" val="0.1"/>
        <color rgb="FFF8696B"/>
        <color rgb="FFFFEB84"/>
        <color rgb="FF63BE7B"/>
      </colorScale>
    </cfRule>
    <cfRule type="colorScale" priority="191">
      <colorScale>
        <cfvo type="num" val="-0.1"/>
        <cfvo type="num" val="0"/>
        <cfvo type="num" val="0.1"/>
        <color rgb="FFF8696B"/>
        <color rgb="FFFFEB84"/>
        <color rgb="FF63BE7B"/>
      </colorScale>
    </cfRule>
  </conditionalFormatting>
  <conditionalFormatting sqref="Q131">
    <cfRule type="colorScale" priority="192">
      <colorScale>
        <cfvo type="num" val="-0.1"/>
        <cfvo type="num" val="0"/>
        <cfvo type="num" val="0.1"/>
        <color rgb="FFF8696B"/>
        <color rgb="FFFFEB84"/>
        <color rgb="FF63BE7B"/>
      </colorScale>
    </cfRule>
  </conditionalFormatting>
  <conditionalFormatting sqref="Q134:Q135">
    <cfRule type="colorScale" priority="193">
      <colorScale>
        <cfvo type="num" val="-0.1"/>
        <cfvo type="num" val="0"/>
        <cfvo type="num" val="0.1"/>
        <color rgb="FFF8696B"/>
        <color rgb="FFFFEB84"/>
        <color rgb="FF63BE7B"/>
      </colorScale>
    </cfRule>
    <cfRule type="colorScale" priority="194">
      <colorScale>
        <cfvo type="num" val="-0.1"/>
        <cfvo type="num" val="0"/>
        <cfvo type="num" val="0.1"/>
        <color rgb="FFF8696B"/>
        <color rgb="FFFFEB84"/>
        <color rgb="FF63BE7B"/>
      </colorScale>
    </cfRule>
  </conditionalFormatting>
  <conditionalFormatting sqref="Q133">
    <cfRule type="colorScale" priority="195">
      <colorScale>
        <cfvo type="num" val="-0.1"/>
        <cfvo type="num" val="0"/>
        <cfvo type="num" val="0.1"/>
        <color rgb="FFF8696B"/>
        <color rgb="FFFFEB84"/>
        <color rgb="FF63BE7B"/>
      </colorScale>
    </cfRule>
    <cfRule type="colorScale" priority="196">
      <colorScale>
        <cfvo type="num" val="-0.1"/>
        <cfvo type="num" val="0"/>
        <cfvo type="num" val="0.1"/>
        <color rgb="FFF8696B"/>
        <color rgb="FFFFEB84"/>
        <color rgb="FF63BE7B"/>
      </colorScale>
    </cfRule>
  </conditionalFormatting>
  <conditionalFormatting sqref="Q135:Q137">
    <cfRule type="colorScale" priority="197">
      <colorScale>
        <cfvo type="num" val="-0.1"/>
        <cfvo type="num" val="0"/>
        <cfvo type="num" val="0.1"/>
        <color rgb="FFF8696B"/>
        <color rgb="FFFFEB84"/>
        <color rgb="FF63BE7B"/>
      </colorScale>
    </cfRule>
  </conditionalFormatting>
  <conditionalFormatting sqref="Q140">
    <cfRule type="colorScale" priority="198">
      <colorScale>
        <cfvo type="num" val="-0.1"/>
        <cfvo type="num" val="0"/>
        <cfvo type="num" val="0.1"/>
        <color rgb="FFF8696B"/>
        <color rgb="FFFFEB84"/>
        <color rgb="FF63BE7B"/>
      </colorScale>
    </cfRule>
    <cfRule type="colorScale" priority="199">
      <colorScale>
        <cfvo type="num" val="-0.1"/>
        <cfvo type="num" val="0"/>
        <cfvo type="num" val="0.1"/>
        <color rgb="FFF8696B"/>
        <color rgb="FFFFEB84"/>
        <color rgb="FF63BE7B"/>
      </colorScale>
    </cfRule>
    <cfRule type="colorScale" priority="200">
      <colorScale>
        <cfvo type="num" val="-0.1"/>
        <cfvo type="num" val="0"/>
        <cfvo type="num" val="0.1"/>
        <color rgb="FFF8696B"/>
        <color rgb="FFFFEB84"/>
        <color rgb="FF63BE7B"/>
      </colorScale>
    </cfRule>
  </conditionalFormatting>
  <conditionalFormatting sqref="Q148">
    <cfRule type="colorScale" priority="201">
      <colorScale>
        <cfvo type="num" val="-0.1"/>
        <cfvo type="num" val="0"/>
        <cfvo type="num" val="0.1"/>
        <color rgb="FFF8696B"/>
        <color rgb="FFFFEB84"/>
        <color rgb="FF63BE7B"/>
      </colorScale>
    </cfRule>
    <cfRule type="colorScale" priority="202">
      <colorScale>
        <cfvo type="num" val="-0.1"/>
        <cfvo type="num" val="0"/>
        <cfvo type="num" val="0.1"/>
        <color rgb="FFF8696B"/>
        <color rgb="FFFFEB84"/>
        <color rgb="FF63BE7B"/>
      </colorScale>
    </cfRule>
  </conditionalFormatting>
  <conditionalFormatting sqref="Q142">
    <cfRule type="colorScale" priority="203">
      <colorScale>
        <cfvo type="num" val="-0.1"/>
        <cfvo type="num" val="0"/>
        <cfvo type="num" val="0.1"/>
        <color rgb="FFF8696B"/>
        <color rgb="FFFFEB84"/>
        <color rgb="FF63BE7B"/>
      </colorScale>
    </cfRule>
    <cfRule type="colorScale" priority="204">
      <colorScale>
        <cfvo type="num" val="-0.1"/>
        <cfvo type="num" val="0"/>
        <cfvo type="num" val="0.1"/>
        <color rgb="FFF8696B"/>
        <color rgb="FFFFEB84"/>
        <color rgb="FF63BE7B"/>
      </colorScale>
    </cfRule>
  </conditionalFormatting>
  <conditionalFormatting sqref="Q139">
    <cfRule type="colorScale" priority="205">
      <colorScale>
        <cfvo type="num" val="-0.1"/>
        <cfvo type="num" val="0"/>
        <cfvo type="num" val="0.1"/>
        <color rgb="FFF8696B"/>
        <color rgb="FFFFEB84"/>
        <color rgb="FF63BE7B"/>
      </colorScale>
    </cfRule>
    <cfRule type="colorScale" priority="206">
      <colorScale>
        <cfvo type="num" val="-0.1"/>
        <cfvo type="num" val="0"/>
        <cfvo type="num" val="0.1"/>
        <color rgb="FFF8696B"/>
        <color rgb="FFFFEB84"/>
        <color rgb="FF63BE7B"/>
      </colorScale>
    </cfRule>
    <cfRule type="colorScale" priority="207">
      <colorScale>
        <cfvo type="num" val="-0.1"/>
        <cfvo type="num" val="0"/>
        <cfvo type="num" val="0.1"/>
        <color rgb="FFF8696B"/>
        <color rgb="FFFFEB84"/>
        <color rgb="FF63BE7B"/>
      </colorScale>
    </cfRule>
  </conditionalFormatting>
  <conditionalFormatting sqref="Q141">
    <cfRule type="colorScale" priority="208">
      <colorScale>
        <cfvo type="num" val="-0.1"/>
        <cfvo type="num" val="0"/>
        <cfvo type="num" val="0.1"/>
        <color rgb="FFF8696B"/>
        <color rgb="FFFFEB84"/>
        <color rgb="FF63BE7B"/>
      </colorScale>
    </cfRule>
  </conditionalFormatting>
  <conditionalFormatting sqref="Q144:Q145">
    <cfRule type="colorScale" priority="209">
      <colorScale>
        <cfvo type="num" val="-0.1"/>
        <cfvo type="num" val="0"/>
        <cfvo type="num" val="0.1"/>
        <color rgb="FFF8696B"/>
        <color rgb="FFFFEB84"/>
        <color rgb="FF63BE7B"/>
      </colorScale>
    </cfRule>
    <cfRule type="colorScale" priority="210">
      <colorScale>
        <cfvo type="num" val="-0.1"/>
        <cfvo type="num" val="0"/>
        <cfvo type="num" val="0.1"/>
        <color rgb="FFF8696B"/>
        <color rgb="FFFFEB84"/>
        <color rgb="FF63BE7B"/>
      </colorScale>
    </cfRule>
  </conditionalFormatting>
  <conditionalFormatting sqref="Q143">
    <cfRule type="colorScale" priority="211">
      <colorScale>
        <cfvo type="num" val="-0.1"/>
        <cfvo type="num" val="0"/>
        <cfvo type="num" val="0.1"/>
        <color rgb="FFF8696B"/>
        <color rgb="FFFFEB84"/>
        <color rgb="FF63BE7B"/>
      </colorScale>
    </cfRule>
    <cfRule type="colorScale" priority="212">
      <colorScale>
        <cfvo type="num" val="-0.1"/>
        <cfvo type="num" val="0"/>
        <cfvo type="num" val="0.1"/>
        <color rgb="FFF8696B"/>
        <color rgb="FFFFEB84"/>
        <color rgb="FF63BE7B"/>
      </colorScale>
    </cfRule>
  </conditionalFormatting>
  <conditionalFormatting sqref="Q145:Q147">
    <cfRule type="colorScale" priority="213">
      <colorScale>
        <cfvo type="num" val="-0.1"/>
        <cfvo type="num" val="0"/>
        <cfvo type="num" val="0.1"/>
        <color rgb="FFF8696B"/>
        <color rgb="FFFFEB84"/>
        <color rgb="FF63BE7B"/>
      </colorScale>
    </cfRule>
  </conditionalFormatting>
  <conditionalFormatting sqref="Q151">
    <cfRule type="colorScale" priority="214">
      <colorScale>
        <cfvo type="num" val="-0.1"/>
        <cfvo type="num" val="0"/>
        <cfvo type="num" val="0.1"/>
        <color rgb="FFF8696B"/>
        <color rgb="FFFFEB84"/>
        <color rgb="FF63BE7B"/>
      </colorScale>
    </cfRule>
    <cfRule type="colorScale" priority="215">
      <colorScale>
        <cfvo type="num" val="-0.1"/>
        <cfvo type="num" val="0"/>
        <cfvo type="num" val="0.1"/>
        <color rgb="FFF8696B"/>
        <color rgb="FFFFEB84"/>
        <color rgb="FF63BE7B"/>
      </colorScale>
    </cfRule>
  </conditionalFormatting>
  <conditionalFormatting sqref="Q149">
    <cfRule type="colorScale" priority="216">
      <colorScale>
        <cfvo type="num" val="-0.1"/>
        <cfvo type="num" val="0"/>
        <cfvo type="num" val="0.1"/>
        <color rgb="FFF8696B"/>
        <color rgb="FFFFEB84"/>
        <color rgb="FF63BE7B"/>
      </colorScale>
    </cfRule>
    <cfRule type="colorScale" priority="217">
      <colorScale>
        <cfvo type="num" val="-0.1"/>
        <cfvo type="num" val="0"/>
        <cfvo type="num" val="0.1"/>
        <color rgb="FFF8696B"/>
        <color rgb="FFFFEB84"/>
        <color rgb="FF63BE7B"/>
      </colorScale>
    </cfRule>
    <cfRule type="colorScale" priority="218">
      <colorScale>
        <cfvo type="num" val="-0.1"/>
        <cfvo type="num" val="0"/>
        <cfvo type="num" val="0.1"/>
        <color rgb="FFF8696B"/>
        <color rgb="FFFFEB84"/>
        <color rgb="FF63BE7B"/>
      </colorScale>
    </cfRule>
  </conditionalFormatting>
  <conditionalFormatting sqref="Q150">
    <cfRule type="colorScale" priority="219">
      <colorScale>
        <cfvo type="num" val="-0.1"/>
        <cfvo type="num" val="0"/>
        <cfvo type="num" val="0.1"/>
        <color rgb="FFF8696B"/>
        <color rgb="FFFFEB84"/>
        <color rgb="FF63BE7B"/>
      </colorScale>
    </cfRule>
  </conditionalFormatting>
  <conditionalFormatting sqref="Q157">
    <cfRule type="colorScale" priority="220">
      <colorScale>
        <cfvo type="num" val="-0.1"/>
        <cfvo type="num" val="0"/>
        <cfvo type="num" val="0.1"/>
        <color rgb="FFF8696B"/>
        <color rgb="FFFFEB84"/>
        <color rgb="FF63BE7B"/>
      </colorScale>
    </cfRule>
    <cfRule type="colorScale" priority="221">
      <colorScale>
        <cfvo type="num" val="-0.1"/>
        <cfvo type="num" val="0"/>
        <cfvo type="num" val="0.1"/>
        <color rgb="FFF8696B"/>
        <color rgb="FFFFEB84"/>
        <color rgb="FF63BE7B"/>
      </colorScale>
    </cfRule>
  </conditionalFormatting>
  <conditionalFormatting sqref="Q153:Q154">
    <cfRule type="colorScale" priority="222">
      <colorScale>
        <cfvo type="num" val="-0.1"/>
        <cfvo type="num" val="0"/>
        <cfvo type="num" val="0.1"/>
        <color rgb="FFF8696B"/>
        <color rgb="FFFFEB84"/>
        <color rgb="FF63BE7B"/>
      </colorScale>
    </cfRule>
    <cfRule type="colorScale" priority="223">
      <colorScale>
        <cfvo type="num" val="-0.1"/>
        <cfvo type="num" val="0"/>
        <cfvo type="num" val="0.1"/>
        <color rgb="FFF8696B"/>
        <color rgb="FFFFEB84"/>
        <color rgb="FF63BE7B"/>
      </colorScale>
    </cfRule>
  </conditionalFormatting>
  <conditionalFormatting sqref="Q152">
    <cfRule type="colorScale" priority="224">
      <colorScale>
        <cfvo type="num" val="-0.1"/>
        <cfvo type="num" val="0"/>
        <cfvo type="num" val="0.1"/>
        <color rgb="FFF8696B"/>
        <color rgb="FFFFEB84"/>
        <color rgb="FF63BE7B"/>
      </colorScale>
    </cfRule>
    <cfRule type="colorScale" priority="225">
      <colorScale>
        <cfvo type="num" val="-0.1"/>
        <cfvo type="num" val="0"/>
        <cfvo type="num" val="0.1"/>
        <color rgb="FFF8696B"/>
        <color rgb="FFFFEB84"/>
        <color rgb="FF63BE7B"/>
      </colorScale>
    </cfRule>
  </conditionalFormatting>
  <conditionalFormatting sqref="Q154:Q156">
    <cfRule type="colorScale" priority="226">
      <colorScale>
        <cfvo type="num" val="-0.1"/>
        <cfvo type="num" val="0"/>
        <cfvo type="num" val="0.1"/>
        <color rgb="FFF8696B"/>
        <color rgb="FFFFEB84"/>
        <color rgb="FF63BE7B"/>
      </colorScale>
    </cfRule>
  </conditionalFormatting>
  <conditionalFormatting sqref="Q158">
    <cfRule type="colorScale" priority="227">
      <colorScale>
        <cfvo type="num" val="-0.1"/>
        <cfvo type="num" val="0"/>
        <cfvo type="num" val="0.1"/>
        <color rgb="FFF8696B"/>
        <color rgb="FFFFEB84"/>
        <color rgb="FF63BE7B"/>
      </colorScale>
    </cfRule>
    <cfRule type="colorScale" priority="228">
      <colorScale>
        <cfvo type="num" val="-0.1"/>
        <cfvo type="num" val="0"/>
        <cfvo type="num" val="0.1"/>
        <color rgb="FFF8696B"/>
        <color rgb="FFFFEB84"/>
        <color rgb="FF63BE7B"/>
      </colorScale>
    </cfRule>
    <cfRule type="colorScale" priority="229">
      <colorScale>
        <cfvo type="num" val="-0.1"/>
        <cfvo type="num" val="0"/>
        <cfvo type="num" val="0.1"/>
        <color rgb="FFF8696B"/>
        <color rgb="FFFFEB84"/>
        <color rgb="FF63BE7B"/>
      </colorScale>
    </cfRule>
  </conditionalFormatting>
  <conditionalFormatting sqref="Q160">
    <cfRule type="colorScale" priority="230">
      <colorScale>
        <cfvo type="num" val="-0.1"/>
        <cfvo type="num" val="0"/>
        <cfvo type="num" val="0.1"/>
        <color rgb="FFF8696B"/>
        <color rgb="FFFFEB84"/>
        <color rgb="FF63BE7B"/>
      </colorScale>
    </cfRule>
    <cfRule type="colorScale" priority="231">
      <colorScale>
        <cfvo type="num" val="-0.1"/>
        <cfvo type="num" val="0"/>
        <cfvo type="num" val="0.1"/>
        <color rgb="FFF8696B"/>
        <color rgb="FFFFEB84"/>
        <color rgb="FF63BE7B"/>
      </colorScale>
    </cfRule>
  </conditionalFormatting>
  <conditionalFormatting sqref="Q159">
    <cfRule type="colorScale" priority="232">
      <colorScale>
        <cfvo type="num" val="-0.1"/>
        <cfvo type="num" val="0"/>
        <cfvo type="num" val="0.1"/>
        <color rgb="FFF8696B"/>
        <color rgb="FFFFEB84"/>
        <color rgb="FF63BE7B"/>
      </colorScale>
    </cfRule>
  </conditionalFormatting>
  <conditionalFormatting sqref="Q166">
    <cfRule type="colorScale" priority="233">
      <colorScale>
        <cfvo type="num" val="-0.1"/>
        <cfvo type="num" val="0"/>
        <cfvo type="num" val="0.1"/>
        <color rgb="FFF8696B"/>
        <color rgb="FFFFEB84"/>
        <color rgb="FF63BE7B"/>
      </colorScale>
    </cfRule>
    <cfRule type="colorScale" priority="234">
      <colorScale>
        <cfvo type="num" val="-0.1"/>
        <cfvo type="num" val="0"/>
        <cfvo type="num" val="0.1"/>
        <color rgb="FFF8696B"/>
        <color rgb="FFFFEB84"/>
        <color rgb="FF63BE7B"/>
      </colorScale>
    </cfRule>
  </conditionalFormatting>
  <conditionalFormatting sqref="Q162:Q163">
    <cfRule type="colorScale" priority="235">
      <colorScale>
        <cfvo type="num" val="-0.1"/>
        <cfvo type="num" val="0"/>
        <cfvo type="num" val="0.1"/>
        <color rgb="FFF8696B"/>
        <color rgb="FFFFEB84"/>
        <color rgb="FF63BE7B"/>
      </colorScale>
    </cfRule>
    <cfRule type="colorScale" priority="236">
      <colorScale>
        <cfvo type="num" val="-0.1"/>
        <cfvo type="num" val="0"/>
        <cfvo type="num" val="0.1"/>
        <color rgb="FFF8696B"/>
        <color rgb="FFFFEB84"/>
        <color rgb="FF63BE7B"/>
      </colorScale>
    </cfRule>
  </conditionalFormatting>
  <conditionalFormatting sqref="Q161">
    <cfRule type="colorScale" priority="237">
      <colorScale>
        <cfvo type="num" val="-0.1"/>
        <cfvo type="num" val="0"/>
        <cfvo type="num" val="0.1"/>
        <color rgb="FFF8696B"/>
        <color rgb="FFFFEB84"/>
        <color rgb="FF63BE7B"/>
      </colorScale>
    </cfRule>
    <cfRule type="colorScale" priority="238">
      <colorScale>
        <cfvo type="num" val="-0.1"/>
        <cfvo type="num" val="0"/>
        <cfvo type="num" val="0.1"/>
        <color rgb="FFF8696B"/>
        <color rgb="FFFFEB84"/>
        <color rgb="FF63BE7B"/>
      </colorScale>
    </cfRule>
  </conditionalFormatting>
  <conditionalFormatting sqref="Q163:Q165">
    <cfRule type="colorScale" priority="239">
      <colorScale>
        <cfvo type="num" val="-0.1"/>
        <cfvo type="num" val="0"/>
        <cfvo type="num" val="0.1"/>
        <color rgb="FFF8696B"/>
        <color rgb="FFFFEB84"/>
        <color rgb="FF63BE7B"/>
      </colorScale>
    </cfRule>
  </conditionalFormatting>
  <conditionalFormatting sqref="Q167">
    <cfRule type="colorScale" priority="240">
      <colorScale>
        <cfvo type="num" val="-0.1"/>
        <cfvo type="num" val="0"/>
        <cfvo type="num" val="0.1"/>
        <color rgb="FFF8696B"/>
        <color rgb="FFFFEB84"/>
        <color rgb="FF63BE7B"/>
      </colorScale>
    </cfRule>
    <cfRule type="colorScale" priority="241">
      <colorScale>
        <cfvo type="num" val="-0.1"/>
        <cfvo type="num" val="0"/>
        <cfvo type="num" val="0.1"/>
        <color rgb="FFF8696B"/>
        <color rgb="FFFFEB84"/>
        <color rgb="FF63BE7B"/>
      </colorScale>
    </cfRule>
    <cfRule type="colorScale" priority="242">
      <colorScale>
        <cfvo type="num" val="-0.1"/>
        <cfvo type="num" val="0"/>
        <cfvo type="num" val="0.1"/>
        <color rgb="FFF8696B"/>
        <color rgb="FFFFEB84"/>
        <color rgb="FF63BE7B"/>
      </colorScale>
    </cfRule>
  </conditionalFormatting>
  <conditionalFormatting sqref="Q169">
    <cfRule type="colorScale" priority="243">
      <colorScale>
        <cfvo type="num" val="-0.1"/>
        <cfvo type="num" val="0"/>
        <cfvo type="num" val="0.1"/>
        <color rgb="FFF8696B"/>
        <color rgb="FFFFEB84"/>
        <color rgb="FF63BE7B"/>
      </colorScale>
    </cfRule>
    <cfRule type="colorScale" priority="244">
      <colorScale>
        <cfvo type="num" val="-0.1"/>
        <cfvo type="num" val="0"/>
        <cfvo type="num" val="0.1"/>
        <color rgb="FFF8696B"/>
        <color rgb="FFFFEB84"/>
        <color rgb="FF63BE7B"/>
      </colorScale>
    </cfRule>
  </conditionalFormatting>
  <conditionalFormatting sqref="Q168">
    <cfRule type="colorScale" priority="245">
      <colorScale>
        <cfvo type="num" val="-0.1"/>
        <cfvo type="num" val="0"/>
        <cfvo type="num" val="0.1"/>
        <color rgb="FFF8696B"/>
        <color rgb="FFFFEB84"/>
        <color rgb="FF63BE7B"/>
      </colorScale>
    </cfRule>
  </conditionalFormatting>
  <conditionalFormatting sqref="Q175">
    <cfRule type="colorScale" priority="246">
      <colorScale>
        <cfvo type="num" val="-0.1"/>
        <cfvo type="num" val="0"/>
        <cfvo type="num" val="0.1"/>
        <color rgb="FFF8696B"/>
        <color rgb="FFFFEB84"/>
        <color rgb="FF63BE7B"/>
      </colorScale>
    </cfRule>
    <cfRule type="colorScale" priority="247">
      <colorScale>
        <cfvo type="num" val="-0.1"/>
        <cfvo type="num" val="0"/>
        <cfvo type="num" val="0.1"/>
        <color rgb="FFF8696B"/>
        <color rgb="FFFFEB84"/>
        <color rgb="FF63BE7B"/>
      </colorScale>
    </cfRule>
  </conditionalFormatting>
  <conditionalFormatting sqref="Q171:Q172">
    <cfRule type="colorScale" priority="248">
      <colorScale>
        <cfvo type="num" val="-0.1"/>
        <cfvo type="num" val="0"/>
        <cfvo type="num" val="0.1"/>
        <color rgb="FFF8696B"/>
        <color rgb="FFFFEB84"/>
        <color rgb="FF63BE7B"/>
      </colorScale>
    </cfRule>
    <cfRule type="colorScale" priority="249">
      <colorScale>
        <cfvo type="num" val="-0.1"/>
        <cfvo type="num" val="0"/>
        <cfvo type="num" val="0.1"/>
        <color rgb="FFF8696B"/>
        <color rgb="FFFFEB84"/>
        <color rgb="FF63BE7B"/>
      </colorScale>
    </cfRule>
  </conditionalFormatting>
  <conditionalFormatting sqref="Q170">
    <cfRule type="colorScale" priority="250">
      <colorScale>
        <cfvo type="num" val="-0.1"/>
        <cfvo type="num" val="0"/>
        <cfvo type="num" val="0.1"/>
        <color rgb="FFF8696B"/>
        <color rgb="FFFFEB84"/>
        <color rgb="FF63BE7B"/>
      </colorScale>
    </cfRule>
    <cfRule type="colorScale" priority="251">
      <colorScale>
        <cfvo type="num" val="-0.1"/>
        <cfvo type="num" val="0"/>
        <cfvo type="num" val="0.1"/>
        <color rgb="FFF8696B"/>
        <color rgb="FFFFEB84"/>
        <color rgb="FF63BE7B"/>
      </colorScale>
    </cfRule>
  </conditionalFormatting>
  <conditionalFormatting sqref="Q172:Q174">
    <cfRule type="colorScale" priority="252">
      <colorScale>
        <cfvo type="num" val="-0.1"/>
        <cfvo type="num" val="0"/>
        <cfvo type="num" val="0.1"/>
        <color rgb="FFF8696B"/>
        <color rgb="FFFFEB84"/>
        <color rgb="FF63BE7B"/>
      </colorScale>
    </cfRule>
  </conditionalFormatting>
  <conditionalFormatting sqref="Q177">
    <cfRule type="colorScale" priority="253">
      <colorScale>
        <cfvo type="num" val="-0.1"/>
        <cfvo type="num" val="0"/>
        <cfvo type="num" val="0.1"/>
        <color rgb="FFF8696B"/>
        <color rgb="FFFFEB84"/>
        <color rgb="FF63BE7B"/>
      </colorScale>
    </cfRule>
    <cfRule type="colorScale" priority="254">
      <colorScale>
        <cfvo type="num" val="-0.1"/>
        <cfvo type="num" val="0"/>
        <cfvo type="num" val="0.1"/>
        <color rgb="FFF8696B"/>
        <color rgb="FFFFEB84"/>
        <color rgb="FF63BE7B"/>
      </colorScale>
    </cfRule>
    <cfRule type="colorScale" priority="255">
      <colorScale>
        <cfvo type="num" val="-0.1"/>
        <cfvo type="num" val="0"/>
        <cfvo type="num" val="0.1"/>
        <color rgb="FFF8696B"/>
        <color rgb="FFFFEB84"/>
        <color rgb="FF63BE7B"/>
      </colorScale>
    </cfRule>
  </conditionalFormatting>
  <conditionalFormatting sqref="Q176">
    <cfRule type="colorScale" priority="256">
      <colorScale>
        <cfvo type="num" val="-0.1"/>
        <cfvo type="num" val="0"/>
        <cfvo type="num" val="0.1"/>
        <color rgb="FFF8696B"/>
        <color rgb="FFFFEB84"/>
        <color rgb="FF63BE7B"/>
      </colorScale>
    </cfRule>
    <cfRule type="colorScale" priority="257">
      <colorScale>
        <cfvo type="num" val="-0.1"/>
        <cfvo type="num" val="0"/>
        <cfvo type="num" val="0.1"/>
        <color rgb="FFF8696B"/>
        <color rgb="FFFFEB84"/>
        <color rgb="FF63BE7B"/>
      </colorScale>
    </cfRule>
    <cfRule type="colorScale" priority="258">
      <colorScale>
        <cfvo type="num" val="-0.1"/>
        <cfvo type="num" val="0"/>
        <cfvo type="num" val="0.1"/>
        <color rgb="FFF8696B"/>
        <color rgb="FFFFEB84"/>
        <color rgb="FF63BE7B"/>
      </colorScale>
    </cfRule>
  </conditionalFormatting>
  <conditionalFormatting sqref="Q179">
    <cfRule type="colorScale" priority="259">
      <colorScale>
        <cfvo type="num" val="-0.1"/>
        <cfvo type="num" val="0"/>
        <cfvo type="num" val="0.1"/>
        <color rgb="FFF8696B"/>
        <color rgb="FFFFEB84"/>
        <color rgb="FF63BE7B"/>
      </colorScale>
    </cfRule>
    <cfRule type="colorScale" priority="260">
      <colorScale>
        <cfvo type="num" val="-0.1"/>
        <cfvo type="num" val="0"/>
        <cfvo type="num" val="0.1"/>
        <color rgb="FFF8696B"/>
        <color rgb="FFFFEB84"/>
        <color rgb="FF63BE7B"/>
      </colorScale>
    </cfRule>
  </conditionalFormatting>
  <conditionalFormatting sqref="Q178">
    <cfRule type="colorScale" priority="261">
      <colorScale>
        <cfvo type="num" val="-0.1"/>
        <cfvo type="num" val="0"/>
        <cfvo type="num" val="0.1"/>
        <color rgb="FFF8696B"/>
        <color rgb="FFFFEB84"/>
        <color rgb="FF63BE7B"/>
      </colorScale>
    </cfRule>
  </conditionalFormatting>
  <conditionalFormatting sqref="Q185">
    <cfRule type="colorScale" priority="262">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Q181:Q182">
    <cfRule type="colorScale" priority="264">
      <colorScale>
        <cfvo type="num" val="-0.1"/>
        <cfvo type="num" val="0"/>
        <cfvo type="num" val="0.1"/>
        <color rgb="FFF8696B"/>
        <color rgb="FFFFEB84"/>
        <color rgb="FF63BE7B"/>
      </colorScale>
    </cfRule>
    <cfRule type="colorScale" priority="265">
      <colorScale>
        <cfvo type="num" val="-0.1"/>
        <cfvo type="num" val="0"/>
        <cfvo type="num" val="0.1"/>
        <color rgb="FFF8696B"/>
        <color rgb="FFFFEB84"/>
        <color rgb="FF63BE7B"/>
      </colorScale>
    </cfRule>
  </conditionalFormatting>
  <conditionalFormatting sqref="Q180">
    <cfRule type="colorScale" priority="266">
      <colorScale>
        <cfvo type="num" val="-0.1"/>
        <cfvo type="num" val="0"/>
        <cfvo type="num" val="0.1"/>
        <color rgb="FFF8696B"/>
        <color rgb="FFFFEB84"/>
        <color rgb="FF63BE7B"/>
      </colorScale>
    </cfRule>
    <cfRule type="colorScale" priority="267">
      <colorScale>
        <cfvo type="num" val="-0.1"/>
        <cfvo type="num" val="0"/>
        <cfvo type="num" val="0.1"/>
        <color rgb="FFF8696B"/>
        <color rgb="FFFFEB84"/>
        <color rgb="FF63BE7B"/>
      </colorScale>
    </cfRule>
  </conditionalFormatting>
  <conditionalFormatting sqref="Q182:Q184">
    <cfRule type="colorScale" priority="268">
      <colorScale>
        <cfvo type="num" val="-0.1"/>
        <cfvo type="num" val="0"/>
        <cfvo type="num" val="0.1"/>
        <color rgb="FFF8696B"/>
        <color rgb="FFFFEB84"/>
        <color rgb="FF63BE7B"/>
      </colorScale>
    </cfRule>
  </conditionalFormatting>
  <conditionalFormatting sqref="Q187">
    <cfRule type="colorScale" priority="269">
      <colorScale>
        <cfvo type="num" val="-0.1"/>
        <cfvo type="num" val="0"/>
        <cfvo type="num" val="0.1"/>
        <color rgb="FFF8696B"/>
        <color rgb="FFFFEB84"/>
        <color rgb="FF63BE7B"/>
      </colorScale>
    </cfRule>
    <cfRule type="colorScale" priority="270">
      <colorScale>
        <cfvo type="num" val="-0.1"/>
        <cfvo type="num" val="0"/>
        <cfvo type="num" val="0.1"/>
        <color rgb="FFF8696B"/>
        <color rgb="FFFFEB84"/>
        <color rgb="FF63BE7B"/>
      </colorScale>
    </cfRule>
    <cfRule type="colorScale" priority="271">
      <colorScale>
        <cfvo type="num" val="-0.1"/>
        <cfvo type="num" val="0"/>
        <cfvo type="num" val="0.1"/>
        <color rgb="FFF8696B"/>
        <color rgb="FFFFEB84"/>
        <color rgb="FF63BE7B"/>
      </colorScale>
    </cfRule>
  </conditionalFormatting>
  <conditionalFormatting sqref="Q186">
    <cfRule type="colorScale" priority="272">
      <colorScale>
        <cfvo type="num" val="-0.1"/>
        <cfvo type="num" val="0"/>
        <cfvo type="num" val="0.1"/>
        <color rgb="FFF8696B"/>
        <color rgb="FFFFEB84"/>
        <color rgb="FF63BE7B"/>
      </colorScale>
    </cfRule>
    <cfRule type="colorScale" priority="273">
      <colorScale>
        <cfvo type="num" val="-0.1"/>
        <cfvo type="num" val="0"/>
        <cfvo type="num" val="0.1"/>
        <color rgb="FFF8696B"/>
        <color rgb="FFFFEB84"/>
        <color rgb="FF63BE7B"/>
      </colorScale>
    </cfRule>
    <cfRule type="colorScale" priority="274">
      <colorScale>
        <cfvo type="num" val="-0.1"/>
        <cfvo type="num" val="0"/>
        <cfvo type="num" val="0.1"/>
        <color rgb="FFF8696B"/>
        <color rgb="FFFFEB84"/>
        <color rgb="FF63BE7B"/>
      </colorScale>
    </cfRule>
  </conditionalFormatting>
  <conditionalFormatting sqref="Q189">
    <cfRule type="colorScale" priority="275">
      <colorScale>
        <cfvo type="num" val="-0.1"/>
        <cfvo type="num" val="0"/>
        <cfvo type="num" val="0.1"/>
        <color rgb="FFF8696B"/>
        <color rgb="FFFFEB84"/>
        <color rgb="FF63BE7B"/>
      </colorScale>
    </cfRule>
    <cfRule type="colorScale" priority="276">
      <colorScale>
        <cfvo type="num" val="-0.1"/>
        <cfvo type="num" val="0"/>
        <cfvo type="num" val="0.1"/>
        <color rgb="FFF8696B"/>
        <color rgb="FFFFEB84"/>
        <color rgb="FF63BE7B"/>
      </colorScale>
    </cfRule>
  </conditionalFormatting>
  <conditionalFormatting sqref="Q188">
    <cfRule type="colorScale" priority="277">
      <colorScale>
        <cfvo type="num" val="-0.1"/>
        <cfvo type="num" val="0"/>
        <cfvo type="num" val="0.1"/>
        <color rgb="FFF8696B"/>
        <color rgb="FFFFEB84"/>
        <color rgb="FF63BE7B"/>
      </colorScale>
    </cfRule>
  </conditionalFormatting>
  <conditionalFormatting sqref="Q195">
    <cfRule type="colorScale" priority="278">
      <colorScale>
        <cfvo type="num" val="-0.1"/>
        <cfvo type="num" val="0"/>
        <cfvo type="num" val="0.1"/>
        <color rgb="FFF8696B"/>
        <color rgb="FFFFEB84"/>
        <color rgb="FF63BE7B"/>
      </colorScale>
    </cfRule>
    <cfRule type="colorScale" priority="279">
      <colorScale>
        <cfvo type="num" val="-0.1"/>
        <cfvo type="num" val="0"/>
        <cfvo type="num" val="0.1"/>
        <color rgb="FFF8696B"/>
        <color rgb="FFFFEB84"/>
        <color rgb="FF63BE7B"/>
      </colorScale>
    </cfRule>
  </conditionalFormatting>
  <conditionalFormatting sqref="Q191:Q192">
    <cfRule type="colorScale" priority="280">
      <colorScale>
        <cfvo type="num" val="-0.1"/>
        <cfvo type="num" val="0"/>
        <cfvo type="num" val="0.1"/>
        <color rgb="FFF8696B"/>
        <color rgb="FFFFEB84"/>
        <color rgb="FF63BE7B"/>
      </colorScale>
    </cfRule>
    <cfRule type="colorScale" priority="281">
      <colorScale>
        <cfvo type="num" val="-0.1"/>
        <cfvo type="num" val="0"/>
        <cfvo type="num" val="0.1"/>
        <color rgb="FFF8696B"/>
        <color rgb="FFFFEB84"/>
        <color rgb="FF63BE7B"/>
      </colorScale>
    </cfRule>
  </conditionalFormatting>
  <conditionalFormatting sqref="Q190">
    <cfRule type="colorScale" priority="282">
      <colorScale>
        <cfvo type="num" val="-0.1"/>
        <cfvo type="num" val="0"/>
        <cfvo type="num" val="0.1"/>
        <color rgb="FFF8696B"/>
        <color rgb="FFFFEB84"/>
        <color rgb="FF63BE7B"/>
      </colorScale>
    </cfRule>
    <cfRule type="colorScale" priority="283">
      <colorScale>
        <cfvo type="num" val="-0.1"/>
        <cfvo type="num" val="0"/>
        <cfvo type="num" val="0.1"/>
        <color rgb="FFF8696B"/>
        <color rgb="FFFFEB84"/>
        <color rgb="FF63BE7B"/>
      </colorScale>
    </cfRule>
  </conditionalFormatting>
  <conditionalFormatting sqref="Q192:Q194">
    <cfRule type="colorScale" priority="284">
      <colorScale>
        <cfvo type="num" val="-0.1"/>
        <cfvo type="num" val="0"/>
        <cfvo type="num" val="0.1"/>
        <color rgb="FFF8696B"/>
        <color rgb="FFFFEB84"/>
        <color rgb="FF63BE7B"/>
      </colorScale>
    </cfRule>
  </conditionalFormatting>
  <conditionalFormatting sqref="Q197">
    <cfRule type="colorScale" priority="285">
      <colorScale>
        <cfvo type="num" val="-0.1"/>
        <cfvo type="num" val="0"/>
        <cfvo type="num" val="0.1"/>
        <color rgb="FFF8696B"/>
        <color rgb="FFFFEB84"/>
        <color rgb="FF63BE7B"/>
      </colorScale>
    </cfRule>
    <cfRule type="colorScale" priority="286">
      <colorScale>
        <cfvo type="num" val="-0.1"/>
        <cfvo type="num" val="0"/>
        <cfvo type="num" val="0.1"/>
        <color rgb="FFF8696B"/>
        <color rgb="FFFFEB84"/>
        <color rgb="FF63BE7B"/>
      </colorScale>
    </cfRule>
  </conditionalFormatting>
  <conditionalFormatting sqref="Q196">
    <cfRule type="colorScale" priority="287">
      <colorScale>
        <cfvo type="num" val="-0.1"/>
        <cfvo type="num" val="0"/>
        <cfvo type="num" val="0.1"/>
        <color rgb="FFF8696B"/>
        <color rgb="FFFFEB84"/>
        <color rgb="FF63BE7B"/>
      </colorScale>
    </cfRule>
  </conditionalFormatting>
  <conditionalFormatting sqref="Q203">
    <cfRule type="colorScale" priority="288">
      <colorScale>
        <cfvo type="num" val="-0.1"/>
        <cfvo type="num" val="0"/>
        <cfvo type="num" val="0.1"/>
        <color rgb="FFF8696B"/>
        <color rgb="FFFFEB84"/>
        <color rgb="FF63BE7B"/>
      </colorScale>
    </cfRule>
    <cfRule type="colorScale" priority="289">
      <colorScale>
        <cfvo type="num" val="-0.1"/>
        <cfvo type="num" val="0"/>
        <cfvo type="num" val="0.1"/>
        <color rgb="FFF8696B"/>
        <color rgb="FFFFEB84"/>
        <color rgb="FF63BE7B"/>
      </colorScale>
    </cfRule>
  </conditionalFormatting>
  <conditionalFormatting sqref="Q204">
    <cfRule type="colorScale" priority="290">
      <colorScale>
        <cfvo type="num" val="-0.1"/>
        <cfvo type="num" val="0"/>
        <cfvo type="num" val="0.1"/>
        <color rgb="FFF8696B"/>
        <color rgb="FFFFEB84"/>
        <color rgb="FF63BE7B"/>
      </colorScale>
    </cfRule>
  </conditionalFormatting>
  <conditionalFormatting sqref="Q205">
    <cfRule type="colorScale" priority="291">
      <colorScale>
        <cfvo type="num" val="-0.1"/>
        <cfvo type="num" val="0"/>
        <cfvo type="num" val="0.1"/>
        <color rgb="FFF8696B"/>
        <color rgb="FFFFEB84"/>
        <color rgb="FF63BE7B"/>
      </colorScale>
    </cfRule>
    <cfRule type="colorScale" priority="292">
      <colorScale>
        <cfvo type="num" val="-0.1"/>
        <cfvo type="num" val="0"/>
        <cfvo type="num" val="0.1"/>
        <color rgb="FFF8696B"/>
        <color rgb="FFFFEB84"/>
        <color rgb="FF63BE7B"/>
      </colorScale>
    </cfRule>
  </conditionalFormatting>
  <conditionalFormatting sqref="Q199:Q200">
    <cfRule type="colorScale" priority="293">
      <colorScale>
        <cfvo type="num" val="-0.1"/>
        <cfvo type="num" val="0"/>
        <cfvo type="num" val="0.1"/>
        <color rgb="FFF8696B"/>
        <color rgb="FFFFEB84"/>
        <color rgb="FF63BE7B"/>
      </colorScale>
    </cfRule>
    <cfRule type="colorScale" priority="294">
      <colorScale>
        <cfvo type="num" val="-0.1"/>
        <cfvo type="num" val="0"/>
        <cfvo type="num" val="0.1"/>
        <color rgb="FFF8696B"/>
        <color rgb="FFFFEB84"/>
        <color rgb="FF63BE7B"/>
      </colorScale>
    </cfRule>
  </conditionalFormatting>
  <conditionalFormatting sqref="Q198">
    <cfRule type="colorScale" priority="295">
      <colorScale>
        <cfvo type="num" val="-0.1"/>
        <cfvo type="num" val="0"/>
        <cfvo type="num" val="0.1"/>
        <color rgb="FFF8696B"/>
        <color rgb="FFFFEB84"/>
        <color rgb="FF63BE7B"/>
      </colorScale>
    </cfRule>
    <cfRule type="colorScale" priority="296">
      <colorScale>
        <cfvo type="num" val="-0.1"/>
        <cfvo type="num" val="0"/>
        <cfvo type="num" val="0.1"/>
        <color rgb="FFF8696B"/>
        <color rgb="FFFFEB84"/>
        <color rgb="FF63BE7B"/>
      </colorScale>
    </cfRule>
  </conditionalFormatting>
  <conditionalFormatting sqref="Q200:Q202">
    <cfRule type="colorScale" priority="297">
      <colorScale>
        <cfvo type="num" val="-0.1"/>
        <cfvo type="num" val="0"/>
        <cfvo type="num" val="0.1"/>
        <color rgb="FFF8696B"/>
        <color rgb="FFFFEB84"/>
        <color rgb="FF63BE7B"/>
      </colorScale>
    </cfRule>
  </conditionalFormatting>
  <conditionalFormatting sqref="Q211">
    <cfRule type="colorScale" priority="298">
      <colorScale>
        <cfvo type="num" val="-0.1"/>
        <cfvo type="num" val="0"/>
        <cfvo type="num" val="0.1"/>
        <color rgb="FFF8696B"/>
        <color rgb="FFFFEB84"/>
        <color rgb="FF63BE7B"/>
      </colorScale>
    </cfRule>
  </conditionalFormatting>
  <conditionalFormatting sqref="Q212">
    <cfRule type="colorScale" priority="299">
      <colorScale>
        <cfvo type="num" val="-0.1"/>
        <cfvo type="num" val="0"/>
        <cfvo type="num" val="0.1"/>
        <color rgb="FFF8696B"/>
        <color rgb="FFFFEB84"/>
        <color rgb="FF63BE7B"/>
      </colorScale>
    </cfRule>
    <cfRule type="colorScale" priority="300">
      <colorScale>
        <cfvo type="num" val="-0.1"/>
        <cfvo type="num" val="0"/>
        <cfvo type="num" val="0.1"/>
        <color rgb="FFF8696B"/>
        <color rgb="FFFFEB84"/>
        <color rgb="FF63BE7B"/>
      </colorScale>
    </cfRule>
  </conditionalFormatting>
  <conditionalFormatting sqref="Q207:Q208">
    <cfRule type="colorScale" priority="301">
      <colorScale>
        <cfvo type="num" val="-0.1"/>
        <cfvo type="num" val="0"/>
        <cfvo type="num" val="0.1"/>
        <color rgb="FFF8696B"/>
        <color rgb="FFFFEB84"/>
        <color rgb="FF63BE7B"/>
      </colorScale>
    </cfRule>
    <cfRule type="colorScale" priority="302">
      <colorScale>
        <cfvo type="num" val="-0.1"/>
        <cfvo type="num" val="0"/>
        <cfvo type="num" val="0.1"/>
        <color rgb="FFF8696B"/>
        <color rgb="FFFFEB84"/>
        <color rgb="FF63BE7B"/>
      </colorScale>
    </cfRule>
  </conditionalFormatting>
  <conditionalFormatting sqref="Q206">
    <cfRule type="colorScale" priority="303">
      <colorScale>
        <cfvo type="num" val="-0.1"/>
        <cfvo type="num" val="0"/>
        <cfvo type="num" val="0.1"/>
        <color rgb="FFF8696B"/>
        <color rgb="FFFFEB84"/>
        <color rgb="FF63BE7B"/>
      </colorScale>
    </cfRule>
    <cfRule type="colorScale" priority="304">
      <colorScale>
        <cfvo type="num" val="-0.1"/>
        <cfvo type="num" val="0"/>
        <cfvo type="num" val="0.1"/>
        <color rgb="FFF8696B"/>
        <color rgb="FFFFEB84"/>
        <color rgb="FF63BE7B"/>
      </colorScale>
    </cfRule>
  </conditionalFormatting>
  <conditionalFormatting sqref="Q208:Q210">
    <cfRule type="colorScale" priority="305">
      <colorScale>
        <cfvo type="num" val="-0.1"/>
        <cfvo type="num" val="0"/>
        <cfvo type="num" val="0.1"/>
        <color rgb="FFF8696B"/>
        <color rgb="FFFFEB84"/>
        <color rgb="FF63BE7B"/>
      </colorScale>
    </cfRule>
  </conditionalFormatting>
  <conditionalFormatting sqref="Q218">
    <cfRule type="colorScale" priority="306">
      <colorScale>
        <cfvo type="num" val="-0.1"/>
        <cfvo type="num" val="0"/>
        <cfvo type="num" val="0.1"/>
        <color rgb="FFF8696B"/>
        <color rgb="FFFFEB84"/>
        <color rgb="FF63BE7B"/>
      </colorScale>
    </cfRule>
    <cfRule type="colorScale" priority="307">
      <colorScale>
        <cfvo type="num" val="-0.1"/>
        <cfvo type="num" val="0"/>
        <cfvo type="num" val="0.1"/>
        <color rgb="FFF8696B"/>
        <color rgb="FFFFEB84"/>
        <color rgb="FF63BE7B"/>
      </colorScale>
    </cfRule>
  </conditionalFormatting>
  <conditionalFormatting sqref="Q214:Q215">
    <cfRule type="colorScale" priority="308">
      <colorScale>
        <cfvo type="num" val="-0.1"/>
        <cfvo type="num" val="0"/>
        <cfvo type="num" val="0.1"/>
        <color rgb="FFF8696B"/>
        <color rgb="FFFFEB84"/>
        <color rgb="FF63BE7B"/>
      </colorScale>
    </cfRule>
    <cfRule type="colorScale" priority="309">
      <colorScale>
        <cfvo type="num" val="-0.1"/>
        <cfvo type="num" val="0"/>
        <cfvo type="num" val="0.1"/>
        <color rgb="FFF8696B"/>
        <color rgb="FFFFEB84"/>
        <color rgb="FF63BE7B"/>
      </colorScale>
    </cfRule>
  </conditionalFormatting>
  <conditionalFormatting sqref="Q213">
    <cfRule type="colorScale" priority="310">
      <colorScale>
        <cfvo type="num" val="-0.1"/>
        <cfvo type="num" val="0"/>
        <cfvo type="num" val="0.1"/>
        <color rgb="FFF8696B"/>
        <color rgb="FFFFEB84"/>
        <color rgb="FF63BE7B"/>
      </colorScale>
    </cfRule>
    <cfRule type="colorScale" priority="311">
      <colorScale>
        <cfvo type="num" val="-0.1"/>
        <cfvo type="num" val="0"/>
        <cfvo type="num" val="0.1"/>
        <color rgb="FFF8696B"/>
        <color rgb="FFFFEB84"/>
        <color rgb="FF63BE7B"/>
      </colorScale>
    </cfRule>
  </conditionalFormatting>
  <conditionalFormatting sqref="Q215:Q217">
    <cfRule type="colorScale" priority="312">
      <colorScale>
        <cfvo type="num" val="-0.1"/>
        <cfvo type="num" val="0"/>
        <cfvo type="num" val="0.1"/>
        <color rgb="FFF8696B"/>
        <color rgb="FFFFEB84"/>
        <color rgb="FF63BE7B"/>
      </colorScale>
    </cfRule>
  </conditionalFormatting>
  <conditionalFormatting sqref="Q220">
    <cfRule type="colorScale" priority="313">
      <colorScale>
        <cfvo type="num" val="-0.1"/>
        <cfvo type="num" val="0"/>
        <cfvo type="num" val="0.1"/>
        <color rgb="FFF8696B"/>
        <color rgb="FFFFEB84"/>
        <color rgb="FF63BE7B"/>
      </colorScale>
    </cfRule>
    <cfRule type="colorScale" priority="314">
      <colorScale>
        <cfvo type="num" val="-0.1"/>
        <cfvo type="num" val="0"/>
        <cfvo type="num" val="0.1"/>
        <color rgb="FFF8696B"/>
        <color rgb="FFFFEB84"/>
        <color rgb="FF63BE7B"/>
      </colorScale>
    </cfRule>
  </conditionalFormatting>
  <conditionalFormatting sqref="Q219">
    <cfRule type="colorScale" priority="315">
      <colorScale>
        <cfvo type="num" val="-0.1"/>
        <cfvo type="num" val="0"/>
        <cfvo type="num" val="0.1"/>
        <color rgb="FFF8696B"/>
        <color rgb="FFFFEB84"/>
        <color rgb="FF63BE7B"/>
      </colorScale>
    </cfRule>
  </conditionalFormatting>
  <conditionalFormatting sqref="Q223">
    <cfRule type="colorScale" priority="316">
      <colorScale>
        <cfvo type="num" val="-0.1"/>
        <cfvo type="num" val="0"/>
        <cfvo type="num" val="0.1"/>
        <color rgb="FFF8696B"/>
        <color rgb="FFFFEB84"/>
        <color rgb="FF63BE7B"/>
      </colorScale>
    </cfRule>
    <cfRule type="colorScale" priority="317">
      <colorScale>
        <cfvo type="num" val="-0.1"/>
        <cfvo type="num" val="0"/>
        <cfvo type="num" val="0.1"/>
        <color rgb="FFF8696B"/>
        <color rgb="FFFFEB84"/>
        <color rgb="FF63BE7B"/>
      </colorScale>
    </cfRule>
  </conditionalFormatting>
  <conditionalFormatting sqref="Q222">
    <cfRule type="colorScale" priority="318">
      <colorScale>
        <cfvo type="num" val="-0.1"/>
        <cfvo type="num" val="0"/>
        <cfvo type="num" val="0.1"/>
        <color rgb="FFF8696B"/>
        <color rgb="FFFFEB84"/>
        <color rgb="FF63BE7B"/>
      </colorScale>
    </cfRule>
    <cfRule type="colorScale" priority="319">
      <colorScale>
        <cfvo type="num" val="-0.1"/>
        <cfvo type="num" val="0"/>
        <cfvo type="num" val="0.1"/>
        <color rgb="FFF8696B"/>
        <color rgb="FFFFEB84"/>
        <color rgb="FF63BE7B"/>
      </colorScale>
    </cfRule>
    <cfRule type="colorScale" priority="320">
      <colorScale>
        <cfvo type="num" val="-0.1"/>
        <cfvo type="num" val="0"/>
        <cfvo type="num" val="0.1"/>
        <color rgb="FFF8696B"/>
        <color rgb="FFFFEB84"/>
        <color rgb="FF63BE7B"/>
      </colorScale>
    </cfRule>
  </conditionalFormatting>
  <conditionalFormatting sqref="Q221">
    <cfRule type="colorScale" priority="321">
      <colorScale>
        <cfvo type="num" val="-0.1"/>
        <cfvo type="num" val="0"/>
        <cfvo type="num" val="0.1"/>
        <color rgb="FFF8696B"/>
        <color rgb="FFFFEB84"/>
        <color rgb="FF63BE7B"/>
      </colorScale>
    </cfRule>
    <cfRule type="colorScale" priority="322">
      <colorScale>
        <cfvo type="num" val="-0.1"/>
        <cfvo type="num" val="0"/>
        <cfvo type="num" val="0.1"/>
        <color rgb="FFF8696B"/>
        <color rgb="FFFFEB84"/>
        <color rgb="FF63BE7B"/>
      </colorScale>
    </cfRule>
  </conditionalFormatting>
  <conditionalFormatting sqref="Q228">
    <cfRule type="colorScale" priority="323">
      <colorScale>
        <cfvo type="num" val="-0.1"/>
        <cfvo type="num" val="0"/>
        <cfvo type="num" val="0.1"/>
        <color rgb="FFF8696B"/>
        <color rgb="FFFFEB84"/>
        <color rgb="FF63BE7B"/>
      </colorScale>
    </cfRule>
    <cfRule type="colorScale" priority="324">
      <colorScale>
        <cfvo type="num" val="-0.1"/>
        <cfvo type="num" val="0"/>
        <cfvo type="num" val="0.1"/>
        <color rgb="FFF8696B"/>
        <color rgb="FFFFEB84"/>
        <color rgb="FF63BE7B"/>
      </colorScale>
    </cfRule>
  </conditionalFormatting>
  <conditionalFormatting sqref="Q225">
    <cfRule type="colorScale" priority="325">
      <colorScale>
        <cfvo type="num" val="-0.1"/>
        <cfvo type="num" val="0"/>
        <cfvo type="num" val="0.1"/>
        <color rgb="FFF8696B"/>
        <color rgb="FFFFEB84"/>
        <color rgb="FF63BE7B"/>
      </colorScale>
    </cfRule>
    <cfRule type="colorScale" priority="326">
      <colorScale>
        <cfvo type="num" val="-0.1"/>
        <cfvo type="num" val="0"/>
        <cfvo type="num" val="0.1"/>
        <color rgb="FFF8696B"/>
        <color rgb="FFFFEB84"/>
        <color rgb="FF63BE7B"/>
      </colorScale>
    </cfRule>
  </conditionalFormatting>
  <conditionalFormatting sqref="Q224">
    <cfRule type="colorScale" priority="327">
      <colorScale>
        <cfvo type="num" val="-0.1"/>
        <cfvo type="num" val="0"/>
        <cfvo type="num" val="0.1"/>
        <color rgb="FFF8696B"/>
        <color rgb="FFFFEB84"/>
        <color rgb="FF63BE7B"/>
      </colorScale>
    </cfRule>
    <cfRule type="colorScale" priority="328">
      <colorScale>
        <cfvo type="num" val="-0.1"/>
        <cfvo type="num" val="0"/>
        <cfvo type="num" val="0.1"/>
        <color rgb="FFF8696B"/>
        <color rgb="FFFFEB84"/>
        <color rgb="FF63BE7B"/>
      </colorScale>
    </cfRule>
  </conditionalFormatting>
  <conditionalFormatting sqref="Q230">
    <cfRule type="colorScale" priority="329">
      <colorScale>
        <cfvo type="num" val="-0.1"/>
        <cfvo type="num" val="0"/>
        <cfvo type="num" val="0.1"/>
        <color rgb="FFF8696B"/>
        <color rgb="FFFFEB84"/>
        <color rgb="FF63BE7B"/>
      </colorScale>
    </cfRule>
    <cfRule type="colorScale" priority="330">
      <colorScale>
        <cfvo type="num" val="-0.1"/>
        <cfvo type="num" val="0"/>
        <cfvo type="num" val="0.1"/>
        <color rgb="FFF8696B"/>
        <color rgb="FFFFEB84"/>
        <color rgb="FF63BE7B"/>
      </colorScale>
    </cfRule>
  </conditionalFormatting>
  <conditionalFormatting sqref="Q229">
    <cfRule type="colorScale" priority="331">
      <colorScale>
        <cfvo type="num" val="-0.1"/>
        <cfvo type="num" val="0"/>
        <cfvo type="num" val="0.1"/>
        <color rgb="FFF8696B"/>
        <color rgb="FFFFEB84"/>
        <color rgb="FF63BE7B"/>
      </colorScale>
    </cfRule>
  </conditionalFormatting>
  <conditionalFormatting sqref="Q227">
    <cfRule type="colorScale" priority="332">
      <colorScale>
        <cfvo type="num" val="-0.1"/>
        <cfvo type="num" val="0"/>
        <cfvo type="num" val="0.1"/>
        <color rgb="FFF8696B"/>
        <color rgb="FFFFEB84"/>
        <color rgb="FF63BE7B"/>
      </colorScale>
    </cfRule>
    <cfRule type="colorScale" priority="333">
      <colorScale>
        <cfvo type="num" val="-0.1"/>
        <cfvo type="num" val="0"/>
        <cfvo type="num" val="0.1"/>
        <color rgb="FFF8696B"/>
        <color rgb="FFFFEB84"/>
        <color rgb="FF63BE7B"/>
      </colorScale>
    </cfRule>
  </conditionalFormatting>
  <conditionalFormatting sqref="Q226">
    <cfRule type="colorScale" priority="334">
      <colorScale>
        <cfvo type="num" val="-0.1"/>
        <cfvo type="num" val="0"/>
        <cfvo type="num" val="0.1"/>
        <color rgb="FFF8696B"/>
        <color rgb="FFFFEB84"/>
        <color rgb="FF63BE7B"/>
      </colorScale>
    </cfRule>
    <cfRule type="colorScale" priority="335">
      <colorScale>
        <cfvo type="num" val="-0.1"/>
        <cfvo type="num" val="0"/>
        <cfvo type="num" val="0.1"/>
        <color rgb="FFF8696B"/>
        <color rgb="FFFFEB84"/>
        <color rgb="FF63BE7B"/>
      </colorScale>
    </cfRule>
  </conditionalFormatting>
  <conditionalFormatting sqref="Q236">
    <cfRule type="colorScale" priority="336">
      <colorScale>
        <cfvo type="num" val="-0.1"/>
        <cfvo type="num" val="0"/>
        <cfvo type="num" val="0.1"/>
        <color rgb="FFF8696B"/>
        <color rgb="FFFFEB84"/>
        <color rgb="FF63BE7B"/>
      </colorScale>
    </cfRule>
    <cfRule type="colorScale" priority="337">
      <colorScale>
        <cfvo type="num" val="-0.1"/>
        <cfvo type="num" val="0"/>
        <cfvo type="num" val="0.1"/>
        <color rgb="FFF8696B"/>
        <color rgb="FFFFEB84"/>
        <color rgb="FF63BE7B"/>
      </colorScale>
    </cfRule>
  </conditionalFormatting>
  <conditionalFormatting sqref="Q232:Q233">
    <cfRule type="colorScale" priority="338">
      <colorScale>
        <cfvo type="num" val="-0.1"/>
        <cfvo type="num" val="0"/>
        <cfvo type="num" val="0.1"/>
        <color rgb="FFF8696B"/>
        <color rgb="FFFFEB84"/>
        <color rgb="FF63BE7B"/>
      </colorScale>
    </cfRule>
    <cfRule type="colorScale" priority="339">
      <colorScale>
        <cfvo type="num" val="-0.1"/>
        <cfvo type="num" val="0"/>
        <cfvo type="num" val="0.1"/>
        <color rgb="FFF8696B"/>
        <color rgb="FFFFEB84"/>
        <color rgb="FF63BE7B"/>
      </colorScale>
    </cfRule>
  </conditionalFormatting>
  <conditionalFormatting sqref="Q231">
    <cfRule type="colorScale" priority="340">
      <colorScale>
        <cfvo type="num" val="-0.1"/>
        <cfvo type="num" val="0"/>
        <cfvo type="num" val="0.1"/>
        <color rgb="FFF8696B"/>
        <color rgb="FFFFEB84"/>
        <color rgb="FF63BE7B"/>
      </colorScale>
    </cfRule>
    <cfRule type="colorScale" priority="341">
      <colorScale>
        <cfvo type="num" val="-0.1"/>
        <cfvo type="num" val="0"/>
        <cfvo type="num" val="0.1"/>
        <color rgb="FFF8696B"/>
        <color rgb="FFFFEB84"/>
        <color rgb="FF63BE7B"/>
      </colorScale>
    </cfRule>
  </conditionalFormatting>
  <conditionalFormatting sqref="Q233:Q235">
    <cfRule type="colorScale" priority="342">
      <colorScale>
        <cfvo type="num" val="-0.1"/>
        <cfvo type="num" val="0"/>
        <cfvo type="num" val="0.1"/>
        <color rgb="FFF8696B"/>
        <color rgb="FFFFEB84"/>
        <color rgb="FF63BE7B"/>
      </colorScale>
    </cfRule>
  </conditionalFormatting>
  <conditionalFormatting sqref="Q241">
    <cfRule type="colorScale" priority="343">
      <colorScale>
        <cfvo type="num" val="-0.1"/>
        <cfvo type="num" val="0"/>
        <cfvo type="num" val="0.1"/>
        <color rgb="FFF8696B"/>
        <color rgb="FFFFEB84"/>
        <color rgb="FF63BE7B"/>
      </colorScale>
    </cfRule>
    <cfRule type="colorScale" priority="344">
      <colorScale>
        <cfvo type="num" val="-0.1"/>
        <cfvo type="num" val="0"/>
        <cfvo type="num" val="0.1"/>
        <color rgb="FFF8696B"/>
        <color rgb="FFFFEB84"/>
        <color rgb="FF63BE7B"/>
      </colorScale>
    </cfRule>
  </conditionalFormatting>
  <conditionalFormatting sqref="Q238">
    <cfRule type="colorScale" priority="345">
      <colorScale>
        <cfvo type="num" val="-0.1"/>
        <cfvo type="num" val="0"/>
        <cfvo type="num" val="0.1"/>
        <color rgb="FFF8696B"/>
        <color rgb="FFFFEB84"/>
        <color rgb="FF63BE7B"/>
      </colorScale>
    </cfRule>
    <cfRule type="colorScale" priority="346">
      <colorScale>
        <cfvo type="num" val="-0.1"/>
        <cfvo type="num" val="0"/>
        <cfvo type="num" val="0.1"/>
        <color rgb="FFF8696B"/>
        <color rgb="FFFFEB84"/>
        <color rgb="FF63BE7B"/>
      </colorScale>
    </cfRule>
  </conditionalFormatting>
  <conditionalFormatting sqref="Q242:Q243">
    <cfRule type="colorScale" priority="347">
      <colorScale>
        <cfvo type="num" val="-0.1"/>
        <cfvo type="num" val="0"/>
        <cfvo type="num" val="0.1"/>
        <color rgb="FFF8696B"/>
        <color rgb="FFFFEB84"/>
        <color rgb="FF63BE7B"/>
      </colorScale>
    </cfRule>
    <cfRule type="colorScale" priority="348">
      <colorScale>
        <cfvo type="num" val="-0.1"/>
        <cfvo type="num" val="0"/>
        <cfvo type="num" val="0.1"/>
        <color rgb="FFF8696B"/>
        <color rgb="FFFFEB84"/>
        <color rgb="FF63BE7B"/>
      </colorScale>
    </cfRule>
  </conditionalFormatting>
  <conditionalFormatting sqref="Q240">
    <cfRule type="colorScale" priority="349">
      <colorScale>
        <cfvo type="num" val="-0.1"/>
        <cfvo type="num" val="0"/>
        <cfvo type="num" val="0.1"/>
        <color rgb="FFF8696B"/>
        <color rgb="FFFFEB84"/>
        <color rgb="FF63BE7B"/>
      </colorScale>
    </cfRule>
    <cfRule type="colorScale" priority="350">
      <colorScale>
        <cfvo type="num" val="-0.1"/>
        <cfvo type="num" val="0"/>
        <cfvo type="num" val="0.1"/>
        <color rgb="FFF8696B"/>
        <color rgb="FFFFEB84"/>
        <color rgb="FF63BE7B"/>
      </colorScale>
    </cfRule>
  </conditionalFormatting>
  <conditionalFormatting sqref="Q239">
    <cfRule type="colorScale" priority="351">
      <colorScale>
        <cfvo type="num" val="-0.1"/>
        <cfvo type="num" val="0"/>
        <cfvo type="num" val="0.1"/>
        <color rgb="FFF8696B"/>
        <color rgb="FFFFEB84"/>
        <color rgb="FF63BE7B"/>
      </colorScale>
    </cfRule>
    <cfRule type="colorScale" priority="352">
      <colorScale>
        <cfvo type="num" val="-0.1"/>
        <cfvo type="num" val="0"/>
        <cfvo type="num" val="0.1"/>
        <color rgb="FFF8696B"/>
        <color rgb="FFFFEB84"/>
        <color rgb="FF63BE7B"/>
      </colorScale>
    </cfRule>
  </conditionalFormatting>
  <conditionalFormatting sqref="Q246">
    <cfRule type="colorScale" priority="353">
      <colorScale>
        <cfvo type="num" val="-0.1"/>
        <cfvo type="num" val="0"/>
        <cfvo type="num" val="0.1"/>
        <color rgb="FFF8696B"/>
        <color rgb="FFFFEB84"/>
        <color rgb="FF63BE7B"/>
      </colorScale>
    </cfRule>
  </conditionalFormatting>
  <conditionalFormatting sqref="Q237 Q243:Q246">
    <cfRule type="colorScale" priority="354">
      <colorScale>
        <cfvo type="num" val="-0.1"/>
        <cfvo type="num" val="0"/>
        <cfvo type="num" val="0.1"/>
        <color rgb="FFF8696B"/>
        <color rgb="FFFFEB84"/>
        <color rgb="FF63BE7B"/>
      </colorScale>
    </cfRule>
  </conditionalFormatting>
  <conditionalFormatting sqref="Q251">
    <cfRule type="colorScale" priority="355">
      <colorScale>
        <cfvo type="num" val="-0.1"/>
        <cfvo type="num" val="0"/>
        <cfvo type="num" val="0.1"/>
        <color rgb="FFF8696B"/>
        <color rgb="FFFFEB84"/>
        <color rgb="FF63BE7B"/>
      </colorScale>
    </cfRule>
    <cfRule type="colorScale" priority="356">
      <colorScale>
        <cfvo type="num" val="-0.1"/>
        <cfvo type="num" val="0"/>
        <cfvo type="num" val="0.1"/>
        <color rgb="FFF8696B"/>
        <color rgb="FFFFEB84"/>
        <color rgb="FF63BE7B"/>
      </colorScale>
    </cfRule>
  </conditionalFormatting>
  <conditionalFormatting sqref="Q248">
    <cfRule type="colorScale" priority="357">
      <colorScale>
        <cfvo type="num" val="-0.1"/>
        <cfvo type="num" val="0"/>
        <cfvo type="num" val="0.1"/>
        <color rgb="FFF8696B"/>
        <color rgb="FFFFEB84"/>
        <color rgb="FF63BE7B"/>
      </colorScale>
    </cfRule>
    <cfRule type="colorScale" priority="358">
      <colorScale>
        <cfvo type="num" val="-0.1"/>
        <cfvo type="num" val="0"/>
        <cfvo type="num" val="0.1"/>
        <color rgb="FFF8696B"/>
        <color rgb="FFFFEB84"/>
        <color rgb="FF63BE7B"/>
      </colorScale>
    </cfRule>
  </conditionalFormatting>
  <conditionalFormatting sqref="Q252:Q253">
    <cfRule type="colorScale" priority="359">
      <colorScale>
        <cfvo type="num" val="-0.1"/>
        <cfvo type="num" val="0"/>
        <cfvo type="num" val="0.1"/>
        <color rgb="FFF8696B"/>
        <color rgb="FFFFEB84"/>
        <color rgb="FF63BE7B"/>
      </colorScale>
    </cfRule>
    <cfRule type="colorScale" priority="360">
      <colorScale>
        <cfvo type="num" val="-0.1"/>
        <cfvo type="num" val="0"/>
        <cfvo type="num" val="0.1"/>
        <color rgb="FFF8696B"/>
        <color rgb="FFFFEB84"/>
        <color rgb="FF63BE7B"/>
      </colorScale>
    </cfRule>
  </conditionalFormatting>
  <conditionalFormatting sqref="Q250">
    <cfRule type="colorScale" priority="361">
      <colorScale>
        <cfvo type="num" val="-0.1"/>
        <cfvo type="num" val="0"/>
        <cfvo type="num" val="0.1"/>
        <color rgb="FFF8696B"/>
        <color rgb="FFFFEB84"/>
        <color rgb="FF63BE7B"/>
      </colorScale>
    </cfRule>
    <cfRule type="colorScale" priority="362">
      <colorScale>
        <cfvo type="num" val="-0.1"/>
        <cfvo type="num" val="0"/>
        <cfvo type="num" val="0.1"/>
        <color rgb="FFF8696B"/>
        <color rgb="FFFFEB84"/>
        <color rgb="FF63BE7B"/>
      </colorScale>
    </cfRule>
  </conditionalFormatting>
  <conditionalFormatting sqref="Q249">
    <cfRule type="colorScale" priority="363">
      <colorScale>
        <cfvo type="num" val="-0.1"/>
        <cfvo type="num" val="0"/>
        <cfvo type="num" val="0.1"/>
        <color rgb="FFF8696B"/>
        <color rgb="FFFFEB84"/>
        <color rgb="FF63BE7B"/>
      </colorScale>
    </cfRule>
    <cfRule type="colorScale" priority="364">
      <colorScale>
        <cfvo type="num" val="-0.1"/>
        <cfvo type="num" val="0"/>
        <cfvo type="num" val="0.1"/>
        <color rgb="FFF8696B"/>
        <color rgb="FFFFEB84"/>
        <color rgb="FF63BE7B"/>
      </colorScale>
    </cfRule>
  </conditionalFormatting>
  <conditionalFormatting sqref="Q256">
    <cfRule type="colorScale" priority="365">
      <colorScale>
        <cfvo type="num" val="-0.1"/>
        <cfvo type="num" val="0"/>
        <cfvo type="num" val="0.1"/>
        <color rgb="FFF8696B"/>
        <color rgb="FFFFEB84"/>
        <color rgb="FF63BE7B"/>
      </colorScale>
    </cfRule>
  </conditionalFormatting>
  <conditionalFormatting sqref="Q257">
    <cfRule type="colorScale" priority="366">
      <colorScale>
        <cfvo type="num" val="-0.1"/>
        <cfvo type="num" val="0"/>
        <cfvo type="num" val="0.1"/>
        <color rgb="FFF8696B"/>
        <color rgb="FFFFEB84"/>
        <color rgb="FF63BE7B"/>
      </colorScale>
    </cfRule>
  </conditionalFormatting>
  <conditionalFormatting sqref="Q257:Q258">
    <cfRule type="colorScale" priority="367">
      <colorScale>
        <cfvo type="num" val="-0.1"/>
        <cfvo type="num" val="0"/>
        <cfvo type="num" val="0.1"/>
        <color rgb="FFF8696B"/>
        <color rgb="FFFFEB84"/>
        <color rgb="FF63BE7B"/>
      </colorScale>
    </cfRule>
  </conditionalFormatting>
  <conditionalFormatting sqref="Q259:Q264">
    <cfRule type="colorScale" priority="368">
      <colorScale>
        <cfvo type="num" val="-0.1"/>
        <cfvo type="num" val="0"/>
        <cfvo type="num" val="0.1"/>
        <color rgb="FFF8696B"/>
        <color rgb="FFFFEB84"/>
        <color rgb="FF63BE7B"/>
      </colorScale>
    </cfRule>
    <cfRule type="colorScale" priority="369">
      <colorScale>
        <cfvo type="num" val="-0.1"/>
        <cfvo type="num" val="0"/>
        <cfvo type="num" val="0.1"/>
        <color rgb="FFF8696B"/>
        <color rgb="FFFFEB84"/>
        <color rgb="FF63BE7B"/>
      </colorScale>
    </cfRule>
  </conditionalFormatting>
  <conditionalFormatting sqref="Q260:Q264">
    <cfRule type="colorScale" priority="370">
      <colorScale>
        <cfvo type="num" val="-0.1"/>
        <cfvo type="num" val="0"/>
        <cfvo type="num" val="0.1"/>
        <color rgb="FFF8696B"/>
        <color rgb="FFFFEB84"/>
        <color rgb="FF63BE7B"/>
      </colorScale>
    </cfRule>
  </conditionalFormatting>
  <conditionalFormatting sqref="Q262:Q264">
    <cfRule type="colorScale" priority="371">
      <colorScale>
        <cfvo type="num" val="-0.1"/>
        <cfvo type="num" val="0"/>
        <cfvo type="num" val="0.1"/>
        <color rgb="FFF8696B"/>
        <color rgb="FFFFEB84"/>
        <color rgb="FF63BE7B"/>
      </colorScale>
    </cfRule>
  </conditionalFormatting>
  <conditionalFormatting sqref="Q263:Q264">
    <cfRule type="colorScale" priority="372">
      <colorScale>
        <cfvo type="num" val="-0.1"/>
        <cfvo type="num" val="0"/>
        <cfvo type="num" val="0.1"/>
        <color rgb="FFF8696B"/>
        <color rgb="FFFFEB84"/>
        <color rgb="FF63BE7B"/>
      </colorScale>
    </cfRule>
  </conditionalFormatting>
  <conditionalFormatting sqref="Q264">
    <cfRule type="colorScale" priority="373">
      <colorScale>
        <cfvo type="num" val="-0.1"/>
        <cfvo type="num" val="0"/>
        <cfvo type="num" val="0.1"/>
        <color rgb="FFF8696B"/>
        <color rgb="FFFFEB84"/>
        <color rgb="FF63BE7B"/>
      </colorScale>
    </cfRule>
  </conditionalFormatting>
  <conditionalFormatting sqref="Q261:Q264">
    <cfRule type="colorScale" priority="374">
      <colorScale>
        <cfvo type="num" val="-0.1"/>
        <cfvo type="num" val="0"/>
        <cfvo type="num" val="0.1"/>
        <color rgb="FFF8696B"/>
        <color rgb="FFFFEB84"/>
        <color rgb="FF63BE7B"/>
      </colorScale>
    </cfRule>
  </conditionalFormatting>
  <conditionalFormatting sqref="Q277">
    <cfRule type="colorScale" priority="375">
      <colorScale>
        <cfvo type="num" val="-0.1"/>
        <cfvo type="num" val="0"/>
        <cfvo type="num" val="0.1"/>
        <color rgb="FFF8696B"/>
        <color rgb="FFFFEB84"/>
        <color rgb="FF63BE7B"/>
      </colorScale>
    </cfRule>
  </conditionalFormatting>
  <conditionalFormatting sqref="Q267:Q276">
    <cfRule type="colorScale" priority="376">
      <colorScale>
        <cfvo type="num" val="-0.1"/>
        <cfvo type="num" val="0"/>
        <cfvo type="num" val="0.1"/>
        <color rgb="FFF8696B"/>
        <color rgb="FFFFEB84"/>
        <color rgb="FF63BE7B"/>
      </colorScale>
    </cfRule>
    <cfRule type="colorScale" priority="377">
      <colorScale>
        <cfvo type="num" val="-0.1"/>
        <cfvo type="num" val="0"/>
        <cfvo type="num" val="0.1"/>
        <color rgb="FFF8696B"/>
        <color rgb="FFFFEB84"/>
        <color rgb="FF63BE7B"/>
      </colorScale>
    </cfRule>
  </conditionalFormatting>
  <conditionalFormatting sqref="Q273">
    <cfRule type="colorScale" priority="378">
      <colorScale>
        <cfvo type="num" val="-0.1"/>
        <cfvo type="num" val="0"/>
        <cfvo type="num" val="0.1"/>
        <color rgb="FFF8696B"/>
        <color rgb="FFFFEB84"/>
        <color rgb="FF63BE7B"/>
      </colorScale>
    </cfRule>
  </conditionalFormatting>
  <conditionalFormatting sqref="Q265">
    <cfRule type="colorScale" priority="379">
      <colorScale>
        <cfvo type="num" val="-0.1"/>
        <cfvo type="num" val="0"/>
        <cfvo type="num" val="0.1"/>
        <color rgb="FFF8696B"/>
        <color rgb="FFFFEB84"/>
        <color rgb="FF63BE7B"/>
      </colorScale>
    </cfRule>
  </conditionalFormatting>
  <conditionalFormatting sqref="Q268:Q276">
    <cfRule type="colorScale" priority="380">
      <colorScale>
        <cfvo type="num" val="-0.1"/>
        <cfvo type="num" val="0"/>
        <cfvo type="num" val="0.1"/>
        <color rgb="FFF8696B"/>
        <color rgb="FFFFEB84"/>
        <color rgb="FF63BE7B"/>
      </colorScale>
    </cfRule>
  </conditionalFormatting>
  <conditionalFormatting sqref="Q270:Q276">
    <cfRule type="colorScale" priority="381">
      <colorScale>
        <cfvo type="num" val="-0.1"/>
        <cfvo type="num" val="0"/>
        <cfvo type="num" val="0.1"/>
        <color rgb="FFF8696B"/>
        <color rgb="FFFFEB84"/>
        <color rgb="FF63BE7B"/>
      </colorScale>
    </cfRule>
  </conditionalFormatting>
  <conditionalFormatting sqref="Q271:Q276">
    <cfRule type="colorScale" priority="382">
      <colorScale>
        <cfvo type="num" val="-0.1"/>
        <cfvo type="num" val="0"/>
        <cfvo type="num" val="0.1"/>
        <color rgb="FFF8696B"/>
        <color rgb="FFFFEB84"/>
        <color rgb="FF63BE7B"/>
      </colorScale>
    </cfRule>
  </conditionalFormatting>
  <conditionalFormatting sqref="Q279">
    <cfRule type="colorScale" priority="383">
      <colorScale>
        <cfvo type="num" val="-0.1"/>
        <cfvo type="num" val="0"/>
        <cfvo type="num" val="0.1"/>
        <color rgb="FFF8696B"/>
        <color rgb="FFFFEB84"/>
        <color rgb="FF63BE7B"/>
      </colorScale>
    </cfRule>
  </conditionalFormatting>
  <conditionalFormatting sqref="Q280">
    <cfRule type="colorScale" priority="384">
      <colorScale>
        <cfvo type="num" val="-0.1"/>
        <cfvo type="num" val="0"/>
        <cfvo type="num" val="0.1"/>
        <color rgb="FFF8696B"/>
        <color rgb="FFFFEB84"/>
        <color rgb="FF63BE7B"/>
      </colorScale>
    </cfRule>
  </conditionalFormatting>
  <conditionalFormatting sqref="Q283">
    <cfRule type="colorScale" priority="385">
      <colorScale>
        <cfvo type="num" val="-0.1"/>
        <cfvo type="num" val="0"/>
        <cfvo type="num" val="0.1"/>
        <color rgb="FFF8696B"/>
        <color rgb="FFFFEB84"/>
        <color rgb="FF63BE7B"/>
      </colorScale>
    </cfRule>
  </conditionalFormatting>
  <conditionalFormatting sqref="Q282">
    <cfRule type="colorScale" priority="386">
      <colorScale>
        <cfvo type="num" val="-0.1"/>
        <cfvo type="num" val="0"/>
        <cfvo type="num" val="0.1"/>
        <color rgb="FFF8696B"/>
        <color rgb="FFFFEB84"/>
        <color rgb="FF63BE7B"/>
      </colorScale>
    </cfRule>
  </conditionalFormatting>
  <conditionalFormatting sqref="Q284">
    <cfRule type="colorScale" priority="387">
      <colorScale>
        <cfvo type="num" val="-0.1"/>
        <cfvo type="num" val="0"/>
        <cfvo type="num" val="0.1"/>
        <color rgb="FFF8696B"/>
        <color rgb="FFFFEB84"/>
        <color rgb="FF63BE7B"/>
      </colorScale>
    </cfRule>
  </conditionalFormatting>
  <conditionalFormatting sqref="Q289">
    <cfRule type="colorScale" priority="388">
      <colorScale>
        <cfvo type="num" val="-0.1"/>
        <cfvo type="num" val="0"/>
        <cfvo type="num" val="0.1"/>
        <color rgb="FFF8696B"/>
        <color rgb="FFFFEB84"/>
        <color rgb="FF63BE7B"/>
      </colorScale>
    </cfRule>
  </conditionalFormatting>
  <conditionalFormatting sqref="Q288">
    <cfRule type="colorScale" priority="389">
      <colorScale>
        <cfvo type="num" val="-0.1"/>
        <cfvo type="num" val="0"/>
        <cfvo type="num" val="0.1"/>
        <color rgb="FFF8696B"/>
        <color rgb="FFFFEB84"/>
        <color rgb="FF63BE7B"/>
      </colorScale>
    </cfRule>
  </conditionalFormatting>
  <conditionalFormatting sqref="Q285:Q287 Q290">
    <cfRule type="colorScale" priority="390">
      <colorScale>
        <cfvo type="num" val="-0.1"/>
        <cfvo type="num" val="0"/>
        <cfvo type="num" val="0.1"/>
        <color rgb="FFF8696B"/>
        <color rgb="FFFFEB84"/>
        <color rgb="FF63BE7B"/>
      </colorScale>
    </cfRule>
  </conditionalFormatting>
  <conditionalFormatting sqref="Q272">
    <cfRule type="colorScale" priority="391">
      <colorScale>
        <cfvo type="num" val="-0.1"/>
        <cfvo type="num" val="0"/>
        <cfvo type="num" val="0.1"/>
        <color rgb="FFF8696B"/>
        <color rgb="FFFFEB84"/>
        <color rgb="FF63BE7B"/>
      </colorScale>
    </cfRule>
  </conditionalFormatting>
  <conditionalFormatting sqref="Q276">
    <cfRule type="colorScale" priority="392">
      <colorScale>
        <cfvo type="num" val="-0.1"/>
        <cfvo type="num" val="0"/>
        <cfvo type="num" val="0.1"/>
        <color rgb="FFF8696B"/>
        <color rgb="FFFFEB84"/>
        <color rgb="FF63BE7B"/>
      </colorScale>
    </cfRule>
  </conditionalFormatting>
  <conditionalFormatting sqref="Q1:Q3 Q5 Q247 Q253:Q256 Q265:Q266 Q269:Q276 Q278:Q281 Q291:Q294">
    <cfRule type="colorScale" priority="393">
      <colorScale>
        <cfvo type="num" val="-0.1"/>
        <cfvo type="num" val="0"/>
        <cfvo type="num" val="0.1"/>
        <color rgb="FFF8696B"/>
        <color rgb="FFFFEB84"/>
        <color rgb="FF63BE7B"/>
      </colorScale>
    </cfRule>
  </conditionalFormatting>
  <hyperlinks>
    <hyperlink ref="T6" r:id="rId2" display="Investor Presentation"/>
    <hyperlink ref="T7" r:id="rId3" display="Investor Presentation"/>
    <hyperlink ref="T8" r:id="rId4" display="Investor Presentation"/>
    <hyperlink ref="T10" r:id="rId5" display="Investor Presentation"/>
    <hyperlink ref="T11" r:id="rId6" display="Investor Presentation"/>
    <hyperlink ref="T12" r:id="rId7" display="Investor Presentation"/>
    <hyperlink ref="T13" r:id="rId8" display="Investor Presentation"/>
    <hyperlink ref="T14" r:id="rId9" display="Investor Presentation"/>
    <hyperlink ref="T16" r:id="rId10" display="Investor Presentation"/>
    <hyperlink ref="T17" r:id="rId11" display="Investor Presentation"/>
    <hyperlink ref="T18" r:id="rId12" display="Investor Presentation"/>
    <hyperlink ref="T20" r:id="rId13" display="Investor Presentation"/>
    <hyperlink ref="T21" r:id="rId14" display="Investor Presentation"/>
    <hyperlink ref="T22" r:id="rId15" display="Investor Presentation"/>
    <hyperlink ref="T23" r:id="rId16" display="Investor Presentation"/>
    <hyperlink ref="T24" r:id="rId17" display="Investor Presentation"/>
    <hyperlink ref="T26" r:id="rId18" display="Investor Presentation"/>
    <hyperlink ref="T27" r:id="rId19" display="Investor Presentation"/>
    <hyperlink ref="T28" r:id="rId20" display="Investor Presentation"/>
    <hyperlink ref="T30" r:id="rId21" display="Investor Presentation"/>
    <hyperlink ref="T31" r:id="rId22" display="Investor Presentation"/>
    <hyperlink ref="T32" r:id="rId23" display="Investor Presentation"/>
    <hyperlink ref="T33" r:id="rId24" display="Investor Presentation"/>
    <hyperlink ref="T34" r:id="rId25" display="Investor Presentation"/>
    <hyperlink ref="T36" r:id="rId26" display="Investor Presentation"/>
    <hyperlink ref="T37" r:id="rId27" display="Investor Presentation"/>
    <hyperlink ref="T38" r:id="rId28" display="Investor Presentation"/>
    <hyperlink ref="T40" r:id="rId29" display="Investor Presentation"/>
    <hyperlink ref="T41" r:id="rId30" display="Investor Presentation"/>
    <hyperlink ref="T42" r:id="rId31" display="Investor Presentation"/>
    <hyperlink ref="T43" r:id="rId32" display="Investor Presentation"/>
    <hyperlink ref="T44" r:id="rId33" display="Investor Presentation"/>
    <hyperlink ref="T46" r:id="rId34" display="Investor Presentation"/>
    <hyperlink ref="T47" r:id="rId35" display="Investor Presentation"/>
    <hyperlink ref="T48" r:id="rId36" display="Investor Presentation"/>
    <hyperlink ref="T50" r:id="rId37" display="Investor Presentation"/>
    <hyperlink ref="T51" r:id="rId38" display="Investor Presentation"/>
    <hyperlink ref="T52" r:id="rId39" display="Investor Presentation"/>
    <hyperlink ref="T53" r:id="rId40" display="Investor Presentation"/>
    <hyperlink ref="T54" r:id="rId41" display="Investor Presentation"/>
    <hyperlink ref="T56" r:id="rId42" display="Investor Presentation"/>
    <hyperlink ref="T57" r:id="rId43" display="Investor Presentation"/>
    <hyperlink ref="T58" r:id="rId44" display="Investor Presentation"/>
    <hyperlink ref="T60" r:id="rId45" display="Investor Presentation"/>
    <hyperlink ref="T61" r:id="rId46" display="Investor Presentation"/>
    <hyperlink ref="T62" r:id="rId47" display="Investor Presentation"/>
    <hyperlink ref="T63" r:id="rId48" display="Investor Presentation"/>
    <hyperlink ref="T64" r:id="rId49" display="Investor Presentation"/>
    <hyperlink ref="T66" r:id="rId50" display="Investor Presentation"/>
    <hyperlink ref="T67" r:id="rId51" display="Investor Presentation"/>
    <hyperlink ref="T69" r:id="rId52" display="Investor Presentation"/>
    <hyperlink ref="T70" r:id="rId53" display="Investor Presentation"/>
    <hyperlink ref="T71" r:id="rId54" display="Investor Presentation"/>
    <hyperlink ref="T72" r:id="rId55" display="Investor Presentation"/>
    <hyperlink ref="T73" r:id="rId56" display="Investor Presentation"/>
    <hyperlink ref="T75" r:id="rId57" display="Investor Presentation"/>
    <hyperlink ref="T76" r:id="rId58" display="Investor Presentation"/>
    <hyperlink ref="T78" r:id="rId59" display="Investor Presentation"/>
    <hyperlink ref="T79" r:id="rId60" display="Investor Presentation"/>
    <hyperlink ref="T80" r:id="rId61" display="Investor Presentation"/>
    <hyperlink ref="T81" r:id="rId62" display="Investor Presentation"/>
    <hyperlink ref="T82" r:id="rId63" display="Investor Presentation"/>
    <hyperlink ref="T84" r:id="rId64" display="Investor Presentation"/>
    <hyperlink ref="T85" r:id="rId65" display="Investor Presentation"/>
    <hyperlink ref="T87" r:id="rId66" display="Investor Presentation"/>
    <hyperlink ref="T88" r:id="rId67" display="Investor Presentation"/>
    <hyperlink ref="T89" r:id="rId68" display="Investor Presentation"/>
    <hyperlink ref="T90" r:id="rId69" display="Investor Presentation"/>
    <hyperlink ref="T91" r:id="rId70" display="Investor Presentation"/>
    <hyperlink ref="T93" r:id="rId71" display="Investor Presentation"/>
    <hyperlink ref="T94" r:id="rId72" display="Investor Presentation"/>
    <hyperlink ref="T96" r:id="rId73" display="Investor Presentation"/>
    <hyperlink ref="T97" r:id="rId74" display="Investor Presentation"/>
    <hyperlink ref="T98" r:id="rId75" display="Investor Presentation"/>
    <hyperlink ref="T99" r:id="rId76" display="Investor Presentation"/>
    <hyperlink ref="T100" r:id="rId77" display="Investor Presentation"/>
    <hyperlink ref="T102" r:id="rId78" display="Investor Presentation"/>
    <hyperlink ref="T103" r:id="rId79" display="Investor Presentation"/>
    <hyperlink ref="T105" r:id="rId80" display="Investor Presentation"/>
    <hyperlink ref="T106" r:id="rId81" display="Investor Presentation"/>
    <hyperlink ref="T107" r:id="rId82" display="Investor Presentation"/>
    <hyperlink ref="T108" r:id="rId83" display="Investor Presentation"/>
    <hyperlink ref="T109" r:id="rId84" display="Investor Presentation"/>
    <hyperlink ref="T111" r:id="rId85" display="Investor Presentation"/>
    <hyperlink ref="T112" r:id="rId86" display="Investor Presentation"/>
    <hyperlink ref="T114" r:id="rId87" display="Investor Presentation"/>
    <hyperlink ref="T115" r:id="rId88" display="Investor Presentation"/>
    <hyperlink ref="T116" r:id="rId89" display="Investor Presentation"/>
    <hyperlink ref="T117" r:id="rId90" display="Investor Presentation"/>
    <hyperlink ref="T118" r:id="rId91" display="Investor Presentation"/>
    <hyperlink ref="T120" r:id="rId92" display="Investor Presentation"/>
    <hyperlink ref="T121" r:id="rId93" display="Investor Presentation"/>
    <hyperlink ref="T123" r:id="rId94" display="Investor Presentation"/>
    <hyperlink ref="T124" r:id="rId95" display="Investor Presentation"/>
    <hyperlink ref="T125" r:id="rId96" display="Investor Presentation"/>
    <hyperlink ref="T126" r:id="rId97" display="Investor Presentation"/>
    <hyperlink ref="T127" r:id="rId98" display="Investor Presentation"/>
    <hyperlink ref="T129" r:id="rId99" display="Investor Presentation"/>
    <hyperlink ref="T130" r:id="rId100" display="Investor Presentation"/>
    <hyperlink ref="T131" r:id="rId101" display="Investor Presentation"/>
    <hyperlink ref="T133" r:id="rId102" display="Investor Presentation"/>
    <hyperlink ref="T134" r:id="rId103" display="Investor Presentation"/>
    <hyperlink ref="T135" r:id="rId104" display="Investor Presentation"/>
    <hyperlink ref="T136" r:id="rId105" display="Investor Presentation"/>
    <hyperlink ref="T137" r:id="rId106" display="Investor Presentation"/>
    <hyperlink ref="T139" r:id="rId107" display="Investor Presentation"/>
    <hyperlink ref="T140" r:id="rId108" display="Investor Presentation"/>
    <hyperlink ref="T141" r:id="rId109" display="Investor Presentation"/>
    <hyperlink ref="T143" r:id="rId110" display="Investor Presentation"/>
    <hyperlink ref="T144" r:id="rId111" display="Investor Presentation"/>
    <hyperlink ref="T145" r:id="rId112" display="Investor Presentation"/>
    <hyperlink ref="T146" r:id="rId113" display="Investor Presentation"/>
    <hyperlink ref="T147" r:id="rId114" display="Investor Presentation"/>
    <hyperlink ref="T149" r:id="rId115" display="Investor Presentation"/>
    <hyperlink ref="T150" r:id="rId116" display="Investor Presentation"/>
    <hyperlink ref="T152" r:id="rId117" display="Investor Presentation"/>
    <hyperlink ref="T153" r:id="rId118" display="Investor Presentation"/>
    <hyperlink ref="T154" r:id="rId119" display="Investor Presentation"/>
    <hyperlink ref="T155" r:id="rId120" display="Investor Presentation"/>
    <hyperlink ref="T156" r:id="rId121" display="Investor Presentation"/>
    <hyperlink ref="T158" r:id="rId122" display="Investor Presentation"/>
    <hyperlink ref="T159" r:id="rId123" display="Investor Presentation"/>
    <hyperlink ref="T161" r:id="rId124" display="Investor Presentation"/>
    <hyperlink ref="T162" r:id="rId125" display="Investor Presentation"/>
    <hyperlink ref="T163" r:id="rId126" display="Investor Presentation"/>
    <hyperlink ref="T164" r:id="rId127" display="Investor Presentation"/>
    <hyperlink ref="T165" r:id="rId128" display="Investor Presentation"/>
    <hyperlink ref="T167" r:id="rId129" display="Investor Presentation"/>
    <hyperlink ref="T168" r:id="rId130" display="Investor Presentation"/>
    <hyperlink ref="T170" r:id="rId131" display="Investor Presentation"/>
    <hyperlink ref="T171" r:id="rId132" display="Investor Presentation"/>
    <hyperlink ref="T172" r:id="rId133" display="Investor Presentation"/>
    <hyperlink ref="T173" r:id="rId134" display="Investor Presentation"/>
    <hyperlink ref="T174" r:id="rId135" display="Investor Presentation"/>
    <hyperlink ref="T176" r:id="rId136" display="Investor Presentation"/>
    <hyperlink ref="T177" r:id="rId137" display="Investor Presentation"/>
    <hyperlink ref="T178" r:id="rId138" display="Investor Presentation"/>
    <hyperlink ref="T180" r:id="rId139" display="Investor Presentation"/>
    <hyperlink ref="T181" r:id="rId140" display="Investor Presentation"/>
    <hyperlink ref="T182" r:id="rId141" display="Investor Presentation"/>
    <hyperlink ref="T183" r:id="rId142" display="Investor Presentation"/>
    <hyperlink ref="T184" r:id="rId143" display="Investor Presentation"/>
    <hyperlink ref="T186" r:id="rId144" display="Investor Presentation"/>
    <hyperlink ref="T187" r:id="rId145" display="Investor Presentation"/>
    <hyperlink ref="T188" r:id="rId146" display="Investor Presentation"/>
    <hyperlink ref="T190" r:id="rId147" display="Investor Presentation"/>
    <hyperlink ref="T191" r:id="rId148" display="Investor Presentation"/>
    <hyperlink ref="T192" r:id="rId149" display="Investor Presentation"/>
    <hyperlink ref="T193" r:id="rId150" display="Investor Presentation"/>
    <hyperlink ref="T194" r:id="rId151" display="Investor Presentation"/>
    <hyperlink ref="T196" r:id="rId152" display="Investor Presentation"/>
    <hyperlink ref="T198" r:id="rId153" display="Investor Presentation"/>
    <hyperlink ref="T199" r:id="rId154" display="Investor Presentation"/>
    <hyperlink ref="T200" r:id="rId155" display="Investor Presentation"/>
    <hyperlink ref="T201" r:id="rId156" display="Investor Presentation"/>
    <hyperlink ref="T202" r:id="rId157" display="Investor Presentation"/>
    <hyperlink ref="T204" r:id="rId158" display="Investor Presentation"/>
    <hyperlink ref="T206" r:id="rId159" display="Investor Presentation"/>
    <hyperlink ref="T207" r:id="rId160" display="Investor Presentation"/>
    <hyperlink ref="T208" r:id="rId161" display="Investor Presentation"/>
    <hyperlink ref="T209" r:id="rId162" display="Investor Presentation"/>
    <hyperlink ref="T210" r:id="rId163" display="Investor Presentation"/>
    <hyperlink ref="T211" r:id="rId164" display="Investor Presentation"/>
    <hyperlink ref="T213" r:id="rId165" display="Investor Presentation"/>
    <hyperlink ref="T214" r:id="rId166" display="Investor Presentation"/>
    <hyperlink ref="T215" r:id="rId167" display="Investor Presentation"/>
    <hyperlink ref="T216" r:id="rId168" display="Investor Presentation"/>
    <hyperlink ref="T217" r:id="rId169" display="Investor Presentation"/>
    <hyperlink ref="T219" r:id="rId170" display="Investor Presentation"/>
    <hyperlink ref="T221" r:id="rId171" display="Press Release"/>
    <hyperlink ref="T222" r:id="rId172" display="Press Release"/>
    <hyperlink ref="T224" r:id="rId173" display="Conference Call"/>
    <hyperlink ref="T226" r:id="rId174" display="Conference Call"/>
    <hyperlink ref="T227" r:id="rId175" display="Conference Call"/>
    <hyperlink ref="T228" r:id="rId176" display="Conference Call"/>
    <hyperlink ref="T229" r:id="rId177" display="Investor Presentation"/>
    <hyperlink ref="T231" r:id="rId178" display="Investor Presentation"/>
    <hyperlink ref="T232" r:id="rId179" display="Investor Presentation"/>
    <hyperlink ref="T233" r:id="rId180" display="Investor Presentation"/>
    <hyperlink ref="T234" r:id="rId181" display="Investor Presentation"/>
    <hyperlink ref="T235" r:id="rId182" display="Investor Presentation"/>
    <hyperlink ref="T237" r:id="rId183" display="Investor Presentation"/>
    <hyperlink ref="T239" r:id="rId184" display="Investor Presentation"/>
    <hyperlink ref="T240" r:id="rId185" display="Investor Presentation"/>
    <hyperlink ref="T241" r:id="rId186" display="Investor Presentation"/>
    <hyperlink ref="T242" r:id="rId187" display="Investor Presentation"/>
    <hyperlink ref="T243" r:id="rId188" display="Investor Presentation"/>
    <hyperlink ref="T244" r:id="rId189" display="Investor Presentation"/>
    <hyperlink ref="T245" r:id="rId190" display="Investor Presentation"/>
    <hyperlink ref="T247" r:id="rId191" display="Investor Presentation"/>
    <hyperlink ref="T248" r:id="rId192" display="https://www.asml.com/-/media/asml/files/investors/financial-results/q-results/2019/q2/2019-07-17-q2-presentation.pdf"/>
    <hyperlink ref="T249" r:id="rId193" display="Investor Presentation"/>
    <hyperlink ref="T250" r:id="rId194" display="Investor Presentation"/>
    <hyperlink ref="T251" r:id="rId195" display="Investor Presentation"/>
    <hyperlink ref="T252" r:id="rId196" display="Investor Presentation"/>
    <hyperlink ref="T253" r:id="rId197" display="Investor Presentation"/>
    <hyperlink ref="T254" r:id="rId198" display="Investor Presentation"/>
    <hyperlink ref="T255" r:id="rId199" display="Investor Presentation"/>
    <hyperlink ref="T257" r:id="rId200" display="Transcript"/>
    <hyperlink ref="T259" r:id="rId201" display="Press Release"/>
    <hyperlink ref="T260" r:id="rId202" display="Press Release"/>
    <hyperlink ref="T261" r:id="rId203" display="Press Release"/>
    <hyperlink ref="T262" r:id="rId204" display="Press Release"/>
    <hyperlink ref="T263" r:id="rId205" display="Press Release"/>
    <hyperlink ref="T265" r:id="rId206" display="Press Release"/>
    <hyperlink ref="T267" r:id="rId207" display="Press Release"/>
    <hyperlink ref="T268" r:id="rId208" display="Press Release"/>
    <hyperlink ref="T269" r:id="rId209" display="Press Release"/>
    <hyperlink ref="T270" r:id="rId210" display="Press Release"/>
    <hyperlink ref="T271" r:id="rId211" display="Press Release"/>
    <hyperlink ref="T273" r:id="rId212" display="Press Release"/>
    <hyperlink ref="T275" r:id="rId213" display="Press Release"/>
    <hyperlink ref="T277" r:id="rId214" display="Press Release"/>
    <hyperlink ref="T278" r:id="rId215" display="Press Release"/>
    <hyperlink ref="T279" r:id="rId216" display="Press Release"/>
    <hyperlink ref="T280" r:id="rId217" display="Press Release"/>
    <hyperlink ref="T281" r:id="rId218" display="Press Release"/>
    <hyperlink ref="T283" r:id="rId219" display="Press Release"/>
    <hyperlink ref="T284" r:id="rId220" display="Press Release"/>
    <hyperlink ref="T285" r:id="rId221" display="Press Release"/>
    <hyperlink ref="T286" r:id="rId222" display="Press Release"/>
    <hyperlink ref="T287" r:id="rId223" display="Press Release"/>
    <hyperlink ref="T289" r:id="rId224" display="Press Release"/>
    <hyperlink ref="T290" r:id="rId225" display="Press Release"/>
    <hyperlink ref="T291" r:id="rId226" display="Press Release"/>
    <hyperlink ref="T292" r:id="rId227" display="Press Release"/>
    <hyperlink ref="T293" r:id="rId228" display="Press Releas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29"/>
  <legacyDrawing r:id="rId23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C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9.2890625" defaultRowHeight="15" customHeight="true" zeroHeight="false" outlineLevelRow="1" outlineLevelCol="1"/>
  <cols>
    <col collapsed="false" customWidth="true" hidden="false" outlineLevel="0" max="1" min="1" style="0" width="41.29"/>
    <col collapsed="false" customWidth="true" hidden="false" outlineLevel="0" max="2" min="2" style="0" width="9.71"/>
    <col collapsed="false" customWidth="true" hidden="false" outlineLevel="0" max="7" min="3" style="0" width="10.57"/>
    <col collapsed="false" customWidth="true" hidden="true" outlineLevel="1" max="11" min="8" style="0" width="10.57"/>
    <col collapsed="false" customWidth="true" hidden="false" outlineLevel="0" max="12" min="12" style="0" width="10.57"/>
    <col collapsed="false" customWidth="true" hidden="true" outlineLevel="1" max="16" min="13" style="0" width="10.57"/>
    <col collapsed="false" customWidth="true" hidden="false" outlineLevel="0" max="17" min="17" style="0" width="10.57"/>
    <col collapsed="false" customWidth="true" hidden="true" outlineLevel="1" max="21" min="18" style="0" width="10.57"/>
    <col collapsed="false" customWidth="true" hidden="false" outlineLevel="0" max="22" min="22" style="0" width="10.57"/>
    <col collapsed="false" customWidth="true" hidden="true" outlineLevel="1" max="26" min="23" style="0" width="10.57"/>
    <col collapsed="false" customWidth="true" hidden="false" outlineLevel="0" max="27" min="27" style="0" width="10.57"/>
    <col collapsed="false" customWidth="true" hidden="true" outlineLevel="1" max="31" min="28" style="0" width="10.57"/>
    <col collapsed="false" customWidth="true" hidden="false" outlineLevel="0" max="32" min="32" style="0" width="10.57"/>
    <col collapsed="false" customWidth="true" hidden="true" outlineLevel="1" max="36" min="33" style="0" width="10.57"/>
    <col collapsed="false" customWidth="true" hidden="false" outlineLevel="0" max="37" min="37" style="0" width="10.57"/>
    <col collapsed="false" customWidth="true" hidden="true" outlineLevel="1" max="41" min="38" style="0" width="10.57"/>
    <col collapsed="false" customWidth="true" hidden="false" outlineLevel="0" max="42" min="42" style="0" width="10.57"/>
    <col collapsed="false" customWidth="true" hidden="true" outlineLevel="1" max="46" min="43" style="0" width="10.57"/>
    <col collapsed="false" customWidth="true" hidden="false" outlineLevel="0" max="47" min="47" style="0" width="10.57"/>
    <col collapsed="false" customWidth="true" hidden="true" outlineLevel="1" max="51" min="48" style="0" width="10.57"/>
    <col collapsed="false" customWidth="true" hidden="false" outlineLevel="0" max="52" min="52" style="0" width="10.57"/>
    <col collapsed="false" customWidth="true" hidden="true" outlineLevel="1" max="56" min="53" style="0" width="10.57"/>
    <col collapsed="false" customWidth="true" hidden="false" outlineLevel="0" max="57" min="57" style="0" width="10.57"/>
    <col collapsed="false" customWidth="true" hidden="true" outlineLevel="1" max="61" min="58" style="0" width="10.57"/>
    <col collapsed="false" customWidth="true" hidden="false" outlineLevel="0" max="62" min="62" style="0" width="10.57"/>
    <col collapsed="false" customWidth="true" hidden="true" outlineLevel="1" max="66" min="63" style="0" width="10.57"/>
    <col collapsed="false" customWidth="true" hidden="false" outlineLevel="0" max="67" min="67" style="0" width="10.57"/>
    <col collapsed="false" customWidth="true" hidden="false" outlineLevel="1" max="71" min="68" style="0" width="10.57"/>
    <col collapsed="false" customWidth="true" hidden="false" outlineLevel="0" max="72" min="72" style="0" width="10.57"/>
    <col collapsed="false" customWidth="true" hidden="true" outlineLevel="1" max="76" min="73" style="0" width="10.57"/>
    <col collapsed="false" customWidth="true" hidden="false" outlineLevel="0" max="80" min="77" style="0" width="10.57"/>
    <col collapsed="false" customWidth="true" hidden="false" outlineLevel="0" max="81" min="81" style="0" width="8.71"/>
  </cols>
  <sheetData>
    <row r="1" customFormat="false" ht="28.5" hidden="false" customHeight="true" outlineLevel="0" collapsed="false">
      <c r="A1" s="680" t="str">
        <f aca="false">MO.CompanyName</f>
        <v>ASML Holdings N.V.</v>
      </c>
      <c r="B1" s="48"/>
      <c r="C1" s="707" t="n">
        <f aca="false">INDEX(MO_Common_QEndDate,0,COLUMN())</f>
        <v>40178</v>
      </c>
      <c r="D1" s="707" t="n">
        <f aca="false">INDEX(MO_Common_QEndDate,0,COLUMN())</f>
        <v>40543</v>
      </c>
      <c r="E1" s="707" t="n">
        <f aca="false">INDEX(MO_Common_QEndDate,0,COLUMN())</f>
        <v>40908</v>
      </c>
      <c r="F1" s="707" t="n">
        <f aca="false">INDEX(MO_Common_QEndDate,0,COLUMN())</f>
        <v>41274</v>
      </c>
      <c r="G1" s="707" t="n">
        <f aca="false">INDEX(MO_Common_QEndDate,0,COLUMN())</f>
        <v>41639</v>
      </c>
      <c r="H1" s="708" t="n">
        <f aca="false">INDEX(MO_Common_QEndDate,0,COLUMN())</f>
        <v>41728</v>
      </c>
      <c r="I1" s="708" t="n">
        <f aca="false">INDEX(MO_Common_QEndDate,0,COLUMN())</f>
        <v>41819</v>
      </c>
      <c r="J1" s="708" t="n">
        <f aca="false">INDEX(MO_Common_QEndDate,0,COLUMN())</f>
        <v>41910</v>
      </c>
      <c r="K1" s="708" t="n">
        <f aca="false">INDEX(MO_Common_QEndDate,0,COLUMN())</f>
        <v>42004</v>
      </c>
      <c r="L1" s="707" t="n">
        <f aca="false">INDEX(MO_Common_QEndDate,0,COLUMN())</f>
        <v>42004</v>
      </c>
      <c r="M1" s="708" t="n">
        <f aca="false">INDEX(MO_Common_QEndDate,0,COLUMN())</f>
        <v>42092</v>
      </c>
      <c r="N1" s="708" t="n">
        <f aca="false">INDEX(MO_Common_QEndDate,0,COLUMN())</f>
        <v>42183</v>
      </c>
      <c r="O1" s="708" t="n">
        <f aca="false">INDEX(MO_Common_QEndDate,0,COLUMN())</f>
        <v>42274</v>
      </c>
      <c r="P1" s="708" t="n">
        <f aca="false">INDEX(MO_Common_QEndDate,0,COLUMN())</f>
        <v>42369</v>
      </c>
      <c r="Q1" s="707" t="n">
        <f aca="false">INDEX(MO_Common_QEndDate,0,COLUMN())</f>
        <v>42369</v>
      </c>
      <c r="R1" s="708" t="n">
        <f aca="false">INDEX(MO_Common_QEndDate,0,COLUMN())</f>
        <v>42463</v>
      </c>
      <c r="S1" s="708" t="n">
        <f aca="false">INDEX(MO_Common_QEndDate,0,COLUMN())</f>
        <v>42554</v>
      </c>
      <c r="T1" s="708" t="n">
        <f aca="false">INDEX(MO_Common_QEndDate,0,COLUMN())</f>
        <v>42645</v>
      </c>
      <c r="U1" s="708" t="n">
        <f aca="false">INDEX(MO_Common_QEndDate,0,COLUMN())</f>
        <v>42735</v>
      </c>
      <c r="V1" s="707" t="n">
        <f aca="false">INDEX(MO_Common_QEndDate,0,COLUMN())</f>
        <v>42735</v>
      </c>
      <c r="W1" s="708" t="n">
        <f aca="false">INDEX(MO_Common_QEndDate,0,COLUMN())</f>
        <v>42827</v>
      </c>
      <c r="X1" s="708" t="n">
        <f aca="false">INDEX(MO_Common_QEndDate,0,COLUMN())</f>
        <v>42918</v>
      </c>
      <c r="Y1" s="708" t="n">
        <f aca="false">INDEX(MO_Common_QEndDate,0,COLUMN())</f>
        <v>43009</v>
      </c>
      <c r="Z1" s="708" t="n">
        <f aca="false">INDEX(MO_Common_QEndDate,0,COLUMN())</f>
        <v>43100</v>
      </c>
      <c r="AA1" s="707" t="n">
        <f aca="false">INDEX(MO_Common_QEndDate,0,COLUMN())</f>
        <v>43100</v>
      </c>
      <c r="AB1" s="708" t="n">
        <f aca="false">INDEX(MO_Common_QEndDate,0,COLUMN())</f>
        <v>43191</v>
      </c>
      <c r="AC1" s="708" t="n">
        <f aca="false">INDEX(MO_Common_QEndDate,0,COLUMN())</f>
        <v>43282</v>
      </c>
      <c r="AD1" s="708" t="n">
        <f aca="false">INDEX(MO_Common_QEndDate,0,COLUMN())</f>
        <v>43373</v>
      </c>
      <c r="AE1" s="708" t="n">
        <f aca="false">INDEX(MO_Common_QEndDate,0,COLUMN())</f>
        <v>43465</v>
      </c>
      <c r="AF1" s="707" t="n">
        <f aca="false">INDEX(MO_Common_QEndDate,0,COLUMN())</f>
        <v>43465</v>
      </c>
      <c r="AG1" s="708" t="n">
        <f aca="false">INDEX(MO_Common_QEndDate,0,COLUMN())</f>
        <v>43555</v>
      </c>
      <c r="AH1" s="708" t="n">
        <f aca="false">INDEX(MO_Common_QEndDate,0,COLUMN())</f>
        <v>43646</v>
      </c>
      <c r="AI1" s="708" t="n">
        <f aca="false">INDEX(MO_Common_QEndDate,0,COLUMN())</f>
        <v>43737</v>
      </c>
      <c r="AJ1" s="708" t="n">
        <f aca="false">INDEX(MO_Common_QEndDate,0,COLUMN())</f>
        <v>43830</v>
      </c>
      <c r="AK1" s="707" t="n">
        <f aca="false">INDEX(MO_Common_QEndDate,0,COLUMN())</f>
        <v>43830</v>
      </c>
      <c r="AL1" s="708" t="n">
        <f aca="false">INDEX(MO_Common_QEndDate,0,COLUMN())</f>
        <v>43919</v>
      </c>
      <c r="AM1" s="708" t="n">
        <f aca="false">INDEX(MO_Common_QEndDate,0,COLUMN())</f>
        <v>44010</v>
      </c>
      <c r="AN1" s="708" t="n">
        <f aca="false">INDEX(MO_Common_QEndDate,0,COLUMN())</f>
        <v>44101</v>
      </c>
      <c r="AO1" s="708" t="n">
        <f aca="false">INDEX(MO_Common_QEndDate,0,COLUMN())</f>
        <v>44196</v>
      </c>
      <c r="AP1" s="707" t="n">
        <f aca="false">INDEX(MO_Common_QEndDate,0,COLUMN())</f>
        <v>44196</v>
      </c>
      <c r="AQ1" s="708" t="n">
        <f aca="false">INDEX(MO_Common_QEndDate,0,COLUMN())</f>
        <v>44290</v>
      </c>
      <c r="AR1" s="708" t="n">
        <f aca="false">INDEX(MO_Common_QEndDate,0,COLUMN())</f>
        <v>44381</v>
      </c>
      <c r="AS1" s="708" t="n">
        <f aca="false">INDEX(MO_Common_QEndDate,0,COLUMN())</f>
        <v>44472</v>
      </c>
      <c r="AT1" s="708" t="n">
        <f aca="false">INDEX(MO_Common_QEndDate,0,COLUMN())</f>
        <v>44561</v>
      </c>
      <c r="AU1" s="707" t="n">
        <f aca="false">INDEX(MO_Common_QEndDate,0,COLUMN())</f>
        <v>44561</v>
      </c>
      <c r="AV1" s="708" t="n">
        <f aca="false">INDEX(MO_Common_QEndDate,0,COLUMN())</f>
        <v>44654</v>
      </c>
      <c r="AW1" s="708" t="n">
        <f aca="false">INDEX(MO_Common_QEndDate,0,COLUMN())</f>
        <v>44745</v>
      </c>
      <c r="AX1" s="708" t="n">
        <f aca="false">INDEX(MO_Common_QEndDate,0,COLUMN())</f>
        <v>44836</v>
      </c>
      <c r="AY1" s="708" t="n">
        <f aca="false">INDEX(MO_Common_QEndDate,0,COLUMN())</f>
        <v>44926</v>
      </c>
      <c r="AZ1" s="707" t="n">
        <f aca="false">INDEX(MO_Common_QEndDate,0,COLUMN())</f>
        <v>44926</v>
      </c>
      <c r="BA1" s="708" t="n">
        <f aca="false">INDEX(MO_Common_QEndDate,0,COLUMN())</f>
        <v>45018</v>
      </c>
      <c r="BB1" s="708" t="n">
        <f aca="false">INDEX(MO_Common_QEndDate,0,COLUMN())</f>
        <v>45109</v>
      </c>
      <c r="BC1" s="708" t="n">
        <f aca="false">INDEX(MO_Common_QEndDate,0,COLUMN())</f>
        <v>45200</v>
      </c>
      <c r="BD1" s="708" t="n">
        <f aca="false">INDEX(MO_Common_QEndDate,0,COLUMN())</f>
        <v>45291</v>
      </c>
      <c r="BE1" s="707" t="n">
        <f aca="false">INDEX(MO_Common_QEndDate,0,COLUMN())</f>
        <v>45291</v>
      </c>
      <c r="BF1" s="708" t="n">
        <f aca="false">INDEX(MO_Common_QEndDate,0,COLUMN())</f>
        <v>45382</v>
      </c>
      <c r="BG1" s="708" t="n">
        <f aca="false">INDEX(MO_Common_QEndDate,0,COLUMN())</f>
        <v>45473</v>
      </c>
      <c r="BH1" s="708" t="n">
        <f aca="false">INDEX(MO_Common_QEndDate,0,COLUMN())</f>
        <v>45564</v>
      </c>
      <c r="BI1" s="708" t="n">
        <f aca="false">INDEX(MO_Common_QEndDate,0,COLUMN())</f>
        <v>45657</v>
      </c>
      <c r="BJ1" s="707" t="n">
        <f aca="false">INDEX(MO_Common_QEndDate,0,COLUMN())</f>
        <v>45657</v>
      </c>
      <c r="BK1" s="708" t="n">
        <f aca="false">INDEX(MO_Common_QEndDate,0,COLUMN())</f>
        <v>45746</v>
      </c>
      <c r="BL1" s="708" t="n">
        <f aca="false">INDEX(MO_Common_QEndDate,0,COLUMN())</f>
        <v>45837</v>
      </c>
      <c r="BM1" s="708" t="n">
        <f aca="false">INDEX(MO_Common_QEndDate,0,COLUMN())</f>
        <v>45928</v>
      </c>
      <c r="BN1" s="708" t="n">
        <f aca="false">INDEX(MO_Common_QEndDate,0,COLUMN())</f>
        <v>46022</v>
      </c>
      <c r="BO1" s="709" t="n">
        <f aca="false">INDEX(MO_Common_QEndDate,0,COLUMN())</f>
        <v>46022</v>
      </c>
      <c r="BP1" s="708" t="n">
        <f aca="false">INDEX(MO_Common_QEndDate,0,COLUMN())</f>
        <v>46112</v>
      </c>
      <c r="BQ1" s="708" t="n">
        <f aca="false">INDEX(MO_Common_QEndDate,0,COLUMN())</f>
        <v>46203</v>
      </c>
      <c r="BR1" s="708" t="n">
        <f aca="false">INDEX(MO_Common_QEndDate,0,COLUMN())</f>
        <v>46295</v>
      </c>
      <c r="BS1" s="708" t="n">
        <f aca="false">INDEX(MO_Common_QEndDate,0,COLUMN())</f>
        <v>46387</v>
      </c>
      <c r="BT1" s="707" t="n">
        <f aca="false">INDEX(MO_Common_QEndDate,0,COLUMN())</f>
        <v>46387</v>
      </c>
      <c r="BU1" s="708" t="n">
        <f aca="false">INDEX(MO_Common_QEndDate,0,COLUMN())</f>
        <v>46477</v>
      </c>
      <c r="BV1" s="708" t="n">
        <f aca="false">INDEX(MO_Common_QEndDate,0,COLUMN())</f>
        <v>46568</v>
      </c>
      <c r="BW1" s="708" t="n">
        <f aca="false">INDEX(MO_Common_QEndDate,0,COLUMN())</f>
        <v>46660</v>
      </c>
      <c r="BX1" s="708" t="n">
        <f aca="false">INDEX(MO_Common_QEndDate,0,COLUMN())</f>
        <v>46752</v>
      </c>
      <c r="BY1" s="707" t="n">
        <f aca="false">INDEX(MO_Common_QEndDate,0,COLUMN())</f>
        <v>46752</v>
      </c>
      <c r="BZ1" s="707" t="n">
        <f aca="false">INDEX(MO_Common_QEndDate,0,COLUMN())</f>
        <v>47118</v>
      </c>
      <c r="CA1" s="707" t="n">
        <f aca="false">INDEX(MO_Common_QEndDate,0,COLUMN())</f>
        <v>47483</v>
      </c>
      <c r="CB1" s="707" t="n">
        <f aca="false">INDEX(MO_Common_QEndDate,0,COLUMN())</f>
        <v>47848</v>
      </c>
      <c r="CC1" s="48"/>
    </row>
    <row r="2" s="51" customFormat="true" ht="15" hidden="false" customHeight="true" outlineLevel="0" collapsed="false">
      <c r="A2" s="252" t="s">
        <v>797</v>
      </c>
      <c r="B2" s="710" t="str">
        <f aca="false">MO.ReportFX</f>
        <v>EUR</v>
      </c>
      <c r="C2" s="695" t="str">
        <f aca="false">INDEX(MO_Common_ColumnHeader,0,COLUMN())</f>
        <v>FY2009</v>
      </c>
      <c r="D2" s="695" t="str">
        <f aca="false">INDEX(MO_Common_ColumnHeader,0,COLUMN())</f>
        <v>FY2010</v>
      </c>
      <c r="E2" s="695" t="str">
        <f aca="false">INDEX(MO_Common_ColumnHeader,0,COLUMN())</f>
        <v>FY2011</v>
      </c>
      <c r="F2" s="695" t="str">
        <f aca="false">INDEX(MO_Common_ColumnHeader,0,COLUMN())</f>
        <v>FY2012</v>
      </c>
      <c r="G2" s="695" t="str">
        <f aca="false">INDEX(MO_Common_ColumnHeader,0,COLUMN())</f>
        <v>FY2013</v>
      </c>
      <c r="H2" s="699" t="str">
        <f aca="false">INDEX(MO_Common_ColumnHeader,0,COLUMN())</f>
        <v>Q1-2014</v>
      </c>
      <c r="I2" s="699" t="str">
        <f aca="false">INDEX(MO_Common_ColumnHeader,0,COLUMN())</f>
        <v>Q2-2014</v>
      </c>
      <c r="J2" s="699" t="str">
        <f aca="false">INDEX(MO_Common_ColumnHeader,0,COLUMN())</f>
        <v>Q3-2014</v>
      </c>
      <c r="K2" s="699" t="str">
        <f aca="false">INDEX(MO_Common_ColumnHeader,0,COLUMN())</f>
        <v>Q4-2014</v>
      </c>
      <c r="L2" s="695" t="str">
        <f aca="false">INDEX(MO_Common_ColumnHeader,0,COLUMN())</f>
        <v>FY2014</v>
      </c>
      <c r="M2" s="699" t="str">
        <f aca="false">INDEX(MO_Common_ColumnHeader,0,COLUMN())</f>
        <v>Q1-2015</v>
      </c>
      <c r="N2" s="699" t="str">
        <f aca="false">INDEX(MO_Common_ColumnHeader,0,COLUMN())</f>
        <v>Q2-2015</v>
      </c>
      <c r="O2" s="699" t="str">
        <f aca="false">INDEX(MO_Common_ColumnHeader,0,COLUMN())</f>
        <v>Q3-2015</v>
      </c>
      <c r="P2" s="699" t="str">
        <f aca="false">INDEX(MO_Common_ColumnHeader,0,COLUMN())</f>
        <v>Q4-2015</v>
      </c>
      <c r="Q2" s="695" t="str">
        <f aca="false">INDEX(MO_Common_ColumnHeader,0,COLUMN())</f>
        <v>FY2015</v>
      </c>
      <c r="R2" s="699" t="str">
        <f aca="false">INDEX(MO_Common_ColumnHeader,0,COLUMN())</f>
        <v>Q1-2016</v>
      </c>
      <c r="S2" s="699" t="str">
        <f aca="false">INDEX(MO_Common_ColumnHeader,0,COLUMN())</f>
        <v>Q2-2016</v>
      </c>
      <c r="T2" s="699" t="str">
        <f aca="false">INDEX(MO_Common_ColumnHeader,0,COLUMN())</f>
        <v>Q3-2016</v>
      </c>
      <c r="U2" s="699" t="str">
        <f aca="false">INDEX(MO_Common_ColumnHeader,0,COLUMN())</f>
        <v>Q4-2016</v>
      </c>
      <c r="V2" s="695" t="str">
        <f aca="false">INDEX(MO_Common_ColumnHeader,0,COLUMN())</f>
        <v>FY2016</v>
      </c>
      <c r="W2" s="699" t="str">
        <f aca="false">INDEX(MO_Common_ColumnHeader,0,COLUMN())</f>
        <v>Q1-2017</v>
      </c>
      <c r="X2" s="699" t="str">
        <f aca="false">INDEX(MO_Common_ColumnHeader,0,COLUMN())</f>
        <v>Q2-2017</v>
      </c>
      <c r="Y2" s="699" t="str">
        <f aca="false">INDEX(MO_Common_ColumnHeader,0,COLUMN())</f>
        <v>Q3-2017</v>
      </c>
      <c r="Z2" s="699" t="str">
        <f aca="false">INDEX(MO_Common_ColumnHeader,0,COLUMN())</f>
        <v>Q4-2017</v>
      </c>
      <c r="AA2" s="695" t="str">
        <f aca="false">INDEX(MO_Common_ColumnHeader,0,COLUMN())</f>
        <v>FY2017</v>
      </c>
      <c r="AB2" s="699" t="str">
        <f aca="false">INDEX(MO_Common_ColumnHeader,0,COLUMN())</f>
        <v>Q1-2018</v>
      </c>
      <c r="AC2" s="699" t="str">
        <f aca="false">INDEX(MO_Common_ColumnHeader,0,COLUMN())</f>
        <v>Q2-2018</v>
      </c>
      <c r="AD2" s="699" t="str">
        <f aca="false">INDEX(MO_Common_ColumnHeader,0,COLUMN())</f>
        <v>Q3-2018</v>
      </c>
      <c r="AE2" s="699" t="str">
        <f aca="false">INDEX(MO_Common_ColumnHeader,0,COLUMN())</f>
        <v>Q4-2018</v>
      </c>
      <c r="AF2" s="695" t="str">
        <f aca="false">INDEX(MO_Common_ColumnHeader,0,COLUMN())</f>
        <v>FY2018</v>
      </c>
      <c r="AG2" s="699" t="str">
        <f aca="false">INDEX(MO_Common_ColumnHeader,0,COLUMN())</f>
        <v>Q1-2019</v>
      </c>
      <c r="AH2" s="699" t="str">
        <f aca="false">INDEX(MO_Common_ColumnHeader,0,COLUMN())</f>
        <v>Q2-2019</v>
      </c>
      <c r="AI2" s="699" t="str">
        <f aca="false">INDEX(MO_Common_ColumnHeader,0,COLUMN())</f>
        <v>Q3-2019</v>
      </c>
      <c r="AJ2" s="699" t="str">
        <f aca="false">INDEX(MO_Common_ColumnHeader,0,COLUMN())</f>
        <v>Q4-2019</v>
      </c>
      <c r="AK2" s="695" t="str">
        <f aca="false">INDEX(MO_Common_ColumnHeader,0,COLUMN())</f>
        <v>FY2019</v>
      </c>
      <c r="AL2" s="699" t="str">
        <f aca="false">INDEX(MO_Common_ColumnHeader,0,COLUMN())</f>
        <v>Q1-2020</v>
      </c>
      <c r="AM2" s="699" t="str">
        <f aca="false">INDEX(MO_Common_ColumnHeader,0,COLUMN())</f>
        <v>Q2-2020</v>
      </c>
      <c r="AN2" s="699" t="str">
        <f aca="false">INDEX(MO_Common_ColumnHeader,0,COLUMN())</f>
        <v>Q3-2020</v>
      </c>
      <c r="AO2" s="699" t="str">
        <f aca="false">INDEX(MO_Common_ColumnHeader,0,COLUMN())</f>
        <v>Q4-2020</v>
      </c>
      <c r="AP2" s="695" t="str">
        <f aca="false">INDEX(MO_Common_ColumnHeader,0,COLUMN())</f>
        <v>FY2020</v>
      </c>
      <c r="AQ2" s="699" t="str">
        <f aca="false">INDEX(MO_Common_ColumnHeader,0,COLUMN())</f>
        <v>Q1-2021</v>
      </c>
      <c r="AR2" s="699" t="str">
        <f aca="false">INDEX(MO_Common_ColumnHeader,0,COLUMN())</f>
        <v>Q2-2021</v>
      </c>
      <c r="AS2" s="699" t="str">
        <f aca="false">INDEX(MO_Common_ColumnHeader,0,COLUMN())</f>
        <v>Q3-2021</v>
      </c>
      <c r="AT2" s="699" t="str">
        <f aca="false">INDEX(MO_Common_ColumnHeader,0,COLUMN())</f>
        <v>Q4-2021</v>
      </c>
      <c r="AU2" s="695" t="str">
        <f aca="false">INDEX(MO_Common_ColumnHeader,0,COLUMN())</f>
        <v>FY2021</v>
      </c>
      <c r="AV2" s="699" t="str">
        <f aca="false">INDEX(MO_Common_ColumnHeader,0,COLUMN())</f>
        <v>Q1-2022</v>
      </c>
      <c r="AW2" s="699" t="str">
        <f aca="false">INDEX(MO_Common_ColumnHeader,0,COLUMN())</f>
        <v>Q2-2022</v>
      </c>
      <c r="AX2" s="699" t="str">
        <f aca="false">INDEX(MO_Common_ColumnHeader,0,COLUMN())</f>
        <v>Q3-2022</v>
      </c>
      <c r="AY2" s="699" t="str">
        <f aca="false">INDEX(MO_Common_ColumnHeader,0,COLUMN())</f>
        <v>Q4-2022</v>
      </c>
      <c r="AZ2" s="695" t="str">
        <f aca="false">INDEX(MO_Common_ColumnHeader,0,COLUMN())</f>
        <v>FY2022</v>
      </c>
      <c r="BA2" s="699" t="str">
        <f aca="false">INDEX(MO_Common_ColumnHeader,0,COLUMN())</f>
        <v>Q1-2023</v>
      </c>
      <c r="BB2" s="699" t="str">
        <f aca="false">INDEX(MO_Common_ColumnHeader,0,COLUMN())</f>
        <v>Q2-2023</v>
      </c>
      <c r="BC2" s="699" t="str">
        <f aca="false">INDEX(MO_Common_ColumnHeader,0,COLUMN())</f>
        <v>Q3-2023</v>
      </c>
      <c r="BD2" s="699" t="str">
        <f aca="false">INDEX(MO_Common_ColumnHeader,0,COLUMN())</f>
        <v>Q4-2023</v>
      </c>
      <c r="BE2" s="695" t="str">
        <f aca="false">INDEX(MO_Common_ColumnHeader,0,COLUMN())</f>
        <v>FY2023</v>
      </c>
      <c r="BF2" s="699" t="str">
        <f aca="false">INDEX(MO_Common_ColumnHeader,0,COLUMN())</f>
        <v>Q1-2024</v>
      </c>
      <c r="BG2" s="699" t="str">
        <f aca="false">INDEX(MO_Common_ColumnHeader,0,COLUMN())</f>
        <v>Q2-2024</v>
      </c>
      <c r="BH2" s="699" t="str">
        <f aca="false">INDEX(MO_Common_ColumnHeader,0,COLUMN())</f>
        <v>Q3-2024</v>
      </c>
      <c r="BI2" s="699" t="str">
        <f aca="false">INDEX(MO_Common_ColumnHeader,0,COLUMN())</f>
        <v>Q4-2024</v>
      </c>
      <c r="BJ2" s="695" t="str">
        <f aca="false">INDEX(MO_Common_ColumnHeader,0,COLUMN())</f>
        <v>FY2024</v>
      </c>
      <c r="BK2" s="699" t="str">
        <f aca="false">INDEX(MO_Common_ColumnHeader,0,COLUMN())</f>
        <v>Q1-2025</v>
      </c>
      <c r="BL2" s="699" t="str">
        <f aca="false">INDEX(MO_Common_ColumnHeader,0,COLUMN())</f>
        <v>Q2-2025</v>
      </c>
      <c r="BM2" s="699" t="str">
        <f aca="false">INDEX(MO_Common_ColumnHeader,0,COLUMN())</f>
        <v>Q3-2025</v>
      </c>
      <c r="BN2" s="699" t="str">
        <f aca="false">INDEX(MO_Common_ColumnHeader,0,COLUMN())</f>
        <v>Q4-2025</v>
      </c>
      <c r="BO2" s="711" t="str">
        <f aca="false">INDEX(MO_Common_ColumnHeader,0,COLUMN())</f>
        <v>FY2025</v>
      </c>
      <c r="BP2" s="699" t="str">
        <f aca="false">INDEX(MO_Common_ColumnHeader,0,COLUMN())</f>
        <v>Q1-2026</v>
      </c>
      <c r="BQ2" s="699" t="str">
        <f aca="false">INDEX(MO_Common_ColumnHeader,0,COLUMN())</f>
        <v>Q2-2026</v>
      </c>
      <c r="BR2" s="699" t="str">
        <f aca="false">INDEX(MO_Common_ColumnHeader,0,COLUMN())</f>
        <v>Q3-2026</v>
      </c>
      <c r="BS2" s="699" t="str">
        <f aca="false">INDEX(MO_Common_ColumnHeader,0,COLUMN())</f>
        <v>Q4-2026</v>
      </c>
      <c r="BT2" s="695" t="str">
        <f aca="false">INDEX(MO_Common_ColumnHeader,0,COLUMN())</f>
        <v>FY2026</v>
      </c>
      <c r="BU2" s="699" t="str">
        <f aca="false">INDEX(MO_Common_ColumnHeader,0,COLUMN())</f>
        <v>Q1-2027</v>
      </c>
      <c r="BV2" s="699" t="str">
        <f aca="false">INDEX(MO_Common_ColumnHeader,0,COLUMN())</f>
        <v>Q2-2027</v>
      </c>
      <c r="BW2" s="699" t="str">
        <f aca="false">INDEX(MO_Common_ColumnHeader,0,COLUMN())</f>
        <v>Q3-2027</v>
      </c>
      <c r="BX2" s="699" t="str">
        <f aca="false">INDEX(MO_Common_ColumnHeader,0,COLUMN())</f>
        <v>Q4-2027</v>
      </c>
      <c r="BY2" s="695" t="str">
        <f aca="false">INDEX(MO_Common_ColumnHeader,0,COLUMN())</f>
        <v>FY2027</v>
      </c>
      <c r="BZ2" s="695" t="str">
        <f aca="false">INDEX(MO_Common_ColumnHeader,0,COLUMN())</f>
        <v>FY2028</v>
      </c>
      <c r="CA2" s="695" t="str">
        <f aca="false">INDEX(MO_Common_ColumnHeader,0,COLUMN())</f>
        <v>FY2029</v>
      </c>
      <c r="CB2" s="695" t="str">
        <f aca="false">INDEX(MO_Common_ColumnHeader,0,COLUMN())</f>
        <v>FY2030</v>
      </c>
      <c r="CC2" s="48"/>
    </row>
    <row r="3" customFormat="false" ht="15" hidden="false" customHeight="true" outlineLevel="0" collapsed="false">
      <c r="A3" s="219" t="s">
        <v>798</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19"/>
      <c r="BG3" s="219"/>
      <c r="BH3" s="219"/>
      <c r="BI3" s="219"/>
      <c r="BJ3" s="219"/>
      <c r="BK3" s="219"/>
      <c r="BL3" s="219"/>
      <c r="BM3" s="219"/>
      <c r="BN3" s="219"/>
      <c r="BO3" s="220"/>
      <c r="BP3" s="219"/>
      <c r="BQ3" s="219"/>
      <c r="BR3" s="219"/>
      <c r="BS3" s="219"/>
      <c r="BT3" s="219"/>
      <c r="BU3" s="219"/>
      <c r="BV3" s="219"/>
      <c r="BW3" s="219"/>
      <c r="BX3" s="219"/>
      <c r="BY3" s="219"/>
      <c r="BZ3" s="219"/>
      <c r="CA3" s="219"/>
      <c r="CB3" s="219"/>
      <c r="CC3" s="625"/>
    </row>
    <row r="4" s="445" customFormat="true" ht="15" hidden="false" customHeight="true" outlineLevel="0" collapsed="false">
      <c r="A4" s="712" t="str">
        <f aca="false">"Stock Price - "&amp;SP.ValuationToggle</f>
        <v>Stock Price - EoP</v>
      </c>
      <c r="B4" s="475" t="s">
        <v>498</v>
      </c>
      <c r="C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31.103896</v>
      </c>
      <c r="D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37.668831</v>
      </c>
      <c r="E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42.175325</v>
      </c>
      <c r="F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47.885</v>
      </c>
      <c r="G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67.93</v>
      </c>
      <c r="H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67.15</v>
      </c>
      <c r="I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67.62</v>
      </c>
      <c r="J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78.56</v>
      </c>
      <c r="K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88.82</v>
      </c>
      <c r="L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88.82</v>
      </c>
      <c r="M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92.37</v>
      </c>
      <c r="N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98.74</v>
      </c>
      <c r="O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77.15</v>
      </c>
      <c r="P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84.09</v>
      </c>
      <c r="Q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84.09</v>
      </c>
      <c r="R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87.91</v>
      </c>
      <c r="S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88.09</v>
      </c>
      <c r="T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97.69</v>
      </c>
      <c r="U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106.65</v>
      </c>
      <c r="V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106.65</v>
      </c>
      <c r="W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124.4</v>
      </c>
      <c r="X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114.1</v>
      </c>
      <c r="Y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144.05</v>
      </c>
      <c r="Z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145.25</v>
      </c>
      <c r="AA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145.25</v>
      </c>
      <c r="AB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160.15</v>
      </c>
      <c r="AC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169.7</v>
      </c>
      <c r="AD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160.9</v>
      </c>
      <c r="AE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136.62</v>
      </c>
      <c r="AF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136.62</v>
      </c>
      <c r="AG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167.2</v>
      </c>
      <c r="AH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183.74</v>
      </c>
      <c r="AI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225.45</v>
      </c>
      <c r="AJ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262.9</v>
      </c>
      <c r="AK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262.9</v>
      </c>
      <c r="AL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229.5</v>
      </c>
      <c r="AM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324</v>
      </c>
      <c r="AN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307.2</v>
      </c>
      <c r="AO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398.5</v>
      </c>
      <c r="AP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398.5</v>
      </c>
      <c r="AQ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529.3</v>
      </c>
      <c r="AR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579</v>
      </c>
      <c r="AS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632.5</v>
      </c>
      <c r="AT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710.4</v>
      </c>
      <c r="AU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710.4</v>
      </c>
      <c r="AV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606.7</v>
      </c>
      <c r="AW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431.25</v>
      </c>
      <c r="AX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433.6</v>
      </c>
      <c r="AY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503.8</v>
      </c>
      <c r="AZ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503.8</v>
      </c>
      <c r="BA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625.2</v>
      </c>
      <c r="BB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663</v>
      </c>
      <c r="BC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559.1</v>
      </c>
      <c r="BD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681.7</v>
      </c>
      <c r="BE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681.7</v>
      </c>
      <c r="BF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892.2</v>
      </c>
      <c r="BG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964.2</v>
      </c>
      <c r="BH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757.3</v>
      </c>
      <c r="BI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671.9</v>
      </c>
      <c r="BJ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671.9</v>
      </c>
      <c r="BK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625.6</v>
      </c>
      <c r="BL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682.5</v>
      </c>
      <c r="BM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812.8</v>
      </c>
      <c r="BN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918.4</v>
      </c>
      <c r="BO4" s="714"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918.4</v>
      </c>
      <c r="BP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Q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R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S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T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U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V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W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X4" s="44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Y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BZ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CA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CB4" s="71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1217.6</v>
      </c>
      <c r="CC4" s="443"/>
    </row>
    <row r="5" s="445" customFormat="true" ht="15" hidden="false" customHeight="true" outlineLevel="0" collapsed="false">
      <c r="A5" s="251" t="str">
        <f aca="false">INDEX(MO_SCA_ShareCount_EoP_Diluted,0,COLUMN())</f>
        <v>EoP Total Diluted Ordinary Shares Outstanding, mm shares</v>
      </c>
      <c r="B5" s="715"/>
      <c r="C5" s="228" t="n">
        <f aca="false">INDEX(MO_SCA_ShareCount_EoP_Diluted,0,COLUMN())</f>
        <v>433.638976</v>
      </c>
      <c r="D5" s="228" t="n">
        <f aca="false">INDEX(MO_SCA_ShareCount_EoP_Diluted,0,COLUMN())</f>
        <v>440.420972</v>
      </c>
      <c r="E5" s="228" t="n">
        <f aca="false">INDEX(MO_SCA_ShareCount_EoP_Diluted,0,COLUMN())</f>
        <v>417.104257</v>
      </c>
      <c r="F5" s="228" t="n">
        <f aca="false">INDEX(MO_SCA_ShareCount_EoP_Diluted,0,COLUMN())</f>
        <v>410.055221</v>
      </c>
      <c r="G5" s="228" t="n">
        <f aca="false">INDEX(MO_SCA_ShareCount_EoP_Diluted,0,COLUMN())</f>
        <v>444.528334</v>
      </c>
      <c r="H5" s="259" t="n">
        <f aca="false">INDEX(MO_SCA_ShareCount_EoP_Diluted,0,COLUMN())</f>
        <v>443.5</v>
      </c>
      <c r="I5" s="259" t="n">
        <f aca="false">INDEX(MO_SCA_ShareCount_EoP_Diluted,0,COLUMN())</f>
        <v>441.6</v>
      </c>
      <c r="J5" s="259" t="n">
        <f aca="false">INDEX(MO_SCA_ShareCount_EoP_Diluted,0,COLUMN())</f>
        <v>439</v>
      </c>
      <c r="K5" s="259" t="n">
        <f aca="false">INDEX(MO_SCA_ShareCount_EoP_Diluted,0,COLUMN())</f>
        <v>435.535288</v>
      </c>
      <c r="L5" s="228" t="n">
        <f aca="false">INDEX(MO_SCA_ShareCount_EoP_Diluted,0,COLUMN())</f>
        <v>435.535288</v>
      </c>
      <c r="M5" s="259" t="n">
        <f aca="false">INDEX(MO_SCA_ShareCount_EoP_Diluted,0,COLUMN())</f>
        <v>435.3</v>
      </c>
      <c r="N5" s="259" t="n">
        <f aca="false">INDEX(MO_SCA_ShareCount_EoP_Diluted,0,COLUMN())</f>
        <v>433.8</v>
      </c>
      <c r="O5" s="259" t="n">
        <f aca="false">INDEX(MO_SCA_ShareCount_EoP_Diluted,0,COLUMN())</f>
        <v>432.3</v>
      </c>
      <c r="P5" s="259" t="n">
        <f aca="false">INDEX(MO_SCA_ShareCount_EoP_Diluted,0,COLUMN())</f>
        <v>429.986682</v>
      </c>
      <c r="Q5" s="228" t="n">
        <f aca="false">INDEX(MO_SCA_ShareCount_EoP_Diluted,0,COLUMN())</f>
        <v>429.986682</v>
      </c>
      <c r="R5" s="259" t="n">
        <f aca="false">INDEX(MO_SCA_ShareCount_EoP_Diluted,0,COLUMN())</f>
        <v>429.1</v>
      </c>
      <c r="S5" s="259" t="n">
        <f aca="false">INDEX(MO_SCA_ShareCount_EoP_Diluted,0,COLUMN())</f>
        <v>426.5</v>
      </c>
      <c r="T5" s="259" t="n">
        <f aca="false">INDEX(MO_SCA_ShareCount_EoP_Diluted,0,COLUMN())</f>
        <v>425.8</v>
      </c>
      <c r="U5" s="259" t="n">
        <f aca="false">INDEX(MO_SCA_ShareCount_EoP_Diluted,0,COLUMN())</f>
        <v>432.041232</v>
      </c>
      <c r="V5" s="228" t="n">
        <f aca="false">INDEX(MO_SCA_ShareCount_EoP_Diluted,0,COLUMN())</f>
        <v>432.041232</v>
      </c>
      <c r="W5" s="259" t="n">
        <f aca="false">INDEX(MO_SCA_ShareCount_EoP_Diluted,0,COLUMN())</f>
        <v>432.3</v>
      </c>
      <c r="X5" s="259" t="n">
        <f aca="false">INDEX(MO_SCA_ShareCount_EoP_Diluted,0,COLUMN())</f>
        <v>432.4</v>
      </c>
      <c r="Y5" s="259" t="n">
        <f aca="false">INDEX(MO_SCA_ShareCount_EoP_Diluted,0,COLUMN())</f>
        <v>432</v>
      </c>
      <c r="Z5" s="259" t="n">
        <f aca="false">INDEX(MO_SCA_ShareCount_EoP_Diluted,0,COLUMN())</f>
        <v>429.293592</v>
      </c>
      <c r="AA5" s="228" t="n">
        <f aca="false">INDEX(MO_SCA_ShareCount_EoP_Diluted,0,COLUMN())</f>
        <v>429.293592</v>
      </c>
      <c r="AB5" s="259" t="n">
        <f aca="false">INDEX(MO_SCA_ShareCount_EoP_Diluted,0,COLUMN())</f>
        <v>428.9</v>
      </c>
      <c r="AC5" s="259" t="n">
        <f aca="false">INDEX(MO_SCA_ShareCount_EoP_Diluted,0,COLUMN())</f>
        <v>427.6</v>
      </c>
      <c r="AD5" s="259" t="n">
        <f aca="false">INDEX(MO_SCA_ShareCount_EoP_Diluted,0,COLUMN())</f>
        <v>425.9</v>
      </c>
      <c r="AE5" s="259" t="n">
        <f aca="false">INDEX(MO_SCA_ShareCount_EoP_Diluted,0,COLUMN())</f>
        <v>422.497729</v>
      </c>
      <c r="AF5" s="228" t="n">
        <f aca="false">INDEX(MO_SCA_ShareCount_EoP_Diluted,0,COLUMN())</f>
        <v>422.497729</v>
      </c>
      <c r="AG5" s="259" t="n">
        <f aca="false">INDEX(MO_SCA_ShareCount_EoP_Diluted,0,COLUMN())</f>
        <v>422.5</v>
      </c>
      <c r="AH5" s="259" t="n">
        <f aca="false">INDEX(MO_SCA_ShareCount_EoP_Diluted,0,COLUMN())</f>
        <v>421.8</v>
      </c>
      <c r="AI5" s="259" t="n">
        <f aca="false">INDEX(MO_SCA_ShareCount_EoP_Diluted,0,COLUMN())</f>
        <v>421.7</v>
      </c>
      <c r="AJ5" s="259" t="n">
        <f aca="false">INDEX(MO_SCA_ShareCount_EoP_Diluted,0,COLUMN())</f>
        <v>420.810706</v>
      </c>
      <c r="AK5" s="228" t="n">
        <f aca="false">INDEX(MO_SCA_ShareCount_EoP_Diluted,0,COLUMN())</f>
        <v>420.810706</v>
      </c>
      <c r="AL5" s="259" t="n">
        <f aca="false">INDEX(MO_SCA_ShareCount_EoP_Diluted,0,COLUMN())</f>
        <v>419.7</v>
      </c>
      <c r="AM5" s="259" t="n">
        <f aca="false">INDEX(MO_SCA_ShareCount_EoP_Diluted,0,COLUMN())</f>
        <v>419</v>
      </c>
      <c r="AN5" s="259" t="n">
        <f aca="false">INDEX(MO_SCA_ShareCount_EoP_Diluted,0,COLUMN())</f>
        <v>419.2</v>
      </c>
      <c r="AO5" s="259" t="n">
        <f aca="false">INDEX(MO_SCA_ShareCount_EoP_Diluted,0,COLUMN())</f>
        <v>417.414034</v>
      </c>
      <c r="AP5" s="228" t="n">
        <f aca="false">INDEX(MO_SCA_ShareCount_EoP_Diluted,0,COLUMN())</f>
        <v>417.414034</v>
      </c>
      <c r="AQ5" s="259" t="n">
        <f aca="false">INDEX(MO_SCA_ShareCount_EoP_Diluted,0,COLUMN())</f>
        <v>415.8</v>
      </c>
      <c r="AR5" s="259" t="n">
        <f aca="false">INDEX(MO_SCA_ShareCount_EoP_Diluted,0,COLUMN())</f>
        <v>412</v>
      </c>
      <c r="AS5" s="259" t="n">
        <f aca="false">INDEX(MO_SCA_ShareCount_EoP_Diluted,0,COLUMN())</f>
        <v>408.6</v>
      </c>
      <c r="AT5" s="259" t="n">
        <f aca="false">INDEX(MO_SCA_ShareCount_EoP_Diluted,0,COLUMN())</f>
        <v>403.301613</v>
      </c>
      <c r="AU5" s="228" t="n">
        <f aca="false">INDEX(MO_SCA_ShareCount_EoP_Diluted,0,COLUMN())</f>
        <v>403.301613</v>
      </c>
      <c r="AV5" s="259" t="n">
        <f aca="false">INDEX(MO_SCA_ShareCount_EoP_Diluted,0,COLUMN())</f>
        <v>401.5</v>
      </c>
      <c r="AW5" s="259" t="n">
        <f aca="false">INDEX(MO_SCA_ShareCount_EoP_Diluted,0,COLUMN())</f>
        <v>398.6</v>
      </c>
      <c r="AX5" s="259" t="n">
        <f aca="false">INDEX(MO_SCA_ShareCount_EoP_Diluted,0,COLUMN())</f>
        <v>396.6</v>
      </c>
      <c r="AY5" s="259" t="n">
        <f aca="false">INDEX(MO_SCA_ShareCount_EoP_Diluted,0,COLUMN())</f>
        <v>394.889411</v>
      </c>
      <c r="AZ5" s="228" t="n">
        <f aca="false">INDEX(MO_SCA_ShareCount_EoP_Diluted,0,COLUMN())</f>
        <v>394.889411</v>
      </c>
      <c r="BA5" s="259" t="n">
        <f aca="false">INDEX(MO_SCA_ShareCount_EoP_Diluted,0,COLUMN())</f>
        <v>394.8</v>
      </c>
      <c r="BB5" s="259" t="n">
        <f aca="false">INDEX(MO_SCA_ShareCount_EoP_Diluted,0,COLUMN())</f>
        <v>394</v>
      </c>
      <c r="BC5" s="259" t="n">
        <f aca="false">INDEX(MO_SCA_ShareCount_EoP_Diluted,0,COLUMN())</f>
        <v>393.7</v>
      </c>
      <c r="BD5" s="259" t="n">
        <f aca="false">INDEX(MO_SCA_ShareCount_EoP_Diluted,0,COLUMN())</f>
        <v>393.821721</v>
      </c>
      <c r="BE5" s="228" t="n">
        <f aca="false">INDEX(MO_SCA_ShareCount_EoP_Diluted,0,COLUMN())</f>
        <v>393.821721</v>
      </c>
      <c r="BF5" s="259" t="n">
        <f aca="false">INDEX(MO_SCA_ShareCount_EoP_Diluted,0,COLUMN())</f>
        <v>393.7</v>
      </c>
      <c r="BG5" s="259" t="n">
        <f aca="false">INDEX(MO_SCA_ShareCount_EoP_Diluted,0,COLUMN())</f>
        <v>393.5</v>
      </c>
      <c r="BH5" s="259" t="n">
        <f aca="false">INDEX(MO_SCA_ShareCount_EoP_Diluted,0,COLUMN())</f>
        <v>393.6</v>
      </c>
      <c r="BI5" s="259" t="n">
        <f aca="false">INDEX(MO_SCA_ShareCount_EoP_Diluted,0,COLUMN())</f>
        <v>393.58372</v>
      </c>
      <c r="BJ5" s="228" t="n">
        <f aca="false">INDEX(MO_SCA_ShareCount_EoP_Diluted,0,COLUMN())</f>
        <v>393.58372</v>
      </c>
      <c r="BK5" s="259" t="n">
        <f aca="false">INDEX(MO_SCA_ShareCount_EoP_Diluted,0,COLUMN())</f>
        <v>392.5</v>
      </c>
      <c r="BL5" s="259" t="n">
        <f aca="false">INDEX(MO_SCA_ShareCount_EoP_Diluted,0,COLUMN())</f>
        <v>388.4</v>
      </c>
      <c r="BM5" s="259" t="n">
        <f aca="false">INDEX(MO_SCA_ShareCount_EoP_Diluted,0,COLUMN())</f>
        <v>387.6</v>
      </c>
      <c r="BN5" s="259" t="n">
        <f aca="false">INDEX(MO_SCA_ShareCount_EoP_Diluted,0,COLUMN())</f>
        <v>389</v>
      </c>
      <c r="BO5" s="230" t="n">
        <f aca="false">INDEX(MO_SCA_ShareCount_EoP_Diluted,0,COLUMN())</f>
        <v>389</v>
      </c>
      <c r="BP5" s="259" t="n">
        <f aca="false">INDEX(MO_SCA_ShareCount_EoP_Diluted,0,COLUMN())</f>
        <v>388.835142971532</v>
      </c>
      <c r="BQ5" s="259" t="n">
        <f aca="false">INDEX(MO_SCA_ShareCount_EoP_Diluted,0,COLUMN())</f>
        <v>388.874026485829</v>
      </c>
      <c r="BR5" s="259" t="n">
        <f aca="false">INDEX(MO_SCA_ShareCount_EoP_Diluted,0,COLUMN())</f>
        <v>388.912913888477</v>
      </c>
      <c r="BS5" s="259" t="n">
        <f aca="false">INDEX(MO_SCA_ShareCount_EoP_Diluted,0,COLUMN())</f>
        <v>388.951805179866</v>
      </c>
      <c r="BT5" s="228" t="n">
        <f aca="false">INDEX(MO_SCA_ShareCount_EoP_Diluted,0,COLUMN())</f>
        <v>388.951805179866</v>
      </c>
      <c r="BU5" s="259" t="n">
        <f aca="false">INDEX(MO_SCA_ShareCount_EoP_Diluted,0,COLUMN())</f>
        <v>388.990700360384</v>
      </c>
      <c r="BV5" s="259" t="n">
        <f aca="false">INDEX(MO_SCA_ShareCount_EoP_Diluted,0,COLUMN())</f>
        <v>389.02959943042</v>
      </c>
      <c r="BW5" s="259" t="n">
        <f aca="false">INDEX(MO_SCA_ShareCount_EoP_Diluted,0,COLUMN())</f>
        <v>389.068502390363</v>
      </c>
      <c r="BX5" s="259" t="n">
        <f aca="false">INDEX(MO_SCA_ShareCount_EoP_Diluted,0,COLUMN())</f>
        <v>389.107409240602</v>
      </c>
      <c r="BY5" s="228" t="n">
        <f aca="false">INDEX(MO_SCA_ShareCount_EoP_Diluted,0,COLUMN())</f>
        <v>389.107409240602</v>
      </c>
      <c r="BZ5" s="228" t="n">
        <f aca="false">INDEX(MO_SCA_ShareCount_EoP_Diluted,0,COLUMN())</f>
        <v>389.263052204298</v>
      </c>
      <c r="CA5" s="228" t="n">
        <f aca="false">INDEX(MO_SCA_ShareCount_EoP_Diluted,0,COLUMN())</f>
        <v>389.41875742518</v>
      </c>
      <c r="CB5" s="228" t="n">
        <f aca="false">INDEX(MO_SCA_ShareCount_EoP_Diluted,0,COLUMN())</f>
        <v>389.57452492815</v>
      </c>
      <c r="CC5" s="443"/>
    </row>
    <row r="6" s="157" customFormat="true" ht="15" hidden="false" customHeight="true" outlineLevel="0" collapsed="false">
      <c r="A6" s="151" t="str">
        <f aca="false">"Market Cap - "&amp;SP.ValuationToggle</f>
        <v>Market Cap - EoP</v>
      </c>
      <c r="B6" s="393"/>
      <c r="C6" s="162" t="n">
        <f aca="false">INDEX(SP_CS_StockPrice,0,COLUMN())*INDEX(SP_CS_ShareCount_EoP_Diluted,0,COLUMN())</f>
        <v>13487.8616110505</v>
      </c>
      <c r="D6" s="162" t="n">
        <f aca="false">INDEX(SP_CS_StockPrice,0,COLUMN())*INDEX(SP_CS_ShareCount_EoP_Diluted,0,COLUMN())</f>
        <v>16590.1431631237</v>
      </c>
      <c r="E6" s="162" t="n">
        <f aca="false">INDEX(SP_CS_StockPrice,0,COLUMN())*INDEX(SP_CS_ShareCount_EoP_Diluted,0,COLUMN())</f>
        <v>17591.5075978585</v>
      </c>
      <c r="F6" s="162" t="n">
        <f aca="false">INDEX(SP_CS_StockPrice,0,COLUMN())*INDEX(SP_CS_ShareCount_EoP_Diluted,0,COLUMN())</f>
        <v>19635.494257585</v>
      </c>
      <c r="G6" s="162" t="n">
        <f aca="false">INDEX(SP_CS_StockPrice,0,COLUMN())*INDEX(SP_CS_ShareCount_EoP_Diluted,0,COLUMN())</f>
        <v>30196.80972862</v>
      </c>
      <c r="H6" s="163" t="n">
        <f aca="false">INDEX(SP_CS_StockPrice,0,COLUMN())*INDEX(SP_CS_ShareCount_EoP_Diluted,0,COLUMN())</f>
        <v>29781.025</v>
      </c>
      <c r="I6" s="163" t="n">
        <f aca="false">INDEX(SP_CS_StockPrice,0,COLUMN())*INDEX(SP_CS_ShareCount_EoP_Diluted,0,COLUMN())</f>
        <v>29860.992</v>
      </c>
      <c r="J6" s="163" t="n">
        <f aca="false">INDEX(SP_CS_StockPrice,0,COLUMN())*INDEX(SP_CS_ShareCount_EoP_Diluted,0,COLUMN())</f>
        <v>34487.84</v>
      </c>
      <c r="K6" s="163" t="n">
        <f aca="false">INDEX(SP_CS_StockPrice,0,COLUMN())*INDEX(SP_CS_ShareCount_EoP_Diluted,0,COLUMN())</f>
        <v>38684.24428016</v>
      </c>
      <c r="L6" s="162" t="n">
        <f aca="false">INDEX(SP_CS_StockPrice,0,COLUMN())*INDEX(SP_CS_ShareCount_EoP_Diluted,0,COLUMN())</f>
        <v>38684.24428016</v>
      </c>
      <c r="M6" s="163" t="n">
        <f aca="false">INDEX(SP_CS_StockPrice,0,COLUMN())*INDEX(SP_CS_ShareCount_EoP_Diluted,0,COLUMN())</f>
        <v>40208.661</v>
      </c>
      <c r="N6" s="163" t="n">
        <f aca="false">INDEX(SP_CS_StockPrice,0,COLUMN())*INDEX(SP_CS_ShareCount_EoP_Diluted,0,COLUMN())</f>
        <v>42833.412</v>
      </c>
      <c r="O6" s="163" t="n">
        <f aca="false">INDEX(SP_CS_StockPrice,0,COLUMN())*INDEX(SP_CS_ShareCount_EoP_Diluted,0,COLUMN())</f>
        <v>33351.945</v>
      </c>
      <c r="P6" s="163" t="n">
        <f aca="false">INDEX(SP_CS_StockPrice,0,COLUMN())*INDEX(SP_CS_ShareCount_EoP_Diluted,0,COLUMN())</f>
        <v>36157.58008938</v>
      </c>
      <c r="Q6" s="162" t="n">
        <f aca="false">INDEX(SP_CS_StockPrice,0,COLUMN())*INDEX(SP_CS_ShareCount_EoP_Diluted,0,COLUMN())</f>
        <v>36157.58008938</v>
      </c>
      <c r="R6" s="163" t="n">
        <f aca="false">INDEX(SP_CS_StockPrice,0,COLUMN())*INDEX(SP_CS_ShareCount_EoP_Diluted,0,COLUMN())</f>
        <v>37722.181</v>
      </c>
      <c r="S6" s="163" t="n">
        <f aca="false">INDEX(SP_CS_StockPrice,0,COLUMN())*INDEX(SP_CS_ShareCount_EoP_Diluted,0,COLUMN())</f>
        <v>37570.385</v>
      </c>
      <c r="T6" s="163" t="n">
        <f aca="false">INDEX(SP_CS_StockPrice,0,COLUMN())*INDEX(SP_CS_ShareCount_EoP_Diluted,0,COLUMN())</f>
        <v>41596.402</v>
      </c>
      <c r="U6" s="163" t="n">
        <f aca="false">INDEX(SP_CS_StockPrice,0,COLUMN())*INDEX(SP_CS_ShareCount_EoP_Diluted,0,COLUMN())</f>
        <v>46077.1973928</v>
      </c>
      <c r="V6" s="162" t="n">
        <f aca="false">INDEX(SP_CS_StockPrice,0,COLUMN())*INDEX(SP_CS_ShareCount_EoP_Diluted,0,COLUMN())</f>
        <v>46077.1973928</v>
      </c>
      <c r="W6" s="163" t="n">
        <f aca="false">INDEX(SP_CS_StockPrice,0,COLUMN())*INDEX(SP_CS_ShareCount_EoP_Diluted,0,COLUMN())</f>
        <v>53778.12</v>
      </c>
      <c r="X6" s="163" t="n">
        <f aca="false">INDEX(SP_CS_StockPrice,0,COLUMN())*INDEX(SP_CS_ShareCount_EoP_Diluted,0,COLUMN())</f>
        <v>49336.84</v>
      </c>
      <c r="Y6" s="163" t="n">
        <f aca="false">INDEX(SP_CS_StockPrice,0,COLUMN())*INDEX(SP_CS_ShareCount_EoP_Diluted,0,COLUMN())</f>
        <v>62229.6</v>
      </c>
      <c r="Z6" s="163" t="n">
        <f aca="false">INDEX(SP_CS_StockPrice,0,COLUMN())*INDEX(SP_CS_ShareCount_EoP_Diluted,0,COLUMN())</f>
        <v>62354.894238</v>
      </c>
      <c r="AA6" s="162" t="n">
        <f aca="false">INDEX(SP_CS_StockPrice,0,COLUMN())*INDEX(SP_CS_ShareCount_EoP_Diluted,0,COLUMN())</f>
        <v>62354.894238</v>
      </c>
      <c r="AB6" s="163" t="n">
        <f aca="false">INDEX(SP_CS_StockPrice,0,COLUMN())*INDEX(SP_CS_ShareCount_EoP_Diluted,0,COLUMN())</f>
        <v>68688.335</v>
      </c>
      <c r="AC6" s="163" t="n">
        <f aca="false">INDEX(SP_CS_StockPrice,0,COLUMN())*INDEX(SP_CS_ShareCount_EoP_Diluted,0,COLUMN())</f>
        <v>72563.72</v>
      </c>
      <c r="AD6" s="163" t="n">
        <f aca="false">INDEX(SP_CS_StockPrice,0,COLUMN())*INDEX(SP_CS_ShareCount_EoP_Diluted,0,COLUMN())</f>
        <v>68527.31</v>
      </c>
      <c r="AE6" s="163" t="n">
        <f aca="false">INDEX(SP_CS_StockPrice,0,COLUMN())*INDEX(SP_CS_ShareCount_EoP_Diluted,0,COLUMN())</f>
        <v>57721.63973598</v>
      </c>
      <c r="AF6" s="162" t="n">
        <f aca="false">INDEX(SP_CS_StockPrice,0,COLUMN())*INDEX(SP_CS_ShareCount_EoP_Diluted,0,COLUMN())</f>
        <v>57721.63973598</v>
      </c>
      <c r="AG6" s="163" t="n">
        <f aca="false">INDEX(SP_CS_StockPrice,0,COLUMN())*INDEX(SP_CS_ShareCount_EoP_Diluted,0,COLUMN())</f>
        <v>70642</v>
      </c>
      <c r="AH6" s="163" t="n">
        <f aca="false">INDEX(SP_CS_StockPrice,0,COLUMN())*INDEX(SP_CS_ShareCount_EoP_Diluted,0,COLUMN())</f>
        <v>77501.532</v>
      </c>
      <c r="AI6" s="163" t="n">
        <f aca="false">INDEX(SP_CS_StockPrice,0,COLUMN())*INDEX(SP_CS_ShareCount_EoP_Diluted,0,COLUMN())</f>
        <v>95072.265</v>
      </c>
      <c r="AJ6" s="163" t="n">
        <f aca="false">INDEX(SP_CS_StockPrice,0,COLUMN())*INDEX(SP_CS_ShareCount_EoP_Diluted,0,COLUMN())</f>
        <v>110631.1346074</v>
      </c>
      <c r="AK6" s="162" t="n">
        <f aca="false">INDEX(SP_CS_StockPrice,0,COLUMN())*INDEX(SP_CS_ShareCount_EoP_Diluted,0,COLUMN())</f>
        <v>110631.1346074</v>
      </c>
      <c r="AL6" s="163" t="n">
        <f aca="false">INDEX(SP_CS_StockPrice,0,COLUMN())*INDEX(SP_CS_ShareCount_EoP_Diluted,0,COLUMN())</f>
        <v>96321.15</v>
      </c>
      <c r="AM6" s="163" t="n">
        <f aca="false">INDEX(SP_CS_StockPrice,0,COLUMN())*INDEX(SP_CS_ShareCount_EoP_Diluted,0,COLUMN())</f>
        <v>135756</v>
      </c>
      <c r="AN6" s="163" t="n">
        <f aca="false">INDEX(SP_CS_StockPrice,0,COLUMN())*INDEX(SP_CS_ShareCount_EoP_Diluted,0,COLUMN())</f>
        <v>128778.24</v>
      </c>
      <c r="AO6" s="163" t="n">
        <f aca="false">INDEX(SP_CS_StockPrice,0,COLUMN())*INDEX(SP_CS_ShareCount_EoP_Diluted,0,COLUMN())</f>
        <v>166339.492549</v>
      </c>
      <c r="AP6" s="162" t="n">
        <f aca="false">INDEX(SP_CS_StockPrice,0,COLUMN())*INDEX(SP_CS_ShareCount_EoP_Diluted,0,COLUMN())</f>
        <v>166339.492549</v>
      </c>
      <c r="AQ6" s="163" t="n">
        <f aca="false">INDEX(SP_CS_StockPrice,0,COLUMN())*INDEX(SP_CS_ShareCount_EoP_Diluted,0,COLUMN())</f>
        <v>220082.94</v>
      </c>
      <c r="AR6" s="163" t="n">
        <f aca="false">INDEX(SP_CS_StockPrice,0,COLUMN())*INDEX(SP_CS_ShareCount_EoP_Diluted,0,COLUMN())</f>
        <v>238548</v>
      </c>
      <c r="AS6" s="163" t="n">
        <f aca="false">INDEX(SP_CS_StockPrice,0,COLUMN())*INDEX(SP_CS_ShareCount_EoP_Diluted,0,COLUMN())</f>
        <v>258439.5</v>
      </c>
      <c r="AT6" s="163" t="n">
        <f aca="false">INDEX(SP_CS_StockPrice,0,COLUMN())*INDEX(SP_CS_ShareCount_EoP_Diluted,0,COLUMN())</f>
        <v>286505.4658752</v>
      </c>
      <c r="AU6" s="162" t="n">
        <f aca="false">INDEX(SP_CS_StockPrice,0,COLUMN())*INDEX(SP_CS_ShareCount_EoP_Diluted,0,COLUMN())</f>
        <v>286505.4658752</v>
      </c>
      <c r="AV6" s="163" t="n">
        <f aca="false">INDEX(SP_CS_StockPrice,0,COLUMN())*INDEX(SP_CS_ShareCount_EoP_Diluted,0,COLUMN())</f>
        <v>243590.05</v>
      </c>
      <c r="AW6" s="163" t="n">
        <f aca="false">INDEX(SP_CS_StockPrice,0,COLUMN())*INDEX(SP_CS_ShareCount_EoP_Diluted,0,COLUMN())</f>
        <v>171896.25</v>
      </c>
      <c r="AX6" s="163" t="n">
        <f aca="false">INDEX(SP_CS_StockPrice,0,COLUMN())*INDEX(SP_CS_ShareCount_EoP_Diluted,0,COLUMN())</f>
        <v>171965.76</v>
      </c>
      <c r="AY6" s="163" t="n">
        <f aca="false">INDEX(SP_CS_StockPrice,0,COLUMN())*INDEX(SP_CS_ShareCount_EoP_Diluted,0,COLUMN())</f>
        <v>198945.2852618</v>
      </c>
      <c r="AZ6" s="162" t="n">
        <f aca="false">INDEX(SP_CS_StockPrice,0,COLUMN())*INDEX(SP_CS_ShareCount_EoP_Diluted,0,COLUMN())</f>
        <v>198945.2852618</v>
      </c>
      <c r="BA6" s="163" t="n">
        <f aca="false">INDEX(SP_CS_StockPrice,0,COLUMN())*INDEX(SP_CS_ShareCount_EoP_Diluted,0,COLUMN())</f>
        <v>246828.96</v>
      </c>
      <c r="BB6" s="163" t="n">
        <f aca="false">INDEX(SP_CS_StockPrice,0,COLUMN())*INDEX(SP_CS_ShareCount_EoP_Diluted,0,COLUMN())</f>
        <v>261222</v>
      </c>
      <c r="BC6" s="163" t="n">
        <f aca="false">INDEX(SP_CS_StockPrice,0,COLUMN())*INDEX(SP_CS_ShareCount_EoP_Diluted,0,COLUMN())</f>
        <v>220117.67</v>
      </c>
      <c r="BD6" s="163" t="n">
        <f aca="false">INDEX(SP_CS_StockPrice,0,COLUMN())*INDEX(SP_CS_ShareCount_EoP_Diluted,0,COLUMN())</f>
        <v>268468.2672057</v>
      </c>
      <c r="BE6" s="162" t="n">
        <f aca="false">INDEX(SP_CS_StockPrice,0,COLUMN())*INDEX(SP_CS_ShareCount_EoP_Diluted,0,COLUMN())</f>
        <v>268468.2672057</v>
      </c>
      <c r="BF6" s="163" t="n">
        <f aca="false">INDEX(SP_CS_StockPrice,0,COLUMN())*INDEX(SP_CS_ShareCount_EoP_Diluted,0,COLUMN())</f>
        <v>351259.14</v>
      </c>
      <c r="BG6" s="163" t="n">
        <f aca="false">INDEX(SP_CS_StockPrice,0,COLUMN())*INDEX(SP_CS_ShareCount_EoP_Diluted,0,COLUMN())</f>
        <v>379412.7</v>
      </c>
      <c r="BH6" s="163" t="n">
        <f aca="false">INDEX(SP_CS_StockPrice,0,COLUMN())*INDEX(SP_CS_ShareCount_EoP_Diluted,0,COLUMN())</f>
        <v>298073.28</v>
      </c>
      <c r="BI6" s="163" t="n">
        <f aca="false">INDEX(SP_CS_StockPrice,0,COLUMN())*INDEX(SP_CS_ShareCount_EoP_Diluted,0,COLUMN())</f>
        <v>264448.901468</v>
      </c>
      <c r="BJ6" s="162" t="n">
        <f aca="false">INDEX(SP_CS_StockPrice,0,COLUMN())*INDEX(SP_CS_ShareCount_EoP_Diluted,0,COLUMN())</f>
        <v>264448.901468</v>
      </c>
      <c r="BK6" s="163" t="n">
        <f aca="false">INDEX(SP_CS_StockPrice,0,COLUMN())*INDEX(SP_CS_ShareCount_EoP_Diluted,0,COLUMN())</f>
        <v>245548</v>
      </c>
      <c r="BL6" s="163" t="n">
        <f aca="false">INDEX(SP_CS_StockPrice,0,COLUMN())*INDEX(SP_CS_ShareCount_EoP_Diluted,0,COLUMN())</f>
        <v>265083</v>
      </c>
      <c r="BM6" s="163" t="n">
        <f aca="false">INDEX(SP_CS_StockPrice,0,COLUMN())*INDEX(SP_CS_ShareCount_EoP_Diluted,0,COLUMN())</f>
        <v>315041.28</v>
      </c>
      <c r="BN6" s="163" t="n">
        <f aca="false">INDEX(SP_CS_StockPrice,0,COLUMN())*INDEX(SP_CS_ShareCount_EoP_Diluted,0,COLUMN())</f>
        <v>357257.6</v>
      </c>
      <c r="BO6" s="164" t="n">
        <f aca="false">INDEX(SP_CS_StockPrice,0,COLUMN())*INDEX(SP_CS_ShareCount_EoP_Diluted,0,COLUMN())</f>
        <v>357257.6</v>
      </c>
      <c r="BP6" s="163" t="n">
        <f aca="false">INDEX(SP_CS_StockPrice,0,COLUMN())*INDEX(SP_CS_ShareCount_EoP_Diluted,0,COLUMN())</f>
        <v>473445.670082137</v>
      </c>
      <c r="BQ6" s="163" t="n">
        <f aca="false">INDEX(SP_CS_StockPrice,0,COLUMN())*INDEX(SP_CS_ShareCount_EoP_Diluted,0,COLUMN())</f>
        <v>473493.014649145</v>
      </c>
      <c r="BR6" s="163" t="n">
        <f aca="false">INDEX(SP_CS_StockPrice,0,COLUMN())*INDEX(SP_CS_ShareCount_EoP_Diluted,0,COLUMN())</f>
        <v>473540.36395061</v>
      </c>
      <c r="BS6" s="163" t="n">
        <f aca="false">INDEX(SP_CS_StockPrice,0,COLUMN())*INDEX(SP_CS_ShareCount_EoP_Diluted,0,COLUMN())</f>
        <v>473587.717987005</v>
      </c>
      <c r="BT6" s="162" t="n">
        <f aca="false">INDEX(SP_CS_StockPrice,0,COLUMN())*INDEX(SP_CS_ShareCount_EoP_Diluted,0,COLUMN())</f>
        <v>473587.717987005</v>
      </c>
      <c r="BU6" s="163" t="n">
        <f aca="false">INDEX(SP_CS_StockPrice,0,COLUMN())*INDEX(SP_CS_ShareCount_EoP_Diluted,0,COLUMN())</f>
        <v>473635.076758804</v>
      </c>
      <c r="BV6" s="163" t="n">
        <f aca="false">INDEX(SP_CS_StockPrice,0,COLUMN())*INDEX(SP_CS_ShareCount_EoP_Diluted,0,COLUMN())</f>
        <v>473682.44026648</v>
      </c>
      <c r="BW6" s="163" t="n">
        <f aca="false">INDEX(SP_CS_StockPrice,0,COLUMN())*INDEX(SP_CS_ShareCount_EoP_Diluted,0,COLUMN())</f>
        <v>473729.808510506</v>
      </c>
      <c r="BX6" s="163" t="n">
        <f aca="false">INDEX(SP_CS_StockPrice,0,COLUMN())*INDEX(SP_CS_ShareCount_EoP_Diluted,0,COLUMN())</f>
        <v>473777.181491357</v>
      </c>
      <c r="BY6" s="162" t="n">
        <f aca="false">INDEX(SP_CS_StockPrice,0,COLUMN())*INDEX(SP_CS_ShareCount_EoP_Diluted,0,COLUMN())</f>
        <v>473777.181491357</v>
      </c>
      <c r="BZ6" s="162" t="n">
        <f aca="false">INDEX(SP_CS_StockPrice,0,COLUMN())*INDEX(SP_CS_ShareCount_EoP_Diluted,0,COLUMN())</f>
        <v>473966.692363954</v>
      </c>
      <c r="CA6" s="162" t="n">
        <f aca="false">INDEX(SP_CS_StockPrice,0,COLUMN())*INDEX(SP_CS_ShareCount_EoP_Diluted,0,COLUMN())</f>
        <v>474156.279040899</v>
      </c>
      <c r="CB6" s="162" t="n">
        <f aca="false">INDEX(SP_CS_StockPrice,0,COLUMN())*INDEX(SP_CS_ShareCount_EoP_Diluted,0,COLUMN())</f>
        <v>474345.941552516</v>
      </c>
      <c r="CC6" s="268"/>
    </row>
    <row r="7" s="51" customFormat="true" ht="15" hidden="false" customHeight="true" outlineLevel="0" collapsed="false">
      <c r="A7" s="145" t="str">
        <f aca="false">INDEX(MO_BSS_Cash,0,COLUMN())</f>
        <v>Cash</v>
      </c>
      <c r="B7" s="254"/>
      <c r="C7" s="159" t="n">
        <f aca="false">INDEX(MO_BSS_Cash,0,COLUMN())</f>
        <v>1037.074</v>
      </c>
      <c r="D7" s="159" t="n">
        <f aca="false">INDEX(MO_BSS_Cash,0,COLUMN())</f>
        <v>1949.834</v>
      </c>
      <c r="E7" s="159" t="n">
        <f aca="false">INDEX(MO_BSS_Cash,0,COLUMN())</f>
        <v>2731.782</v>
      </c>
      <c r="F7" s="159" t="n">
        <f aca="false">INDEX(MO_BSS_Cash,0,COLUMN())</f>
        <v>2697.601</v>
      </c>
      <c r="G7" s="159" t="n">
        <f aca="false">INDEX(MO_BSS_Cash,0,COLUMN())</f>
        <v>3010.578</v>
      </c>
      <c r="H7" s="48" t="n">
        <f aca="false">INDEX(MO_BSS_Cash,0,COLUMN())</f>
        <v>2997.8</v>
      </c>
      <c r="I7" s="48" t="n">
        <f aca="false">INDEX(MO_BSS_Cash,0,COLUMN())</f>
        <v>2710.7</v>
      </c>
      <c r="J7" s="48" t="n">
        <f aca="false">INDEX(MO_BSS_Cash,0,COLUMN())</f>
        <v>2684.6</v>
      </c>
      <c r="K7" s="48" t="n">
        <f aca="false">INDEX(MO_BSS_Cash,0,COLUMN())</f>
        <v>2754.351</v>
      </c>
      <c r="L7" s="159" t="n">
        <f aca="false">INDEX(MO_BSS_Cash,0,COLUMN())</f>
        <v>2754.351</v>
      </c>
      <c r="M7" s="48" t="n">
        <f aca="false">INDEX(MO_BSS_Cash,0,COLUMN())</f>
        <v>2838.5</v>
      </c>
      <c r="N7" s="48" t="n">
        <f aca="false">INDEX(MO_BSS_Cash,0,COLUMN())</f>
        <v>2520</v>
      </c>
      <c r="O7" s="48" t="n">
        <f aca="false">INDEX(MO_BSS_Cash,0,COLUMN())</f>
        <v>2680.9</v>
      </c>
      <c r="P7" s="48" t="n">
        <f aca="false">INDEX(MO_BSS_Cash,0,COLUMN())</f>
        <v>3408.717</v>
      </c>
      <c r="Q7" s="159" t="n">
        <f aca="false">INDEX(MO_BSS_Cash,0,COLUMN())</f>
        <v>3408.717</v>
      </c>
      <c r="R7" s="48" t="n">
        <f aca="false">INDEX(MO_BSS_Cash,0,COLUMN())</f>
        <v>3138.4</v>
      </c>
      <c r="S7" s="48" t="n">
        <f aca="false">INDEX(MO_BSS_Cash,0,COLUMN())</f>
        <v>2926.1</v>
      </c>
      <c r="T7" s="48" t="n">
        <f aca="false">INDEX(MO_BSS_Cash,0,COLUMN())</f>
        <v>4313</v>
      </c>
      <c r="U7" s="48" t="n">
        <f aca="false">INDEX(MO_BSS_Cash,0,COLUMN())</f>
        <v>4056.9</v>
      </c>
      <c r="V7" s="159" t="n">
        <f aca="false">INDEX(MO_BSS_Cash,0,COLUMN())</f>
        <v>4056.9</v>
      </c>
      <c r="W7" s="48" t="n">
        <f aca="false">INDEX(MO_BSS_Cash,0,COLUMN())</f>
        <v>3835.6</v>
      </c>
      <c r="X7" s="48" t="n">
        <f aca="false">INDEX(MO_BSS_Cash,0,COLUMN())</f>
        <v>2514.2</v>
      </c>
      <c r="Y7" s="48" t="n">
        <f aca="false">INDEX(MO_BSS_Cash,0,COLUMN())</f>
        <v>2677.6</v>
      </c>
      <c r="Z7" s="48" t="n">
        <f aca="false">INDEX(MO_BSS_Cash,0,COLUMN())</f>
        <v>3288.3</v>
      </c>
      <c r="AA7" s="159" t="n">
        <f aca="false">INDEX(MO_BSS_Cash,0,COLUMN())</f>
        <v>3288.3</v>
      </c>
      <c r="AB7" s="48" t="n">
        <f aca="false">INDEX(MO_BSS_Cash,0,COLUMN())</f>
        <v>3194.1</v>
      </c>
      <c r="AC7" s="48" t="n">
        <f aca="false">INDEX(MO_BSS_Cash,0,COLUMN())</f>
        <v>2980</v>
      </c>
      <c r="AD7" s="48" t="n">
        <f aca="false">INDEX(MO_BSS_Cash,0,COLUMN())</f>
        <v>2947.5</v>
      </c>
      <c r="AE7" s="48" t="n">
        <f aca="false">INDEX(MO_BSS_Cash,0,COLUMN())</f>
        <v>4034.4</v>
      </c>
      <c r="AF7" s="159" t="n">
        <f aca="false">INDEX(MO_BSS_Cash,0,COLUMN())</f>
        <v>4034.4</v>
      </c>
      <c r="AG7" s="48" t="n">
        <f aca="false">INDEX(MO_BSS_Cash,0,COLUMN())</f>
        <v>3275.1</v>
      </c>
      <c r="AH7" s="48" t="n">
        <f aca="false">INDEX(MO_BSS_Cash,0,COLUMN())</f>
        <v>2334.6</v>
      </c>
      <c r="AI7" s="48" t="n">
        <f aca="false">INDEX(MO_BSS_Cash,0,COLUMN())</f>
        <v>2069.9</v>
      </c>
      <c r="AJ7" s="48" t="n">
        <f aca="false">INDEX(MO_BSS_Cash,0,COLUMN())</f>
        <v>4718.1</v>
      </c>
      <c r="AK7" s="159" t="n">
        <f aca="false">INDEX(MO_BSS_Cash,0,COLUMN())</f>
        <v>4718.1</v>
      </c>
      <c r="AL7" s="48" t="n">
        <f aca="false">INDEX(MO_BSS_Cash,0,COLUMN())</f>
        <v>4111.8</v>
      </c>
      <c r="AM7" s="48" t="n">
        <f aca="false">INDEX(MO_BSS_Cash,0,COLUMN())</f>
        <v>4440.3</v>
      </c>
      <c r="AN7" s="48" t="n">
        <f aca="false">INDEX(MO_BSS_Cash,0,COLUMN())</f>
        <v>4407.8</v>
      </c>
      <c r="AO7" s="48" t="n">
        <f aca="false">INDEX(MO_BSS_Cash,0,COLUMN())</f>
        <v>7351.6</v>
      </c>
      <c r="AP7" s="159" t="n">
        <f aca="false">INDEX(MO_BSS_Cash,0,COLUMN())</f>
        <v>7351.6</v>
      </c>
      <c r="AQ7" s="48" t="n">
        <f aca="false">INDEX(MO_BSS_Cash,0,COLUMN())</f>
        <v>4655.4</v>
      </c>
      <c r="AR7" s="48" t="n">
        <f aca="false">INDEX(MO_BSS_Cash,0,COLUMN())</f>
        <v>5373.3</v>
      </c>
      <c r="AS7" s="48" t="n">
        <f aca="false">INDEX(MO_BSS_Cash,0,COLUMN())</f>
        <v>4455.7</v>
      </c>
      <c r="AT7" s="48" t="n">
        <f aca="false">INDEX(MO_BSS_Cash,0,COLUMN())</f>
        <v>7590.3</v>
      </c>
      <c r="AU7" s="159" t="n">
        <f aca="false">INDEX(MO_BSS_Cash,0,COLUMN())</f>
        <v>7590.3</v>
      </c>
      <c r="AV7" s="48" t="n">
        <f aca="false">INDEX(MO_BSS_Cash,0,COLUMN())</f>
        <v>4722.6</v>
      </c>
      <c r="AW7" s="48" t="n">
        <f aca="false">INDEX(MO_BSS_Cash,0,COLUMN())</f>
        <v>4401.9</v>
      </c>
      <c r="AX7" s="48" t="n">
        <f aca="false">INDEX(MO_BSS_Cash,0,COLUMN())</f>
        <v>3362.8</v>
      </c>
      <c r="AY7" s="48" t="n">
        <f aca="false">INDEX(MO_BSS_Cash,0,COLUMN())</f>
        <v>7376</v>
      </c>
      <c r="AZ7" s="159" t="n">
        <f aca="false">INDEX(MO_BSS_Cash,0,COLUMN())</f>
        <v>7376</v>
      </c>
      <c r="BA7" s="48" t="n">
        <f aca="false">INDEX(MO_BSS_Cash,0,COLUMN())</f>
        <v>6652.5</v>
      </c>
      <c r="BB7" s="48" t="n">
        <f aca="false">INDEX(MO_BSS_Cash,0,COLUMN())</f>
        <v>6346.4</v>
      </c>
      <c r="BC7" s="48" t="n">
        <f aca="false">INDEX(MO_BSS_Cash,0,COLUMN())</f>
        <v>4980.9</v>
      </c>
      <c r="BD7" s="48" t="n">
        <f aca="false">INDEX(MO_BSS_Cash,0,COLUMN())</f>
        <v>7010.1</v>
      </c>
      <c r="BE7" s="159" t="n">
        <f aca="false">INDEX(MO_BSS_Cash,0,COLUMN())</f>
        <v>7010.1</v>
      </c>
      <c r="BF7" s="48" t="n">
        <f aca="false">INDEX(MO_BSS_Cash,0,COLUMN())</f>
        <v>5406.1</v>
      </c>
      <c r="BG7" s="48" t="n">
        <f aca="false">INDEX(MO_BSS_Cash,0,COLUMN())</f>
        <v>5018.9</v>
      </c>
      <c r="BH7" s="48" t="n">
        <f aca="false">INDEX(MO_BSS_Cash,0,COLUMN())</f>
        <v>4984.5</v>
      </c>
      <c r="BI7" s="48" t="n">
        <f aca="false">INDEX(MO_BSS_Cash,0,COLUMN())</f>
        <v>12741.3</v>
      </c>
      <c r="BJ7" s="159" t="n">
        <f aca="false">INDEX(MO_BSS_Cash,0,COLUMN())</f>
        <v>12741.3</v>
      </c>
      <c r="BK7" s="48" t="n">
        <f aca="false">INDEX(MO_BSS_Cash,0,COLUMN())</f>
        <v>9103.6</v>
      </c>
      <c r="BL7" s="48" t="n">
        <f aca="false">INDEX(MO_BSS_Cash,0,COLUMN())</f>
        <v>7248.9</v>
      </c>
      <c r="BM7" s="48" t="n">
        <f aca="false">INDEX(MO_BSS_Cash,0,COLUMN())</f>
        <v>5128.2</v>
      </c>
      <c r="BN7" s="48" t="n">
        <f aca="false">INDEX(MO_BSS_Cash,0,COLUMN())</f>
        <v>13321.9</v>
      </c>
      <c r="BO7" s="160" t="n">
        <f aca="false">INDEX(MO_BSS_Cash,0,COLUMN())</f>
        <v>13321.9</v>
      </c>
      <c r="BP7" s="48" t="n">
        <f aca="false">INDEX(MO_BSS_Cash,0,COLUMN())</f>
        <v>17301.8522308287</v>
      </c>
      <c r="BQ7" s="48" t="n">
        <f aca="false">INDEX(MO_BSS_Cash,0,COLUMN())</f>
        <v>19391.2165402904</v>
      </c>
      <c r="BR7" s="48" t="n">
        <f aca="false">INDEX(MO_BSS_Cash,0,COLUMN())</f>
        <v>21655.8750095995</v>
      </c>
      <c r="BS7" s="48" t="n">
        <f aca="false">INDEX(MO_BSS_Cash,0,COLUMN())</f>
        <v>22783.4590300503</v>
      </c>
      <c r="BT7" s="159" t="n">
        <f aca="false">INDEX(MO_BSS_Cash,0,COLUMN())</f>
        <v>22783.4590300503</v>
      </c>
      <c r="BU7" s="48" t="n">
        <f aca="false">INDEX(MO_BSS_Cash,0,COLUMN())</f>
        <v>26985.3936154714</v>
      </c>
      <c r="BV7" s="48" t="n">
        <f aca="false">INDEX(MO_BSS_Cash,0,COLUMN())</f>
        <v>29350.408753916</v>
      </c>
      <c r="BW7" s="48" t="n">
        <f aca="false">INDEX(MO_BSS_Cash,0,COLUMN())</f>
        <v>31794.0074980378</v>
      </c>
      <c r="BX7" s="48" t="n">
        <f aca="false">INDEX(MO_BSS_Cash,0,COLUMN())</f>
        <v>33248.2283271572</v>
      </c>
      <c r="BY7" s="159" t="n">
        <f aca="false">INDEX(MO_BSS_Cash,0,COLUMN())</f>
        <v>33248.2283271572</v>
      </c>
      <c r="BZ7" s="159" t="n">
        <f aca="false">INDEX(MO_BSS_Cash,0,COLUMN())</f>
        <v>47186.2700058035</v>
      </c>
      <c r="CA7" s="159" t="n">
        <f aca="false">INDEX(MO_BSS_Cash,0,COLUMN())</f>
        <v>61069.5947396154</v>
      </c>
      <c r="CB7" s="159" t="n">
        <f aca="false">INDEX(MO_BSS_Cash,0,COLUMN())</f>
        <v>75976.7238265814</v>
      </c>
      <c r="CC7" s="48"/>
    </row>
    <row r="8" s="51" customFormat="true" ht="15" hidden="false" customHeight="true" outlineLevel="0" collapsed="false">
      <c r="A8" s="145" t="str">
        <f aca="false">INDEX(MO_BSS_Debt,0,COLUMN())</f>
        <v>Debt</v>
      </c>
      <c r="B8" s="254"/>
      <c r="C8" s="159" t="n">
        <f aca="false">INDEX(MO_BSS_Debt,0,COLUMN())</f>
        <v>699.756</v>
      </c>
      <c r="D8" s="159" t="n">
        <f aca="false">INDEX(MO_BSS_Debt,0,COLUMN())</f>
        <v>710.06</v>
      </c>
      <c r="E8" s="159" t="n">
        <f aca="false">INDEX(MO_BSS_Debt,0,COLUMN())</f>
        <v>736.368</v>
      </c>
      <c r="F8" s="159" t="n">
        <f aca="false">INDEX(MO_BSS_Debt,0,COLUMN())</f>
        <v>759.49</v>
      </c>
      <c r="G8" s="159" t="n">
        <f aca="false">INDEX(MO_BSS_Debt,0,COLUMN())</f>
        <v>1074.57</v>
      </c>
      <c r="H8" s="48" t="n">
        <f aca="false">INDEX(MO_BSS_Debt,0,COLUMN())</f>
        <v>1101.685</v>
      </c>
      <c r="I8" s="48" t="n">
        <f aca="false">INDEX(MO_BSS_Debt,0,COLUMN())</f>
        <v>1122.785</v>
      </c>
      <c r="J8" s="48" t="n">
        <f aca="false">INDEX(MO_BSS_Debt,0,COLUMN())</f>
        <v>1141.785</v>
      </c>
      <c r="K8" s="48" t="n">
        <f aca="false">INDEX(MO_BSS_Debt,0,COLUMN())</f>
        <v>1154.137</v>
      </c>
      <c r="L8" s="159" t="n">
        <f aca="false">INDEX(MO_BSS_Debt,0,COLUMN())</f>
        <v>1154.137</v>
      </c>
      <c r="M8" s="48" t="n">
        <f aca="false">INDEX(MO_BSS_Debt,0,COLUMN())</f>
        <v>1159.761</v>
      </c>
      <c r="N8" s="48" t="n">
        <f aca="false">INDEX(MO_BSS_Debt,0,COLUMN())</f>
        <v>1120.061</v>
      </c>
      <c r="O8" s="48" t="n">
        <f aca="false">INDEX(MO_BSS_Debt,0,COLUMN())</f>
        <v>1129.561</v>
      </c>
      <c r="P8" s="48" t="n">
        <f aca="false">INDEX(MO_BSS_Debt,0,COLUMN())</f>
        <v>1129.685</v>
      </c>
      <c r="Q8" s="159" t="n">
        <f aca="false">INDEX(MO_BSS_Debt,0,COLUMN())</f>
        <v>1129.685</v>
      </c>
      <c r="R8" s="48" t="n">
        <f aca="false">INDEX(MO_BSS_Debt,0,COLUMN())</f>
        <v>1148.511</v>
      </c>
      <c r="S8" s="48" t="n">
        <f aca="false">INDEX(MO_BSS_Debt,0,COLUMN())</f>
        <v>906.111</v>
      </c>
      <c r="T8" s="48" t="n">
        <f aca="false">INDEX(MO_BSS_Debt,0,COLUMN())</f>
        <v>2394.811</v>
      </c>
      <c r="U8" s="48" t="n">
        <f aca="false">INDEX(MO_BSS_Debt,0,COLUMN())</f>
        <v>3319.5</v>
      </c>
      <c r="V8" s="159" t="n">
        <f aca="false">INDEX(MO_BSS_Debt,0,COLUMN())</f>
        <v>3319.5</v>
      </c>
      <c r="W8" s="48" t="n">
        <f aca="false">INDEX(MO_BSS_Debt,0,COLUMN())</f>
        <v>3288</v>
      </c>
      <c r="X8" s="48" t="n">
        <f aca="false">INDEX(MO_BSS_Debt,0,COLUMN())</f>
        <v>3243.2</v>
      </c>
      <c r="Y8" s="48" t="n">
        <f aca="false">INDEX(MO_BSS_Debt,0,COLUMN())</f>
        <v>3244.4</v>
      </c>
      <c r="Z8" s="48" t="n">
        <f aca="false">INDEX(MO_BSS_Debt,0,COLUMN())</f>
        <v>3025.3</v>
      </c>
      <c r="AA8" s="159" t="n">
        <f aca="false">INDEX(MO_BSS_Debt,0,COLUMN())</f>
        <v>3025.3</v>
      </c>
      <c r="AB8" s="48" t="n">
        <f aca="false">INDEX(MO_BSS_Debt,0,COLUMN())</f>
        <v>3003.8</v>
      </c>
      <c r="AC8" s="48" t="n">
        <f aca="false">INDEX(MO_BSS_Debt,0,COLUMN())</f>
        <v>3032.9</v>
      </c>
      <c r="AD8" s="48" t="n">
        <f aca="false">INDEX(MO_BSS_Debt,0,COLUMN())</f>
        <v>3011.1</v>
      </c>
      <c r="AE8" s="48" t="n">
        <f aca="false">INDEX(MO_BSS_Debt,0,COLUMN())</f>
        <v>3026.5</v>
      </c>
      <c r="AF8" s="159" t="n">
        <f aca="false">INDEX(MO_BSS_Debt,0,COLUMN())</f>
        <v>3026.5</v>
      </c>
      <c r="AG8" s="48" t="n">
        <f aca="false">INDEX(MO_BSS_Debt,0,COLUMN())</f>
        <v>3082.5</v>
      </c>
      <c r="AH8" s="48" t="n">
        <f aca="false">INDEX(MO_BSS_Debt,0,COLUMN())</f>
        <v>3132.4</v>
      </c>
      <c r="AI8" s="48" t="n">
        <f aca="false">INDEX(MO_BSS_Debt,0,COLUMN())</f>
        <v>3170</v>
      </c>
      <c r="AJ8" s="48" t="n">
        <f aca="false">INDEX(MO_BSS_Debt,0,COLUMN())</f>
        <v>3108.3</v>
      </c>
      <c r="AK8" s="159" t="n">
        <f aca="false">INDEX(MO_BSS_Debt,0,COLUMN())</f>
        <v>3108.3</v>
      </c>
      <c r="AL8" s="48" t="n">
        <f aca="false">INDEX(MO_BSS_Debt,0,COLUMN())</f>
        <v>3868.2</v>
      </c>
      <c r="AM8" s="48" t="n">
        <f aca="false">INDEX(MO_BSS_Debt,0,COLUMN())</f>
        <v>4625</v>
      </c>
      <c r="AN8" s="48" t="n">
        <f aca="false">INDEX(MO_BSS_Debt,0,COLUMN())</f>
        <v>4626.7</v>
      </c>
      <c r="AO8" s="48" t="n">
        <f aca="false">INDEX(MO_BSS_Debt,0,COLUMN())</f>
        <v>4678.2</v>
      </c>
      <c r="AP8" s="159" t="n">
        <f aca="false">INDEX(MO_BSS_Debt,0,COLUMN())</f>
        <v>4678.2</v>
      </c>
      <c r="AQ8" s="48" t="n">
        <f aca="false">INDEX(MO_BSS_Debt,0,COLUMN())</f>
        <v>4649.6</v>
      </c>
      <c r="AR8" s="48" t="n">
        <f aca="false">INDEX(MO_BSS_Debt,0,COLUMN())</f>
        <v>4635.3</v>
      </c>
      <c r="AS8" s="48" t="n">
        <f aca="false">INDEX(MO_BSS_Debt,0,COLUMN())</f>
        <v>4121.2</v>
      </c>
      <c r="AT8" s="48" t="n">
        <f aca="false">INDEX(MO_BSS_Debt,0,COLUMN())</f>
        <v>4584.1</v>
      </c>
      <c r="AU8" s="159" t="n">
        <f aca="false">INDEX(MO_BSS_Debt,0,COLUMN())</f>
        <v>4584.1</v>
      </c>
      <c r="AV8" s="48" t="n">
        <f aca="false">INDEX(MO_BSS_Debt,0,COLUMN())</f>
        <v>4460.8</v>
      </c>
      <c r="AW8" s="48" t="n">
        <f aca="false">INDEX(MO_BSS_Debt,0,COLUMN())</f>
        <v>4894.4</v>
      </c>
      <c r="AX8" s="48" t="n">
        <f aca="false">INDEX(MO_BSS_Debt,0,COLUMN())</f>
        <v>4012.2</v>
      </c>
      <c r="AY8" s="48" t="n">
        <f aca="false">INDEX(MO_BSS_Debt,0,COLUMN())</f>
        <v>4260.4</v>
      </c>
      <c r="AZ8" s="159" t="n">
        <f aca="false">INDEX(MO_BSS_Debt,0,COLUMN())</f>
        <v>4260.4</v>
      </c>
      <c r="BA8" s="48" t="n">
        <f aca="false">INDEX(MO_BSS_Debt,0,COLUMN())</f>
        <v>4282.2</v>
      </c>
      <c r="BB8" s="48" t="n">
        <f aca="false">INDEX(MO_BSS_Debt,0,COLUMN())</f>
        <v>5264</v>
      </c>
      <c r="BC8" s="48" t="n">
        <f aca="false">INDEX(MO_BSS_Debt,0,COLUMN())</f>
        <v>5268.5</v>
      </c>
      <c r="BD8" s="48" t="n">
        <f aca="false">INDEX(MO_BSS_Debt,0,COLUMN())</f>
        <v>4631.6</v>
      </c>
      <c r="BE8" s="159" t="n">
        <f aca="false">INDEX(MO_BSS_Debt,0,COLUMN())</f>
        <v>4631.6</v>
      </c>
      <c r="BF8" s="48" t="n">
        <f aca="false">INDEX(MO_BSS_Debt,0,COLUMN())</f>
        <v>4612.1</v>
      </c>
      <c r="BG8" s="48" t="n">
        <f aca="false">INDEX(MO_BSS_Debt,0,COLUMN())</f>
        <v>4608.3</v>
      </c>
      <c r="BH8" s="48" t="n">
        <f aca="false">INDEX(MO_BSS_Debt,0,COLUMN())</f>
        <v>4692.3</v>
      </c>
      <c r="BI8" s="48" t="n">
        <f aca="false">INDEX(MO_BSS_Debt,0,COLUMN())</f>
        <v>4687.6</v>
      </c>
      <c r="BJ8" s="159" t="n">
        <f aca="false">INDEX(MO_BSS_Debt,0,COLUMN())</f>
        <v>4687.6</v>
      </c>
      <c r="BK8" s="48" t="n">
        <f aca="false">INDEX(MO_BSS_Debt,0,COLUMN())</f>
        <v>4691.3</v>
      </c>
      <c r="BL8" s="48" t="n">
        <f aca="false">INDEX(MO_BSS_Debt,0,COLUMN())</f>
        <v>4709.2</v>
      </c>
      <c r="BM8" s="48" t="n">
        <f aca="false">INDEX(MO_BSS_Debt,0,COLUMN())</f>
        <v>3715</v>
      </c>
      <c r="BN8" s="48" t="n">
        <f aca="false">INDEX(MO_BSS_Debt,0,COLUMN())</f>
        <v>4759.136</v>
      </c>
      <c r="BO8" s="160" t="n">
        <f aca="false">INDEX(MO_BSS_Debt,0,COLUMN())</f>
        <v>4759.136</v>
      </c>
      <c r="BP8" s="48" t="n">
        <f aca="false">INDEX(MO_BSS_Debt,0,COLUMN())</f>
        <v>4759.136</v>
      </c>
      <c r="BQ8" s="48" t="n">
        <f aca="false">INDEX(MO_BSS_Debt,0,COLUMN())</f>
        <v>4759.136</v>
      </c>
      <c r="BR8" s="48" t="n">
        <f aca="false">INDEX(MO_BSS_Debt,0,COLUMN())</f>
        <v>4759.136</v>
      </c>
      <c r="BS8" s="48" t="n">
        <f aca="false">INDEX(MO_BSS_Debt,0,COLUMN())</f>
        <v>4759.136</v>
      </c>
      <c r="BT8" s="159" t="n">
        <f aca="false">INDEX(MO_BSS_Debt,0,COLUMN())</f>
        <v>4759.136</v>
      </c>
      <c r="BU8" s="48" t="n">
        <f aca="false">INDEX(MO_BSS_Debt,0,COLUMN())</f>
        <v>4759.136</v>
      </c>
      <c r="BV8" s="48" t="n">
        <f aca="false">INDEX(MO_BSS_Debt,0,COLUMN())</f>
        <v>4759.136</v>
      </c>
      <c r="BW8" s="48" t="n">
        <f aca="false">INDEX(MO_BSS_Debt,0,COLUMN())</f>
        <v>4759.136</v>
      </c>
      <c r="BX8" s="48" t="n">
        <f aca="false">INDEX(MO_BSS_Debt,0,COLUMN())</f>
        <v>4759.136</v>
      </c>
      <c r="BY8" s="159" t="n">
        <f aca="false">INDEX(MO_BSS_Debt,0,COLUMN())</f>
        <v>4759.136</v>
      </c>
      <c r="BZ8" s="159" t="n">
        <f aca="false">INDEX(MO_BSS_Debt,0,COLUMN())</f>
        <v>4759.136</v>
      </c>
      <c r="CA8" s="159" t="n">
        <f aca="false">INDEX(MO_BSS_Debt,0,COLUMN())</f>
        <v>4759.136</v>
      </c>
      <c r="CB8" s="159" t="n">
        <f aca="false">INDEX(MO_BSS_Debt,0,COLUMN())</f>
        <v>4759.136</v>
      </c>
      <c r="CC8" s="48"/>
    </row>
    <row r="9" s="51" customFormat="true" ht="15" hidden="false" customHeight="true" outlineLevel="0" collapsed="false">
      <c r="A9" s="251" t="s">
        <v>502</v>
      </c>
      <c r="B9" s="257"/>
      <c r="C9" s="261" t="n">
        <f aca="false">INDEX(MO_VA_EVCalc_NCI,0,COLUMN())+INDEX(MO_VA_EVCalc_Prefs,0,COLUMN())+INDEX(MO_VA_EVCalc_Other,0,COLUMN())</f>
        <v>0</v>
      </c>
      <c r="D9" s="261" t="n">
        <f aca="false">INDEX(MO_VA_EVCalc_NCI,0,COLUMN())+INDEX(MO_VA_EVCalc_Prefs,0,COLUMN())+INDEX(MO_VA_EVCalc_Other,0,COLUMN())</f>
        <v>0</v>
      </c>
      <c r="E9" s="261" t="n">
        <f aca="false">INDEX(MO_VA_EVCalc_NCI,0,COLUMN())+INDEX(MO_VA_EVCalc_Prefs,0,COLUMN())+INDEX(MO_VA_EVCalc_Other,0,COLUMN())</f>
        <v>0</v>
      </c>
      <c r="F9" s="261" t="n">
        <f aca="false">INDEX(MO_VA_EVCalc_NCI,0,COLUMN())+INDEX(MO_VA_EVCalc_Prefs,0,COLUMN())+INDEX(MO_VA_EVCalc_Other,0,COLUMN())</f>
        <v>0</v>
      </c>
      <c r="G9" s="261" t="n">
        <f aca="false">INDEX(MO_VA_EVCalc_NCI,0,COLUMN())+INDEX(MO_VA_EVCalc_Prefs,0,COLUMN())+INDEX(MO_VA_EVCalc_Other,0,COLUMN())</f>
        <v>0</v>
      </c>
      <c r="H9" s="259" t="n">
        <f aca="false">INDEX(MO_VA_EVCalc_NCI,0,COLUMN())+INDEX(MO_VA_EVCalc_Prefs,0,COLUMN())+INDEX(MO_VA_EVCalc_Other,0,COLUMN())</f>
        <v>0</v>
      </c>
      <c r="I9" s="259" t="n">
        <f aca="false">INDEX(MO_VA_EVCalc_NCI,0,COLUMN())+INDEX(MO_VA_EVCalc_Prefs,0,COLUMN())+INDEX(MO_VA_EVCalc_Other,0,COLUMN())</f>
        <v>0</v>
      </c>
      <c r="J9" s="259" t="n">
        <f aca="false">INDEX(MO_VA_EVCalc_NCI,0,COLUMN())+INDEX(MO_VA_EVCalc_Prefs,0,COLUMN())+INDEX(MO_VA_EVCalc_Other,0,COLUMN())</f>
        <v>0</v>
      </c>
      <c r="K9" s="259" t="n">
        <f aca="false">INDEX(MO_VA_EVCalc_NCI,0,COLUMN())+INDEX(MO_VA_EVCalc_Prefs,0,COLUMN())+INDEX(MO_VA_EVCalc_Other,0,COLUMN())</f>
        <v>0</v>
      </c>
      <c r="L9" s="261" t="n">
        <f aca="false">INDEX(MO_VA_EVCalc_NCI,0,COLUMN())+INDEX(MO_VA_EVCalc_Prefs,0,COLUMN())+INDEX(MO_VA_EVCalc_Other,0,COLUMN())</f>
        <v>0</v>
      </c>
      <c r="M9" s="259" t="n">
        <f aca="false">INDEX(MO_VA_EVCalc_NCI,0,COLUMN())+INDEX(MO_VA_EVCalc_Prefs,0,COLUMN())+INDEX(MO_VA_EVCalc_Other,0,COLUMN())</f>
        <v>0</v>
      </c>
      <c r="N9" s="259" t="n">
        <f aca="false">INDEX(MO_VA_EVCalc_NCI,0,COLUMN())+INDEX(MO_VA_EVCalc_Prefs,0,COLUMN())+INDEX(MO_VA_EVCalc_Other,0,COLUMN())</f>
        <v>0</v>
      </c>
      <c r="O9" s="259" t="n">
        <f aca="false">INDEX(MO_VA_EVCalc_NCI,0,COLUMN())+INDEX(MO_VA_EVCalc_Prefs,0,COLUMN())+INDEX(MO_VA_EVCalc_Other,0,COLUMN())</f>
        <v>0</v>
      </c>
      <c r="P9" s="259" t="n">
        <f aca="false">INDEX(MO_VA_EVCalc_NCI,0,COLUMN())+INDEX(MO_VA_EVCalc_Prefs,0,COLUMN())+INDEX(MO_VA_EVCalc_Other,0,COLUMN())</f>
        <v>0</v>
      </c>
      <c r="Q9" s="261" t="n">
        <f aca="false">INDEX(MO_VA_EVCalc_NCI,0,COLUMN())+INDEX(MO_VA_EVCalc_Prefs,0,COLUMN())+INDEX(MO_VA_EVCalc_Other,0,COLUMN())</f>
        <v>0</v>
      </c>
      <c r="R9" s="259" t="n">
        <f aca="false">INDEX(MO_VA_EVCalc_NCI,0,COLUMN())+INDEX(MO_VA_EVCalc_Prefs,0,COLUMN())+INDEX(MO_VA_EVCalc_Other,0,COLUMN())</f>
        <v>0</v>
      </c>
      <c r="S9" s="259" t="n">
        <f aca="false">INDEX(MO_VA_EVCalc_NCI,0,COLUMN())+INDEX(MO_VA_EVCalc_Prefs,0,COLUMN())+INDEX(MO_VA_EVCalc_Other,0,COLUMN())</f>
        <v>0</v>
      </c>
      <c r="T9" s="259" t="n">
        <f aca="false">INDEX(MO_VA_EVCalc_NCI,0,COLUMN())+INDEX(MO_VA_EVCalc_Prefs,0,COLUMN())+INDEX(MO_VA_EVCalc_Other,0,COLUMN())</f>
        <v>0</v>
      </c>
      <c r="U9" s="259" t="n">
        <f aca="false">INDEX(MO_VA_EVCalc_NCI,0,COLUMN())+INDEX(MO_VA_EVCalc_Prefs,0,COLUMN())+INDEX(MO_VA_EVCalc_Other,0,COLUMN())</f>
        <v>0</v>
      </c>
      <c r="V9" s="261" t="n">
        <f aca="false">INDEX(MO_VA_EVCalc_NCI,0,COLUMN())+INDEX(MO_VA_EVCalc_Prefs,0,COLUMN())+INDEX(MO_VA_EVCalc_Other,0,COLUMN())</f>
        <v>0</v>
      </c>
      <c r="W9" s="259" t="n">
        <f aca="false">INDEX(MO_VA_EVCalc_NCI,0,COLUMN())+INDEX(MO_VA_EVCalc_Prefs,0,COLUMN())+INDEX(MO_VA_EVCalc_Other,0,COLUMN())</f>
        <v>0</v>
      </c>
      <c r="X9" s="259" t="n">
        <f aca="false">INDEX(MO_VA_EVCalc_NCI,0,COLUMN())+INDEX(MO_VA_EVCalc_Prefs,0,COLUMN())+INDEX(MO_VA_EVCalc_Other,0,COLUMN())</f>
        <v>0</v>
      </c>
      <c r="Y9" s="259" t="n">
        <f aca="false">INDEX(MO_VA_EVCalc_NCI,0,COLUMN())+INDEX(MO_VA_EVCalc_Prefs,0,COLUMN())+INDEX(MO_VA_EVCalc_Other,0,COLUMN())</f>
        <v>0</v>
      </c>
      <c r="Z9" s="259" t="n">
        <f aca="false">INDEX(MO_VA_EVCalc_NCI,0,COLUMN())+INDEX(MO_VA_EVCalc_Prefs,0,COLUMN())+INDEX(MO_VA_EVCalc_Other,0,COLUMN())</f>
        <v>0</v>
      </c>
      <c r="AA9" s="261" t="n">
        <f aca="false">INDEX(MO_VA_EVCalc_NCI,0,COLUMN())+INDEX(MO_VA_EVCalc_Prefs,0,COLUMN())+INDEX(MO_VA_EVCalc_Other,0,COLUMN())</f>
        <v>0</v>
      </c>
      <c r="AB9" s="259" t="n">
        <f aca="false">INDEX(MO_VA_EVCalc_NCI,0,COLUMN())+INDEX(MO_VA_EVCalc_Prefs,0,COLUMN())+INDEX(MO_VA_EVCalc_Other,0,COLUMN())</f>
        <v>0</v>
      </c>
      <c r="AC9" s="259" t="n">
        <f aca="false">INDEX(MO_VA_EVCalc_NCI,0,COLUMN())+INDEX(MO_VA_EVCalc_Prefs,0,COLUMN())+INDEX(MO_VA_EVCalc_Other,0,COLUMN())</f>
        <v>0</v>
      </c>
      <c r="AD9" s="259" t="n">
        <f aca="false">INDEX(MO_VA_EVCalc_NCI,0,COLUMN())+INDEX(MO_VA_EVCalc_Prefs,0,COLUMN())+INDEX(MO_VA_EVCalc_Other,0,COLUMN())</f>
        <v>0</v>
      </c>
      <c r="AE9" s="259" t="n">
        <f aca="false">INDEX(MO_VA_EVCalc_NCI,0,COLUMN())+INDEX(MO_VA_EVCalc_Prefs,0,COLUMN())+INDEX(MO_VA_EVCalc_Other,0,COLUMN())</f>
        <v>0</v>
      </c>
      <c r="AF9" s="261" t="n">
        <f aca="false">INDEX(MO_VA_EVCalc_NCI,0,COLUMN())+INDEX(MO_VA_EVCalc_Prefs,0,COLUMN())+INDEX(MO_VA_EVCalc_Other,0,COLUMN())</f>
        <v>0</v>
      </c>
      <c r="AG9" s="259" t="n">
        <f aca="false">INDEX(MO_VA_EVCalc_NCI,0,COLUMN())+INDEX(MO_VA_EVCalc_Prefs,0,COLUMN())+INDEX(MO_VA_EVCalc_Other,0,COLUMN())</f>
        <v>0</v>
      </c>
      <c r="AH9" s="259" t="n">
        <f aca="false">INDEX(MO_VA_EVCalc_NCI,0,COLUMN())+INDEX(MO_VA_EVCalc_Prefs,0,COLUMN())+INDEX(MO_VA_EVCalc_Other,0,COLUMN())</f>
        <v>0</v>
      </c>
      <c r="AI9" s="259" t="n">
        <f aca="false">INDEX(MO_VA_EVCalc_NCI,0,COLUMN())+INDEX(MO_VA_EVCalc_Prefs,0,COLUMN())+INDEX(MO_VA_EVCalc_Other,0,COLUMN())</f>
        <v>0</v>
      </c>
      <c r="AJ9" s="259" t="n">
        <f aca="false">INDEX(MO_VA_EVCalc_NCI,0,COLUMN())+INDEX(MO_VA_EVCalc_Prefs,0,COLUMN())+INDEX(MO_VA_EVCalc_Other,0,COLUMN())</f>
        <v>0</v>
      </c>
      <c r="AK9" s="261" t="n">
        <f aca="false">INDEX(MO_VA_EVCalc_NCI,0,COLUMN())+INDEX(MO_VA_EVCalc_Prefs,0,COLUMN())+INDEX(MO_VA_EVCalc_Other,0,COLUMN())</f>
        <v>0</v>
      </c>
      <c r="AL9" s="259" t="n">
        <f aca="false">INDEX(MO_VA_EVCalc_NCI,0,COLUMN())+INDEX(MO_VA_EVCalc_Prefs,0,COLUMN())+INDEX(MO_VA_EVCalc_Other,0,COLUMN())</f>
        <v>0</v>
      </c>
      <c r="AM9" s="259" t="n">
        <f aca="false">INDEX(MO_VA_EVCalc_NCI,0,COLUMN())+INDEX(MO_VA_EVCalc_Prefs,0,COLUMN())+INDEX(MO_VA_EVCalc_Other,0,COLUMN())</f>
        <v>0</v>
      </c>
      <c r="AN9" s="259" t="n">
        <f aca="false">INDEX(MO_VA_EVCalc_NCI,0,COLUMN())+INDEX(MO_VA_EVCalc_Prefs,0,COLUMN())+INDEX(MO_VA_EVCalc_Other,0,COLUMN())</f>
        <v>0</v>
      </c>
      <c r="AO9" s="259" t="n">
        <f aca="false">INDEX(MO_VA_EVCalc_NCI,0,COLUMN())+INDEX(MO_VA_EVCalc_Prefs,0,COLUMN())+INDEX(MO_VA_EVCalc_Other,0,COLUMN())</f>
        <v>0</v>
      </c>
      <c r="AP9" s="261" t="n">
        <f aca="false">INDEX(MO_VA_EVCalc_NCI,0,COLUMN())+INDEX(MO_VA_EVCalc_Prefs,0,COLUMN())+INDEX(MO_VA_EVCalc_Other,0,COLUMN())</f>
        <v>0</v>
      </c>
      <c r="AQ9" s="259" t="n">
        <f aca="false">INDEX(MO_VA_EVCalc_NCI,0,COLUMN())+INDEX(MO_VA_EVCalc_Prefs,0,COLUMN())+INDEX(MO_VA_EVCalc_Other,0,COLUMN())</f>
        <v>0</v>
      </c>
      <c r="AR9" s="259" t="n">
        <f aca="false">INDEX(MO_VA_EVCalc_NCI,0,COLUMN())+INDEX(MO_VA_EVCalc_Prefs,0,COLUMN())+INDEX(MO_VA_EVCalc_Other,0,COLUMN())</f>
        <v>0</v>
      </c>
      <c r="AS9" s="259" t="n">
        <f aca="false">INDEX(MO_VA_EVCalc_NCI,0,COLUMN())+INDEX(MO_VA_EVCalc_Prefs,0,COLUMN())+INDEX(MO_VA_EVCalc_Other,0,COLUMN())</f>
        <v>0</v>
      </c>
      <c r="AT9" s="259" t="n">
        <f aca="false">INDEX(MO_VA_EVCalc_NCI,0,COLUMN())+INDEX(MO_VA_EVCalc_Prefs,0,COLUMN())+INDEX(MO_VA_EVCalc_Other,0,COLUMN())</f>
        <v>0</v>
      </c>
      <c r="AU9" s="261" t="n">
        <f aca="false">INDEX(MO_VA_EVCalc_NCI,0,COLUMN())+INDEX(MO_VA_EVCalc_Prefs,0,COLUMN())+INDEX(MO_VA_EVCalc_Other,0,COLUMN())</f>
        <v>0</v>
      </c>
      <c r="AV9" s="259" t="n">
        <f aca="false">INDEX(MO_VA_EVCalc_NCI,0,COLUMN())+INDEX(MO_VA_EVCalc_Prefs,0,COLUMN())+INDEX(MO_VA_EVCalc_Other,0,COLUMN())</f>
        <v>0</v>
      </c>
      <c r="AW9" s="259" t="n">
        <f aca="false">INDEX(MO_VA_EVCalc_NCI,0,COLUMN())+INDEX(MO_VA_EVCalc_Prefs,0,COLUMN())+INDEX(MO_VA_EVCalc_Other,0,COLUMN())</f>
        <v>0</v>
      </c>
      <c r="AX9" s="259" t="n">
        <f aca="false">INDEX(MO_VA_EVCalc_NCI,0,COLUMN())+INDEX(MO_VA_EVCalc_Prefs,0,COLUMN())+INDEX(MO_VA_EVCalc_Other,0,COLUMN())</f>
        <v>0</v>
      </c>
      <c r="AY9" s="259" t="n">
        <f aca="false">INDEX(MO_VA_EVCalc_NCI,0,COLUMN())+INDEX(MO_VA_EVCalc_Prefs,0,COLUMN())+INDEX(MO_VA_EVCalc_Other,0,COLUMN())</f>
        <v>0</v>
      </c>
      <c r="AZ9" s="261" t="n">
        <f aca="false">INDEX(MO_VA_EVCalc_NCI,0,COLUMN())+INDEX(MO_VA_EVCalc_Prefs,0,COLUMN())+INDEX(MO_VA_EVCalc_Other,0,COLUMN())</f>
        <v>0</v>
      </c>
      <c r="BA9" s="259" t="n">
        <f aca="false">INDEX(MO_VA_EVCalc_NCI,0,COLUMN())+INDEX(MO_VA_EVCalc_Prefs,0,COLUMN())+INDEX(MO_VA_EVCalc_Other,0,COLUMN())</f>
        <v>0</v>
      </c>
      <c r="BB9" s="259" t="n">
        <f aca="false">INDEX(MO_VA_EVCalc_NCI,0,COLUMN())+INDEX(MO_VA_EVCalc_Prefs,0,COLUMN())+INDEX(MO_VA_EVCalc_Other,0,COLUMN())</f>
        <v>0</v>
      </c>
      <c r="BC9" s="259" t="n">
        <f aca="false">INDEX(MO_VA_EVCalc_NCI,0,COLUMN())+INDEX(MO_VA_EVCalc_Prefs,0,COLUMN())+INDEX(MO_VA_EVCalc_Other,0,COLUMN())</f>
        <v>0</v>
      </c>
      <c r="BD9" s="259" t="n">
        <f aca="false">INDEX(MO_VA_EVCalc_NCI,0,COLUMN())+INDEX(MO_VA_EVCalc_Prefs,0,COLUMN())+INDEX(MO_VA_EVCalc_Other,0,COLUMN())</f>
        <v>0</v>
      </c>
      <c r="BE9" s="261" t="n">
        <f aca="false">INDEX(MO_VA_EVCalc_NCI,0,COLUMN())+INDEX(MO_VA_EVCalc_Prefs,0,COLUMN())+INDEX(MO_VA_EVCalc_Other,0,COLUMN())</f>
        <v>0</v>
      </c>
      <c r="BF9" s="259" t="n">
        <f aca="false">INDEX(MO_VA_EVCalc_NCI,0,COLUMN())+INDEX(MO_VA_EVCalc_Prefs,0,COLUMN())+INDEX(MO_VA_EVCalc_Other,0,COLUMN())</f>
        <v>0</v>
      </c>
      <c r="BG9" s="259" t="n">
        <f aca="false">INDEX(MO_VA_EVCalc_NCI,0,COLUMN())+INDEX(MO_VA_EVCalc_Prefs,0,COLUMN())+INDEX(MO_VA_EVCalc_Other,0,COLUMN())</f>
        <v>0</v>
      </c>
      <c r="BH9" s="259" t="n">
        <f aca="false">INDEX(MO_VA_EVCalc_NCI,0,COLUMN())+INDEX(MO_VA_EVCalc_Prefs,0,COLUMN())+INDEX(MO_VA_EVCalc_Other,0,COLUMN())</f>
        <v>0</v>
      </c>
      <c r="BI9" s="259" t="n">
        <f aca="false">INDEX(MO_VA_EVCalc_NCI,0,COLUMN())+INDEX(MO_VA_EVCalc_Prefs,0,COLUMN())+INDEX(MO_VA_EVCalc_Other,0,COLUMN())</f>
        <v>0</v>
      </c>
      <c r="BJ9" s="261" t="n">
        <f aca="false">INDEX(MO_VA_EVCalc_NCI,0,COLUMN())+INDEX(MO_VA_EVCalc_Prefs,0,COLUMN())+INDEX(MO_VA_EVCalc_Other,0,COLUMN())</f>
        <v>0</v>
      </c>
      <c r="BK9" s="259" t="n">
        <f aca="false">INDEX(MO_VA_EVCalc_NCI,0,COLUMN())+INDEX(MO_VA_EVCalc_Prefs,0,COLUMN())+INDEX(MO_VA_EVCalc_Other,0,COLUMN())</f>
        <v>0</v>
      </c>
      <c r="BL9" s="259" t="n">
        <f aca="false">INDEX(MO_VA_EVCalc_NCI,0,COLUMN())+INDEX(MO_VA_EVCalc_Prefs,0,COLUMN())+INDEX(MO_VA_EVCalc_Other,0,COLUMN())</f>
        <v>0</v>
      </c>
      <c r="BM9" s="259" t="n">
        <f aca="false">INDEX(MO_VA_EVCalc_NCI,0,COLUMN())+INDEX(MO_VA_EVCalc_Prefs,0,COLUMN())+INDEX(MO_VA_EVCalc_Other,0,COLUMN())</f>
        <v>0</v>
      </c>
      <c r="BN9" s="259" t="n">
        <f aca="false">INDEX(MO_VA_EVCalc_NCI,0,COLUMN())+INDEX(MO_VA_EVCalc_Prefs,0,COLUMN())+INDEX(MO_VA_EVCalc_Other,0,COLUMN())</f>
        <v>0</v>
      </c>
      <c r="BO9" s="260" t="n">
        <f aca="false">INDEX(MO_VA_EVCalc_NCI,0,COLUMN())+INDEX(MO_VA_EVCalc_Prefs,0,COLUMN())+INDEX(MO_VA_EVCalc_Other,0,COLUMN())</f>
        <v>0</v>
      </c>
      <c r="BP9" s="259" t="n">
        <f aca="false">INDEX(MO_VA_EVCalc_NCI,0,COLUMN())+INDEX(MO_VA_EVCalc_Prefs,0,COLUMN())+INDEX(MO_VA_EVCalc_Other,0,COLUMN())</f>
        <v>0</v>
      </c>
      <c r="BQ9" s="259" t="n">
        <f aca="false">INDEX(MO_VA_EVCalc_NCI,0,COLUMN())+INDEX(MO_VA_EVCalc_Prefs,0,COLUMN())+INDEX(MO_VA_EVCalc_Other,0,COLUMN())</f>
        <v>0</v>
      </c>
      <c r="BR9" s="259" t="n">
        <f aca="false">INDEX(MO_VA_EVCalc_NCI,0,COLUMN())+INDEX(MO_VA_EVCalc_Prefs,0,COLUMN())+INDEX(MO_VA_EVCalc_Other,0,COLUMN())</f>
        <v>0</v>
      </c>
      <c r="BS9" s="259" t="n">
        <f aca="false">INDEX(MO_VA_EVCalc_NCI,0,COLUMN())+INDEX(MO_VA_EVCalc_Prefs,0,COLUMN())+INDEX(MO_VA_EVCalc_Other,0,COLUMN())</f>
        <v>0</v>
      </c>
      <c r="BT9" s="261" t="n">
        <f aca="false">INDEX(MO_VA_EVCalc_NCI,0,COLUMN())+INDEX(MO_VA_EVCalc_Prefs,0,COLUMN())+INDEX(MO_VA_EVCalc_Other,0,COLUMN())</f>
        <v>0</v>
      </c>
      <c r="BU9" s="259" t="n">
        <f aca="false">INDEX(MO_VA_EVCalc_NCI,0,COLUMN())+INDEX(MO_VA_EVCalc_Prefs,0,COLUMN())+INDEX(MO_VA_EVCalc_Other,0,COLUMN())</f>
        <v>0</v>
      </c>
      <c r="BV9" s="259" t="n">
        <f aca="false">INDEX(MO_VA_EVCalc_NCI,0,COLUMN())+INDEX(MO_VA_EVCalc_Prefs,0,COLUMN())+INDEX(MO_VA_EVCalc_Other,0,COLUMN())</f>
        <v>0</v>
      </c>
      <c r="BW9" s="259" t="n">
        <f aca="false">INDEX(MO_VA_EVCalc_NCI,0,COLUMN())+INDEX(MO_VA_EVCalc_Prefs,0,COLUMN())+INDEX(MO_VA_EVCalc_Other,0,COLUMN())</f>
        <v>0</v>
      </c>
      <c r="BX9" s="259" t="n">
        <f aca="false">INDEX(MO_VA_EVCalc_NCI,0,COLUMN())+INDEX(MO_VA_EVCalc_Prefs,0,COLUMN())+INDEX(MO_VA_EVCalc_Other,0,COLUMN())</f>
        <v>0</v>
      </c>
      <c r="BY9" s="261" t="n">
        <f aca="false">INDEX(MO_VA_EVCalc_NCI,0,COLUMN())+INDEX(MO_VA_EVCalc_Prefs,0,COLUMN())+INDEX(MO_VA_EVCalc_Other,0,COLUMN())</f>
        <v>0</v>
      </c>
      <c r="BZ9" s="261" t="n">
        <f aca="false">INDEX(MO_VA_EVCalc_NCI,0,COLUMN())+INDEX(MO_VA_EVCalc_Prefs,0,COLUMN())+INDEX(MO_VA_EVCalc_Other,0,COLUMN())</f>
        <v>0</v>
      </c>
      <c r="CA9" s="261" t="n">
        <f aca="false">INDEX(MO_VA_EVCalc_NCI,0,COLUMN())+INDEX(MO_VA_EVCalc_Prefs,0,COLUMN())+INDEX(MO_VA_EVCalc_Other,0,COLUMN())</f>
        <v>0</v>
      </c>
      <c r="CB9" s="261" t="n">
        <f aca="false">INDEX(MO_VA_EVCalc_NCI,0,COLUMN())+INDEX(MO_VA_EVCalc_Prefs,0,COLUMN())+INDEX(MO_VA_EVCalc_Other,0,COLUMN())</f>
        <v>0</v>
      </c>
      <c r="CC9" s="48"/>
    </row>
    <row r="10" s="157" customFormat="true" ht="15" hidden="false" customHeight="true" outlineLevel="0" collapsed="false">
      <c r="A10" s="151" t="str">
        <f aca="false">"Enterprise Value - "&amp;SP.ValuationToggle</f>
        <v>Enterprise Value - EoP</v>
      </c>
      <c r="B10" s="393"/>
      <c r="C10" s="162" t="n">
        <f aca="false">INDEX(SP_CS_MarketCap,0,COLUMN())-INDEX(SP_CS_Cash,0,COLUMN())+INDEX(SP_CS_Debt,0,COLUMN())+INDEX(SP_CS_EVCalc_Other,0,COLUMN())</f>
        <v>13150.5436110505</v>
      </c>
      <c r="D10" s="162" t="n">
        <f aca="false">INDEX(SP_CS_MarketCap,0,COLUMN())-INDEX(SP_CS_Cash,0,COLUMN())+INDEX(SP_CS_Debt,0,COLUMN())+INDEX(SP_CS_EVCalc_Other,0,COLUMN())</f>
        <v>15350.3691631237</v>
      </c>
      <c r="E10" s="162" t="n">
        <f aca="false">INDEX(SP_CS_MarketCap,0,COLUMN())-INDEX(SP_CS_Cash,0,COLUMN())+INDEX(SP_CS_Debt,0,COLUMN())+INDEX(SP_CS_EVCalc_Other,0,COLUMN())</f>
        <v>15596.0935978585</v>
      </c>
      <c r="F10" s="162" t="n">
        <f aca="false">INDEX(SP_CS_MarketCap,0,COLUMN())-INDEX(SP_CS_Cash,0,COLUMN())+INDEX(SP_CS_Debt,0,COLUMN())+INDEX(SP_CS_EVCalc_Other,0,COLUMN())</f>
        <v>17697.383257585</v>
      </c>
      <c r="G10" s="162" t="n">
        <f aca="false">INDEX(SP_CS_MarketCap,0,COLUMN())-INDEX(SP_CS_Cash,0,COLUMN())+INDEX(SP_CS_Debt,0,COLUMN())+INDEX(SP_CS_EVCalc_Other,0,COLUMN())</f>
        <v>28260.80172862</v>
      </c>
      <c r="H10" s="163" t="n">
        <f aca="false">INDEX(SP_CS_MarketCap,0,COLUMN())-INDEX(SP_CS_Cash,0,COLUMN())+INDEX(SP_CS_Debt,0,COLUMN())+INDEX(SP_CS_EVCalc_Other,0,COLUMN())</f>
        <v>27884.91</v>
      </c>
      <c r="I10" s="163" t="n">
        <f aca="false">INDEX(SP_CS_MarketCap,0,COLUMN())-INDEX(SP_CS_Cash,0,COLUMN())+INDEX(SP_CS_Debt,0,COLUMN())+INDEX(SP_CS_EVCalc_Other,0,COLUMN())</f>
        <v>28273.077</v>
      </c>
      <c r="J10" s="163" t="n">
        <f aca="false">INDEX(SP_CS_MarketCap,0,COLUMN())-INDEX(SP_CS_Cash,0,COLUMN())+INDEX(SP_CS_Debt,0,COLUMN())+INDEX(SP_CS_EVCalc_Other,0,COLUMN())</f>
        <v>32945.025</v>
      </c>
      <c r="K10" s="163" t="n">
        <f aca="false">INDEX(SP_CS_MarketCap,0,COLUMN())-INDEX(SP_CS_Cash,0,COLUMN())+INDEX(SP_CS_Debt,0,COLUMN())+INDEX(SP_CS_EVCalc_Other,0,COLUMN())</f>
        <v>37084.03028016</v>
      </c>
      <c r="L10" s="162" t="n">
        <f aca="false">INDEX(SP_CS_MarketCap,0,COLUMN())-INDEX(SP_CS_Cash,0,COLUMN())+INDEX(SP_CS_Debt,0,COLUMN())+INDEX(SP_CS_EVCalc_Other,0,COLUMN())</f>
        <v>37084.03028016</v>
      </c>
      <c r="M10" s="163" t="n">
        <f aca="false">INDEX(SP_CS_MarketCap,0,COLUMN())-INDEX(SP_CS_Cash,0,COLUMN())+INDEX(SP_CS_Debt,0,COLUMN())+INDEX(SP_CS_EVCalc_Other,0,COLUMN())</f>
        <v>38529.922</v>
      </c>
      <c r="N10" s="163" t="n">
        <f aca="false">INDEX(SP_CS_MarketCap,0,COLUMN())-INDEX(SP_CS_Cash,0,COLUMN())+INDEX(SP_CS_Debt,0,COLUMN())+INDEX(SP_CS_EVCalc_Other,0,COLUMN())</f>
        <v>41433.473</v>
      </c>
      <c r="O10" s="163" t="n">
        <f aca="false">INDEX(SP_CS_MarketCap,0,COLUMN())-INDEX(SP_CS_Cash,0,COLUMN())+INDEX(SP_CS_Debt,0,COLUMN())+INDEX(SP_CS_EVCalc_Other,0,COLUMN())</f>
        <v>31800.606</v>
      </c>
      <c r="P10" s="163" t="n">
        <f aca="false">INDEX(SP_CS_MarketCap,0,COLUMN())-INDEX(SP_CS_Cash,0,COLUMN())+INDEX(SP_CS_Debt,0,COLUMN())+INDEX(SP_CS_EVCalc_Other,0,COLUMN())</f>
        <v>33878.54808938</v>
      </c>
      <c r="Q10" s="162" t="n">
        <f aca="false">INDEX(SP_CS_MarketCap,0,COLUMN())-INDEX(SP_CS_Cash,0,COLUMN())+INDEX(SP_CS_Debt,0,COLUMN())+INDEX(SP_CS_EVCalc_Other,0,COLUMN())</f>
        <v>33878.54808938</v>
      </c>
      <c r="R10" s="163" t="n">
        <f aca="false">INDEX(SP_CS_MarketCap,0,COLUMN())-INDEX(SP_CS_Cash,0,COLUMN())+INDEX(SP_CS_Debt,0,COLUMN())+INDEX(SP_CS_EVCalc_Other,0,COLUMN())</f>
        <v>35732.292</v>
      </c>
      <c r="S10" s="163" t="n">
        <f aca="false">INDEX(SP_CS_MarketCap,0,COLUMN())-INDEX(SP_CS_Cash,0,COLUMN())+INDEX(SP_CS_Debt,0,COLUMN())+INDEX(SP_CS_EVCalc_Other,0,COLUMN())</f>
        <v>35550.396</v>
      </c>
      <c r="T10" s="163" t="n">
        <f aca="false">INDEX(SP_CS_MarketCap,0,COLUMN())-INDEX(SP_CS_Cash,0,COLUMN())+INDEX(SP_CS_Debt,0,COLUMN())+INDEX(SP_CS_EVCalc_Other,0,COLUMN())</f>
        <v>39678.213</v>
      </c>
      <c r="U10" s="163" t="n">
        <f aca="false">INDEX(SP_CS_MarketCap,0,COLUMN())-INDEX(SP_CS_Cash,0,COLUMN())+INDEX(SP_CS_Debt,0,COLUMN())+INDEX(SP_CS_EVCalc_Other,0,COLUMN())</f>
        <v>45339.7973928</v>
      </c>
      <c r="V10" s="162" t="n">
        <f aca="false">INDEX(SP_CS_MarketCap,0,COLUMN())-INDEX(SP_CS_Cash,0,COLUMN())+INDEX(SP_CS_Debt,0,COLUMN())+INDEX(SP_CS_EVCalc_Other,0,COLUMN())</f>
        <v>45339.7973928</v>
      </c>
      <c r="W10" s="163" t="n">
        <f aca="false">INDEX(SP_CS_MarketCap,0,COLUMN())-INDEX(SP_CS_Cash,0,COLUMN())+INDEX(SP_CS_Debt,0,COLUMN())+INDEX(SP_CS_EVCalc_Other,0,COLUMN())</f>
        <v>53230.52</v>
      </c>
      <c r="X10" s="163" t="n">
        <f aca="false">INDEX(SP_CS_MarketCap,0,COLUMN())-INDEX(SP_CS_Cash,0,COLUMN())+INDEX(SP_CS_Debt,0,COLUMN())+INDEX(SP_CS_EVCalc_Other,0,COLUMN())</f>
        <v>50065.84</v>
      </c>
      <c r="Y10" s="163" t="n">
        <f aca="false">INDEX(SP_CS_MarketCap,0,COLUMN())-INDEX(SP_CS_Cash,0,COLUMN())+INDEX(SP_CS_Debt,0,COLUMN())+INDEX(SP_CS_EVCalc_Other,0,COLUMN())</f>
        <v>62796.4</v>
      </c>
      <c r="Z10" s="163" t="n">
        <f aca="false">INDEX(SP_CS_MarketCap,0,COLUMN())-INDEX(SP_CS_Cash,0,COLUMN())+INDEX(SP_CS_Debt,0,COLUMN())+INDEX(SP_CS_EVCalc_Other,0,COLUMN())</f>
        <v>62091.894238</v>
      </c>
      <c r="AA10" s="162" t="n">
        <f aca="false">INDEX(SP_CS_MarketCap,0,COLUMN())-INDEX(SP_CS_Cash,0,COLUMN())+INDEX(SP_CS_Debt,0,COLUMN())+INDEX(SP_CS_EVCalc_Other,0,COLUMN())</f>
        <v>62091.894238</v>
      </c>
      <c r="AB10" s="163" t="n">
        <f aca="false">INDEX(SP_CS_MarketCap,0,COLUMN())-INDEX(SP_CS_Cash,0,COLUMN())+INDEX(SP_CS_Debt,0,COLUMN())+INDEX(SP_CS_EVCalc_Other,0,COLUMN())</f>
        <v>68498.035</v>
      </c>
      <c r="AC10" s="163" t="n">
        <f aca="false">INDEX(SP_CS_MarketCap,0,COLUMN())-INDEX(SP_CS_Cash,0,COLUMN())+INDEX(SP_CS_Debt,0,COLUMN())+INDEX(SP_CS_EVCalc_Other,0,COLUMN())</f>
        <v>72616.62</v>
      </c>
      <c r="AD10" s="163" t="n">
        <f aca="false">INDEX(SP_CS_MarketCap,0,COLUMN())-INDEX(SP_CS_Cash,0,COLUMN())+INDEX(SP_CS_Debt,0,COLUMN())+INDEX(SP_CS_EVCalc_Other,0,COLUMN())</f>
        <v>68590.91</v>
      </c>
      <c r="AE10" s="163" t="n">
        <f aca="false">INDEX(SP_CS_MarketCap,0,COLUMN())-INDEX(SP_CS_Cash,0,COLUMN())+INDEX(SP_CS_Debt,0,COLUMN())+INDEX(SP_CS_EVCalc_Other,0,COLUMN())</f>
        <v>56713.73973598</v>
      </c>
      <c r="AF10" s="162" t="n">
        <f aca="false">INDEX(SP_CS_MarketCap,0,COLUMN())-INDEX(SP_CS_Cash,0,COLUMN())+INDEX(SP_CS_Debt,0,COLUMN())+INDEX(SP_CS_EVCalc_Other,0,COLUMN())</f>
        <v>56713.73973598</v>
      </c>
      <c r="AG10" s="163" t="n">
        <f aca="false">INDEX(SP_CS_MarketCap,0,COLUMN())-INDEX(SP_CS_Cash,0,COLUMN())+INDEX(SP_CS_Debt,0,COLUMN())+INDEX(SP_CS_EVCalc_Other,0,COLUMN())</f>
        <v>70449.4</v>
      </c>
      <c r="AH10" s="163" t="n">
        <f aca="false">INDEX(SP_CS_MarketCap,0,COLUMN())-INDEX(SP_CS_Cash,0,COLUMN())+INDEX(SP_CS_Debt,0,COLUMN())+INDEX(SP_CS_EVCalc_Other,0,COLUMN())</f>
        <v>78299.332</v>
      </c>
      <c r="AI10" s="163" t="n">
        <f aca="false">INDEX(SP_CS_MarketCap,0,COLUMN())-INDEX(SP_CS_Cash,0,COLUMN())+INDEX(SP_CS_Debt,0,COLUMN())+INDEX(SP_CS_EVCalc_Other,0,COLUMN())</f>
        <v>96172.365</v>
      </c>
      <c r="AJ10" s="163" t="n">
        <f aca="false">INDEX(SP_CS_MarketCap,0,COLUMN())-INDEX(SP_CS_Cash,0,COLUMN())+INDEX(SP_CS_Debt,0,COLUMN())+INDEX(SP_CS_EVCalc_Other,0,COLUMN())</f>
        <v>109021.3346074</v>
      </c>
      <c r="AK10" s="162" t="n">
        <f aca="false">INDEX(SP_CS_MarketCap,0,COLUMN())-INDEX(SP_CS_Cash,0,COLUMN())+INDEX(SP_CS_Debt,0,COLUMN())+INDEX(SP_CS_EVCalc_Other,0,COLUMN())</f>
        <v>109021.3346074</v>
      </c>
      <c r="AL10" s="163" t="n">
        <f aca="false">INDEX(SP_CS_MarketCap,0,COLUMN())-INDEX(SP_CS_Cash,0,COLUMN())+INDEX(SP_CS_Debt,0,COLUMN())+INDEX(SP_CS_EVCalc_Other,0,COLUMN())</f>
        <v>96077.55</v>
      </c>
      <c r="AM10" s="163" t="n">
        <f aca="false">INDEX(SP_CS_MarketCap,0,COLUMN())-INDEX(SP_CS_Cash,0,COLUMN())+INDEX(SP_CS_Debt,0,COLUMN())+INDEX(SP_CS_EVCalc_Other,0,COLUMN())</f>
        <v>135940.7</v>
      </c>
      <c r="AN10" s="163" t="n">
        <f aca="false">INDEX(SP_CS_MarketCap,0,COLUMN())-INDEX(SP_CS_Cash,0,COLUMN())+INDEX(SP_CS_Debt,0,COLUMN())+INDEX(SP_CS_EVCalc_Other,0,COLUMN())</f>
        <v>128997.14</v>
      </c>
      <c r="AO10" s="163" t="n">
        <f aca="false">INDEX(SP_CS_MarketCap,0,COLUMN())-INDEX(SP_CS_Cash,0,COLUMN())+INDEX(SP_CS_Debt,0,COLUMN())+INDEX(SP_CS_EVCalc_Other,0,COLUMN())</f>
        <v>163666.092549</v>
      </c>
      <c r="AP10" s="162" t="n">
        <f aca="false">INDEX(SP_CS_MarketCap,0,COLUMN())-INDEX(SP_CS_Cash,0,COLUMN())+INDEX(SP_CS_Debt,0,COLUMN())+INDEX(SP_CS_EVCalc_Other,0,COLUMN())</f>
        <v>163666.092549</v>
      </c>
      <c r="AQ10" s="163" t="n">
        <f aca="false">INDEX(SP_CS_MarketCap,0,COLUMN())-INDEX(SP_CS_Cash,0,COLUMN())+INDEX(SP_CS_Debt,0,COLUMN())+INDEX(SP_CS_EVCalc_Other,0,COLUMN())</f>
        <v>220077.14</v>
      </c>
      <c r="AR10" s="163" t="n">
        <f aca="false">INDEX(SP_CS_MarketCap,0,COLUMN())-INDEX(SP_CS_Cash,0,COLUMN())+INDEX(SP_CS_Debt,0,COLUMN())+INDEX(SP_CS_EVCalc_Other,0,COLUMN())</f>
        <v>237810</v>
      </c>
      <c r="AS10" s="163" t="n">
        <f aca="false">INDEX(SP_CS_MarketCap,0,COLUMN())-INDEX(SP_CS_Cash,0,COLUMN())+INDEX(SP_CS_Debt,0,COLUMN())+INDEX(SP_CS_EVCalc_Other,0,COLUMN())</f>
        <v>258105</v>
      </c>
      <c r="AT10" s="163" t="n">
        <f aca="false">INDEX(SP_CS_MarketCap,0,COLUMN())-INDEX(SP_CS_Cash,0,COLUMN())+INDEX(SP_CS_Debt,0,COLUMN())+INDEX(SP_CS_EVCalc_Other,0,COLUMN())</f>
        <v>283499.2658752</v>
      </c>
      <c r="AU10" s="162" t="n">
        <f aca="false">INDEX(SP_CS_MarketCap,0,COLUMN())-INDEX(SP_CS_Cash,0,COLUMN())+INDEX(SP_CS_Debt,0,COLUMN())+INDEX(SP_CS_EVCalc_Other,0,COLUMN())</f>
        <v>283499.2658752</v>
      </c>
      <c r="AV10" s="163" t="n">
        <f aca="false">INDEX(SP_CS_MarketCap,0,COLUMN())-INDEX(SP_CS_Cash,0,COLUMN())+INDEX(SP_CS_Debt,0,COLUMN())+INDEX(SP_CS_EVCalc_Other,0,COLUMN())</f>
        <v>243328.25</v>
      </c>
      <c r="AW10" s="163" t="n">
        <f aca="false">INDEX(SP_CS_MarketCap,0,COLUMN())-INDEX(SP_CS_Cash,0,COLUMN())+INDEX(SP_CS_Debt,0,COLUMN())+INDEX(SP_CS_EVCalc_Other,0,COLUMN())</f>
        <v>172388.75</v>
      </c>
      <c r="AX10" s="163" t="n">
        <f aca="false">INDEX(SP_CS_MarketCap,0,COLUMN())-INDEX(SP_CS_Cash,0,COLUMN())+INDEX(SP_CS_Debt,0,COLUMN())+INDEX(SP_CS_EVCalc_Other,0,COLUMN())</f>
        <v>172615.16</v>
      </c>
      <c r="AY10" s="163" t="n">
        <f aca="false">INDEX(SP_CS_MarketCap,0,COLUMN())-INDEX(SP_CS_Cash,0,COLUMN())+INDEX(SP_CS_Debt,0,COLUMN())+INDEX(SP_CS_EVCalc_Other,0,COLUMN())</f>
        <v>195829.6852618</v>
      </c>
      <c r="AZ10" s="162" t="n">
        <f aca="false">INDEX(SP_CS_MarketCap,0,COLUMN())-INDEX(SP_CS_Cash,0,COLUMN())+INDEX(SP_CS_Debt,0,COLUMN())+INDEX(SP_CS_EVCalc_Other,0,COLUMN())</f>
        <v>195829.6852618</v>
      </c>
      <c r="BA10" s="163" t="n">
        <f aca="false">INDEX(SP_CS_MarketCap,0,COLUMN())-INDEX(SP_CS_Cash,0,COLUMN())+INDEX(SP_CS_Debt,0,COLUMN())+INDEX(SP_CS_EVCalc_Other,0,COLUMN())</f>
        <v>244458.66</v>
      </c>
      <c r="BB10" s="163" t="n">
        <f aca="false">INDEX(SP_CS_MarketCap,0,COLUMN())-INDEX(SP_CS_Cash,0,COLUMN())+INDEX(SP_CS_Debt,0,COLUMN())+INDEX(SP_CS_EVCalc_Other,0,COLUMN())</f>
        <v>260139.6</v>
      </c>
      <c r="BC10" s="163" t="n">
        <f aca="false">INDEX(SP_CS_MarketCap,0,COLUMN())-INDEX(SP_CS_Cash,0,COLUMN())+INDEX(SP_CS_Debt,0,COLUMN())+INDEX(SP_CS_EVCalc_Other,0,COLUMN())</f>
        <v>220405.27</v>
      </c>
      <c r="BD10" s="163" t="n">
        <f aca="false">INDEX(SP_CS_MarketCap,0,COLUMN())-INDEX(SP_CS_Cash,0,COLUMN())+INDEX(SP_CS_Debt,0,COLUMN())+INDEX(SP_CS_EVCalc_Other,0,COLUMN())</f>
        <v>266089.7672057</v>
      </c>
      <c r="BE10" s="162" t="n">
        <f aca="false">INDEX(SP_CS_MarketCap,0,COLUMN())-INDEX(SP_CS_Cash,0,COLUMN())+INDEX(SP_CS_Debt,0,COLUMN())+INDEX(SP_CS_EVCalc_Other,0,COLUMN())</f>
        <v>266089.7672057</v>
      </c>
      <c r="BF10" s="163" t="n">
        <f aca="false">INDEX(SP_CS_MarketCap,0,COLUMN())-INDEX(SP_CS_Cash,0,COLUMN())+INDEX(SP_CS_Debt,0,COLUMN())+INDEX(SP_CS_EVCalc_Other,0,COLUMN())</f>
        <v>350465.14</v>
      </c>
      <c r="BG10" s="163" t="n">
        <f aca="false">INDEX(SP_CS_MarketCap,0,COLUMN())-INDEX(SP_CS_Cash,0,COLUMN())+INDEX(SP_CS_Debt,0,COLUMN())+INDEX(SP_CS_EVCalc_Other,0,COLUMN())</f>
        <v>379002.1</v>
      </c>
      <c r="BH10" s="163" t="n">
        <f aca="false">INDEX(SP_CS_MarketCap,0,COLUMN())-INDEX(SP_CS_Cash,0,COLUMN())+INDEX(SP_CS_Debt,0,COLUMN())+INDEX(SP_CS_EVCalc_Other,0,COLUMN())</f>
        <v>297781.08</v>
      </c>
      <c r="BI10" s="163" t="n">
        <f aca="false">INDEX(SP_CS_MarketCap,0,COLUMN())-INDEX(SP_CS_Cash,0,COLUMN())+INDEX(SP_CS_Debt,0,COLUMN())+INDEX(SP_CS_EVCalc_Other,0,COLUMN())</f>
        <v>256395.201468</v>
      </c>
      <c r="BJ10" s="162" t="n">
        <f aca="false">INDEX(SP_CS_MarketCap,0,COLUMN())-INDEX(SP_CS_Cash,0,COLUMN())+INDEX(SP_CS_Debt,0,COLUMN())+INDEX(SP_CS_EVCalc_Other,0,COLUMN())</f>
        <v>256395.201468</v>
      </c>
      <c r="BK10" s="163" t="n">
        <f aca="false">INDEX(SP_CS_MarketCap,0,COLUMN())-INDEX(SP_CS_Cash,0,COLUMN())+INDEX(SP_CS_Debt,0,COLUMN())+INDEX(SP_CS_EVCalc_Other,0,COLUMN())</f>
        <v>241135.7</v>
      </c>
      <c r="BL10" s="163" t="n">
        <f aca="false">INDEX(SP_CS_MarketCap,0,COLUMN())-INDEX(SP_CS_Cash,0,COLUMN())+INDEX(SP_CS_Debt,0,COLUMN())+INDEX(SP_CS_EVCalc_Other,0,COLUMN())</f>
        <v>262543.3</v>
      </c>
      <c r="BM10" s="163" t="n">
        <f aca="false">INDEX(SP_CS_MarketCap,0,COLUMN())-INDEX(SP_CS_Cash,0,COLUMN())+INDEX(SP_CS_Debt,0,COLUMN())+INDEX(SP_CS_EVCalc_Other,0,COLUMN())</f>
        <v>313628.08</v>
      </c>
      <c r="BN10" s="163" t="n">
        <f aca="false">INDEX(SP_CS_MarketCap,0,COLUMN())-INDEX(SP_CS_Cash,0,COLUMN())+INDEX(SP_CS_Debt,0,COLUMN())+INDEX(SP_CS_EVCalc_Other,0,COLUMN())</f>
        <v>348694.836</v>
      </c>
      <c r="BO10" s="164" t="n">
        <f aca="false">INDEX(SP_CS_MarketCap,0,COLUMN())-INDEX(SP_CS_Cash,0,COLUMN())+INDEX(SP_CS_Debt,0,COLUMN())+INDEX(SP_CS_EVCalc_Other,0,COLUMN())</f>
        <v>348694.836</v>
      </c>
      <c r="BP10" s="163" t="n">
        <f aca="false">INDEX(SP_CS_MarketCap,0,COLUMN())-INDEX(SP_CS_Cash,0,COLUMN())+INDEX(SP_CS_Debt,0,COLUMN())+INDEX(SP_CS_EVCalc_Other,0,COLUMN())</f>
        <v>460902.953851308</v>
      </c>
      <c r="BQ10" s="163" t="n">
        <f aca="false">INDEX(SP_CS_MarketCap,0,COLUMN())-INDEX(SP_CS_Cash,0,COLUMN())+INDEX(SP_CS_Debt,0,COLUMN())+INDEX(SP_CS_EVCalc_Other,0,COLUMN())</f>
        <v>458860.934108855</v>
      </c>
      <c r="BR10" s="163" t="n">
        <f aca="false">INDEX(SP_CS_MarketCap,0,COLUMN())-INDEX(SP_CS_Cash,0,COLUMN())+INDEX(SP_CS_Debt,0,COLUMN())+INDEX(SP_CS_EVCalc_Other,0,COLUMN())</f>
        <v>456643.62494101</v>
      </c>
      <c r="BS10" s="163" t="n">
        <f aca="false">INDEX(SP_CS_MarketCap,0,COLUMN())-INDEX(SP_CS_Cash,0,COLUMN())+INDEX(SP_CS_Debt,0,COLUMN())+INDEX(SP_CS_EVCalc_Other,0,COLUMN())</f>
        <v>455563.394956955</v>
      </c>
      <c r="BT10" s="162" t="n">
        <f aca="false">INDEX(SP_CS_MarketCap,0,COLUMN())-INDEX(SP_CS_Cash,0,COLUMN())+INDEX(SP_CS_Debt,0,COLUMN())+INDEX(SP_CS_EVCalc_Other,0,COLUMN())</f>
        <v>455563.394956955</v>
      </c>
      <c r="BU10" s="163" t="n">
        <f aca="false">INDEX(SP_CS_MarketCap,0,COLUMN())-INDEX(SP_CS_Cash,0,COLUMN())+INDEX(SP_CS_Debt,0,COLUMN())+INDEX(SP_CS_EVCalc_Other,0,COLUMN())</f>
        <v>451408.819143332</v>
      </c>
      <c r="BV10" s="163" t="n">
        <f aca="false">INDEX(SP_CS_MarketCap,0,COLUMN())-INDEX(SP_CS_Cash,0,COLUMN())+INDEX(SP_CS_Debt,0,COLUMN())+INDEX(SP_CS_EVCalc_Other,0,COLUMN())</f>
        <v>449091.167512564</v>
      </c>
      <c r="BW10" s="163" t="n">
        <f aca="false">INDEX(SP_CS_MarketCap,0,COLUMN())-INDEX(SP_CS_Cash,0,COLUMN())+INDEX(SP_CS_Debt,0,COLUMN())+INDEX(SP_CS_EVCalc_Other,0,COLUMN())</f>
        <v>446694.937012468</v>
      </c>
      <c r="BX10" s="163" t="n">
        <f aca="false">INDEX(SP_CS_MarketCap,0,COLUMN())-INDEX(SP_CS_Cash,0,COLUMN())+INDEX(SP_CS_Debt,0,COLUMN())+INDEX(SP_CS_EVCalc_Other,0,COLUMN())</f>
        <v>445288.0891642</v>
      </c>
      <c r="BY10" s="162" t="n">
        <f aca="false">INDEX(SP_CS_MarketCap,0,COLUMN())-INDEX(SP_CS_Cash,0,COLUMN())+INDEX(SP_CS_Debt,0,COLUMN())+INDEX(SP_CS_EVCalc_Other,0,COLUMN())</f>
        <v>445288.0891642</v>
      </c>
      <c r="BZ10" s="162" t="n">
        <f aca="false">INDEX(SP_CS_MarketCap,0,COLUMN())-INDEX(SP_CS_Cash,0,COLUMN())+INDEX(SP_CS_Debt,0,COLUMN())+INDEX(SP_CS_EVCalc_Other,0,COLUMN())</f>
        <v>431539.55835815</v>
      </c>
      <c r="CA10" s="162" t="n">
        <f aca="false">INDEX(SP_CS_MarketCap,0,COLUMN())-INDEX(SP_CS_Cash,0,COLUMN())+INDEX(SP_CS_Debt,0,COLUMN())+INDEX(SP_CS_EVCalc_Other,0,COLUMN())</f>
        <v>417845.820301284</v>
      </c>
      <c r="CB10" s="162" t="n">
        <f aca="false">INDEX(SP_CS_MarketCap,0,COLUMN())-INDEX(SP_CS_Cash,0,COLUMN())+INDEX(SP_CS_Debt,0,COLUMN())+INDEX(SP_CS_EVCalc_Other,0,COLUMN())</f>
        <v>403128.353725934</v>
      </c>
      <c r="CC10" s="268"/>
    </row>
    <row r="11" s="157" customFormat="true" ht="15" hidden="false" customHeight="true" outlineLevel="0" collapsed="false">
      <c r="A11" s="252"/>
      <c r="B11" s="266"/>
      <c r="C11" s="267"/>
      <c r="D11" s="267"/>
      <c r="E11" s="267"/>
      <c r="F11" s="267"/>
      <c r="G11" s="267"/>
      <c r="H11" s="268"/>
      <c r="I11" s="268"/>
      <c r="J11" s="268"/>
      <c r="K11" s="268"/>
      <c r="L11" s="267"/>
      <c r="M11" s="268"/>
      <c r="N11" s="268"/>
      <c r="O11" s="268"/>
      <c r="P11" s="268"/>
      <c r="Q11" s="267"/>
      <c r="R11" s="268"/>
      <c r="S11" s="268"/>
      <c r="T11" s="268"/>
      <c r="U11" s="268"/>
      <c r="V11" s="267"/>
      <c r="W11" s="268"/>
      <c r="X11" s="268"/>
      <c r="Y11" s="268"/>
      <c r="Z11" s="268"/>
      <c r="AA11" s="267"/>
      <c r="AB11" s="268"/>
      <c r="AC11" s="268"/>
      <c r="AD11" s="268"/>
      <c r="AE11" s="268"/>
      <c r="AF11" s="267"/>
      <c r="AG11" s="268"/>
      <c r="AH11" s="268"/>
      <c r="AI11" s="268"/>
      <c r="AJ11" s="268"/>
      <c r="AK11" s="267"/>
      <c r="AL11" s="268"/>
      <c r="AM11" s="268"/>
      <c r="AN11" s="268"/>
      <c r="AO11" s="268"/>
      <c r="AP11" s="267"/>
      <c r="AQ11" s="268"/>
      <c r="AR11" s="268"/>
      <c r="AS11" s="268"/>
      <c r="AT11" s="268"/>
      <c r="AU11" s="267"/>
      <c r="AV11" s="268"/>
      <c r="AW11" s="268"/>
      <c r="AX11" s="268"/>
      <c r="AY11" s="268"/>
      <c r="AZ11" s="267"/>
      <c r="BA11" s="268"/>
      <c r="BB11" s="268"/>
      <c r="BC11" s="268"/>
      <c r="BD11" s="268"/>
      <c r="BE11" s="267"/>
      <c r="BF11" s="268"/>
      <c r="BG11" s="268"/>
      <c r="BH11" s="268"/>
      <c r="BI11" s="268"/>
      <c r="BJ11" s="267"/>
      <c r="BK11" s="268"/>
      <c r="BL11" s="268"/>
      <c r="BM11" s="268"/>
      <c r="BN11" s="268"/>
      <c r="BO11" s="269"/>
      <c r="BP11" s="268"/>
      <c r="BQ11" s="268"/>
      <c r="BR11" s="268"/>
      <c r="BS11" s="268"/>
      <c r="BT11" s="267"/>
      <c r="BU11" s="268"/>
      <c r="BV11" s="268"/>
      <c r="BW11" s="268"/>
      <c r="BX11" s="268"/>
      <c r="BY11" s="267"/>
      <c r="BZ11" s="267"/>
      <c r="CA11" s="267"/>
      <c r="CB11" s="267"/>
      <c r="CC11" s="268"/>
    </row>
    <row r="12" customFormat="false" ht="15" hidden="false" customHeight="true" outlineLevel="0" collapsed="false">
      <c r="A12" s="219" t="s">
        <v>799</v>
      </c>
      <c r="B12" s="716"/>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16"/>
      <c r="AC12" s="716"/>
      <c r="AD12" s="716"/>
      <c r="AE12" s="716"/>
      <c r="AF12" s="716"/>
      <c r="AG12" s="716"/>
      <c r="AH12" s="716"/>
      <c r="AI12" s="716"/>
      <c r="AJ12" s="716"/>
      <c r="AK12" s="716"/>
      <c r="AL12" s="716"/>
      <c r="AM12" s="716"/>
      <c r="AN12" s="716"/>
      <c r="AO12" s="716"/>
      <c r="AP12" s="716"/>
      <c r="AQ12" s="716"/>
      <c r="AR12" s="716"/>
      <c r="AS12" s="716"/>
      <c r="AT12" s="716"/>
      <c r="AU12" s="716"/>
      <c r="AV12" s="716"/>
      <c r="AW12" s="716"/>
      <c r="AX12" s="716"/>
      <c r="AY12" s="716"/>
      <c r="AZ12" s="716"/>
      <c r="BA12" s="716"/>
      <c r="BB12" s="716"/>
      <c r="BC12" s="716"/>
      <c r="BD12" s="716"/>
      <c r="BE12" s="716"/>
      <c r="BF12" s="716"/>
      <c r="BG12" s="716"/>
      <c r="BH12" s="716"/>
      <c r="BI12" s="716"/>
      <c r="BJ12" s="716"/>
      <c r="BK12" s="716"/>
      <c r="BL12" s="716"/>
      <c r="BM12" s="716"/>
      <c r="BN12" s="716"/>
      <c r="BO12" s="717"/>
      <c r="BP12" s="716"/>
      <c r="BQ12" s="716"/>
      <c r="BR12" s="716"/>
      <c r="BS12" s="716"/>
      <c r="BT12" s="716"/>
      <c r="BU12" s="716"/>
      <c r="BV12" s="716"/>
      <c r="BW12" s="716"/>
      <c r="BX12" s="716"/>
      <c r="BY12" s="716"/>
      <c r="BZ12" s="716"/>
      <c r="CA12" s="716"/>
      <c r="CB12" s="716"/>
      <c r="CC12" s="48"/>
    </row>
    <row r="13" s="237" customFormat="true" ht="15" hidden="false" customHeight="true" outlineLevel="0" collapsed="false">
      <c r="A13" s="371" t="str">
        <f aca="false">Model!A43</f>
        <v>Y/Y EUV sales growth, %</v>
      </c>
      <c r="B13" s="625"/>
      <c r="C13" s="233"/>
      <c r="D13" s="233"/>
      <c r="E13" s="233"/>
      <c r="F13" s="233" t="n">
        <f aca="false">Model!F43</f>
        <v>-0.633696563285834</v>
      </c>
      <c r="G13" s="233" t="n">
        <f aca="false">Model!G43</f>
        <v>0.375286041189931</v>
      </c>
      <c r="H13" s="234"/>
      <c r="I13" s="234"/>
      <c r="J13" s="234"/>
      <c r="K13" s="234"/>
      <c r="L13" s="233" t="n">
        <f aca="false">Model!L43</f>
        <v>3.98910149750416</v>
      </c>
      <c r="M13" s="234" t="n">
        <f aca="false">Model!M43</f>
        <v>-1</v>
      </c>
      <c r="N13" s="234" t="n">
        <f aca="false">Model!N43</f>
        <v>0.0952534191472243</v>
      </c>
      <c r="O13" s="234" t="n">
        <f aca="false">Model!O43</f>
        <v>-1</v>
      </c>
      <c r="P13" s="234" t="n">
        <f aca="false">Model!P43</f>
        <v>-1</v>
      </c>
      <c r="Q13" s="233" t="n">
        <f aca="false">Model!Q43</f>
        <v>-0.764968567092998</v>
      </c>
      <c r="R13" s="234" t="str">
        <f aca="false">Model!R43</f>
        <v>n/a</v>
      </c>
      <c r="S13" s="234" t="n">
        <f aca="false">Model!S43</f>
        <v>0.487174966945791</v>
      </c>
      <c r="T13" s="234" t="str">
        <f aca="false">Model!T43</f>
        <v>n/a</v>
      </c>
      <c r="U13" s="234" t="str">
        <f aca="false">Model!U43</f>
        <v>n/a</v>
      </c>
      <c r="V13" s="233" t="n">
        <f aca="false">Model!V43</f>
        <v>3.6102762760206</v>
      </c>
      <c r="W13" s="234" t="str">
        <f aca="false">Model!W43</f>
        <v>n/a</v>
      </c>
      <c r="X13" s="234" t="n">
        <f aca="false">Model!X43</f>
        <v>1.18760866129287</v>
      </c>
      <c r="Y13" s="234" t="n">
        <f aca="false">Model!Y43</f>
        <v>3.33863401447086</v>
      </c>
      <c r="Z13" s="234" t="n">
        <f aca="false">Model!Z43</f>
        <v>2.44655538395357</v>
      </c>
      <c r="AA13" s="233" t="n">
        <f aca="false">Model!AA43</f>
        <v>2.39027393044014</v>
      </c>
      <c r="AB13" s="234" t="str">
        <f aca="false">Model!AB43</f>
        <v>n/a</v>
      </c>
      <c r="AC13" s="234" t="n">
        <f aca="false">Model!AC43</f>
        <v>2.01495556679431</v>
      </c>
      <c r="AD13" s="234" t="n">
        <f aca="false">Model!AD43</f>
        <v>0.361759723956656</v>
      </c>
      <c r="AE13" s="234" t="n">
        <f aca="false">Model!AE43</f>
        <v>0.190510000511535</v>
      </c>
      <c r="AF13" s="233" t="n">
        <f aca="false">Model!AF43</f>
        <v>0.706854289605084</v>
      </c>
      <c r="AG13" s="234" t="n">
        <f aca="false">Model!AG43</f>
        <v>2.18299796983013</v>
      </c>
      <c r="AH13" s="234" t="n">
        <f aca="false">Model!AH43</f>
        <v>0.136514497963096</v>
      </c>
      <c r="AI13" s="234" t="n">
        <f aca="false">Model!AI43</f>
        <v>0.430725752186869</v>
      </c>
      <c r="AJ13" s="234" t="n">
        <f aca="false">Model!AJ43</f>
        <v>0.560471063812235</v>
      </c>
      <c r="AK13" s="233" t="n">
        <f aca="false">Model!AK43</f>
        <v>0.489122918993671</v>
      </c>
      <c r="AL13" s="234" t="n">
        <f aca="false">Model!AL43</f>
        <v>-0.0621669626998223</v>
      </c>
      <c r="AM13" s="234" t="n">
        <f aca="false">Model!AM43</f>
        <v>0.25331959284581</v>
      </c>
      <c r="AN13" s="234" t="n">
        <f aca="false">Model!AN43</f>
        <v>1.74538828689371</v>
      </c>
      <c r="AO13" s="234" t="n">
        <f aca="false">Model!AO43</f>
        <v>0.268183079790116</v>
      </c>
      <c r="AP13" s="233" t="n">
        <f aca="false">Model!AP43</f>
        <v>0.594385112690646</v>
      </c>
      <c r="AQ13" s="234" t="n">
        <f aca="false">Model!AQ43</f>
        <v>2.23223140495868</v>
      </c>
      <c r="AR13" s="234" t="n">
        <f aca="false">Model!AR43</f>
        <v>0.395630532020264</v>
      </c>
      <c r="AS13" s="234" t="n">
        <f aca="false">Model!AS43</f>
        <v>0.0865833029872312</v>
      </c>
      <c r="AT13" s="234" t="n">
        <f aca="false">Model!AT43</f>
        <v>0.383606733922516</v>
      </c>
      <c r="AU13" s="233" t="n">
        <f aca="false">Model!AU43</f>
        <v>0.407769165285183</v>
      </c>
      <c r="AV13" s="234" t="n">
        <f aca="false">Model!AV43</f>
        <v>-0.472044660359669</v>
      </c>
      <c r="AW13" s="234" t="n">
        <f aca="false">Model!AW43</f>
        <v>0.497332971702378</v>
      </c>
      <c r="AX13" s="234" t="n">
        <f aca="false">Model!AX43</f>
        <v>-0.0225662772061547</v>
      </c>
      <c r="AY13" s="234" t="n">
        <f aca="false">Model!AY43</f>
        <v>0.460325600489104</v>
      </c>
      <c r="AZ13" s="233" t="n">
        <f aca="false">Model!AZ43</f>
        <v>0.121148949713558</v>
      </c>
      <c r="BA13" s="234" t="n">
        <f aca="false">Model!BA43</f>
        <v>3.8506941641779</v>
      </c>
      <c r="BB13" s="234" t="n">
        <f aca="false">Model!BB43</f>
        <v>0.0436828281608503</v>
      </c>
      <c r="BC13" s="234" t="n">
        <f aca="false">Model!BC43</f>
        <v>-0.143798069677962</v>
      </c>
      <c r="BD13" s="234" t="n">
        <f aca="false">Model!BD43</f>
        <v>-0.0229837380306913</v>
      </c>
      <c r="BE13" s="233" t="n">
        <f aca="false">Model!BE43</f>
        <v>0.295047762338013</v>
      </c>
      <c r="BF13" s="234" t="n">
        <f aca="false">Model!BF43</f>
        <v>-0.367561634793654</v>
      </c>
      <c r="BG13" s="234" t="n">
        <f aca="false">Model!BG43</f>
        <v>-0.288478235821309</v>
      </c>
      <c r="BH13" s="234" t="n">
        <f aca="false">Model!BH43</f>
        <v>0.116385968878339</v>
      </c>
      <c r="BI13" s="234" t="n">
        <f aca="false">Model!BI43</f>
        <v>0.314860536735592</v>
      </c>
      <c r="BJ13" s="233" t="n">
        <f aca="false">Model!BJ43</f>
        <v>-0.087965804471723</v>
      </c>
      <c r="BK13" s="234" t="n">
        <f aca="false">Model!BK43</f>
        <v>0.762100164774266</v>
      </c>
      <c r="BL13" s="234" t="n">
        <f aca="false">Model!BL43</f>
        <v>0.820019120808684</v>
      </c>
      <c r="BM13" s="234" t="n">
        <f aca="false">Model!BM43</f>
        <v>0.0175227809652379</v>
      </c>
      <c r="BN13" s="234" t="n">
        <f aca="false">Model!BN43</f>
        <v>0.218036871151726</v>
      </c>
      <c r="BO13" s="235" t="n">
        <f aca="false">Model!BO43</f>
        <v>0.400186987766482</v>
      </c>
      <c r="BP13" s="234" t="n">
        <f aca="false">Model!BP43</f>
        <v>0.0214285714285716</v>
      </c>
      <c r="BQ13" s="234" t="n">
        <f aca="false">Model!BQ43</f>
        <v>0.418181818181818</v>
      </c>
      <c r="BR13" s="234" t="n">
        <f aca="false">Model!BR43</f>
        <v>1</v>
      </c>
      <c r="BS13" s="234" t="n">
        <f aca="false">Model!BS43</f>
        <v>0.285714285714286</v>
      </c>
      <c r="BT13" s="233" t="n">
        <f aca="false">Model!BT43</f>
        <v>0.372716316012485</v>
      </c>
      <c r="BU13" s="234" t="n">
        <f aca="false">Model!BU43</f>
        <v>0.15</v>
      </c>
      <c r="BV13" s="234" t="n">
        <f aca="false">Model!BV43</f>
        <v>0.1</v>
      </c>
      <c r="BW13" s="234" t="n">
        <f aca="false">Model!BW43</f>
        <v>0.0999999999999999</v>
      </c>
      <c r="BX13" s="234" t="n">
        <f aca="false">Model!BX43</f>
        <v>0.0999999999999999</v>
      </c>
      <c r="BY13" s="233" t="n">
        <f aca="false">Model!BY43</f>
        <v>0.110264669185841</v>
      </c>
      <c r="BZ13" s="233" t="n">
        <f aca="false">Model!BZ43</f>
        <v>0.392857142857143</v>
      </c>
      <c r="CA13" s="233" t="n">
        <f aca="false">Model!CA43</f>
        <v>0.05</v>
      </c>
      <c r="CB13" s="233" t="n">
        <f aca="false">Model!CB43</f>
        <v>0.0500000000000003</v>
      </c>
      <c r="CC13" s="625"/>
    </row>
    <row r="14" s="237" customFormat="true" ht="15" hidden="false" customHeight="true" outlineLevel="0" collapsed="false">
      <c r="A14" s="371" t="str">
        <f aca="false">Model!A44</f>
        <v>Y/Y ArFi sales growth, %</v>
      </c>
      <c r="B14" s="625"/>
      <c r="C14" s="233"/>
      <c r="D14" s="233"/>
      <c r="E14" s="233"/>
      <c r="F14" s="233" t="n">
        <f aca="false">Model!F44</f>
        <v>-0.234959801325511</v>
      </c>
      <c r="G14" s="233" t="n">
        <f aca="false">Model!G44</f>
        <v>0.149342539704871</v>
      </c>
      <c r="H14" s="234"/>
      <c r="I14" s="234"/>
      <c r="J14" s="234"/>
      <c r="K14" s="234"/>
      <c r="L14" s="233" t="n">
        <f aca="false">Model!L44</f>
        <v>0.114396393907942</v>
      </c>
      <c r="M14" s="234" t="n">
        <f aca="false">Model!M44</f>
        <v>0.321659427695452</v>
      </c>
      <c r="N14" s="234" t="n">
        <f aca="false">Model!N44</f>
        <v>-0.20764633596492</v>
      </c>
      <c r="O14" s="234" t="n">
        <f aca="false">Model!O44</f>
        <v>0.0413981533823253</v>
      </c>
      <c r="P14" s="234" t="n">
        <f aca="false">Model!P44</f>
        <v>-0.295905079823579</v>
      </c>
      <c r="Q14" s="233" t="n">
        <f aca="false">Model!Q44</f>
        <v>-0.0687997129151932</v>
      </c>
      <c r="R14" s="234" t="n">
        <f aca="false">Model!R44</f>
        <v>-0.343470633436272</v>
      </c>
      <c r="S14" s="234" t="n">
        <f aca="false">Model!S44</f>
        <v>0.0730249761507607</v>
      </c>
      <c r="T14" s="234" t="n">
        <f aca="false">Model!T44</f>
        <v>0.460227923836406</v>
      </c>
      <c r="U14" s="234" t="n">
        <f aca="false">Model!U44</f>
        <v>0.44306485791047</v>
      </c>
      <c r="V14" s="233" t="n">
        <f aca="false">Model!V44</f>
        <v>0.086537642058613</v>
      </c>
      <c r="W14" s="234" t="n">
        <f aca="false">Model!W44</f>
        <v>0.324552957561517</v>
      </c>
      <c r="X14" s="234" t="n">
        <f aca="false">Model!X44</f>
        <v>-0.0789016162977383</v>
      </c>
      <c r="Y14" s="234" t="n">
        <f aca="false">Model!Y44</f>
        <v>0.183263822128416</v>
      </c>
      <c r="Z14" s="234" t="n">
        <f aca="false">Model!Z44</f>
        <v>0.196100347332619</v>
      </c>
      <c r="AA14" s="233" t="n">
        <f aca="false">Model!AA44</f>
        <v>0.141728479267911</v>
      </c>
      <c r="AB14" s="234" t="n">
        <f aca="false">Model!AB44</f>
        <v>0.334616735505039</v>
      </c>
      <c r="AC14" s="234" t="n">
        <f aca="false">Model!AC44</f>
        <v>0.154162677913446</v>
      </c>
      <c r="AD14" s="234" t="n">
        <f aca="false">Model!AD44</f>
        <v>0.0530941865264805</v>
      </c>
      <c r="AE14" s="234" t="n">
        <f aca="false">Model!AE44</f>
        <v>0.262259487149507</v>
      </c>
      <c r="AF14" s="233" t="n">
        <f aca="false">Model!AF44</f>
        <v>0.1965201374023</v>
      </c>
      <c r="AG14" s="234" t="n">
        <f aca="false">Model!AG44</f>
        <v>-0.156023265575343</v>
      </c>
      <c r="AH14" s="234" t="n">
        <f aca="false">Model!AH44</f>
        <v>-0.257786450309815</v>
      </c>
      <c r="AI14" s="234" t="n">
        <f aca="false">Model!AI44</f>
        <v>-0.0171469105397314</v>
      </c>
      <c r="AJ14" s="234" t="n">
        <f aca="false">Model!AJ44</f>
        <v>0.268767761502507</v>
      </c>
      <c r="AK14" s="233" t="n">
        <f aca="false">Model!AK44</f>
        <v>-0.0206370009777611</v>
      </c>
      <c r="AL14" s="234" t="n">
        <f aca="false">Model!AL44</f>
        <v>-0.187211367673179</v>
      </c>
      <c r="AM14" s="234" t="n">
        <f aca="false">Model!AM44</f>
        <v>0.317592392478928</v>
      </c>
      <c r="AN14" s="234" t="n">
        <f aca="false">Model!AN44</f>
        <v>-0.451901090673628</v>
      </c>
      <c r="AO14" s="234" t="n">
        <f aca="false">Model!AO44</f>
        <v>-0.179077917100148</v>
      </c>
      <c r="AP14" s="233" t="n">
        <f aca="false">Model!AP44</f>
        <v>-0.16795887588419</v>
      </c>
      <c r="AQ14" s="234" t="n">
        <f aca="false">Model!AQ44</f>
        <v>0.785324397824398</v>
      </c>
      <c r="AR14" s="234" t="n">
        <f aca="false">Model!AR44</f>
        <v>0.00303852870399468</v>
      </c>
      <c r="AS14" s="234" t="n">
        <f aca="false">Model!AS44</f>
        <v>1.02368953783865</v>
      </c>
      <c r="AT14" s="234" t="n">
        <f aca="false">Model!AT44</f>
        <v>-0.157804596742816</v>
      </c>
      <c r="AU14" s="233" t="n">
        <f aca="false">Model!AU44</f>
        <v>0.266173091651774</v>
      </c>
      <c r="AV14" s="234" t="n">
        <f aca="false">Model!AV44</f>
        <v>-0.268984914344158</v>
      </c>
      <c r="AW14" s="234" t="n">
        <f aca="false">Model!AW44</f>
        <v>0.362462906236539</v>
      </c>
      <c r="AX14" s="234" t="n">
        <f aca="false">Model!AX44</f>
        <v>0.00258826713045157</v>
      </c>
      <c r="AY14" s="234" t="n">
        <f aca="false">Model!AY44</f>
        <v>0.214241578016013</v>
      </c>
      <c r="AZ14" s="233" t="n">
        <f aca="false">Model!AZ44</f>
        <v>0.0558311154125333</v>
      </c>
      <c r="BA14" s="234" t="n">
        <f aca="false">Model!BA44</f>
        <v>0.490757071733161</v>
      </c>
      <c r="BB14" s="234" t="n">
        <f aca="false">Model!BB44</f>
        <v>1.01043571812803</v>
      </c>
      <c r="BC14" s="234" t="n">
        <f aca="false">Model!BC44</f>
        <v>0.931780945095253</v>
      </c>
      <c r="BD14" s="234" t="n">
        <f aca="false">Model!BD44</f>
        <v>0.467100225634559</v>
      </c>
      <c r="BE14" s="233" t="n">
        <f aca="false">Model!BE44</f>
        <v>0.72202807218562</v>
      </c>
      <c r="BF14" s="234" t="n">
        <f aca="false">Model!BF44</f>
        <v>-0.0348440600546632</v>
      </c>
      <c r="BG14" s="234" t="n">
        <f aca="false">Model!BG44</f>
        <v>-0.133433006102318</v>
      </c>
      <c r="BH14" s="234" t="n">
        <f aca="false">Model!BH44</f>
        <v>0.116385968878339</v>
      </c>
      <c r="BI14" s="234" t="n">
        <f aca="false">Model!BI44</f>
        <v>0.351109824715771</v>
      </c>
      <c r="BJ14" s="233" t="n">
        <f aca="false">Model!BJ44</f>
        <v>0.0720385033379911</v>
      </c>
      <c r="BK14" s="234" t="n">
        <f aca="false">Model!BK44</f>
        <v>0.224756433208487</v>
      </c>
      <c r="BL14" s="234" t="n">
        <f aca="false">Model!BL44</f>
        <v>0.0108689533491568</v>
      </c>
      <c r="BM14" s="234" t="n">
        <f aca="false">Model!BM44</f>
        <v>0.015291371357858</v>
      </c>
      <c r="BN14" s="234" t="n">
        <f aca="false">Model!BN44</f>
        <v>0.0397875729344008</v>
      </c>
      <c r="BO14" s="235" t="n">
        <f aca="false">Model!BO44</f>
        <v>0.0574357091134787</v>
      </c>
      <c r="BP14" s="234" t="n">
        <f aca="false">Model!BP44</f>
        <v>-0.0800000000000003</v>
      </c>
      <c r="BQ14" s="234" t="n">
        <f aca="false">Model!BQ44</f>
        <v>-0.258064516129032</v>
      </c>
      <c r="BR14" s="234" t="n">
        <f aca="false">Model!BR44</f>
        <v>-0.364473684210527</v>
      </c>
      <c r="BS14" s="234" t="n">
        <f aca="false">Model!BS44</f>
        <v>-0.378378378378378</v>
      </c>
      <c r="BT14" s="233" t="n">
        <f aca="false">Model!BT44</f>
        <v>-0.290834069580837</v>
      </c>
      <c r="BU14" s="234" t="n">
        <f aca="false">Model!BU44</f>
        <v>-0.1</v>
      </c>
      <c r="BV14" s="234" t="n">
        <f aca="false">Model!BV44</f>
        <v>-0.1</v>
      </c>
      <c r="BW14" s="234" t="n">
        <f aca="false">Model!BW44</f>
        <v>0.0800000000000001</v>
      </c>
      <c r="BX14" s="234" t="n">
        <f aca="false">Model!BX44</f>
        <v>0.0800000000000001</v>
      </c>
      <c r="BY14" s="233" t="n">
        <f aca="false">Model!BY44</f>
        <v>-0.00760371590536435</v>
      </c>
      <c r="BZ14" s="233" t="n">
        <f aca="false">Model!BZ44</f>
        <v>0.0705652027601291</v>
      </c>
      <c r="CA14" s="233" t="n">
        <f aca="false">Model!CA44</f>
        <v>0.0839472677946307</v>
      </c>
      <c r="CB14" s="233" t="n">
        <f aca="false">Model!CB44</f>
        <v>0.0839472677946307</v>
      </c>
      <c r="CC14" s="625"/>
    </row>
    <row r="15" s="237" customFormat="true" ht="15" hidden="false" customHeight="true" outlineLevel="0" collapsed="false">
      <c r="A15" s="371" t="str">
        <f aca="false">Model!A45</f>
        <v>Y/Y ArF sales growth, %</v>
      </c>
      <c r="B15" s="625"/>
      <c r="C15" s="233"/>
      <c r="D15" s="233"/>
      <c r="E15" s="233"/>
      <c r="F15" s="233" t="n">
        <f aca="false">Model!F45</f>
        <v>-0.644277857139737</v>
      </c>
      <c r="G15" s="233" t="n">
        <f aca="false">Model!G45</f>
        <v>-0.533096723485779</v>
      </c>
      <c r="H15" s="234"/>
      <c r="I15" s="234"/>
      <c r="J15" s="234"/>
      <c r="K15" s="234"/>
      <c r="L15" s="233" t="n">
        <f aca="false">Model!L45</f>
        <v>-0.142244667140114</v>
      </c>
      <c r="M15" s="234" t="str">
        <f aca="false">Model!M45</f>
        <v>n/a</v>
      </c>
      <c r="N15" s="234" t="n">
        <f aca="false">Model!N45</f>
        <v>-0.0872888173773129</v>
      </c>
      <c r="O15" s="234" t="str">
        <f aca="false">Model!O45</f>
        <v>n/a</v>
      </c>
      <c r="P15" s="234" t="n">
        <f aca="false">Model!P45</f>
        <v>1.43499493227679</v>
      </c>
      <c r="Q15" s="233" t="n">
        <f aca="false">Model!Q45</f>
        <v>2.29710833767747</v>
      </c>
      <c r="R15" s="234" t="n">
        <f aca="false">Model!R45</f>
        <v>0.149618933012435</v>
      </c>
      <c r="S15" s="234" t="n">
        <f aca="false">Model!S45</f>
        <v>2.34614367562803</v>
      </c>
      <c r="T15" s="234" t="n">
        <f aca="false">Model!T45</f>
        <v>-0.14029871150757</v>
      </c>
      <c r="U15" s="234" t="n">
        <f aca="false">Model!U45</f>
        <v>-0.0244068566239074</v>
      </c>
      <c r="V15" s="233" t="n">
        <f aca="false">Model!V45</f>
        <v>0.087219359758933</v>
      </c>
      <c r="W15" s="234" t="n">
        <f aca="false">Model!W45</f>
        <v>0.414049779018376</v>
      </c>
      <c r="X15" s="234" t="n">
        <f aca="false">Model!X45</f>
        <v>0.0938043306464358</v>
      </c>
      <c r="Y15" s="234" t="n">
        <f aca="false">Model!Y45</f>
        <v>0.446211338156953</v>
      </c>
      <c r="Z15" s="234" t="n">
        <f aca="false">Model!Z45</f>
        <v>2.03296873787914</v>
      </c>
      <c r="AA15" s="233" t="n">
        <f aca="false">Model!AA45</f>
        <v>0.798973481608212</v>
      </c>
      <c r="AB15" s="234" t="n">
        <f aca="false">Model!AB45</f>
        <v>0.0973515380819214</v>
      </c>
      <c r="AC15" s="234" t="n">
        <f aca="false">Model!AC45</f>
        <v>1.00997037786287</v>
      </c>
      <c r="AD15" s="234" t="n">
        <f aca="false">Model!AD45</f>
        <v>0.715817252185387</v>
      </c>
      <c r="AE15" s="234" t="n">
        <f aca="false">Model!AE45</f>
        <v>-0.0699140621003633</v>
      </c>
      <c r="AF15" s="233" t="n">
        <f aca="false">Model!AF45</f>
        <v>0.304327151688065</v>
      </c>
      <c r="AG15" s="234" t="n">
        <f aca="false">Model!AG45</f>
        <v>0.0127720813095882</v>
      </c>
      <c r="AH15" s="234" t="n">
        <f aca="false">Model!AH45</f>
        <v>-0.556482147136353</v>
      </c>
      <c r="AI15" s="234" t="n">
        <f aca="false">Model!AI45</f>
        <v>1.60809381909065</v>
      </c>
      <c r="AJ15" s="234" t="n">
        <f aca="false">Model!AJ45</f>
        <v>0.721899104896259</v>
      </c>
      <c r="AK15" s="233" t="n">
        <f aca="false">Model!AK45</f>
        <v>0.462632154575283</v>
      </c>
      <c r="AL15" s="234" t="n">
        <f aca="false">Model!AL45</f>
        <v>0.641207815275311</v>
      </c>
      <c r="AM15" s="234" t="n">
        <f aca="false">Model!AM45</f>
        <v>2.29398098119732</v>
      </c>
      <c r="AN15" s="234" t="n">
        <f aca="false">Model!AN45</f>
        <v>-0.80984323553983</v>
      </c>
      <c r="AO15" s="234" t="n">
        <f aca="false">Model!AO45</f>
        <v>0.0215919253864825</v>
      </c>
      <c r="AP15" s="233" t="n">
        <f aca="false">Model!AP45</f>
        <v>0.064307078763709</v>
      </c>
      <c r="AQ15" s="234" t="n">
        <f aca="false">Model!AQ45</f>
        <v>-0.435642135642136</v>
      </c>
      <c r="AR15" s="234" t="n">
        <f aca="false">Model!AR45</f>
        <v>0.209546461084229</v>
      </c>
      <c r="AS15" s="234" t="n">
        <f aca="false">Model!AS45</f>
        <v>2.98413877761985</v>
      </c>
      <c r="AT15" s="234" t="n">
        <f aca="false">Model!AT45</f>
        <v>-0.187883004002001</v>
      </c>
      <c r="AU15" s="233" t="n">
        <f aca="false">Model!AU45</f>
        <v>0.0114754098360654</v>
      </c>
      <c r="AV15" s="234" t="n">
        <f aca="false">Model!AV45</f>
        <v>1.19304525696753</v>
      </c>
      <c r="AW15" s="234" t="n">
        <f aca="false">Model!AW45</f>
        <v>0.122999728776783</v>
      </c>
      <c r="AX15" s="234" t="n">
        <f aca="false">Model!AX45</f>
        <v>0.0349298241346596</v>
      </c>
      <c r="AY15" s="234" t="n">
        <f aca="false">Model!AY45</f>
        <v>0.827890547550988</v>
      </c>
      <c r="AZ15" s="233" t="n">
        <f aca="false">Model!AZ45</f>
        <v>0.444084278768234</v>
      </c>
      <c r="BA15" s="234" t="n">
        <f aca="false">Model!BA45</f>
        <v>0.167759706190976</v>
      </c>
      <c r="BB15" s="234" t="n">
        <f aca="false">Model!BB45</f>
        <v>-0.323016543895665</v>
      </c>
      <c r="BC15" s="234" t="n">
        <f aca="false">Model!BC45</f>
        <v>0.663478036054246</v>
      </c>
      <c r="BD15" s="234" t="n">
        <f aca="false">Model!BD45</f>
        <v>0.496056151140504</v>
      </c>
      <c r="BE15" s="233" t="n">
        <f aca="false">Model!BE45</f>
        <v>0.250921917588584</v>
      </c>
      <c r="BF15" s="234" t="n">
        <f aca="false">Model!BF45</f>
        <v>-0.257572353888202</v>
      </c>
      <c r="BG15" s="234" t="n">
        <f aca="false">Model!BG45</f>
        <v>1.97232478906905</v>
      </c>
      <c r="BH15" s="234" t="n">
        <f aca="false">Model!BH45</f>
        <v>-0.162710523341246</v>
      </c>
      <c r="BI15" s="234" t="n">
        <f aca="false">Model!BI45</f>
        <v>-0.499100747910251</v>
      </c>
      <c r="BJ15" s="233" t="n">
        <f aca="false">Model!BJ45</f>
        <v>-0.00743399128428612</v>
      </c>
      <c r="BK15" s="234" t="n">
        <f aca="false">Model!BK45</f>
        <v>-0.0350403859569498</v>
      </c>
      <c r="BL15" s="234" t="n">
        <f aca="false">Model!BL45</f>
        <v>-0.664163138422207</v>
      </c>
      <c r="BM15" s="234" t="n">
        <f aca="false">Model!BM45</f>
        <v>-0.375205309933626</v>
      </c>
      <c r="BN15" s="234" t="n">
        <f aca="false">Model!BN45</f>
        <v>0.0657822622577606</v>
      </c>
      <c r="BO15" s="235" t="n">
        <f aca="false">Model!BO45</f>
        <v>-0.367915805785124</v>
      </c>
      <c r="BP15" s="234" t="n">
        <f aca="false">Model!BP45</f>
        <v>1.93333333333333</v>
      </c>
      <c r="BQ15" s="234" t="n">
        <f aca="false">Model!BQ45</f>
        <v>1.3</v>
      </c>
      <c r="BR15" s="234" t="n">
        <f aca="false">Model!BR45</f>
        <v>1.3</v>
      </c>
      <c r="BS15" s="234" t="n">
        <f aca="false">Model!BS45</f>
        <v>0.84</v>
      </c>
      <c r="BT15" s="233" t="n">
        <f aca="false">Model!BT45</f>
        <v>1.30600412132999</v>
      </c>
      <c r="BU15" s="234" t="n">
        <f aca="false">Model!BU45</f>
        <v>0.00499999999999989</v>
      </c>
      <c r="BV15" s="234" t="n">
        <f aca="false">Model!BV45</f>
        <v>0.00500000000000012</v>
      </c>
      <c r="BW15" s="234" t="n">
        <f aca="false">Model!BW45</f>
        <v>0.00500000000000012</v>
      </c>
      <c r="BX15" s="234" t="n">
        <f aca="false">Model!BX45</f>
        <v>0.00499999999999989</v>
      </c>
      <c r="BY15" s="233" t="n">
        <f aca="false">Model!BY45</f>
        <v>0.00499999999999989</v>
      </c>
      <c r="BZ15" s="233" t="n">
        <f aca="false">Model!BZ45</f>
        <v>0.00596186602713633</v>
      </c>
      <c r="CA15" s="233" t="n">
        <f aca="false">Model!CA45</f>
        <v>0.00596186602713633</v>
      </c>
      <c r="CB15" s="233" t="n">
        <f aca="false">Model!CB45</f>
        <v>0.00596186602713611</v>
      </c>
      <c r="CC15" s="625"/>
    </row>
    <row r="16" s="237" customFormat="true" ht="15" hidden="false" customHeight="true" outlineLevel="0" collapsed="false">
      <c r="A16" s="371" t="str">
        <f aca="false">Model!A46</f>
        <v>Y/Y KrF sales growth, %</v>
      </c>
      <c r="B16" s="625"/>
      <c r="C16" s="233"/>
      <c r="D16" s="233"/>
      <c r="E16" s="233"/>
      <c r="F16" s="233" t="n">
        <f aca="false">Model!F46</f>
        <v>-0.01978043800158</v>
      </c>
      <c r="G16" s="233" t="n">
        <f aca="false">Model!G46</f>
        <v>-0.207203130436315</v>
      </c>
      <c r="H16" s="234"/>
      <c r="I16" s="234"/>
      <c r="J16" s="234"/>
      <c r="K16" s="234"/>
      <c r="L16" s="233" t="n">
        <f aca="false">Model!L46</f>
        <v>-0.470266772029281</v>
      </c>
      <c r="M16" s="234" t="n">
        <f aca="false">Model!M46</f>
        <v>-0.145745288406625</v>
      </c>
      <c r="N16" s="234" t="n">
        <f aca="false">Model!N46</f>
        <v>4.47626709573612</v>
      </c>
      <c r="O16" s="234" t="n">
        <f aca="false">Model!O46</f>
        <v>1.48097795364613</v>
      </c>
      <c r="P16" s="234" t="n">
        <f aca="false">Model!P46</f>
        <v>1.07425494230986</v>
      </c>
      <c r="Q16" s="233" t="n">
        <f aca="false">Model!Q46</f>
        <v>0.960328862509045</v>
      </c>
      <c r="R16" s="234" t="n">
        <f aca="false">Model!R46</f>
        <v>-0.195266746891296</v>
      </c>
      <c r="S16" s="234" t="n">
        <f aca="false">Model!S46</f>
        <v>0.0224327897752317</v>
      </c>
      <c r="T16" s="234" t="n">
        <f aca="false">Model!T46</f>
        <v>-0.426865807671714</v>
      </c>
      <c r="U16" s="234" t="n">
        <f aca="false">Model!U46</f>
        <v>-0.363743602146027</v>
      </c>
      <c r="V16" s="233" t="n">
        <f aca="false">Model!V46</f>
        <v>-0.287586594270736</v>
      </c>
      <c r="W16" s="234" t="n">
        <f aca="false">Model!W46</f>
        <v>0.515053334662546</v>
      </c>
      <c r="X16" s="234" t="n">
        <f aca="false">Model!X46</f>
        <v>-0.105069184016553</v>
      </c>
      <c r="Y16" s="234" t="n">
        <f aca="false">Model!Y46</f>
        <v>0.205176115130794</v>
      </c>
      <c r="Z16" s="234" t="n">
        <f aca="false">Model!Z46</f>
        <v>0.51648436893957</v>
      </c>
      <c r="AA16" s="233" t="n">
        <f aca="false">Model!AA46</f>
        <v>0.282710718978787</v>
      </c>
      <c r="AB16" s="234" t="n">
        <f aca="false">Model!AB46</f>
        <v>0.280243461095575</v>
      </c>
      <c r="AC16" s="234" t="n">
        <f aca="false">Model!AC46</f>
        <v>0.674975314885726</v>
      </c>
      <c r="AD16" s="234" t="n">
        <f aca="false">Model!AD46</f>
        <v>0.0294903513112319</v>
      </c>
      <c r="AE16" s="234" t="n">
        <f aca="false">Model!AE46</f>
        <v>0.240114583866182</v>
      </c>
      <c r="AF16" s="233" t="n">
        <f aca="false">Model!AF46</f>
        <v>0.258744328991658</v>
      </c>
      <c r="AG16" s="234" t="n">
        <f aca="false">Model!AG46</f>
        <v>-0.348932233443836</v>
      </c>
      <c r="AH16" s="234" t="n">
        <f aca="false">Model!AH46</f>
        <v>-0.0242607236999761</v>
      </c>
      <c r="AI16" s="234" t="n">
        <f aca="false">Model!AI46</f>
        <v>-0.254830337402672</v>
      </c>
      <c r="AJ16" s="234" t="n">
        <f aca="false">Model!AJ46</f>
        <v>-0.225145402796683</v>
      </c>
      <c r="AK16" s="233" t="n">
        <f aca="false">Model!AK46</f>
        <v>-0.209743053133357</v>
      </c>
      <c r="AL16" s="234" t="n">
        <f aca="false">Model!AL46</f>
        <v>0.354647720544701</v>
      </c>
      <c r="AM16" s="234" t="n">
        <f aca="false">Model!AM46</f>
        <v>0.197811265889935</v>
      </c>
      <c r="AN16" s="234" t="n">
        <f aca="false">Model!AN46</f>
        <v>0.77479646829492</v>
      </c>
      <c r="AO16" s="234" t="n">
        <f aca="false">Model!AO46</f>
        <v>0.872918529875218</v>
      </c>
      <c r="AP16" s="233" t="n">
        <f aca="false">Model!AP46</f>
        <v>0.489333529498308</v>
      </c>
      <c r="AQ16" s="234" t="n">
        <f aca="false">Model!AQ46</f>
        <v>0.671367521367521</v>
      </c>
      <c r="AR16" s="234" t="n">
        <f aca="false">Model!AR46</f>
        <v>0.330501107192652</v>
      </c>
      <c r="AS16" s="234" t="n">
        <f aca="false">Model!AS46</f>
        <v>0.162040476805789</v>
      </c>
      <c r="AT16" s="234" t="n">
        <f aca="false">Model!AT46</f>
        <v>-0.0156157624266683</v>
      </c>
      <c r="AU16" s="233" t="n">
        <f aca="false">Model!AU46</f>
        <v>0.305245480588758</v>
      </c>
      <c r="AV16" s="234" t="n">
        <f aca="false">Model!AV46</f>
        <v>-0.202528997466354</v>
      </c>
      <c r="AW16" s="234" t="n">
        <f aca="false">Model!AW46</f>
        <v>0.276136055428163</v>
      </c>
      <c r="AX16" s="234" t="n">
        <f aca="false">Model!AX46</f>
        <v>0.478471177335228</v>
      </c>
      <c r="AY16" s="234" t="n">
        <f aca="false">Model!AY46</f>
        <v>0.645101492795889</v>
      </c>
      <c r="AZ16" s="233" t="n">
        <f aca="false">Model!AZ46</f>
        <v>0.251570423068191</v>
      </c>
      <c r="BA16" s="234" t="n">
        <f aca="false">Model!BA46</f>
        <v>0.751639559286464</v>
      </c>
      <c r="BB16" s="234" t="n">
        <f aca="false">Model!BB46</f>
        <v>0.218570220987804</v>
      </c>
      <c r="BC16" s="234" t="n">
        <f aca="false">Model!BC46</f>
        <v>0.247608527040684</v>
      </c>
      <c r="BD16" s="234" t="n">
        <f aca="false">Model!BD46</f>
        <v>0.196844920912403</v>
      </c>
      <c r="BE16" s="233" t="n">
        <f aca="false">Model!BE46</f>
        <v>0.331861885468948</v>
      </c>
      <c r="BF16" s="234" t="n">
        <f aca="false">Model!BF46</f>
        <v>-0.340064314567291</v>
      </c>
      <c r="BG16" s="234" t="n">
        <f aca="false">Model!BG46</f>
        <v>-0.150764345980272</v>
      </c>
      <c r="BH16" s="234" t="n">
        <f aca="false">Model!BH46</f>
        <v>0.116385968878339</v>
      </c>
      <c r="BI16" s="234" t="n">
        <f aca="false">Model!BI46</f>
        <v>-0.0608139023317196</v>
      </c>
      <c r="BJ16" s="233" t="n">
        <f aca="false">Model!BJ46</f>
        <v>-0.0959364358683315</v>
      </c>
      <c r="BK16" s="234" t="n">
        <f aca="false">Model!BK46</f>
        <v>-0.0953503618346403</v>
      </c>
      <c r="BL16" s="234" t="n">
        <f aca="false">Model!BL46</f>
        <v>-0.477587104212322</v>
      </c>
      <c r="BM16" s="234" t="n">
        <f aca="false">Model!BM46</f>
        <v>-0.718842389470132</v>
      </c>
      <c r="BN16" s="234" t="n">
        <f aca="false">Model!BN46</f>
        <v>-0.407898743190133</v>
      </c>
      <c r="BO16" s="235" t="n">
        <f aca="false">Model!BO46</f>
        <v>-0.469326034552029</v>
      </c>
      <c r="BP16" s="234" t="n">
        <f aca="false">Model!BP46</f>
        <v>1</v>
      </c>
      <c r="BQ16" s="234" t="n">
        <f aca="false">Model!BQ46</f>
        <v>1.875</v>
      </c>
      <c r="BR16" s="234" t="n">
        <f aca="false">Model!BR46</f>
        <v>3.18181818181818</v>
      </c>
      <c r="BS16" s="234" t="n">
        <f aca="false">Model!BS46</f>
        <v>0.586206896551724</v>
      </c>
      <c r="BT16" s="233" t="n">
        <f aca="false">Model!BT46</f>
        <v>1.38088671261999</v>
      </c>
      <c r="BU16" s="234" t="n">
        <f aca="false">Model!BU46</f>
        <v>-0.1</v>
      </c>
      <c r="BV16" s="234" t="n">
        <f aca="false">Model!BV46</f>
        <v>-0.1</v>
      </c>
      <c r="BW16" s="234" t="n">
        <f aca="false">Model!BW46</f>
        <v>-0.0499999999999998</v>
      </c>
      <c r="BX16" s="234" t="n">
        <f aca="false">Model!BX46</f>
        <v>-0.0499999999999999</v>
      </c>
      <c r="BY16" s="233" t="n">
        <f aca="false">Model!BY46</f>
        <v>-0.0741985985721142</v>
      </c>
      <c r="BZ16" s="233" t="n">
        <f aca="false">Model!BZ46</f>
        <v>0.0815236180818479</v>
      </c>
      <c r="CA16" s="233" t="n">
        <f aca="false">Model!CA46</f>
        <v>0.0815236180818475</v>
      </c>
      <c r="CB16" s="233" t="n">
        <f aca="false">Model!CB46</f>
        <v>0.0815236180818479</v>
      </c>
      <c r="CC16" s="625"/>
    </row>
    <row r="17" s="237" customFormat="true" ht="15" hidden="false" customHeight="true" outlineLevel="0" collapsed="false">
      <c r="A17" s="371" t="str">
        <f aca="false">Model!A47</f>
        <v>Y/Y i-line sales growth, %</v>
      </c>
      <c r="B17" s="625"/>
      <c r="C17" s="233"/>
      <c r="D17" s="233"/>
      <c r="E17" s="233"/>
      <c r="F17" s="233" t="n">
        <f aca="false">Model!F47</f>
        <v>-0.116163972671221</v>
      </c>
      <c r="G17" s="233" t="n">
        <f aca="false">Model!G47</f>
        <v>0.0226060069005825</v>
      </c>
      <c r="H17" s="234"/>
      <c r="I17" s="234"/>
      <c r="J17" s="234"/>
      <c r="K17" s="234"/>
      <c r="L17" s="233" t="n">
        <f aca="false">Model!L47</f>
        <v>-0.0563811349976031</v>
      </c>
      <c r="M17" s="234" t="n">
        <f aca="false">Model!M47</f>
        <v>1.42038834951456</v>
      </c>
      <c r="N17" s="234" t="n">
        <f aca="false">Model!N47</f>
        <v>0.825422365245374</v>
      </c>
      <c r="O17" s="234" t="n">
        <f aca="false">Model!O47</f>
        <v>0.102656868287168</v>
      </c>
      <c r="P17" s="234" t="n">
        <f aca="false">Model!P47</f>
        <v>0.623329954851193</v>
      </c>
      <c r="Q17" s="233" t="n">
        <f aca="false">Model!Q47</f>
        <v>0.426260257913247</v>
      </c>
      <c r="R17" s="234" t="n">
        <f aca="false">Model!R47</f>
        <v>-0.310228640192539</v>
      </c>
      <c r="S17" s="234" t="n">
        <f aca="false">Model!S47</f>
        <v>0.115381225209343</v>
      </c>
      <c r="T17" s="234" t="n">
        <f aca="false">Model!T47</f>
        <v>0.289551932738644</v>
      </c>
      <c r="U17" s="234" t="n">
        <f aca="false">Model!U47</f>
        <v>-0.26830514246793</v>
      </c>
      <c r="V17" s="233" t="n">
        <f aca="false">Model!V47</f>
        <v>0.0685517014630939</v>
      </c>
      <c r="W17" s="234" t="n">
        <f aca="false">Model!W47</f>
        <v>-0.292975110490812</v>
      </c>
      <c r="X17" s="234" t="n">
        <f aca="false">Model!X47</f>
        <v>0.0938043306464358</v>
      </c>
      <c r="Y17" s="234" t="n">
        <f aca="false">Model!Y47</f>
        <v>-0.276894330921523</v>
      </c>
      <c r="Z17" s="234" t="n">
        <f aca="false">Model!Z47</f>
        <v>0.51648436893957</v>
      </c>
      <c r="AA17" s="233" t="n">
        <f aca="false">Model!AA47</f>
        <v>0.085897435897436</v>
      </c>
      <c r="AB17" s="234" t="n">
        <f aca="false">Model!AB47</f>
        <v>0.371689422602402</v>
      </c>
      <c r="AC17" s="234" t="n">
        <f aca="false">Model!AC47</f>
        <v>-0.246261108301423</v>
      </c>
      <c r="AD17" s="234" t="n">
        <f aca="false">Model!AD47</f>
        <v>0.143878168123591</v>
      </c>
      <c r="AE17" s="234" t="n">
        <f aca="false">Model!AE47</f>
        <v>0.240114583866182</v>
      </c>
      <c r="AF17" s="233" t="n">
        <f aca="false">Model!AF47</f>
        <v>0.164108618654073</v>
      </c>
      <c r="AG17" s="234" t="n">
        <f aca="false">Model!AG47</f>
        <v>1.02554416261918</v>
      </c>
      <c r="AH17" s="234" t="n">
        <f aca="false">Model!AH47</f>
        <v>-0.112964294272706</v>
      </c>
      <c r="AI17" s="234" t="n">
        <f aca="false">Model!AI47</f>
        <v>0.117754493895992</v>
      </c>
      <c r="AJ17" s="234" t="n">
        <f aca="false">Model!AJ47</f>
        <v>1.58284865734439</v>
      </c>
      <c r="AK17" s="233" t="n">
        <f aca="false">Model!AK47</f>
        <v>0.35395537525355</v>
      </c>
      <c r="AL17" s="234" t="n">
        <f aca="false">Model!AL47</f>
        <v>0.406749555950266</v>
      </c>
      <c r="AM17" s="234" t="n">
        <f aca="false">Model!AM47</f>
        <v>0.317592392478928</v>
      </c>
      <c r="AN17" s="234" t="n">
        <f aca="false">Model!AN47</f>
        <v>0.33109735122119</v>
      </c>
      <c r="AO17" s="234" t="n">
        <f aca="false">Model!AO47</f>
        <v>-0.489204037306759</v>
      </c>
      <c r="AP17" s="233" t="n">
        <f aca="false">Model!AP47</f>
        <v>0.0966292134831461</v>
      </c>
      <c r="AQ17" s="234" t="n">
        <f aca="false">Model!AQ47</f>
        <v>-0.341582491582491</v>
      </c>
      <c r="AR17" s="234" t="n">
        <f aca="false">Model!AR47</f>
        <v>0.209546461084229</v>
      </c>
      <c r="AS17" s="234" t="n">
        <f aca="false">Model!AS47</f>
        <v>0.328046259206616</v>
      </c>
      <c r="AT17" s="234" t="n">
        <f aca="false">Model!AT47</f>
        <v>0.0828226613306651</v>
      </c>
      <c r="AU17" s="233" t="n">
        <f aca="false">Model!AU47</f>
        <v>-0.0280054644808743</v>
      </c>
      <c r="AV17" s="234" t="n">
        <f aca="false">Model!AV47</f>
        <v>0.462030171311685</v>
      </c>
      <c r="AW17" s="234" t="n">
        <f aca="false">Model!AW47</f>
        <v>0.403749660970979</v>
      </c>
      <c r="AX17" s="234" t="n">
        <f aca="false">Model!AX47</f>
        <v>0.0349298241346596</v>
      </c>
      <c r="AY17" s="234" t="n">
        <f aca="false">Model!AY47</f>
        <v>0.37091791066324</v>
      </c>
      <c r="AZ17" s="233" t="n">
        <f aca="false">Model!AZ47</f>
        <v>0.486296556570625</v>
      </c>
      <c r="BA17" s="234" t="n">
        <f aca="false">Model!BA47</f>
        <v>0.167759706190976</v>
      </c>
      <c r="BB17" s="234" t="n">
        <f aca="false">Model!BB47</f>
        <v>0.353966912208671</v>
      </c>
      <c r="BC17" s="234" t="n">
        <f aca="false">Model!BC47</f>
        <v>0.247608527040684</v>
      </c>
      <c r="BD17" s="234" t="n">
        <f aca="false">Model!BD47</f>
        <v>1.39368984182481</v>
      </c>
      <c r="BE17" s="233" t="n">
        <f aca="false">Model!BE47</f>
        <v>0.316312056737589</v>
      </c>
      <c r="BF17" s="234" t="n">
        <f aca="false">Model!BF47</f>
        <v>-0.257572353888203</v>
      </c>
      <c r="BG17" s="234" t="n">
        <f aca="false">Model!BG47</f>
        <v>0.698471308039457</v>
      </c>
      <c r="BH17" s="234" t="n">
        <f aca="false">Model!BH47</f>
        <v>1.23277193775668</v>
      </c>
      <c r="BI17" s="234" t="n">
        <f aca="false">Model!BI47</f>
        <v>0.252248130224374</v>
      </c>
      <c r="BJ17" s="233" t="n">
        <f aca="false">Model!BJ47</f>
        <v>0.326149425287356</v>
      </c>
      <c r="BK17" s="234" t="n">
        <f aca="false">Model!BK47</f>
        <v>0.447439421064575</v>
      </c>
      <c r="BL17" s="234" t="n">
        <f aca="false">Model!BL47</f>
        <v>-0.412285492238862</v>
      </c>
      <c r="BM17" s="234" t="n">
        <f aca="false">Model!BM47</f>
        <v>-0.531403982450219</v>
      </c>
      <c r="BN17" s="234" t="n">
        <f aca="false">Model!BN47</f>
        <v>-0.46710886887112</v>
      </c>
      <c r="BO17" s="235" t="n">
        <f aca="false">Model!BO47</f>
        <v>-0.337099133261105</v>
      </c>
      <c r="BP17" s="234" t="n">
        <f aca="false">Model!BP47</f>
        <v>-0.292307692307692</v>
      </c>
      <c r="BQ17" s="234" t="n">
        <f aca="false">Model!BQ47</f>
        <v>-0.342857142857143</v>
      </c>
      <c r="BR17" s="234" t="n">
        <f aca="false">Model!BR47</f>
        <v>-0.08</v>
      </c>
      <c r="BS17" s="234" t="n">
        <f aca="false">Model!BS47</f>
        <v>-0.458823529411765</v>
      </c>
      <c r="BT17" s="233" t="n">
        <f aca="false">Model!BT47</f>
        <v>-0.307287545757172</v>
      </c>
      <c r="BU17" s="234" t="n">
        <f aca="false">Model!BU47</f>
        <v>0.15</v>
      </c>
      <c r="BV17" s="234" t="n">
        <f aca="false">Model!BV47</f>
        <v>0.15</v>
      </c>
      <c r="BW17" s="234" t="n">
        <f aca="false">Model!BW47</f>
        <v>0.15</v>
      </c>
      <c r="BX17" s="234" t="n">
        <f aca="false">Model!BX47</f>
        <v>0.15</v>
      </c>
      <c r="BY17" s="233" t="n">
        <f aca="false">Model!BY47</f>
        <v>0.15</v>
      </c>
      <c r="BZ17" s="233" t="n">
        <f aca="false">Model!BZ47</f>
        <v>0.15</v>
      </c>
      <c r="CA17" s="233" t="n">
        <f aca="false">Model!CA47</f>
        <v>0.15</v>
      </c>
      <c r="CB17" s="233" t="n">
        <f aca="false">Model!CB47</f>
        <v>0.15</v>
      </c>
      <c r="CC17" s="625"/>
    </row>
    <row r="18" s="237" customFormat="true" ht="15" hidden="false" customHeight="true" outlineLevel="0" collapsed="false">
      <c r="A18" s="718" t="str">
        <f aca="false">Model!A48</f>
        <v>Y/Y Metrology &amp; Inspection sales growth, %</v>
      </c>
      <c r="B18" s="719"/>
      <c r="C18" s="320"/>
      <c r="D18" s="320"/>
      <c r="E18" s="320"/>
      <c r="F18" s="320" t="n">
        <f aca="false">Model!F48</f>
        <v>0</v>
      </c>
      <c r="G18" s="320" t="n">
        <f aca="false">Model!G48</f>
        <v>0</v>
      </c>
      <c r="H18" s="323"/>
      <c r="I18" s="323"/>
      <c r="J18" s="323"/>
      <c r="K18" s="323"/>
      <c r="L18" s="320" t="n">
        <f aca="false">Model!L48</f>
        <v>0</v>
      </c>
      <c r="M18" s="323" t="n">
        <f aca="false">Model!M48</f>
        <v>0</v>
      </c>
      <c r="N18" s="323" t="n">
        <f aca="false">Model!N48</f>
        <v>0</v>
      </c>
      <c r="O18" s="323" t="n">
        <f aca="false">Model!O48</f>
        <v>0</v>
      </c>
      <c r="P18" s="323" t="n">
        <f aca="false">Model!P48</f>
        <v>0</v>
      </c>
      <c r="Q18" s="320" t="n">
        <f aca="false">Model!Q48</f>
        <v>0</v>
      </c>
      <c r="R18" s="323" t="n">
        <f aca="false">Model!R48</f>
        <v>0</v>
      </c>
      <c r="S18" s="323" t="n">
        <f aca="false">Model!S48</f>
        <v>0</v>
      </c>
      <c r="T18" s="323" t="n">
        <f aca="false">Model!T48</f>
        <v>0</v>
      </c>
      <c r="U18" s="323" t="n">
        <f aca="false">Model!U48</f>
        <v>0</v>
      </c>
      <c r="V18" s="320" t="n">
        <f aca="false">Model!V48</f>
        <v>0</v>
      </c>
      <c r="W18" s="323" t="n">
        <f aca="false">Model!W48</f>
        <v>0</v>
      </c>
      <c r="X18" s="323" t="n">
        <f aca="false">Model!X48</f>
        <v>0</v>
      </c>
      <c r="Y18" s="323" t="n">
        <f aca="false">Model!Y48</f>
        <v>0</v>
      </c>
      <c r="Z18" s="323" t="str">
        <f aca="false">Model!Z48</f>
        <v>n/a</v>
      </c>
      <c r="AA18" s="320" t="n">
        <f aca="false">Model!AA48</f>
        <v>1.74305555555556</v>
      </c>
      <c r="AB18" s="323" t="n">
        <f aca="false">Model!AB48</f>
        <v>-0.451324230959039</v>
      </c>
      <c r="AC18" s="323" t="n">
        <f aca="false">Model!AC48</f>
        <v>0.00498518893143585</v>
      </c>
      <c r="AD18" s="323" t="n">
        <f aca="false">Model!AD48</f>
        <v>0.525170890831455</v>
      </c>
      <c r="AE18" s="323" t="n">
        <f aca="false">Model!AE48</f>
        <v>0.550143229832728</v>
      </c>
      <c r="AF18" s="320" t="n">
        <f aca="false">Model!AF48</f>
        <v>0.226401446654611</v>
      </c>
      <c r="AG18" s="323" t="n">
        <f aca="false">Model!AG48</f>
        <v>0.519158121964382</v>
      </c>
      <c r="AH18" s="323" t="n">
        <f aca="false">Model!AH48</f>
        <v>-0.112964294272706</v>
      </c>
      <c r="AI18" s="323" t="n">
        <f aca="false">Model!AI48</f>
        <v>-0.161684129578006</v>
      </c>
      <c r="AJ18" s="323" t="n">
        <f aca="false">Model!AJ48</f>
        <v>-0.225145402796683</v>
      </c>
      <c r="AK18" s="320" t="n">
        <f aca="false">Model!AK48</f>
        <v>-0.190799174284872</v>
      </c>
      <c r="AL18" s="323" t="n">
        <f aca="false">Model!AL48</f>
        <v>-0.0621669626998224</v>
      </c>
      <c r="AM18" s="323" t="n">
        <f aca="false">Model!AM48</f>
        <v>0.317592392478928</v>
      </c>
      <c r="AN18" s="323" t="n">
        <f aca="false">Model!AN48</f>
        <v>0.33109735122119</v>
      </c>
      <c r="AO18" s="323" t="n">
        <f aca="false">Model!AO48</f>
        <v>0.0215919253864825</v>
      </c>
      <c r="AP18" s="320" t="n">
        <f aca="false">Model!AP48</f>
        <v>0.275874635568513</v>
      </c>
      <c r="AQ18" s="323" t="n">
        <f aca="false">Model!AQ48</f>
        <v>0.975252525252526</v>
      </c>
      <c r="AR18" s="323" t="n">
        <f aca="false">Model!AR48</f>
        <v>0.209546461084229</v>
      </c>
      <c r="AS18" s="323" t="n">
        <f aca="false">Model!AS48</f>
        <v>0.328046259206616</v>
      </c>
      <c r="AT18" s="323" t="n">
        <f aca="false">Model!AT48</f>
        <v>0.804704435551108</v>
      </c>
      <c r="AU18" s="320" t="n">
        <f aca="false">Model!AU48</f>
        <v>0.467295058554699</v>
      </c>
      <c r="AV18" s="323" t="n">
        <f aca="false">Model!AV48</f>
        <v>0.705701866530299</v>
      </c>
      <c r="AW18" s="323" t="n">
        <f aca="false">Model!AW48</f>
        <v>0.403749660970979</v>
      </c>
      <c r="AX18" s="323" t="n">
        <f aca="false">Model!AX48</f>
        <v>0.379906432179546</v>
      </c>
      <c r="AY18" s="323" t="n">
        <f aca="false">Model!AY48</f>
        <v>-0.177449253602056</v>
      </c>
      <c r="AZ18" s="320" t="n">
        <f aca="false">Model!AZ48</f>
        <v>0.284017909285575</v>
      </c>
      <c r="BA18" s="323" t="n">
        <f aca="false">Model!BA48</f>
        <v>0.000936891020836272</v>
      </c>
      <c r="BB18" s="323" t="n">
        <f aca="false">Model!BB48</f>
        <v>-0.323016543895665</v>
      </c>
      <c r="BC18" s="323" t="n">
        <f aca="false">Model!BC48</f>
        <v>-0.376195736479658</v>
      </c>
      <c r="BD18" s="323" t="n">
        <f aca="false">Model!BD48</f>
        <v>0.196844920912403</v>
      </c>
      <c r="BE18" s="320" t="n">
        <f aca="false">Model!BE48</f>
        <v>-0.187234687689509</v>
      </c>
      <c r="BF18" s="323" t="n">
        <f aca="false">Model!BF48</f>
        <v>-0.257572353888202</v>
      </c>
      <c r="BG18" s="323" t="n">
        <f aca="false">Model!BG48</f>
        <v>-0.575382172990136</v>
      </c>
      <c r="BH18" s="323" t="n">
        <f aca="false">Model!BH48</f>
        <v>0.116385968878339</v>
      </c>
      <c r="BI18" s="323" t="n">
        <f aca="false">Model!BI48</f>
        <v>0.669664173632498</v>
      </c>
      <c r="BJ18" s="320" t="n">
        <f aca="false">Model!BJ48</f>
        <v>0.204066405521358</v>
      </c>
      <c r="BK18" s="323" t="n">
        <f aca="false">Model!BK48</f>
        <v>0.447439421064575</v>
      </c>
      <c r="BL18" s="323" t="n">
        <f aca="false">Model!BL48</f>
        <v>1.35085803104455</v>
      </c>
      <c r="BM18" s="323" t="n">
        <f aca="false">Model!BM48</f>
        <v>0.874384070199123</v>
      </c>
      <c r="BN18" s="323" t="n">
        <f aca="false">Model!BN48</f>
        <v>0.0657822622577606</v>
      </c>
      <c r="BO18" s="324" t="n">
        <f aca="false">Model!BO48</f>
        <v>0.254292796281952</v>
      </c>
      <c r="BP18" s="323" t="n">
        <f aca="false">Model!BP48</f>
        <v>0.222222222222222</v>
      </c>
      <c r="BQ18" s="323" t="n">
        <f aca="false">Model!BQ48</f>
        <v>0.166666666666667</v>
      </c>
      <c r="BR18" s="323" t="n">
        <f aca="false">Model!BR48</f>
        <v>0.166666666666667</v>
      </c>
      <c r="BS18" s="323" t="n">
        <f aca="false">Model!BS48</f>
        <v>0.166666666666667</v>
      </c>
      <c r="BT18" s="320" t="n">
        <f aca="false">Model!BT48</f>
        <v>0.17848335363027</v>
      </c>
      <c r="BU18" s="323" t="n">
        <f aca="false">Model!BU48</f>
        <v>0.05</v>
      </c>
      <c r="BV18" s="323" t="n">
        <f aca="false">Model!BV48</f>
        <v>0.05</v>
      </c>
      <c r="BW18" s="323" t="n">
        <f aca="false">Model!BW48</f>
        <v>0.0500000000000003</v>
      </c>
      <c r="BX18" s="323" t="n">
        <f aca="false">Model!BX48</f>
        <v>0.0499999999999998</v>
      </c>
      <c r="BY18" s="320" t="n">
        <f aca="false">Model!BY48</f>
        <v>0.05</v>
      </c>
      <c r="BZ18" s="320" t="n">
        <f aca="false">Model!BZ48</f>
        <v>0.0500000000000003</v>
      </c>
      <c r="CA18" s="320" t="n">
        <f aca="false">Model!CA48</f>
        <v>0.05</v>
      </c>
      <c r="CB18" s="320" t="n">
        <f aca="false">Model!CB48</f>
        <v>0.05</v>
      </c>
      <c r="CC18" s="625"/>
    </row>
    <row r="19" s="237" customFormat="true" ht="15" hidden="false" customHeight="true" outlineLevel="0" collapsed="false">
      <c r="A19" s="343" t="str">
        <f aca="false">Model!A49</f>
        <v>Y/Y Total net system sales growth, %</v>
      </c>
      <c r="B19" s="625"/>
      <c r="C19" s="233"/>
      <c r="D19" s="233" t="n">
        <f aca="false">Model!D49</f>
        <v>2.31507467285408</v>
      </c>
      <c r="E19" s="233" t="n">
        <f aca="false">Model!E49</f>
        <v>0.253976001491241</v>
      </c>
      <c r="F19" s="233" t="n">
        <f aca="false">Model!F49</f>
        <v>-0.221601203788847</v>
      </c>
      <c r="G19" s="233" t="n">
        <f aca="false">Model!G49</f>
        <v>0.0503723137852374</v>
      </c>
      <c r="H19" s="234"/>
      <c r="I19" s="234"/>
      <c r="J19" s="234"/>
      <c r="K19" s="234"/>
      <c r="L19" s="233" t="n">
        <f aca="false">Model!L49</f>
        <v>0.0625226482790815</v>
      </c>
      <c r="M19" s="234" t="n">
        <f aca="false">Model!M49</f>
        <v>0.210194174757282</v>
      </c>
      <c r="N19" s="234" t="n">
        <f aca="false">Model!N49</f>
        <v>-0.087288817377313</v>
      </c>
      <c r="O19" s="234" t="n">
        <f aca="false">Model!O49</f>
        <v>0.102656868287168</v>
      </c>
      <c r="P19" s="234" t="n">
        <f aca="false">Model!P49</f>
        <v>-0.188335022574403</v>
      </c>
      <c r="Q19" s="233" t="n">
        <f aca="false">Model!Q49</f>
        <v>-0.00132153606471208</v>
      </c>
      <c r="R19" s="234" t="n">
        <f aca="false">Model!R49</f>
        <v>-0.310228640192539</v>
      </c>
      <c r="S19" s="234" t="n">
        <f aca="false">Model!S49</f>
        <v>0.115381225209343</v>
      </c>
      <c r="T19" s="234" t="n">
        <f aca="false">Model!T49</f>
        <v>0.289551932738645</v>
      </c>
      <c r="U19" s="234" t="n">
        <f aca="false">Model!U49</f>
        <v>0.463389715064139</v>
      </c>
      <c r="V19" s="233" t="n">
        <f aca="false">Model!V49</f>
        <v>0.102619358191515</v>
      </c>
      <c r="W19" s="234" t="n">
        <f aca="false">Model!W49</f>
        <v>0.414049779018376</v>
      </c>
      <c r="X19" s="234" t="n">
        <f aca="false">Model!X49</f>
        <v>0.0938043306464358</v>
      </c>
      <c r="Y19" s="234" t="n">
        <f aca="false">Model!Y49</f>
        <v>0.446211338156953</v>
      </c>
      <c r="Z19" s="234" t="n">
        <f aca="false">Model!Z49</f>
        <v>0.51648436893957</v>
      </c>
      <c r="AA19" s="233" t="n">
        <f aca="false">Model!AA49</f>
        <v>0.364233732876712</v>
      </c>
      <c r="AB19" s="234" t="n">
        <f aca="false">Model!AB49</f>
        <v>0.371689422602402</v>
      </c>
      <c r="AC19" s="234" t="n">
        <f aca="false">Model!AC49</f>
        <v>0.507477783397154</v>
      </c>
      <c r="AD19" s="234" t="n">
        <f aca="false">Model!AD49</f>
        <v>0.143878168123591</v>
      </c>
      <c r="AE19" s="234" t="n">
        <f aca="false">Model!AE49</f>
        <v>0.240114583866182</v>
      </c>
      <c r="AF19" s="233" t="n">
        <f aca="false">Model!AF49</f>
        <v>0.295809341512779</v>
      </c>
      <c r="AG19" s="234" t="n">
        <f aca="false">Model!AG49</f>
        <v>0.012772081309588</v>
      </c>
      <c r="AH19" s="234" t="n">
        <f aca="false">Model!AH49</f>
        <v>-0.112964294272705</v>
      </c>
      <c r="AI19" s="234" t="n">
        <f aca="false">Model!AI49</f>
        <v>0.117754493895992</v>
      </c>
      <c r="AJ19" s="234" t="n">
        <f aca="false">Model!AJ49</f>
        <v>0.291424328672195</v>
      </c>
      <c r="AK19" s="233" t="n">
        <f aca="false">Model!AK49</f>
        <v>0.0892470123863374</v>
      </c>
      <c r="AL19" s="234" t="n">
        <f aca="false">Model!AL49</f>
        <v>-0.0621669626998224</v>
      </c>
      <c r="AM19" s="234" t="n">
        <f aca="false">Model!AM49</f>
        <v>0.317592392478928</v>
      </c>
      <c r="AN19" s="234" t="n">
        <f aca="false">Model!AN49</f>
        <v>0.33109735122119</v>
      </c>
      <c r="AO19" s="234" t="n">
        <f aca="false">Model!AO49</f>
        <v>0.0215919253864825</v>
      </c>
      <c r="AP19" s="233" t="n">
        <f aca="false">Model!AP49</f>
        <v>0.146773081967942</v>
      </c>
      <c r="AQ19" s="234" t="n">
        <f aca="false">Model!AQ49</f>
        <v>0.975252525252525</v>
      </c>
      <c r="AR19" s="234" t="n">
        <f aca="false">Model!AR49</f>
        <v>0.209546461084229</v>
      </c>
      <c r="AS19" s="234" t="n">
        <f aca="false">Model!AS49</f>
        <v>0.328046259206616</v>
      </c>
      <c r="AT19" s="234" t="n">
        <f aca="false">Model!AT49</f>
        <v>0.0828226613306649</v>
      </c>
      <c r="AU19" s="233" t="n">
        <f aca="false">Model!AU49</f>
        <v>0.323381734292306</v>
      </c>
      <c r="AV19" s="234" t="n">
        <f aca="false">Model!AV49</f>
        <v>-0.268984914344158</v>
      </c>
      <c r="AW19" s="234" t="n">
        <f aca="false">Model!AW49</f>
        <v>0.403749660970979</v>
      </c>
      <c r="AX19" s="234" t="n">
        <f aca="false">Model!AX49</f>
        <v>0.0349298241346596</v>
      </c>
      <c r="AY19" s="234" t="n">
        <f aca="false">Model!AY49</f>
        <v>0.370917910663241</v>
      </c>
      <c r="AZ19" s="233" t="n">
        <f aca="false">Model!AZ49</f>
        <v>0.130193073948201</v>
      </c>
      <c r="BA19" s="234" t="n">
        <f aca="false">Model!BA49</f>
        <v>1.33551941238195</v>
      </c>
      <c r="BB19" s="234" t="n">
        <f aca="false">Model!BB49</f>
        <v>0.353966912208671</v>
      </c>
      <c r="BC19" s="234" t="n">
        <f aca="false">Model!BC49</f>
        <v>0.247608527040684</v>
      </c>
      <c r="BD19" s="234" t="n">
        <f aca="false">Model!BD49</f>
        <v>0.196844920912403</v>
      </c>
      <c r="BE19" s="233" t="n">
        <f aca="false">Model!BE49</f>
        <v>0.421787003493127</v>
      </c>
      <c r="BF19" s="234" t="n">
        <f aca="false">Model!BF49</f>
        <v>-0.257572353888202</v>
      </c>
      <c r="BG19" s="234" t="n">
        <f aca="false">Model!BG49</f>
        <v>-0.150764345980272</v>
      </c>
      <c r="BH19" s="234" t="n">
        <f aca="false">Model!BH49</f>
        <v>0.116385968878339</v>
      </c>
      <c r="BI19" s="234" t="n">
        <f aca="false">Model!BI49</f>
        <v>0.252248130224374</v>
      </c>
      <c r="BJ19" s="233" t="n">
        <f aca="false">Model!BJ49</f>
        <v>-0.00774434102449551</v>
      </c>
      <c r="BK19" s="234" t="n">
        <f aca="false">Model!BK49</f>
        <v>0.447439421064575</v>
      </c>
      <c r="BL19" s="234" t="n">
        <f aca="false">Model!BL49</f>
        <v>0.175429015522275</v>
      </c>
      <c r="BM19" s="234" t="n">
        <f aca="false">Model!BM49</f>
        <v>-0.0628079649004387</v>
      </c>
      <c r="BN19" s="234" t="n">
        <f aca="false">Model!BN49</f>
        <v>0.0657822622577606</v>
      </c>
      <c r="BO19" s="235" t="n">
        <f aca="false">Model!BO49</f>
        <v>0.124288542724186</v>
      </c>
      <c r="BP19" s="234" t="n">
        <f aca="false">Model!BP49</f>
        <v>0.0780102564102565</v>
      </c>
      <c r="BQ19" s="234" t="n">
        <f aca="false">Model!BQ49</f>
        <v>0.190664292696551</v>
      </c>
      <c r="BR19" s="234" t="n">
        <f aca="false">Model!BR49</f>
        <v>0.317794896331738</v>
      </c>
      <c r="BS19" s="234" t="n">
        <f aca="false">Model!BS49</f>
        <v>0.0339802819916411</v>
      </c>
      <c r="BT19" s="233" t="n">
        <f aca="false">Model!BT49</f>
        <v>0.144537832670533</v>
      </c>
      <c r="BU19" s="234" t="n">
        <f aca="false">Model!BU49</f>
        <v>0.0451092230700436</v>
      </c>
      <c r="BV19" s="234" t="n">
        <f aca="false">Model!BV49</f>
        <v>0.0227199913397846</v>
      </c>
      <c r="BW19" s="234" t="n">
        <f aca="false">Model!BW49</f>
        <v>0.0759666781804314</v>
      </c>
      <c r="BX19" s="234" t="n">
        <f aca="false">Model!BX49</f>
        <v>0.0783088031892165</v>
      </c>
      <c r="BY19" s="233" t="n">
        <f aca="false">Model!BY49</f>
        <v>0.0571398404532244</v>
      </c>
      <c r="BZ19" s="233" t="n">
        <f aca="false">Model!BZ49</f>
        <v>0.262050347605214</v>
      </c>
      <c r="CA19" s="233" t="n">
        <f aca="false">Model!CA49</f>
        <v>0.0583760105496047</v>
      </c>
      <c r="CB19" s="233" t="n">
        <f aca="false">Model!CB49</f>
        <v>0.0587100416950837</v>
      </c>
      <c r="CC19" s="625"/>
    </row>
    <row r="20" s="237" customFormat="true" ht="15" hidden="false" customHeight="true" outlineLevel="0" collapsed="false">
      <c r="A20" s="720" t="str">
        <f aca="false">Model!A50</f>
        <v>Y/Y Net service and field option sales growth, %</v>
      </c>
      <c r="B20" s="719"/>
      <c r="C20" s="320"/>
      <c r="D20" s="320" t="n">
        <f aca="false">Model!D50</f>
        <v>0.455813677425482</v>
      </c>
      <c r="E20" s="320" t="n">
        <f aca="false">Model!E50</f>
        <v>0.251022511562371</v>
      </c>
      <c r="F20" s="320" t="n">
        <f aca="false">Model!F50</f>
        <v>0.21222308837447</v>
      </c>
      <c r="G20" s="320" t="n">
        <f aca="false">Model!G50</f>
        <v>0.34655987646289</v>
      </c>
      <c r="H20" s="323"/>
      <c r="I20" s="323"/>
      <c r="J20" s="323"/>
      <c r="K20" s="323"/>
      <c r="L20" s="320" t="n">
        <f aca="false">Model!L50</f>
        <v>0.288524888655699</v>
      </c>
      <c r="M20" s="323" t="n">
        <f aca="false">Model!M50</f>
        <v>0.100682128240109</v>
      </c>
      <c r="N20" s="323" t="n">
        <f aca="false">Model!N50</f>
        <v>0.297054418372441</v>
      </c>
      <c r="O20" s="323" t="n">
        <f aca="false">Model!O50</f>
        <v>0.31117203564085</v>
      </c>
      <c r="P20" s="323" t="n">
        <f aca="false">Model!P50</f>
        <v>0.353804746758013</v>
      </c>
      <c r="Q20" s="320" t="n">
        <f aca="false">Model!Q50</f>
        <v>0.270659137631726</v>
      </c>
      <c r="R20" s="323" t="n">
        <f aca="false">Model!R50</f>
        <v>0.173525037183937</v>
      </c>
      <c r="S20" s="323" t="n">
        <f aca="false">Model!S50</f>
        <v>-0.0873749037721324</v>
      </c>
      <c r="T20" s="323" t="n">
        <f aca="false">Model!T50</f>
        <v>-0.0296218853458791</v>
      </c>
      <c r="U20" s="323" t="n">
        <f aca="false">Model!U50</f>
        <v>0.117476956443159</v>
      </c>
      <c r="V20" s="320" t="n">
        <f aca="false">Model!V50</f>
        <v>0.0354152196477209</v>
      </c>
      <c r="W20" s="323" t="n">
        <f aca="false">Model!W50</f>
        <v>0.537389100126743</v>
      </c>
      <c r="X20" s="323" t="n">
        <f aca="false">Model!X50</f>
        <v>0.512652889076339</v>
      </c>
      <c r="Y20" s="323" t="n">
        <f aca="false">Model!Y50</f>
        <v>0.128568863350691</v>
      </c>
      <c r="Z20" s="323" t="n">
        <f aca="false">Model!Z50</f>
        <v>-0.0207019246320556</v>
      </c>
      <c r="AA20" s="320" t="n">
        <f aca="false">Model!AA50</f>
        <v>0.262059543998493</v>
      </c>
      <c r="AB20" s="323" t="n">
        <f aca="false">Model!AB50</f>
        <v>-0.15182742511679</v>
      </c>
      <c r="AC20" s="323" t="n">
        <f aca="false">Model!AC50</f>
        <v>-0.0883870068311724</v>
      </c>
      <c r="AD20" s="323" t="n">
        <f aca="false">Model!AD50</f>
        <v>0.106603023070804</v>
      </c>
      <c r="AE20" s="323" t="n">
        <f aca="false">Model!AE50</f>
        <v>0.186127167630058</v>
      </c>
      <c r="AF20" s="320" t="n">
        <f aca="false">Model!AF50</f>
        <v>0.00216490612519138</v>
      </c>
      <c r="AG20" s="323" t="n">
        <f aca="false">Model!AG50</f>
        <v>-0.125060748420541</v>
      </c>
      <c r="AH20" s="323" t="n">
        <f aca="false">Model!AH50</f>
        <v>0.0966508640464903</v>
      </c>
      <c r="AI20" s="323" t="n">
        <f aca="false">Model!AI50</f>
        <v>-0.0497483824586629</v>
      </c>
      <c r="AJ20" s="323" t="n">
        <f aca="false">Model!AJ50</f>
        <v>0.261069340016708</v>
      </c>
      <c r="AK20" s="320" t="n">
        <f aca="false">Model!AK50</f>
        <v>0.0517337703452643</v>
      </c>
      <c r="AL20" s="323" t="n">
        <f aca="false">Model!AL50</f>
        <v>0.586002592112572</v>
      </c>
      <c r="AM20" s="323" t="n">
        <f aca="false">Model!AM50</f>
        <v>0.237065960117139</v>
      </c>
      <c r="AN20" s="323" t="n">
        <f aca="false">Model!AN50</f>
        <v>0.304887274928128</v>
      </c>
      <c r="AO20" s="323" t="n">
        <f aca="false">Model!AO50</f>
        <v>0.165728166059401</v>
      </c>
      <c r="AP20" s="320" t="n">
        <f aca="false">Model!AP50</f>
        <v>0.296798640130321</v>
      </c>
      <c r="AQ20" s="323" t="n">
        <f aca="false">Model!AQ50</f>
        <v>0.441863180014009</v>
      </c>
      <c r="AR20" s="323" t="n">
        <f aca="false">Model!AR50</f>
        <v>0.206853793258933</v>
      </c>
      <c r="AS20" s="323" t="n">
        <f aca="false">Model!AS50</f>
        <v>0.310528756957329</v>
      </c>
      <c r="AT20" s="323" t="n">
        <f aca="false">Model!AT50</f>
        <v>0.441845046410305</v>
      </c>
      <c r="AU20" s="320" t="n">
        <f aca="false">Model!AU50</f>
        <v>0.353996559163276</v>
      </c>
      <c r="AV20" s="323" t="n">
        <f aca="false">Model!AV50</f>
        <v>0.00979677758885922</v>
      </c>
      <c r="AW20" s="323" t="n">
        <f aca="false">Model!AW50</f>
        <v>0.204931813936111</v>
      </c>
      <c r="AX20" s="323" t="n">
        <f aca="false">Model!AX50</f>
        <v>0.348079985843214</v>
      </c>
      <c r="AY20" s="323" t="n">
        <f aca="false">Model!AY50</f>
        <v>0.105104118767654</v>
      </c>
      <c r="AZ20" s="320" t="n">
        <f aca="false">Model!AZ50</f>
        <v>0.158303416562462</v>
      </c>
      <c r="BA20" s="323" t="n">
        <f aca="false">Model!BA50</f>
        <v>0.126042334830019</v>
      </c>
      <c r="BB20" s="323" t="n">
        <f aca="false">Model!BB50</f>
        <v>0.00480620155038758</v>
      </c>
      <c r="BC20" s="323" t="n">
        <f aca="false">Model!BC50</f>
        <v>-0.104226831189289</v>
      </c>
      <c r="BD20" s="323" t="n">
        <f aca="false">Model!BD50</f>
        <v>-0.0759674255483568</v>
      </c>
      <c r="BE20" s="320" t="n">
        <f aca="false">Model!BE50</f>
        <v>-0.0214518291515037</v>
      </c>
      <c r="BF20" s="323" t="n">
        <f aca="false">Model!BF50</f>
        <v>-0.0571774423241244</v>
      </c>
      <c r="BG20" s="323" t="n">
        <f aca="false">Model!BG50</f>
        <v>0.143264928251813</v>
      </c>
      <c r="BH20" s="323" t="n">
        <f aca="false">Model!BH50</f>
        <v>0.129322977725674</v>
      </c>
      <c r="BI20" s="323" t="n">
        <f aca="false">Model!BI50</f>
        <v>0.381087166291412</v>
      </c>
      <c r="BJ20" s="320" t="n">
        <f aca="false">Model!BJ50</f>
        <v>0.155572163205751</v>
      </c>
      <c r="BK20" s="323" t="n">
        <f aca="false">Model!BK50</f>
        <v>0.511290688014501</v>
      </c>
      <c r="BL20" s="323" t="n">
        <f aca="false">Model!BL50</f>
        <v>0.414130508131453</v>
      </c>
      <c r="BM20" s="323" t="n">
        <f aca="false">Model!BM50</f>
        <v>0.273081165250114</v>
      </c>
      <c r="BN20" s="323" t="n">
        <f aca="false">Model!BN50</f>
        <v>-0.00596208486655148</v>
      </c>
      <c r="BO20" s="324" t="n">
        <f aca="false">Model!BO50</f>
        <v>0.261587262480367</v>
      </c>
      <c r="BP20" s="323" t="n">
        <f aca="false">Model!BP50</f>
        <v>0.2</v>
      </c>
      <c r="BQ20" s="323" t="n">
        <f aca="false">Model!BQ50</f>
        <v>0.05</v>
      </c>
      <c r="BR20" s="323" t="n">
        <f aca="false">Model!BR50</f>
        <v>0.05</v>
      </c>
      <c r="BS20" s="323" t="n">
        <f aca="false">Model!BS50</f>
        <v>0.05</v>
      </c>
      <c r="BT20" s="320" t="n">
        <f aca="false">Model!BT50</f>
        <v>0.0866367630904432</v>
      </c>
      <c r="BU20" s="323" t="n">
        <f aca="false">Model!BU50</f>
        <v>0.01</v>
      </c>
      <c r="BV20" s="323" t="n">
        <f aca="false">Model!BV50</f>
        <v>0.01</v>
      </c>
      <c r="BW20" s="323" t="n">
        <f aca="false">Model!BW50</f>
        <v>0.01</v>
      </c>
      <c r="BX20" s="323" t="n">
        <f aca="false">Model!BX50</f>
        <v>0.01</v>
      </c>
      <c r="BY20" s="320" t="n">
        <f aca="false">Model!BY50</f>
        <v>0.01</v>
      </c>
      <c r="BZ20" s="320" t="n">
        <f aca="false">Model!BZ50</f>
        <v>0.02</v>
      </c>
      <c r="CA20" s="320" t="n">
        <f aca="false">Model!CA50</f>
        <v>0.02</v>
      </c>
      <c r="CB20" s="320" t="n">
        <f aca="false">Model!CB50</f>
        <v>0.02</v>
      </c>
      <c r="CC20" s="625"/>
    </row>
    <row r="21" s="84" customFormat="true" ht="15" hidden="false" customHeight="true" outlineLevel="0" collapsed="false">
      <c r="A21" s="140" t="str">
        <f aca="false">Model!A51</f>
        <v>Y/Y Total revenue growth, %</v>
      </c>
      <c r="B21" s="374"/>
      <c r="C21" s="142"/>
      <c r="D21" s="142" t="n">
        <f aca="false">Model!D51</f>
        <v>1.82441106648046</v>
      </c>
      <c r="E21" s="142" t="n">
        <f aca="false">Model!E51</f>
        <v>0.253574250577537</v>
      </c>
      <c r="F21" s="142" t="n">
        <f aca="false">Model!F51</f>
        <v>-0.162710016837624</v>
      </c>
      <c r="G21" s="142" t="n">
        <f aca="false">Model!G51</f>
        <v>0.10858396446834</v>
      </c>
      <c r="H21" s="143"/>
      <c r="I21" s="143"/>
      <c r="J21" s="143"/>
      <c r="K21" s="143"/>
      <c r="L21" s="142" t="n">
        <f aca="false">Model!L51</f>
        <v>0.116475315356948</v>
      </c>
      <c r="M21" s="143" t="n">
        <f aca="false">Model!M51</f>
        <v>0.181453634085213</v>
      </c>
      <c r="N21" s="143" t="n">
        <f aca="false">Model!N51</f>
        <v>0.00638841567291304</v>
      </c>
      <c r="O21" s="143" t="n">
        <f aca="false">Model!O51</f>
        <v>0.171683557706852</v>
      </c>
      <c r="P21" s="143" t="n">
        <f aca="false">Model!P51</f>
        <v>-0.0400267737617136</v>
      </c>
      <c r="Q21" s="142" t="n">
        <f aca="false">Model!Q51</f>
        <v>0.0736129797139036</v>
      </c>
      <c r="R21" s="143" t="n">
        <f aca="false">Model!R51</f>
        <v>-0.19195102733499</v>
      </c>
      <c r="S21" s="143" t="n">
        <f aca="false">Model!S51</f>
        <v>0.0516897406444594</v>
      </c>
      <c r="T21" s="143" t="n">
        <f aca="false">Model!T51</f>
        <v>0.17131422669765</v>
      </c>
      <c r="U21" s="143" t="n">
        <f aca="false">Model!U51</f>
        <v>0.329940036257147</v>
      </c>
      <c r="V21" s="142" t="n">
        <f aca="false">Model!V51</f>
        <v>0.080705381816736</v>
      </c>
      <c r="W21" s="143" t="n">
        <f aca="false">Model!W51</f>
        <v>0.457845784578458</v>
      </c>
      <c r="X21" s="143" t="n">
        <f aca="false">Model!X51</f>
        <v>0.207978845711658</v>
      </c>
      <c r="Y21" s="143" t="n">
        <f aca="false">Model!Y51</f>
        <v>0.348726992174584</v>
      </c>
      <c r="Z21" s="143" t="n">
        <f aca="false">Model!Z51</f>
        <v>0.342350844080948</v>
      </c>
      <c r="AA21" s="142" t="n">
        <f aca="false">Model!AA51</f>
        <v>0.332312945193383</v>
      </c>
      <c r="AB21" s="143" t="n">
        <f aca="false">Model!AB51</f>
        <v>0.175653426630994</v>
      </c>
      <c r="AC21" s="143" t="n">
        <f aca="false">Model!AC51</f>
        <v>0.304082992290854</v>
      </c>
      <c r="AD21" s="143" t="n">
        <f aca="false">Model!AD51</f>
        <v>0.134305793903734</v>
      </c>
      <c r="AE21" s="143" t="n">
        <f aca="false">Model!AE51</f>
        <v>0.227347289486018</v>
      </c>
      <c r="AF21" s="142" t="n">
        <f aca="false">Model!AF51</f>
        <v>0.208907741251326</v>
      </c>
      <c r="AG21" s="143" t="n">
        <f aca="false">Model!AG51</f>
        <v>-0.0244638949671773</v>
      </c>
      <c r="AH21" s="143" t="n">
        <f aca="false">Model!AH51</f>
        <v>-0.0629470150343016</v>
      </c>
      <c r="AI21" s="143" t="n">
        <f aca="false">Model!AI51</f>
        <v>0.0757897770253233</v>
      </c>
      <c r="AJ21" s="143" t="n">
        <f aca="false">Model!AJ51</f>
        <v>0.284486873508353</v>
      </c>
      <c r="AK21" s="142" t="n">
        <f aca="false">Model!AK51</f>
        <v>0.0800438596491229</v>
      </c>
      <c r="AL21" s="143" t="n">
        <f aca="false">Model!AL51</f>
        <v>0.0948813422457495</v>
      </c>
      <c r="AM21" s="143" t="n">
        <f aca="false">Model!AM51</f>
        <v>0.295104949569687</v>
      </c>
      <c r="AN21" s="143" t="n">
        <f aca="false">Model!AN51</f>
        <v>0.325297170601038</v>
      </c>
      <c r="AO21" s="143" t="n">
        <f aca="false">Model!AO51</f>
        <v>0.0539328626285147</v>
      </c>
      <c r="AP21" s="142" t="n">
        <f aca="false">Model!AP51</f>
        <v>0.182614213197969</v>
      </c>
      <c r="AQ21" s="143" t="n">
        <f aca="false">Model!AQ51</f>
        <v>0.788043923625338</v>
      </c>
      <c r="AR21" s="143" t="n">
        <f aca="false">Model!AR51</f>
        <v>0.208828216616051</v>
      </c>
      <c r="AS21" s="143" t="n">
        <f aca="false">Model!AS51</f>
        <v>0.324229408792319</v>
      </c>
      <c r="AT21" s="143" t="n">
        <f aca="false">Model!AT51</f>
        <v>0.171924216068826</v>
      </c>
      <c r="AU21" s="142" t="n">
        <f aca="false">Model!AU51</f>
        <v>0.331401795614694</v>
      </c>
      <c r="AV21" s="143" t="n">
        <f aca="false">Model!AV51</f>
        <v>-0.190082265863104</v>
      </c>
      <c r="AW21" s="143" t="n">
        <f aca="false">Model!AW51</f>
        <v>0.350803442614795</v>
      </c>
      <c r="AX21" s="143" t="n">
        <f aca="false">Model!AX51</f>
        <v>0.102455497681873</v>
      </c>
      <c r="AY21" s="143" t="n">
        <f aca="false">Model!AY51</f>
        <v>0.289754492939666</v>
      </c>
      <c r="AZ21" s="142" t="n">
        <f aca="false">Model!AZ51</f>
        <v>0.137682016012036</v>
      </c>
      <c r="BA21" s="143" t="n">
        <f aca="false">Model!BA51</f>
        <v>0.908725667722952</v>
      </c>
      <c r="BB21" s="143" t="n">
        <f aca="false">Model!BB51</f>
        <v>0.271024767516803</v>
      </c>
      <c r="BC21" s="143" t="n">
        <f aca="false">Model!BC51</f>
        <v>0.154837928110344</v>
      </c>
      <c r="BD21" s="143" t="n">
        <f aca="false">Model!BD51</f>
        <v>0.125470436378339</v>
      </c>
      <c r="BE21" s="142" t="n">
        <f aca="false">Model!BE51</f>
        <v>0.30156233765007</v>
      </c>
      <c r="BF21" s="143" t="n">
        <f aca="false">Model!BF51</f>
        <v>-0.215854851620171</v>
      </c>
      <c r="BG21" s="143" t="n">
        <f aca="false">Model!BG51</f>
        <v>-0.095547860857975</v>
      </c>
      <c r="BH21" s="143" t="n">
        <f aca="false">Model!BH51</f>
        <v>0.119031919676307</v>
      </c>
      <c r="BI21" s="143" t="n">
        <f aca="false">Model!BI51</f>
        <v>0.279922619870112</v>
      </c>
      <c r="BJ21" s="142" t="n">
        <f aca="false">Model!BJ51</f>
        <v>0.0255601719977505</v>
      </c>
      <c r="BK21" s="143" t="n">
        <f aca="false">Model!BK51</f>
        <v>0.463421550094518</v>
      </c>
      <c r="BL21" s="143" t="n">
        <f aca="false">Model!BL51</f>
        <v>0.232091369257385</v>
      </c>
      <c r="BM21" s="143" t="n">
        <f aca="false">Model!BM51</f>
        <v>0.00652176824287221</v>
      </c>
      <c r="BN21" s="143" t="n">
        <f aca="false">Model!BN51</f>
        <v>0.0491536036619595</v>
      </c>
      <c r="BO21" s="144" t="n">
        <f aca="false">Model!BO51</f>
        <v>0.155836803725024</v>
      </c>
      <c r="BP21" s="143" t="n">
        <f aca="false">Model!BP51</f>
        <v>0.109543379951874</v>
      </c>
      <c r="BQ21" s="143" t="n">
        <f aca="false">Model!BQ51</f>
        <v>0.152340373176173</v>
      </c>
      <c r="BR21" s="143" t="n">
        <f aca="false">Model!BR51</f>
        <v>0.24788175828196</v>
      </c>
      <c r="BS21" s="143" t="n">
        <f aca="false">Model!BS51</f>
        <v>0.0374982207041092</v>
      </c>
      <c r="BT21" s="142" t="n">
        <f aca="false">Model!BT51</f>
        <v>0.130016171465913</v>
      </c>
      <c r="BU21" s="143" t="n">
        <f aca="false">Model!BU51</f>
        <v>0.0352939620723403</v>
      </c>
      <c r="BV21" s="143" t="n">
        <f aca="false">Model!BV51</f>
        <v>0.0195622148326957</v>
      </c>
      <c r="BW21" s="143" t="n">
        <f aca="false">Model!BW51</f>
        <v>0.061475724170607</v>
      </c>
      <c r="BX21" s="143" t="n">
        <f aca="false">Model!BX51</f>
        <v>0.0631273964178434</v>
      </c>
      <c r="BY21" s="142" t="n">
        <f aca="false">Model!BY51</f>
        <v>0.0457709637213424</v>
      </c>
      <c r="BZ21" s="142" t="n">
        <f aca="false">Model!BZ51</f>
        <v>0.205671011895769</v>
      </c>
      <c r="CA21" s="142" t="n">
        <f aca="false">Model!CA51</f>
        <v>0.0508138582237441</v>
      </c>
      <c r="CB21" s="142" t="n">
        <f aca="false">Model!CB51</f>
        <v>0.0513057483646726</v>
      </c>
      <c r="CC21" s="374"/>
    </row>
    <row r="22" s="237" customFormat="true" ht="15" hidden="false" customHeight="true" outlineLevel="0" collapsed="false">
      <c r="A22" s="231"/>
      <c r="B22" s="625"/>
      <c r="C22" s="233"/>
      <c r="D22" s="233"/>
      <c r="E22" s="233"/>
      <c r="F22" s="233"/>
      <c r="G22" s="233"/>
      <c r="H22" s="234"/>
      <c r="I22" s="234"/>
      <c r="J22" s="234"/>
      <c r="K22" s="234"/>
      <c r="L22" s="233"/>
      <c r="M22" s="234"/>
      <c r="N22" s="234"/>
      <c r="O22" s="234"/>
      <c r="P22" s="234"/>
      <c r="Q22" s="233"/>
      <c r="R22" s="234"/>
      <c r="S22" s="234"/>
      <c r="T22" s="234"/>
      <c r="U22" s="234"/>
      <c r="V22" s="233"/>
      <c r="W22" s="234"/>
      <c r="X22" s="234"/>
      <c r="Y22" s="234"/>
      <c r="Z22" s="234"/>
      <c r="AA22" s="233"/>
      <c r="AB22" s="234"/>
      <c r="AC22" s="234"/>
      <c r="AD22" s="234"/>
      <c r="AE22" s="234"/>
      <c r="AF22" s="233"/>
      <c r="AG22" s="234"/>
      <c r="AH22" s="234"/>
      <c r="AI22" s="234"/>
      <c r="AJ22" s="234"/>
      <c r="AK22" s="233"/>
      <c r="AL22" s="234"/>
      <c r="AM22" s="234"/>
      <c r="AN22" s="234"/>
      <c r="AO22" s="234"/>
      <c r="AP22" s="233"/>
      <c r="AQ22" s="234"/>
      <c r="AR22" s="234"/>
      <c r="AS22" s="234"/>
      <c r="AT22" s="234"/>
      <c r="AU22" s="233"/>
      <c r="AV22" s="234"/>
      <c r="AW22" s="234"/>
      <c r="AX22" s="234"/>
      <c r="AY22" s="234"/>
      <c r="AZ22" s="233"/>
      <c r="BA22" s="234"/>
      <c r="BB22" s="234"/>
      <c r="BC22" s="234"/>
      <c r="BD22" s="234"/>
      <c r="BE22" s="233"/>
      <c r="BF22" s="234"/>
      <c r="BG22" s="234"/>
      <c r="BH22" s="234"/>
      <c r="BI22" s="234"/>
      <c r="BJ22" s="233"/>
      <c r="BK22" s="234"/>
      <c r="BL22" s="234"/>
      <c r="BM22" s="234"/>
      <c r="BN22" s="234"/>
      <c r="BO22" s="235"/>
      <c r="BP22" s="234"/>
      <c r="BQ22" s="234"/>
      <c r="BR22" s="234"/>
      <c r="BS22" s="234"/>
      <c r="BT22" s="233"/>
      <c r="BU22" s="234"/>
      <c r="BV22" s="234"/>
      <c r="BW22" s="234"/>
      <c r="BX22" s="234"/>
      <c r="BY22" s="233"/>
      <c r="BZ22" s="233"/>
      <c r="CA22" s="233"/>
      <c r="CB22" s="233"/>
      <c r="CC22" s="625"/>
    </row>
    <row r="23" customFormat="false" ht="15" hidden="false" customHeight="true" outlineLevel="0" collapsed="false">
      <c r="A23" s="219" t="s">
        <v>800</v>
      </c>
      <c r="B23" s="716"/>
      <c r="C23" s="716"/>
      <c r="D23" s="716"/>
      <c r="E23" s="716"/>
      <c r="F23" s="716"/>
      <c r="G23" s="716"/>
      <c r="H23" s="716"/>
      <c r="I23" s="716"/>
      <c r="J23" s="716"/>
      <c r="K23" s="716"/>
      <c r="L23" s="716"/>
      <c r="M23" s="716"/>
      <c r="N23" s="716"/>
      <c r="O23" s="716"/>
      <c r="P23" s="716"/>
      <c r="Q23" s="716"/>
      <c r="R23" s="716"/>
      <c r="S23" s="716"/>
      <c r="T23" s="716"/>
      <c r="U23" s="716"/>
      <c r="V23" s="716"/>
      <c r="W23" s="716"/>
      <c r="X23" s="716"/>
      <c r="Y23" s="716"/>
      <c r="Z23" s="716"/>
      <c r="AA23" s="716"/>
      <c r="AB23" s="716"/>
      <c r="AC23" s="716"/>
      <c r="AD23" s="716"/>
      <c r="AE23" s="716"/>
      <c r="AF23" s="716"/>
      <c r="AG23" s="716"/>
      <c r="AH23" s="716"/>
      <c r="AI23" s="716"/>
      <c r="AJ23" s="716"/>
      <c r="AK23" s="716"/>
      <c r="AL23" s="716"/>
      <c r="AM23" s="716"/>
      <c r="AN23" s="716"/>
      <c r="AO23" s="716"/>
      <c r="AP23" s="716"/>
      <c r="AQ23" s="716"/>
      <c r="AR23" s="716"/>
      <c r="AS23" s="716"/>
      <c r="AT23" s="716"/>
      <c r="AU23" s="716"/>
      <c r="AV23" s="716"/>
      <c r="AW23" s="716"/>
      <c r="AX23" s="716"/>
      <c r="AY23" s="716"/>
      <c r="AZ23" s="716"/>
      <c r="BA23" s="716"/>
      <c r="BB23" s="716"/>
      <c r="BC23" s="716"/>
      <c r="BD23" s="716"/>
      <c r="BE23" s="716"/>
      <c r="BF23" s="716"/>
      <c r="BG23" s="716"/>
      <c r="BH23" s="716"/>
      <c r="BI23" s="716"/>
      <c r="BJ23" s="716"/>
      <c r="BK23" s="716"/>
      <c r="BL23" s="716"/>
      <c r="BM23" s="716"/>
      <c r="BN23" s="716"/>
      <c r="BO23" s="717"/>
      <c r="BP23" s="716"/>
      <c r="BQ23" s="716"/>
      <c r="BR23" s="716"/>
      <c r="BS23" s="716"/>
      <c r="BT23" s="716"/>
      <c r="BU23" s="716"/>
      <c r="BV23" s="716"/>
      <c r="BW23" s="716"/>
      <c r="BX23" s="716"/>
      <c r="BY23" s="716"/>
      <c r="BZ23" s="716"/>
      <c r="CA23" s="716"/>
      <c r="CB23" s="716"/>
      <c r="CC23" s="268"/>
    </row>
    <row r="24" s="157" customFormat="true" ht="15" hidden="false" customHeight="true" outlineLevel="0" collapsed="false">
      <c r="A24" s="252" t="str">
        <f aca="false">INDEX(MO_RIS_REV,0,COLUMN())</f>
        <v>Net Revenue</v>
      </c>
      <c r="B24" s="266"/>
      <c r="C24" s="267" t="n">
        <f aca="false">INDEX(MO_RIS_REV,0,COLUMN())</f>
        <v>1596.063</v>
      </c>
      <c r="D24" s="267" t="n">
        <f aca="false">INDEX(MO_RIS_REV,0,COLUMN())</f>
        <v>4507.938</v>
      </c>
      <c r="E24" s="267" t="n">
        <f aca="false">INDEX(MO_RIS_REV,0,COLUMN())</f>
        <v>5651.035</v>
      </c>
      <c r="F24" s="267" t="n">
        <f aca="false">INDEX(MO_RIS_REV,0,COLUMN())</f>
        <v>4731.555</v>
      </c>
      <c r="G24" s="267" t="n">
        <f aca="false">INDEX(MO_RIS_REV,0,COLUMN())</f>
        <v>5245.326</v>
      </c>
      <c r="H24" s="268" t="n">
        <f aca="false">INDEX(MO_RIS_REV,0,COLUMN())</f>
        <v>1396.5</v>
      </c>
      <c r="I24" s="268" t="n">
        <f aca="false">INDEX(MO_RIS_REV,0,COLUMN())</f>
        <v>1643.6</v>
      </c>
      <c r="J24" s="268" t="n">
        <f aca="false">INDEX(MO_RIS_REV,0,COLUMN())</f>
        <v>1322.2</v>
      </c>
      <c r="K24" s="268" t="n">
        <f aca="false">INDEX(MO_RIS_REV,0,COLUMN())</f>
        <v>1494</v>
      </c>
      <c r="L24" s="267" t="n">
        <f aca="false">INDEX(MO_RIS_REV,0,COLUMN())</f>
        <v>5856.277</v>
      </c>
      <c r="M24" s="268" t="n">
        <f aca="false">INDEX(MO_RIS_REV,0,COLUMN())</f>
        <v>1649.9</v>
      </c>
      <c r="N24" s="268" t="n">
        <f aca="false">INDEX(MO_RIS_REV,0,COLUMN())</f>
        <v>1654.1</v>
      </c>
      <c r="O24" s="268" t="n">
        <f aca="false">INDEX(MO_RIS_REV,0,COLUMN())</f>
        <v>1549.2</v>
      </c>
      <c r="P24" s="268" t="n">
        <f aca="false">INDEX(MO_RIS_REV,0,COLUMN())</f>
        <v>1434.2</v>
      </c>
      <c r="Q24" s="267" t="n">
        <f aca="false">INDEX(MO_RIS_REV,0,COLUMN())</f>
        <v>6287.375</v>
      </c>
      <c r="R24" s="268" t="n">
        <f aca="false">INDEX(MO_RIS_REV,0,COLUMN())</f>
        <v>1333.2</v>
      </c>
      <c r="S24" s="268" t="n">
        <f aca="false">INDEX(MO_RIS_REV,0,COLUMN())</f>
        <v>1739.6</v>
      </c>
      <c r="T24" s="268" t="n">
        <f aca="false">INDEX(MO_RIS_REV,0,COLUMN())</f>
        <v>1814.6</v>
      </c>
      <c r="U24" s="268" t="n">
        <f aca="false">INDEX(MO_RIS_REV,0,COLUMN())</f>
        <v>1907.4</v>
      </c>
      <c r="V24" s="267" t="n">
        <f aca="false">INDEX(MO_RIS_REV,0,COLUMN())</f>
        <v>6794.8</v>
      </c>
      <c r="W24" s="268" t="n">
        <f aca="false">INDEX(MO_RIS_REV,0,COLUMN())</f>
        <v>1943.6</v>
      </c>
      <c r="X24" s="268" t="n">
        <f aca="false">INDEX(MO_RIS_REV,0,COLUMN())</f>
        <v>2101.4</v>
      </c>
      <c r="Y24" s="268" t="n">
        <f aca="false">INDEX(MO_RIS_REV,0,COLUMN())</f>
        <v>2447.4</v>
      </c>
      <c r="Z24" s="268" t="n">
        <f aca="false">INDEX(MO_RIS_REV,0,COLUMN())</f>
        <v>2560.4</v>
      </c>
      <c r="AA24" s="267" t="n">
        <f aca="false">INDEX(MO_RIS_REV,0,COLUMN())</f>
        <v>9052.8</v>
      </c>
      <c r="AB24" s="268" t="n">
        <f aca="false">INDEX(MO_RIS_REV,0,COLUMN())</f>
        <v>2285</v>
      </c>
      <c r="AC24" s="268" t="n">
        <f aca="false">INDEX(MO_RIS_REV,0,COLUMN())</f>
        <v>2740.4</v>
      </c>
      <c r="AD24" s="268" t="n">
        <f aca="false">INDEX(MO_RIS_REV,0,COLUMN())</f>
        <v>2776.1</v>
      </c>
      <c r="AE24" s="268" t="n">
        <f aca="false">INDEX(MO_RIS_REV,0,COLUMN())</f>
        <v>3142.5</v>
      </c>
      <c r="AF24" s="267" t="n">
        <f aca="false">INDEX(MO_RIS_REV,0,COLUMN())</f>
        <v>10944</v>
      </c>
      <c r="AG24" s="268" t="n">
        <f aca="false">INDEX(MO_RIS_REV,0,COLUMN())</f>
        <v>2229.1</v>
      </c>
      <c r="AH24" s="268" t="n">
        <f aca="false">INDEX(MO_RIS_REV,0,COLUMN())</f>
        <v>2567.9</v>
      </c>
      <c r="AI24" s="268" t="n">
        <f aca="false">INDEX(MO_RIS_REV,0,COLUMN())</f>
        <v>2986.5</v>
      </c>
      <c r="AJ24" s="268" t="n">
        <f aca="false">INDEX(MO_RIS_REV,0,COLUMN())</f>
        <v>4036.5</v>
      </c>
      <c r="AK24" s="267" t="n">
        <f aca="false">INDEX(MO_RIS_REV,0,COLUMN())</f>
        <v>11820</v>
      </c>
      <c r="AL24" s="268" t="n">
        <f aca="false">INDEX(MO_RIS_REV,0,COLUMN())</f>
        <v>2440.6</v>
      </c>
      <c r="AM24" s="268" t="n">
        <f aca="false">INDEX(MO_RIS_REV,0,COLUMN())</f>
        <v>3325.7</v>
      </c>
      <c r="AN24" s="268" t="n">
        <f aca="false">INDEX(MO_RIS_REV,0,COLUMN())</f>
        <v>3958</v>
      </c>
      <c r="AO24" s="268" t="n">
        <f aca="false">INDEX(MO_RIS_REV,0,COLUMN())</f>
        <v>4254.2</v>
      </c>
      <c r="AP24" s="267" t="n">
        <f aca="false">INDEX(MO_RIS_REV,0,COLUMN())</f>
        <v>13978.5</v>
      </c>
      <c r="AQ24" s="268" t="n">
        <f aca="false">INDEX(MO_RIS_REV,0,COLUMN())</f>
        <v>4363.9</v>
      </c>
      <c r="AR24" s="268" t="n">
        <f aca="false">INDEX(MO_RIS_REV,0,COLUMN())</f>
        <v>4020.2</v>
      </c>
      <c r="AS24" s="268" t="n">
        <f aca="false">INDEX(MO_RIS_REV,0,COLUMN())</f>
        <v>5241.3</v>
      </c>
      <c r="AT24" s="268" t="n">
        <f aca="false">INDEX(MO_RIS_REV,0,COLUMN())</f>
        <v>4985.6</v>
      </c>
      <c r="AU24" s="267" t="n">
        <f aca="false">INDEX(MO_RIS_REV,0,COLUMN())</f>
        <v>18611</v>
      </c>
      <c r="AV24" s="268" t="n">
        <f aca="false">INDEX(MO_RIS_REV,0,COLUMN())</f>
        <v>3534.4</v>
      </c>
      <c r="AW24" s="268" t="n">
        <f aca="false">INDEX(MO_RIS_REV,0,COLUMN())</f>
        <v>5430.5</v>
      </c>
      <c r="AX24" s="268" t="n">
        <f aca="false">INDEX(MO_RIS_REV,0,COLUMN())</f>
        <v>5778.3</v>
      </c>
      <c r="AY24" s="268" t="n">
        <f aca="false">INDEX(MO_RIS_REV,0,COLUMN())</f>
        <v>6430.2</v>
      </c>
      <c r="AZ24" s="267" t="n">
        <f aca="false">INDEX(MO_RIS_REV,0,COLUMN())</f>
        <v>21173.4</v>
      </c>
      <c r="BA24" s="268" t="n">
        <f aca="false">INDEX(MO_RIS_REV,0,COLUMN())</f>
        <v>6746.2</v>
      </c>
      <c r="BB24" s="268" t="n">
        <f aca="false">INDEX(MO_RIS_REV,0,COLUMN())</f>
        <v>6902.3</v>
      </c>
      <c r="BC24" s="268" t="n">
        <f aca="false">INDEX(MO_RIS_REV,0,COLUMN())</f>
        <v>6673</v>
      </c>
      <c r="BD24" s="268" t="n">
        <f aca="false">INDEX(MO_RIS_REV,0,COLUMN())</f>
        <v>7237</v>
      </c>
      <c r="BE24" s="267" t="n">
        <f aca="false">INDEX(MO_RIS_REV,0,COLUMN())</f>
        <v>27558.5</v>
      </c>
      <c r="BF24" s="268" t="n">
        <f aca="false">INDEX(MO_RIS_REV,0,COLUMN())</f>
        <v>5290</v>
      </c>
      <c r="BG24" s="268" t="n">
        <f aca="false">INDEX(MO_RIS_REV,0,COLUMN())</f>
        <v>6242.8</v>
      </c>
      <c r="BH24" s="268" t="n">
        <f aca="false">INDEX(MO_RIS_REV,0,COLUMN())</f>
        <v>7467.3</v>
      </c>
      <c r="BI24" s="268" t="n">
        <f aca="false">INDEX(MO_RIS_REV,0,COLUMN())</f>
        <v>9262.8</v>
      </c>
      <c r="BJ24" s="267" t="n">
        <f aca="false">INDEX(MO_RIS_REV,0,COLUMN())</f>
        <v>28262.9</v>
      </c>
      <c r="BK24" s="268" t="n">
        <f aca="false">INDEX(MO_RIS_REV,0,COLUMN())</f>
        <v>7741.5</v>
      </c>
      <c r="BL24" s="268" t="n">
        <f aca="false">INDEX(MO_RIS_REV,0,COLUMN())</f>
        <v>7691.7</v>
      </c>
      <c r="BM24" s="268" t="n">
        <f aca="false">INDEX(MO_RIS_REV,0,COLUMN())</f>
        <v>7516</v>
      </c>
      <c r="BN24" s="268" t="n">
        <f aca="false">INDEX(MO_RIS_REV,0,COLUMN())</f>
        <v>9718.1</v>
      </c>
      <c r="BO24" s="269" t="n">
        <f aca="false">INDEX(MO_RIS_REV,0,COLUMN())</f>
        <v>32667.3</v>
      </c>
      <c r="BP24" s="268" t="n">
        <f aca="false">INDEX(MO_RIS_REV,0,COLUMN())</f>
        <v>8589.53007589744</v>
      </c>
      <c r="BQ24" s="268" t="n">
        <f aca="false">INDEX(MO_RIS_REV,0,COLUMN())</f>
        <v>8863.45644835917</v>
      </c>
      <c r="BR24" s="268" t="n">
        <f aca="false">INDEX(MO_RIS_REV,0,COLUMN())</f>
        <v>9379.07929524721</v>
      </c>
      <c r="BS24" s="268" t="n">
        <f aca="false">INDEX(MO_RIS_REV,0,COLUMN())</f>
        <v>10082.5114586246</v>
      </c>
      <c r="BT24" s="267" t="n">
        <f aca="false">INDEX(MO_RIS_REV,0,COLUMN())</f>
        <v>36914.5772781284</v>
      </c>
      <c r="BU24" s="268" t="n">
        <f aca="false">INDEX(MO_RIS_REV,0,COLUMN())</f>
        <v>8892.68862461538</v>
      </c>
      <c r="BV24" s="268" t="n">
        <f aca="false">INDEX(MO_RIS_REV,0,COLUMN())</f>
        <v>9036.84528756221</v>
      </c>
      <c r="BW24" s="268" t="n">
        <f aca="false">INDEX(MO_RIS_REV,0,COLUMN())</f>
        <v>9955.66498697608</v>
      </c>
      <c r="BX24" s="268" t="n">
        <f aca="false">INDEX(MO_RIS_REV,0,COLUMN())</f>
        <v>10718.9941563606</v>
      </c>
      <c r="BY24" s="267" t="n">
        <f aca="false">INDEX(MO_RIS_REV,0,COLUMN())</f>
        <v>38604.1930555143</v>
      </c>
      <c r="BZ24" s="267" t="n">
        <f aca="false">INDEX(MO_RIS_REV,0,COLUMN())</f>
        <v>46543.9565046616</v>
      </c>
      <c r="CA24" s="267" t="n">
        <f aca="false">INDEX(MO_RIS_REV,0,COLUMN())</f>
        <v>48909.0345116615</v>
      </c>
      <c r="CB24" s="267" t="n">
        <f aca="false">INDEX(MO_RIS_REV,0,COLUMN())</f>
        <v>51418.3491290759</v>
      </c>
      <c r="CC24" s="268"/>
    </row>
    <row r="25" s="51" customFormat="true" ht="15" hidden="false" customHeight="true" outlineLevel="0" collapsed="false">
      <c r="A25" s="145" t="str">
        <f aca="false">INDEX(MO_RIS_COGS,0,COLUMN())</f>
        <v>COGS</v>
      </c>
      <c r="B25" s="254"/>
      <c r="C25" s="159" t="n">
        <f aca="false">INDEX(MO_RIS_COGS,0,COLUMN())</f>
        <v>1137.671</v>
      </c>
      <c r="D25" s="159" t="n">
        <f aca="false">INDEX(MO_RIS_COGS,0,COLUMN())</f>
        <v>2552.768</v>
      </c>
      <c r="E25" s="159" t="n">
        <f aca="false">INDEX(MO_RIS_COGS,0,COLUMN())</f>
        <v>3201.645</v>
      </c>
      <c r="F25" s="159" t="n">
        <f aca="false">INDEX(MO_RIS_COGS,0,COLUMN())</f>
        <v>2726.298</v>
      </c>
      <c r="G25" s="159" t="n">
        <f aca="false">INDEX(MO_RIS_COGS,0,COLUMN())</f>
        <v>3068.064</v>
      </c>
      <c r="H25" s="48" t="n">
        <f aca="false">INDEX(MO_RIS_COGS,0,COLUMN())</f>
        <v>787</v>
      </c>
      <c r="I25" s="48" t="n">
        <f aca="false">INDEX(MO_RIS_COGS,0,COLUMN())</f>
        <v>891.7</v>
      </c>
      <c r="J25" s="48" t="n">
        <f aca="false">INDEX(MO_RIS_COGS,0,COLUMN())</f>
        <v>744.1</v>
      </c>
      <c r="K25" s="48" t="n">
        <f aca="false">INDEX(MO_RIS_COGS,0,COLUMN())</f>
        <v>837.1</v>
      </c>
      <c r="L25" s="159" t="n">
        <f aca="false">INDEX(MO_RIS_COGS,0,COLUMN())</f>
        <v>3259.903</v>
      </c>
      <c r="M25" s="48" t="n">
        <f aca="false">INDEX(MO_RIS_COGS,0,COLUMN())</f>
        <v>871.3</v>
      </c>
      <c r="N25" s="48" t="n">
        <f aca="false">INDEX(MO_RIS_COGS,0,COLUMN())</f>
        <v>900.3</v>
      </c>
      <c r="O25" s="48" t="n">
        <f aca="false">INDEX(MO_RIS_COGS,0,COLUMN())</f>
        <v>845.7</v>
      </c>
      <c r="P25" s="48" t="n">
        <f aca="false">INDEX(MO_RIS_COGS,0,COLUMN())</f>
        <v>774.4</v>
      </c>
      <c r="Q25" s="159" t="n">
        <f aca="false">INDEX(MO_RIS_COGS,0,COLUMN())</f>
        <v>3391.631</v>
      </c>
      <c r="R25" s="48" t="n">
        <f aca="false">INDEX(MO_RIS_COGS,0,COLUMN())</f>
        <v>765.1</v>
      </c>
      <c r="S25" s="48" t="n">
        <f aca="false">INDEX(MO_RIS_COGS,0,COLUMN())</f>
        <v>998.2</v>
      </c>
      <c r="T25" s="48" t="n">
        <f aca="false">INDEX(MO_RIS_COGS,0,COLUMN())</f>
        <v>980.2</v>
      </c>
      <c r="U25" s="48" t="n">
        <f aca="false">INDEX(MO_RIS_COGS,0,COLUMN())</f>
        <v>1006.8</v>
      </c>
      <c r="V25" s="159" t="n">
        <f aca="false">INDEX(MO_RIS_COGS,0,COLUMN())</f>
        <v>3750.3</v>
      </c>
      <c r="W25" s="48" t="n">
        <f aca="false">INDEX(MO_RIS_COGS,0,COLUMN())</f>
        <v>1019</v>
      </c>
      <c r="X25" s="48" t="n">
        <f aca="false">INDEX(MO_RIS_COGS,0,COLUMN())</f>
        <v>1154.9</v>
      </c>
      <c r="Y25" s="48" t="n">
        <f aca="false">INDEX(MO_RIS_COGS,0,COLUMN())</f>
        <v>1397.9</v>
      </c>
      <c r="Z25" s="48" t="n">
        <f aca="false">INDEX(MO_RIS_COGS,0,COLUMN())</f>
        <v>1404.3</v>
      </c>
      <c r="AA25" s="159" t="n">
        <f aca="false">INDEX(MO_RIS_COGS,0,COLUMN())</f>
        <v>4976.1</v>
      </c>
      <c r="AB25" s="48" t="n">
        <f aca="false">INDEX(MO_RIS_COGS,0,COLUMN())</f>
        <v>1171.5</v>
      </c>
      <c r="AC25" s="48" t="n">
        <f aca="false">INDEX(MO_RIS_COGS,0,COLUMN())</f>
        <v>1553.5</v>
      </c>
      <c r="AD25" s="48" t="n">
        <f aca="false">INDEX(MO_RIS_COGS,0,COLUMN())</f>
        <v>1440.2</v>
      </c>
      <c r="AE25" s="48" t="n">
        <f aca="false">INDEX(MO_RIS_COGS,0,COLUMN())</f>
        <v>1749.6</v>
      </c>
      <c r="AF25" s="159" t="n">
        <f aca="false">INDEX(MO_RIS_COGS,0,COLUMN())</f>
        <v>5914.8</v>
      </c>
      <c r="AG25" s="48" t="n">
        <f aca="false">INDEX(MO_RIS_COGS,0,COLUMN())</f>
        <v>1301.1</v>
      </c>
      <c r="AH25" s="48" t="n">
        <f aca="false">INDEX(MO_RIS_COGS,0,COLUMN())</f>
        <v>1462.7</v>
      </c>
      <c r="AI25" s="48" t="n">
        <f aca="false">INDEX(MO_RIS_COGS,0,COLUMN())</f>
        <v>1680.1</v>
      </c>
      <c r="AJ25" s="48" t="n">
        <f aca="false">INDEX(MO_RIS_COGS,0,COLUMN())</f>
        <v>2096.3</v>
      </c>
      <c r="AK25" s="159" t="n">
        <f aca="false">INDEX(MO_RIS_COGS,0,COLUMN())</f>
        <v>6540.2</v>
      </c>
      <c r="AL25" s="48" t="n">
        <f aca="false">INDEX(MO_RIS_COGS,0,COLUMN())</f>
        <v>1339.2</v>
      </c>
      <c r="AM25" s="48" t="n">
        <f aca="false">INDEX(MO_RIS_COGS,0,COLUMN())</f>
        <v>1722.5</v>
      </c>
      <c r="AN25" s="48" t="n">
        <f aca="false">INDEX(MO_RIS_COGS,0,COLUMN())</f>
        <v>2076.6</v>
      </c>
      <c r="AO25" s="48" t="n">
        <f aca="false">INDEX(MO_RIS_COGS,0,COLUMN())</f>
        <v>2043</v>
      </c>
      <c r="AP25" s="159" t="n">
        <f aca="false">INDEX(MO_RIS_COGS,0,COLUMN())</f>
        <v>7181.3</v>
      </c>
      <c r="AQ25" s="48" t="n">
        <f aca="false">INDEX(MO_RIS_COGS,0,COLUMN())</f>
        <v>2011.5</v>
      </c>
      <c r="AR25" s="48" t="n">
        <f aca="false">INDEX(MO_RIS_COGS,0,COLUMN())</f>
        <v>1975.6</v>
      </c>
      <c r="AS25" s="48" t="n">
        <f aca="false">INDEX(MO_RIS_COGS,0,COLUMN())</f>
        <v>2529.9</v>
      </c>
      <c r="AT25" s="48" t="n">
        <f aca="false">INDEX(MO_RIS_COGS,0,COLUMN())</f>
        <v>2285</v>
      </c>
      <c r="AU25" s="159" t="n">
        <f aca="false">INDEX(MO_RIS_COGS,0,COLUMN())</f>
        <v>8802</v>
      </c>
      <c r="AV25" s="48" t="n">
        <f aca="false">INDEX(MO_RIS_COGS,0,COLUMN())</f>
        <v>1803.4</v>
      </c>
      <c r="AW25" s="48" t="n">
        <f aca="false">INDEX(MO_RIS_COGS,0,COLUMN())</f>
        <v>2766</v>
      </c>
      <c r="AX25" s="48" t="n">
        <f aca="false">INDEX(MO_RIS_COGS,0,COLUMN())</f>
        <v>2784.6</v>
      </c>
      <c r="AY25" s="48" t="n">
        <f aca="false">INDEX(MO_RIS_COGS,0,COLUMN())</f>
        <v>3119.3</v>
      </c>
      <c r="AZ25" s="159" t="n">
        <f aca="false">INDEX(MO_RIS_COGS,0,COLUMN())</f>
        <v>10473.3</v>
      </c>
      <c r="BA25" s="48" t="n">
        <f aca="false">INDEX(MO_RIS_COGS,0,COLUMN())</f>
        <v>3333</v>
      </c>
      <c r="BB25" s="48" t="n">
        <f aca="false">INDEX(MO_RIS_COGS,0,COLUMN())</f>
        <v>3358.3</v>
      </c>
      <c r="BC25" s="48" t="n">
        <f aca="false">INDEX(MO_RIS_COGS,0,COLUMN())</f>
        <v>3211.4</v>
      </c>
      <c r="BD25" s="48" t="n">
        <f aca="false">INDEX(MO_RIS_COGS,0,COLUMN())</f>
        <v>3519.7</v>
      </c>
      <c r="BE25" s="159" t="n">
        <f aca="false">INDEX(MO_RIS_COGS,0,COLUMN())</f>
        <v>13422.4</v>
      </c>
      <c r="BF25" s="48" t="n">
        <f aca="false">INDEX(MO_RIS_COGS,0,COLUMN())</f>
        <v>2593.4</v>
      </c>
      <c r="BG25" s="48" t="n">
        <f aca="false">INDEX(MO_RIS_COGS,0,COLUMN())</f>
        <v>3030.6</v>
      </c>
      <c r="BH25" s="48" t="n">
        <f aca="false">INDEX(MO_RIS_COGS,0,COLUMN())</f>
        <v>3673.9</v>
      </c>
      <c r="BI25" s="48" t="n">
        <f aca="false">INDEX(MO_RIS_COGS,0,COLUMN())</f>
        <v>4473</v>
      </c>
      <c r="BJ25" s="159" t="n">
        <f aca="false">INDEX(MO_RIS_COGS,0,COLUMN())</f>
        <v>13770.9</v>
      </c>
      <c r="BK25" s="48" t="n">
        <f aca="false">INDEX(MO_RIS_COGS,0,COLUMN())</f>
        <v>3561.8</v>
      </c>
      <c r="BL25" s="48" t="n">
        <f aca="false">INDEX(MO_RIS_COGS,0,COLUMN())</f>
        <v>3562.2</v>
      </c>
      <c r="BM25" s="48" t="n">
        <f aca="false">INDEX(MO_RIS_COGS,0,COLUMN())</f>
        <v>3635.7</v>
      </c>
      <c r="BN25" s="48" t="n">
        <f aca="false">INDEX(MO_RIS_COGS,0,COLUMN())</f>
        <v>4649.6</v>
      </c>
      <c r="BO25" s="160" t="n">
        <f aca="false">INDEX(MO_RIS_COGS,0,COLUMN())</f>
        <v>15409.3</v>
      </c>
      <c r="BP25" s="48" t="n">
        <f aca="false">INDEX(MO_RIS_COGS,0,COLUMN())</f>
        <v>4123.76221223054</v>
      </c>
      <c r="BQ25" s="48" t="n">
        <f aca="false">INDEX(MO_RIS_COGS,0,COLUMN())</f>
        <v>4087.13996443144</v>
      </c>
      <c r="BR25" s="48" t="n">
        <f aca="false">INDEX(MO_RIS_COGS,0,COLUMN())</f>
        <v>4518.16554999523</v>
      </c>
      <c r="BS25" s="48" t="n">
        <f aca="false">INDEX(MO_RIS_COGS,0,COLUMN())</f>
        <v>4803.78670406858</v>
      </c>
      <c r="BT25" s="159" t="n">
        <f aca="false">INDEX(MO_RIS_COGS,0,COLUMN())</f>
        <v>17532.8544307258</v>
      </c>
      <c r="BU25" s="48" t="n">
        <f aca="false">INDEX(MO_RIS_COGS,0,COLUMN())</f>
        <v>4251.52074209512</v>
      </c>
      <c r="BV25" s="48" t="n">
        <f aca="false">INDEX(MO_RIS_COGS,0,COLUMN())</f>
        <v>3941.17234227789</v>
      </c>
      <c r="BW25" s="48" t="n">
        <f aca="false">INDEX(MO_RIS_COGS,0,COLUMN())</f>
        <v>4547.03142442947</v>
      </c>
      <c r="BX25" s="48" t="n">
        <f aca="false">INDEX(MO_RIS_COGS,0,COLUMN())</f>
        <v>5085.59926333036</v>
      </c>
      <c r="BY25" s="159" t="n">
        <f aca="false">INDEX(MO_RIS_COGS,0,COLUMN())</f>
        <v>17825.3237721328</v>
      </c>
      <c r="BZ25" s="159" t="n">
        <f aca="false">INDEX(MO_RIS_COGS,0,COLUMN())</f>
        <v>21398.3882367078</v>
      </c>
      <c r="CA25" s="159" t="n">
        <f aca="false">INDEX(MO_RIS_COGS,0,COLUMN())</f>
        <v>22387.9048337612</v>
      </c>
      <c r="CB25" s="159" t="n">
        <f aca="false">INDEX(MO_RIS_COGS,0,COLUMN())</f>
        <v>23433.6963473162</v>
      </c>
      <c r="CC25" s="48"/>
    </row>
    <row r="26" s="51" customFormat="true" ht="15" hidden="false" customHeight="true" outlineLevel="0" collapsed="false">
      <c r="A26" s="145" t="str">
        <f aca="false">INDEX(MO_RIS_SGA,0,COLUMN())</f>
        <v>SG&amp;A</v>
      </c>
      <c r="B26" s="254"/>
      <c r="C26" s="159" t="n">
        <f aca="false">INDEX(MO_RIS_SGA,0,COLUMN())</f>
        <v>154.756</v>
      </c>
      <c r="D26" s="159" t="n">
        <f aca="false">INDEX(MO_RIS_SGA,0,COLUMN())</f>
        <v>181.045</v>
      </c>
      <c r="E26" s="159" t="n">
        <f aca="false">INDEX(MO_RIS_SGA,0,COLUMN())</f>
        <v>217.904</v>
      </c>
      <c r="F26" s="159" t="n">
        <f aca="false">INDEX(MO_RIS_SGA,0,COLUMN())</f>
        <v>259.301</v>
      </c>
      <c r="G26" s="159" t="n">
        <f aca="false">INDEX(MO_RIS_SGA,0,COLUMN())</f>
        <v>311.741</v>
      </c>
      <c r="H26" s="48" t="n">
        <f aca="false">INDEX(MO_RIS_SGA,0,COLUMN())</f>
        <v>84.9</v>
      </c>
      <c r="I26" s="48" t="n">
        <f aca="false">INDEX(MO_RIS_SGA,0,COLUMN())</f>
        <v>79.9</v>
      </c>
      <c r="J26" s="48" t="n">
        <f aca="false">INDEX(MO_RIS_SGA,0,COLUMN())</f>
        <v>76.9</v>
      </c>
      <c r="K26" s="48" t="n">
        <f aca="false">INDEX(MO_RIS_SGA,0,COLUMN())</f>
        <v>79.4</v>
      </c>
      <c r="L26" s="159" t="n">
        <f aca="false">INDEX(MO_RIS_SGA,0,COLUMN())</f>
        <v>321.11</v>
      </c>
      <c r="M26" s="48" t="n">
        <f aca="false">INDEX(MO_RIS_SGA,0,COLUMN())</f>
        <v>82.3</v>
      </c>
      <c r="N26" s="48" t="n">
        <f aca="false">INDEX(MO_RIS_SGA,0,COLUMN())</f>
        <v>88.3</v>
      </c>
      <c r="O26" s="48" t="n">
        <f aca="false">INDEX(MO_RIS_SGA,0,COLUMN())</f>
        <v>85.6</v>
      </c>
      <c r="P26" s="48" t="n">
        <f aca="false">INDEX(MO_RIS_SGA,0,COLUMN())</f>
        <v>89.5</v>
      </c>
      <c r="Q26" s="159" t="n">
        <f aca="false">INDEX(MO_RIS_SGA,0,COLUMN())</f>
        <v>345.732</v>
      </c>
      <c r="R26" s="48" t="n">
        <f aca="false">INDEX(MO_RIS_SGA,0,COLUMN())</f>
        <v>88.8</v>
      </c>
      <c r="S26" s="48" t="n">
        <f aca="false">INDEX(MO_RIS_SGA,0,COLUMN())</f>
        <v>90.4</v>
      </c>
      <c r="T26" s="48" t="n">
        <f aca="false">INDEX(MO_RIS_SGA,0,COLUMN())</f>
        <v>88.8</v>
      </c>
      <c r="U26" s="48" t="n">
        <f aca="false">INDEX(MO_RIS_SGA,0,COLUMN())</f>
        <v>106.8</v>
      </c>
      <c r="V26" s="159" t="n">
        <f aca="false">INDEX(MO_RIS_SGA,0,COLUMN())</f>
        <v>374.8</v>
      </c>
      <c r="W26" s="48" t="n">
        <f aca="false">INDEX(MO_RIS_SGA,0,COLUMN())</f>
        <v>98.6</v>
      </c>
      <c r="X26" s="48" t="n">
        <f aca="false">INDEX(MO_RIS_SGA,0,COLUMN())</f>
        <v>102</v>
      </c>
      <c r="Y26" s="48" t="n">
        <f aca="false">INDEX(MO_RIS_SGA,0,COLUMN())</f>
        <v>103.3</v>
      </c>
      <c r="Z26" s="48" t="n">
        <f aca="false">INDEX(MO_RIS_SGA,0,COLUMN())</f>
        <v>112.7</v>
      </c>
      <c r="AA26" s="159" t="n">
        <f aca="false">INDEX(MO_RIS_SGA,0,COLUMN())</f>
        <v>416.6</v>
      </c>
      <c r="AB26" s="48" t="n">
        <f aca="false">INDEX(MO_RIS_SGA,0,COLUMN())</f>
        <v>114.2</v>
      </c>
      <c r="AC26" s="48" t="n">
        <f aca="false">INDEX(MO_RIS_SGA,0,COLUMN())</f>
        <v>117.4</v>
      </c>
      <c r="AD26" s="48" t="n">
        <f aca="false">INDEX(MO_RIS_SGA,0,COLUMN())</f>
        <v>121.8</v>
      </c>
      <c r="AE26" s="48" t="n">
        <f aca="false">INDEX(MO_RIS_SGA,0,COLUMN())</f>
        <v>134.6</v>
      </c>
      <c r="AF26" s="159" t="n">
        <f aca="false">INDEX(MO_RIS_SGA,0,COLUMN())</f>
        <v>488</v>
      </c>
      <c r="AG26" s="48" t="n">
        <f aca="false">INDEX(MO_RIS_SGA,0,COLUMN())</f>
        <v>121</v>
      </c>
      <c r="AH26" s="48" t="n">
        <f aca="false">INDEX(MO_RIS_SGA,0,COLUMN())</f>
        <v>123.5</v>
      </c>
      <c r="AI26" s="48" t="n">
        <f aca="false">INDEX(MO_RIS_SGA,0,COLUMN())</f>
        <v>128.5</v>
      </c>
      <c r="AJ26" s="48" t="n">
        <f aca="false">INDEX(MO_RIS_SGA,0,COLUMN())</f>
        <v>147.5</v>
      </c>
      <c r="AK26" s="159" t="n">
        <f aca="false">INDEX(MO_RIS_SGA,0,COLUMN())</f>
        <v>520.5</v>
      </c>
      <c r="AL26" s="48" t="n">
        <f aca="false">INDEX(MO_RIS_SGA,0,COLUMN())</f>
        <v>130.7</v>
      </c>
      <c r="AM26" s="48" t="n">
        <f aca="false">INDEX(MO_RIS_SGA,0,COLUMN())</f>
        <v>131.2</v>
      </c>
      <c r="AN26" s="48" t="n">
        <f aca="false">INDEX(MO_RIS_SGA,0,COLUMN())</f>
        <v>131.5</v>
      </c>
      <c r="AO26" s="48" t="n">
        <f aca="false">INDEX(MO_RIS_SGA,0,COLUMN())</f>
        <v>151.5</v>
      </c>
      <c r="AP26" s="159" t="n">
        <f aca="false">INDEX(MO_RIS_SGA,0,COLUMN())</f>
        <v>544.9</v>
      </c>
      <c r="AQ26" s="48" t="n">
        <f aca="false">INDEX(MO_RIS_SGA,0,COLUMN())</f>
        <v>168.4</v>
      </c>
      <c r="AR26" s="48" t="n">
        <f aca="false">INDEX(MO_RIS_SGA,0,COLUMN())</f>
        <v>171.8</v>
      </c>
      <c r="AS26" s="48" t="n">
        <f aca="false">INDEX(MO_RIS_SGA,0,COLUMN())</f>
        <v>182.9</v>
      </c>
      <c r="AT26" s="48" t="n">
        <f aca="false">INDEX(MO_RIS_SGA,0,COLUMN())</f>
        <v>202.5</v>
      </c>
      <c r="AU26" s="159" t="n">
        <f aca="false">INDEX(MO_RIS_SGA,0,COLUMN())</f>
        <v>725.6</v>
      </c>
      <c r="AV26" s="48" t="n">
        <f aca="false">INDEX(MO_RIS_SGA,0,COLUMN())</f>
        <v>207.7</v>
      </c>
      <c r="AW26" s="48" t="n">
        <f aca="false">INDEX(MO_RIS_SGA,0,COLUMN())</f>
        <v>222</v>
      </c>
      <c r="AX26" s="48" t="n">
        <f aca="false">INDEX(MO_RIS_SGA,0,COLUMN())</f>
        <v>235.8</v>
      </c>
      <c r="AY26" s="48" t="n">
        <f aca="false">INDEX(MO_RIS_SGA,0,COLUMN())</f>
        <v>280.4</v>
      </c>
      <c r="AZ26" s="159" t="n">
        <f aca="false">INDEX(MO_RIS_SGA,0,COLUMN())</f>
        <v>945.9</v>
      </c>
      <c r="BA26" s="48" t="n">
        <f aca="false">INDEX(MO_RIS_SGA,0,COLUMN())</f>
        <v>260.3</v>
      </c>
      <c r="BB26" s="48" t="n">
        <f aca="false">INDEX(MO_RIS_SGA,0,COLUMN())</f>
        <v>281.1</v>
      </c>
      <c r="BC26" s="48" t="n">
        <f aca="false">INDEX(MO_RIS_SGA,0,COLUMN())</f>
        <v>287.8</v>
      </c>
      <c r="BD26" s="48" t="n">
        <f aca="false">INDEX(MO_RIS_SGA,0,COLUMN())</f>
        <v>284</v>
      </c>
      <c r="BE26" s="159" t="n">
        <f aca="false">INDEX(MO_RIS_SGA,0,COLUMN())</f>
        <v>1113.2</v>
      </c>
      <c r="BF26" s="48" t="n">
        <f aca="false">INDEX(MO_RIS_SGA,0,COLUMN())</f>
        <v>273.3</v>
      </c>
      <c r="BG26" s="48" t="n">
        <f aca="false">INDEX(MO_RIS_SGA,0,COLUMN())</f>
        <v>277</v>
      </c>
      <c r="BH26" s="48" t="n">
        <f aca="false">INDEX(MO_RIS_SGA,0,COLUMN())</f>
        <v>297</v>
      </c>
      <c r="BI26" s="48" t="n">
        <f aca="false">INDEX(MO_RIS_SGA,0,COLUMN())</f>
        <v>318.4</v>
      </c>
      <c r="BJ26" s="159" t="n">
        <f aca="false">INDEX(MO_RIS_SGA,0,COLUMN())</f>
        <v>1165.7</v>
      </c>
      <c r="BK26" s="48" t="n">
        <f aca="false">INDEX(MO_RIS_SGA,0,COLUMN())</f>
        <v>280.7</v>
      </c>
      <c r="BL26" s="48" t="n">
        <f aca="false">INDEX(MO_RIS_SGA,0,COLUMN())</f>
        <v>298.7</v>
      </c>
      <c r="BM26" s="48" t="n">
        <f aca="false">INDEX(MO_RIS_SGA,0,COLUMN())</f>
        <v>303.2</v>
      </c>
      <c r="BN26" s="48" t="n">
        <f aca="false">INDEX(MO_RIS_SGA,0,COLUMN())</f>
        <v>375.2</v>
      </c>
      <c r="BO26" s="160" t="n">
        <f aca="false">INDEX(MO_RIS_SGA,0,COLUMN())</f>
        <v>1257.8</v>
      </c>
      <c r="BP26" s="48" t="n">
        <f aca="false">INDEX(MO_RIS_SGA,0,COLUMN())</f>
        <v>302.859296676594</v>
      </c>
      <c r="BQ26" s="48" t="n">
        <f aca="false">INDEX(MO_RIS_SGA,0,COLUMN())</f>
        <v>326.477156571004</v>
      </c>
      <c r="BR26" s="48" t="n">
        <f aca="false">INDEX(MO_RIS_SGA,0,COLUMN())</f>
        <v>359.599590520596</v>
      </c>
      <c r="BS26" s="48" t="n">
        <f aca="false">INDEX(MO_RIS_SGA,0,COLUMN())</f>
        <v>369.104309490933</v>
      </c>
      <c r="BT26" s="159" t="n">
        <f aca="false">INDEX(MO_RIS_SGA,0,COLUMN())</f>
        <v>1358.04035325913</v>
      </c>
      <c r="BU26" s="48" t="n">
        <f aca="false">INDEX(MO_RIS_SGA,0,COLUMN())</f>
        <v>295.763023957522</v>
      </c>
      <c r="BV26" s="48" t="n">
        <f aca="false">INDEX(MO_RIS_SGA,0,COLUMN())</f>
        <v>314.79008227069</v>
      </c>
      <c r="BW26" s="48" t="n">
        <f aca="false">INDEX(MO_RIS_SGA,0,COLUMN())</f>
        <v>361.794905785351</v>
      </c>
      <c r="BX26" s="48" t="n">
        <f aca="false">INDEX(MO_RIS_SGA,0,COLUMN())</f>
        <v>370.96691524298</v>
      </c>
      <c r="BY26" s="159" t="n">
        <f aca="false">INDEX(MO_RIS_SGA,0,COLUMN())</f>
        <v>1343.31492725654</v>
      </c>
      <c r="BZ26" s="159" t="n">
        <f aca="false">INDEX(MO_RIS_SGA,0,COLUMN())</f>
        <v>1526.50795463076</v>
      </c>
      <c r="CA26" s="159" t="n">
        <f aca="false">INDEX(MO_RIS_SGA,0,COLUMN())</f>
        <v>1506.25764439147</v>
      </c>
      <c r="CB26" s="159" t="n">
        <f aca="false">INDEX(MO_RIS_SGA,0,COLUMN())</f>
        <v>1480.70062180883</v>
      </c>
      <c r="CC26" s="48"/>
    </row>
    <row r="27" s="51" customFormat="true" ht="15" hidden="false" customHeight="true" outlineLevel="0" collapsed="false">
      <c r="A27" s="145" t="str">
        <f aca="false">INDEX(MO_RIS_RD,0,COLUMN())</f>
        <v>R&amp;D</v>
      </c>
      <c r="B27" s="254"/>
      <c r="C27" s="159" t="n">
        <f aca="false">INDEX(MO_RIS_RD,0,COLUMN())</f>
        <v>466.761</v>
      </c>
      <c r="D27" s="159" t="n">
        <f aca="false">INDEX(MO_RIS_RD,0,COLUMN())</f>
        <v>523.426</v>
      </c>
      <c r="E27" s="159" t="n">
        <f aca="false">INDEX(MO_RIS_RD,0,COLUMN())</f>
        <v>590.27</v>
      </c>
      <c r="F27" s="159" t="n">
        <f aca="false">INDEX(MO_RIS_RD,0,COLUMN())</f>
        <v>589.182</v>
      </c>
      <c r="G27" s="159" t="n">
        <f aca="false">INDEX(MO_RIS_RD,0,COLUMN())</f>
        <v>882.029</v>
      </c>
      <c r="H27" s="48" t="n">
        <f aca="false">INDEX(MO_RIS_RD,0,COLUMN())</f>
        <v>279.1</v>
      </c>
      <c r="I27" s="48" t="n">
        <f aca="false">INDEX(MO_RIS_RD,0,COLUMN())</f>
        <v>266.9</v>
      </c>
      <c r="J27" s="48" t="n">
        <f aca="false">INDEX(MO_RIS_RD,0,COLUMN())</f>
        <v>260.1</v>
      </c>
      <c r="K27" s="48" t="n">
        <f aca="false">INDEX(MO_RIS_RD,0,COLUMN())</f>
        <v>268</v>
      </c>
      <c r="L27" s="159" t="n">
        <f aca="false">INDEX(MO_RIS_RD,0,COLUMN())</f>
        <v>1074.035</v>
      </c>
      <c r="M27" s="48" t="n">
        <f aca="false">INDEX(MO_RIS_RD,0,COLUMN())</f>
        <v>261.4</v>
      </c>
      <c r="N27" s="48" t="n">
        <f aca="false">INDEX(MO_RIS_RD,0,COLUMN())</f>
        <v>267.4</v>
      </c>
      <c r="O27" s="48" t="n">
        <f aca="false">INDEX(MO_RIS_RD,0,COLUMN())</f>
        <v>266.3</v>
      </c>
      <c r="P27" s="48" t="n">
        <f aca="false">INDEX(MO_RIS_RD,0,COLUMN())</f>
        <v>273</v>
      </c>
      <c r="Q27" s="159" t="n">
        <f aca="false">INDEX(MO_RIS_RD,0,COLUMN())</f>
        <v>1068.077</v>
      </c>
      <c r="R27" s="48" t="n">
        <f aca="false">INDEX(MO_RIS_RD,0,COLUMN())</f>
        <v>274.7</v>
      </c>
      <c r="S27" s="48" t="n">
        <f aca="false">INDEX(MO_RIS_RD,0,COLUMN())</f>
        <v>270.3</v>
      </c>
      <c r="T27" s="48" t="n">
        <f aca="false">INDEX(MO_RIS_RD,0,COLUMN())</f>
        <v>273.4</v>
      </c>
      <c r="U27" s="48" t="n">
        <f aca="false">INDEX(MO_RIS_RD,0,COLUMN())</f>
        <v>287.4</v>
      </c>
      <c r="V27" s="159" t="n">
        <f aca="false">INDEX(MO_RIS_RD,0,COLUMN())</f>
        <v>1105.8</v>
      </c>
      <c r="W27" s="48" t="n">
        <f aca="false">INDEX(MO_RIS_RD,0,COLUMN())</f>
        <v>315.1</v>
      </c>
      <c r="X27" s="48" t="n">
        <f aca="false">INDEX(MO_RIS_RD,0,COLUMN())</f>
        <v>312.7</v>
      </c>
      <c r="Y27" s="48" t="n">
        <f aca="false">INDEX(MO_RIS_RD,0,COLUMN())</f>
        <v>314.5</v>
      </c>
      <c r="Z27" s="48" t="n">
        <f aca="false">INDEX(MO_RIS_RD,0,COLUMN())</f>
        <v>317.4</v>
      </c>
      <c r="AA27" s="159" t="n">
        <f aca="false">INDEX(MO_RIS_RD,0,COLUMN())</f>
        <v>1259.7</v>
      </c>
      <c r="AB27" s="48" t="n">
        <f aca="false">INDEX(MO_RIS_RD,0,COLUMN())</f>
        <v>357.1</v>
      </c>
      <c r="AC27" s="48" t="n">
        <f aca="false">INDEX(MO_RIS_RD,0,COLUMN())</f>
        <v>380.1</v>
      </c>
      <c r="AD27" s="48" t="n">
        <f aca="false">INDEX(MO_RIS_RD,0,COLUMN())</f>
        <v>396.3</v>
      </c>
      <c r="AE27" s="48" t="n">
        <f aca="false">INDEX(MO_RIS_RD,0,COLUMN())</f>
        <v>442.4</v>
      </c>
      <c r="AF27" s="159" t="n">
        <f aca="false">INDEX(MO_RIS_RD,0,COLUMN())</f>
        <v>1575.9</v>
      </c>
      <c r="AG27" s="48" t="n">
        <f aca="false">INDEX(MO_RIS_RD,0,COLUMN())</f>
        <v>472.7</v>
      </c>
      <c r="AH27" s="48" t="n">
        <f aca="false">INDEX(MO_RIS_RD,0,COLUMN())</f>
        <v>487.4</v>
      </c>
      <c r="AI27" s="48" t="n">
        <f aca="false">INDEX(MO_RIS_RD,0,COLUMN())</f>
        <v>492.3</v>
      </c>
      <c r="AJ27" s="48" t="n">
        <f aca="false">INDEX(MO_RIS_RD,0,COLUMN())</f>
        <v>516.1</v>
      </c>
      <c r="AK27" s="159" t="n">
        <f aca="false">INDEX(MO_RIS_RD,0,COLUMN())</f>
        <v>1968.5</v>
      </c>
      <c r="AL27" s="48" t="n">
        <f aca="false">INDEX(MO_RIS_RD,0,COLUMN())</f>
        <v>544</v>
      </c>
      <c r="AM27" s="48" t="n">
        <f aca="false">INDEX(MO_RIS_RD,0,COLUMN())</f>
        <v>566.9</v>
      </c>
      <c r="AN27" s="48" t="n">
        <f aca="false">INDEX(MO_RIS_RD,0,COLUMN())</f>
        <v>534</v>
      </c>
      <c r="AO27" s="48" t="n">
        <f aca="false">INDEX(MO_RIS_RD,0,COLUMN())</f>
        <v>555.9</v>
      </c>
      <c r="AP27" s="159" t="n">
        <f aca="false">INDEX(MO_RIS_RD,0,COLUMN())</f>
        <v>2200.8</v>
      </c>
      <c r="AQ27" s="48" t="n">
        <f aca="false">INDEX(MO_RIS_RD,0,COLUMN())</f>
        <v>623.4</v>
      </c>
      <c r="AR27" s="48" t="n">
        <f aca="false">INDEX(MO_RIS_RD,0,COLUMN())</f>
        <v>633.8</v>
      </c>
      <c r="AS27" s="48" t="n">
        <f aca="false">INDEX(MO_RIS_RD,0,COLUMN())</f>
        <v>609.2</v>
      </c>
      <c r="AT27" s="48" t="n">
        <f aca="false">INDEX(MO_RIS_RD,0,COLUMN())</f>
        <v>680.6</v>
      </c>
      <c r="AU27" s="159" t="n">
        <f aca="false">INDEX(MO_RIS_RD,0,COLUMN())</f>
        <v>2547</v>
      </c>
      <c r="AV27" s="48" t="n">
        <f aca="false">INDEX(MO_RIS_RD,0,COLUMN())</f>
        <v>738.7</v>
      </c>
      <c r="AW27" s="48" t="n">
        <f aca="false">INDEX(MO_RIS_RD,0,COLUMN())</f>
        <v>789.1</v>
      </c>
      <c r="AX27" s="48" t="n">
        <f aca="false">INDEX(MO_RIS_RD,0,COLUMN())</f>
        <v>819.4</v>
      </c>
      <c r="AY27" s="48" t="n">
        <f aca="false">INDEX(MO_RIS_RD,0,COLUMN())</f>
        <v>906.3</v>
      </c>
      <c r="AZ27" s="159" t="n">
        <f aca="false">INDEX(MO_RIS_RD,0,COLUMN())</f>
        <v>3253.5</v>
      </c>
      <c r="BA27" s="48" t="n">
        <f aca="false">INDEX(MO_RIS_RD,0,COLUMN())</f>
        <v>947.9</v>
      </c>
      <c r="BB27" s="48" t="n">
        <f aca="false">INDEX(MO_RIS_RD,0,COLUMN())</f>
        <v>999.9</v>
      </c>
      <c r="BC27" s="48" t="n">
        <f aca="false">INDEX(MO_RIS_RD,0,COLUMN())</f>
        <v>991.4</v>
      </c>
      <c r="BD27" s="48" t="n">
        <f aca="false">INDEX(MO_RIS_RD,0,COLUMN())</f>
        <v>1041.4</v>
      </c>
      <c r="BE27" s="159" t="n">
        <f aca="false">INDEX(MO_RIS_RD,0,COLUMN())</f>
        <v>3980.6</v>
      </c>
      <c r="BF27" s="48" t="n">
        <f aca="false">INDEX(MO_RIS_RD,0,COLUMN())</f>
        <v>1031.9</v>
      </c>
      <c r="BG27" s="48" t="n">
        <f aca="false">INDEX(MO_RIS_RD,0,COLUMN())</f>
        <v>1100.6</v>
      </c>
      <c r="BH27" s="48" t="n">
        <f aca="false">INDEX(MO_RIS_RD,0,COLUMN())</f>
        <v>1055.2</v>
      </c>
      <c r="BI27" s="48" t="n">
        <f aca="false">INDEX(MO_RIS_RD,0,COLUMN())</f>
        <v>1116</v>
      </c>
      <c r="BJ27" s="159" t="n">
        <f aca="false">INDEX(MO_RIS_RD,0,COLUMN())</f>
        <v>4303.7</v>
      </c>
      <c r="BK27" s="48" t="n">
        <f aca="false">INDEX(MO_RIS_RD,0,COLUMN())</f>
        <v>1161.1</v>
      </c>
      <c r="BL27" s="48" t="n">
        <f aca="false">INDEX(MO_RIS_RD,0,COLUMN())</f>
        <v>1166.7</v>
      </c>
      <c r="BM27" s="48" t="n">
        <f aca="false">INDEX(MO_RIS_RD,0,COLUMN())</f>
        <v>1108.7</v>
      </c>
      <c r="BN27" s="48" t="n">
        <f aca="false">INDEX(MO_RIS_RD,0,COLUMN())</f>
        <v>1262.3</v>
      </c>
      <c r="BO27" s="160" t="n">
        <f aca="false">INDEX(MO_RIS_RD,0,COLUMN())</f>
        <v>4698.8</v>
      </c>
      <c r="BP27" s="48" t="n">
        <f aca="false">INDEX(MO_RIS_RD,0,COLUMN())</f>
        <v>1202.39551770315</v>
      </c>
      <c r="BQ27" s="48" t="n">
        <f aca="false">INDEX(MO_RIS_RD,0,COLUMN())</f>
        <v>954.443429656838</v>
      </c>
      <c r="BR27" s="48" t="n">
        <f aca="false">INDEX(MO_RIS_RD,0,COLUMN())</f>
        <v>1242.8403159785</v>
      </c>
      <c r="BS27" s="48" t="n">
        <f aca="false">INDEX(MO_RIS_RD,0,COLUMN())</f>
        <v>1289.46898107755</v>
      </c>
      <c r="BT27" s="159" t="n">
        <f aca="false">INDEX(MO_RIS_RD,0,COLUMN())</f>
        <v>4689.14824441603</v>
      </c>
      <c r="BU27" s="48" t="n">
        <f aca="false">INDEX(MO_RIS_RD,0,COLUMN())</f>
        <v>1227.04744225168</v>
      </c>
      <c r="BV27" s="48" t="n">
        <f aca="false">INDEX(MO_RIS_RD,0,COLUMN())</f>
        <v>575.493264420702</v>
      </c>
      <c r="BW27" s="48" t="n">
        <f aca="false">INDEX(MO_RIS_RD,0,COLUMN())</f>
        <v>1169.90984962706</v>
      </c>
      <c r="BX27" s="48" t="n">
        <f aca="false">INDEX(MO_RIS_RD,0,COLUMN())</f>
        <v>1349.43181230182</v>
      </c>
      <c r="BY27" s="159" t="n">
        <f aca="false">INDEX(MO_RIS_RD,0,COLUMN())</f>
        <v>4321.88236860127</v>
      </c>
      <c r="BZ27" s="159" t="n">
        <f aca="false">INDEX(MO_RIS_RD,0,COLUMN())</f>
        <v>5117.68037563665</v>
      </c>
      <c r="CA27" s="159" t="n">
        <f aca="false">INDEX(MO_RIS_RD,0,COLUMN())</f>
        <v>5279.91139165537</v>
      </c>
      <c r="CB27" s="159" t="n">
        <f aca="false">INDEX(MO_RIS_RD,0,COLUMN())</f>
        <v>5447.96449864525</v>
      </c>
      <c r="CC27" s="48"/>
    </row>
    <row r="28" s="51" customFormat="true" ht="15" hidden="false" customHeight="true" outlineLevel="0" collapsed="false">
      <c r="A28" s="145" t="str">
        <f aca="false">INDEX(MO_RIS_OI_Operating,0,COLUMN())</f>
        <v>Other</v>
      </c>
      <c r="B28" s="254"/>
      <c r="C28" s="159" t="n">
        <f aca="false">INDEX(MO_RIS_OI_Operating,0,COLUMN())</f>
        <v>-0</v>
      </c>
      <c r="D28" s="159" t="n">
        <f aca="false">INDEX(MO_RIS_OI_Operating,0,COLUMN())</f>
        <v>-0</v>
      </c>
      <c r="E28" s="159" t="n">
        <f aca="false">INDEX(MO_RIS_OI_Operating,0,COLUMN())</f>
        <v>-0</v>
      </c>
      <c r="F28" s="159" t="n">
        <f aca="false">INDEX(MO_RIS_OI_Operating,0,COLUMN())</f>
        <v>-0</v>
      </c>
      <c r="G28" s="159" t="n">
        <f aca="false">INDEX(MO_RIS_OI_Operating,0,COLUMN())</f>
        <v>-64.456</v>
      </c>
      <c r="H28" s="48" t="n">
        <f aca="false">INDEX(MO_RIS_OI_Operating,0,COLUMN())</f>
        <v>-20.2</v>
      </c>
      <c r="I28" s="48" t="n">
        <f aca="false">INDEX(MO_RIS_OI_Operating,0,COLUMN())</f>
        <v>-20.3</v>
      </c>
      <c r="J28" s="48" t="n">
        <f aca="false">INDEX(MO_RIS_OI_Operating,0,COLUMN())</f>
        <v>-20.3</v>
      </c>
      <c r="K28" s="48" t="n">
        <f aca="false">INDEX(MO_RIS_OI_Operating,0,COLUMN())</f>
        <v>-20.2</v>
      </c>
      <c r="L28" s="159" t="n">
        <f aca="false">INDEX(MO_RIS_OI_Operating,0,COLUMN())</f>
        <v>-81.006</v>
      </c>
      <c r="M28" s="48" t="n">
        <f aca="false">INDEX(MO_RIS_OI_Operating,0,COLUMN())</f>
        <v>-20.8</v>
      </c>
      <c r="N28" s="48" t="n">
        <f aca="false">INDEX(MO_RIS_OI_Operating,0,COLUMN())</f>
        <v>-20.8</v>
      </c>
      <c r="O28" s="48" t="n">
        <f aca="false">INDEX(MO_RIS_OI_Operating,0,COLUMN())</f>
        <v>-20.8</v>
      </c>
      <c r="P28" s="48" t="n">
        <f aca="false">INDEX(MO_RIS_OI_Operating,0,COLUMN())</f>
        <v>-20.8</v>
      </c>
      <c r="Q28" s="159" t="n">
        <f aca="false">INDEX(MO_RIS_OI_Operating,0,COLUMN())</f>
        <v>-83.2</v>
      </c>
      <c r="R28" s="48" t="n">
        <f aca="false">INDEX(MO_RIS_OI_Operating,0,COLUMN())</f>
        <v>-23.4</v>
      </c>
      <c r="S28" s="48" t="n">
        <f aca="false">INDEX(MO_RIS_OI_Operating,0,COLUMN())</f>
        <v>-23.5</v>
      </c>
      <c r="T28" s="48" t="n">
        <f aca="false">INDEX(MO_RIS_OI_Operating,0,COLUMN())</f>
        <v>-23.4</v>
      </c>
      <c r="U28" s="48" t="n">
        <f aca="false">INDEX(MO_RIS_OI_Operating,0,COLUMN())</f>
        <v>-23.5</v>
      </c>
      <c r="V28" s="159" t="n">
        <f aca="false">INDEX(MO_RIS_OI_Operating,0,COLUMN())</f>
        <v>-93.8</v>
      </c>
      <c r="W28" s="48" t="n">
        <f aca="false">INDEX(MO_RIS_OI_Operating,0,COLUMN())</f>
        <v>-23.9</v>
      </c>
      <c r="X28" s="48" t="n">
        <f aca="false">INDEX(MO_RIS_OI_Operating,0,COLUMN())</f>
        <v>-24</v>
      </c>
      <c r="Y28" s="48" t="n">
        <f aca="false">INDEX(MO_RIS_OI_Operating,0,COLUMN())</f>
        <v>-23.9</v>
      </c>
      <c r="Z28" s="48" t="n">
        <f aca="false">INDEX(MO_RIS_OI_Operating,0,COLUMN())</f>
        <v>-24</v>
      </c>
      <c r="AA28" s="159" t="n">
        <f aca="false">INDEX(MO_RIS_OI_Operating,0,COLUMN())</f>
        <v>-95.8</v>
      </c>
      <c r="AB28" s="48" t="n">
        <f aca="false">INDEX(MO_RIS_OI_Operating,0,COLUMN())</f>
        <v>-0</v>
      </c>
      <c r="AC28" s="48" t="n">
        <f aca="false">INDEX(MO_RIS_OI_Operating,0,COLUMN())</f>
        <v>-0</v>
      </c>
      <c r="AD28" s="48" t="n">
        <f aca="false">INDEX(MO_RIS_OI_Operating,0,COLUMN())</f>
        <v>-0</v>
      </c>
      <c r="AE28" s="48" t="n">
        <f aca="false">INDEX(MO_RIS_OI_Operating,0,COLUMN())</f>
        <v>-0</v>
      </c>
      <c r="AF28" s="159" t="n">
        <f aca="false">INDEX(MO_RIS_OI_Operating,0,COLUMN())</f>
        <v>-0</v>
      </c>
      <c r="AG28" s="48" t="n">
        <f aca="false">INDEX(MO_RIS_OI_Operating,0,COLUMN())</f>
        <v>-0</v>
      </c>
      <c r="AH28" s="48" t="n">
        <f aca="false">INDEX(MO_RIS_OI_Operating,0,COLUMN())</f>
        <v>-0</v>
      </c>
      <c r="AI28" s="48" t="n">
        <f aca="false">INDEX(MO_RIS_OI_Operating,0,COLUMN())</f>
        <v>-0</v>
      </c>
      <c r="AJ28" s="48" t="n">
        <f aca="false">INDEX(MO_RIS_OI_Operating,0,COLUMN())</f>
        <v>-0</v>
      </c>
      <c r="AK28" s="159" t="n">
        <f aca="false">INDEX(MO_RIS_OI_Operating,0,COLUMN())</f>
        <v>-0</v>
      </c>
      <c r="AL28" s="48" t="n">
        <f aca="false">INDEX(MO_RIS_OI_Operating,0,COLUMN())</f>
        <v>-0</v>
      </c>
      <c r="AM28" s="48" t="n">
        <f aca="false">INDEX(MO_RIS_OI_Operating,0,COLUMN())</f>
        <v>-0</v>
      </c>
      <c r="AN28" s="48" t="n">
        <f aca="false">INDEX(MO_RIS_OI_Operating,0,COLUMN())</f>
        <v>-0</v>
      </c>
      <c r="AO28" s="48" t="n">
        <f aca="false">INDEX(MO_RIS_OI_Operating,0,COLUMN())</f>
        <v>-0</v>
      </c>
      <c r="AP28" s="159" t="n">
        <f aca="false">INDEX(MO_RIS_OI_Operating,0,COLUMN())</f>
        <v>-0</v>
      </c>
      <c r="AQ28" s="48" t="n">
        <f aca="false">INDEX(MO_RIS_OI_Operating,0,COLUMN())</f>
        <v>-0</v>
      </c>
      <c r="AR28" s="48" t="n">
        <f aca="false">INDEX(MO_RIS_OI_Operating,0,COLUMN())</f>
        <v>-0</v>
      </c>
      <c r="AS28" s="48" t="n">
        <f aca="false">INDEX(MO_RIS_OI_Operating,0,COLUMN())</f>
        <v>-0</v>
      </c>
      <c r="AT28" s="48" t="n">
        <f aca="false">INDEX(MO_RIS_OI_Operating,0,COLUMN())</f>
        <v>-213.7</v>
      </c>
      <c r="AU28" s="159" t="n">
        <f aca="false">INDEX(MO_RIS_OI_Operating,0,COLUMN())</f>
        <v>-213.7</v>
      </c>
      <c r="AV28" s="48" t="n">
        <f aca="false">INDEX(MO_RIS_OI_Operating,0,COLUMN())</f>
        <v>-0</v>
      </c>
      <c r="AW28" s="48" t="n">
        <f aca="false">INDEX(MO_RIS_OI_Operating,0,COLUMN())</f>
        <v>-0</v>
      </c>
      <c r="AX28" s="48" t="n">
        <f aca="false">INDEX(MO_RIS_OI_Operating,0,COLUMN())</f>
        <v>-0</v>
      </c>
      <c r="AY28" s="48" t="n">
        <f aca="false">INDEX(MO_RIS_OI_Operating,0,COLUMN())</f>
        <v>-0</v>
      </c>
      <c r="AZ28" s="159" t="n">
        <f aca="false">INDEX(MO_RIS_OI_Operating,0,COLUMN())</f>
        <v>-0</v>
      </c>
      <c r="BA28" s="48" t="n">
        <f aca="false">INDEX(MO_RIS_OI_Operating,0,COLUMN())</f>
        <v>-0</v>
      </c>
      <c r="BB28" s="48" t="n">
        <f aca="false">INDEX(MO_RIS_OI_Operating,0,COLUMN())</f>
        <v>-0</v>
      </c>
      <c r="BC28" s="48" t="n">
        <f aca="false">INDEX(MO_RIS_OI_Operating,0,COLUMN())</f>
        <v>-0</v>
      </c>
      <c r="BD28" s="48" t="n">
        <f aca="false">INDEX(MO_RIS_OI_Operating,0,COLUMN())</f>
        <v>-0</v>
      </c>
      <c r="BE28" s="159" t="n">
        <f aca="false">INDEX(MO_RIS_OI_Operating,0,COLUMN())</f>
        <v>-0</v>
      </c>
      <c r="BF28" s="48" t="n">
        <f aca="false">INDEX(MO_RIS_OI_Operating,0,COLUMN())</f>
        <v>-0</v>
      </c>
      <c r="BG28" s="48" t="n">
        <f aca="false">INDEX(MO_RIS_OI_Operating,0,COLUMN())</f>
        <v>-0</v>
      </c>
      <c r="BH28" s="48" t="n">
        <f aca="false">INDEX(MO_RIS_OI_Operating,0,COLUMN())</f>
        <v>-0</v>
      </c>
      <c r="BI28" s="48" t="n">
        <f aca="false">INDEX(MO_RIS_OI_Operating,0,COLUMN())</f>
        <v>-0</v>
      </c>
      <c r="BJ28" s="159" t="n">
        <f aca="false">INDEX(MO_RIS_OI_Operating,0,COLUMN())</f>
        <v>-0</v>
      </c>
      <c r="BK28" s="48" t="n">
        <f aca="false">INDEX(MO_RIS_OI_Operating,0,COLUMN())</f>
        <v>-0</v>
      </c>
      <c r="BL28" s="48" t="n">
        <f aca="false">INDEX(MO_RIS_OI_Operating,0,COLUMN())</f>
        <v>-0</v>
      </c>
      <c r="BM28" s="48" t="n">
        <f aca="false">INDEX(MO_RIS_OI_Operating,0,COLUMN())</f>
        <v>-0</v>
      </c>
      <c r="BN28" s="48" t="n">
        <f aca="false">INDEX(MO_RIS_OI_Operating,0,COLUMN())</f>
        <v>-0</v>
      </c>
      <c r="BO28" s="160" t="n">
        <f aca="false">INDEX(MO_RIS_OI_Operating,0,COLUMN())</f>
        <v>-0</v>
      </c>
      <c r="BP28" s="48" t="n">
        <f aca="false">INDEX(MO_RIS_OI_Operating,0,COLUMN())</f>
        <v>0</v>
      </c>
      <c r="BQ28" s="48" t="n">
        <f aca="false">INDEX(MO_RIS_OI_Operating,0,COLUMN())</f>
        <v>0</v>
      </c>
      <c r="BR28" s="48" t="n">
        <f aca="false">INDEX(MO_RIS_OI_Operating,0,COLUMN())</f>
        <v>0</v>
      </c>
      <c r="BS28" s="48" t="n">
        <f aca="false">INDEX(MO_RIS_OI_Operating,0,COLUMN())</f>
        <v>0</v>
      </c>
      <c r="BT28" s="159" t="n">
        <f aca="false">INDEX(MO_RIS_OI_Operating,0,COLUMN())</f>
        <v>0</v>
      </c>
      <c r="BU28" s="48" t="n">
        <f aca="false">INDEX(MO_RIS_OI_Operating,0,COLUMN())</f>
        <v>0</v>
      </c>
      <c r="BV28" s="48" t="n">
        <f aca="false">INDEX(MO_RIS_OI_Operating,0,COLUMN())</f>
        <v>0</v>
      </c>
      <c r="BW28" s="48" t="n">
        <f aca="false">INDEX(MO_RIS_OI_Operating,0,COLUMN())</f>
        <v>0</v>
      </c>
      <c r="BX28" s="48" t="n">
        <f aca="false">INDEX(MO_RIS_OI_Operating,0,COLUMN())</f>
        <v>0</v>
      </c>
      <c r="BY28" s="159" t="n">
        <f aca="false">INDEX(MO_RIS_OI_Operating,0,COLUMN())</f>
        <v>0</v>
      </c>
      <c r="BZ28" s="159" t="n">
        <f aca="false">INDEX(MO_RIS_OI_Operating,0,COLUMN())</f>
        <v>0</v>
      </c>
      <c r="CA28" s="159" t="n">
        <f aca="false">INDEX(MO_RIS_OI_Operating,0,COLUMN())</f>
        <v>0</v>
      </c>
      <c r="CB28" s="159" t="n">
        <f aca="false">INDEX(MO_RIS_OI_Operating,0,COLUMN())</f>
        <v>0</v>
      </c>
      <c r="CC28" s="48"/>
    </row>
    <row r="29" s="157" customFormat="true" ht="15" hidden="false" customHeight="true" outlineLevel="0" collapsed="false">
      <c r="A29" s="151" t="str">
        <f aca="false">INDEX(MO_RIS_EBIT,0,COLUMN())</f>
        <v>EBIT</v>
      </c>
      <c r="B29" s="393"/>
      <c r="C29" s="162" t="n">
        <f aca="false">IFERROR(INDEX(SP_GF_Rev,0,COLUMN()),0)-IFERROR(INDEX(SP_GF_COGS,0,COLUMN()),0)-IFERROR(INDEX(SP_GF_SGA,0,COLUMN()),0)-IFERROR(INDEX(SP_GF_OI_Operating,0,COLUMN()),0)-IFERROR(INDEX(sp_gf_da_operating,0,COLUMN()),0)-IFERROR(INDEX(sp_gf_opex,0,COLUMN()),0)-IFERROR(INDEX(SP_GF_RD,0,COLUMN()),0)</f>
        <v>-163.125</v>
      </c>
      <c r="D29" s="162" t="n">
        <f aca="false">IFERROR(INDEX(SP_GF_Rev,0,COLUMN()),0)-IFERROR(INDEX(SP_GF_COGS,0,COLUMN()),0)-IFERROR(INDEX(SP_GF_SGA,0,COLUMN()),0)-IFERROR(INDEX(SP_GF_OI_Operating,0,COLUMN()),0)-IFERROR(INDEX(sp_gf_da_operating,0,COLUMN()),0)-IFERROR(INDEX(sp_gf_opex,0,COLUMN()),0)-IFERROR(INDEX(SP_GF_RD,0,COLUMN()),0)</f>
        <v>1250.699</v>
      </c>
      <c r="E29" s="162" t="n">
        <f aca="false">IFERROR(INDEX(SP_GF_Rev,0,COLUMN()),0)-IFERROR(INDEX(SP_GF_COGS,0,COLUMN()),0)-IFERROR(INDEX(SP_GF_SGA,0,COLUMN()),0)-IFERROR(INDEX(SP_GF_OI_Operating,0,COLUMN()),0)-IFERROR(INDEX(sp_gf_da_operating,0,COLUMN()),0)-IFERROR(INDEX(sp_gf_opex,0,COLUMN()),0)-IFERROR(INDEX(SP_GF_RD,0,COLUMN()),0)</f>
        <v>1641.216</v>
      </c>
      <c r="F29" s="162" t="n">
        <f aca="false">IFERROR(INDEX(SP_GF_Rev,0,COLUMN()),0)-IFERROR(INDEX(SP_GF_COGS,0,COLUMN()),0)-IFERROR(INDEX(SP_GF_SGA,0,COLUMN()),0)-IFERROR(INDEX(SP_GF_OI_Operating,0,COLUMN()),0)-IFERROR(INDEX(sp_gf_da_operating,0,COLUMN()),0)-IFERROR(INDEX(sp_gf_opex,0,COLUMN()),0)-IFERROR(INDEX(SP_GF_RD,0,COLUMN()),0)</f>
        <v>1156.774</v>
      </c>
      <c r="G29" s="162" t="n">
        <f aca="false">IFERROR(INDEX(SP_GF_Rev,0,COLUMN()),0)-IFERROR(INDEX(SP_GF_COGS,0,COLUMN()),0)-IFERROR(INDEX(SP_GF_SGA,0,COLUMN()),0)-IFERROR(INDEX(SP_GF_OI_Operating,0,COLUMN()),0)-IFERROR(INDEX(sp_gf_da_operating,0,COLUMN()),0)-IFERROR(INDEX(sp_gf_opex,0,COLUMN()),0)-IFERROR(INDEX(SP_GF_RD,0,COLUMN()),0)</f>
        <v>1047.948</v>
      </c>
      <c r="H29" s="163" t="n">
        <f aca="false">IFERROR(INDEX(SP_GF_Rev,0,COLUMN()),0)-IFERROR(INDEX(SP_GF_COGS,0,COLUMN()),0)-IFERROR(INDEX(SP_GF_SGA,0,COLUMN()),0)-IFERROR(INDEX(SP_GF_OI_Operating,0,COLUMN()),0)-IFERROR(INDEX(sp_gf_da_operating,0,COLUMN()),0)-IFERROR(INDEX(sp_gf_opex,0,COLUMN()),0)-IFERROR(INDEX(SP_GF_RD,0,COLUMN()),0)</f>
        <v>265.7</v>
      </c>
      <c r="I29" s="163" t="n">
        <f aca="false">IFERROR(INDEX(SP_GF_Rev,0,COLUMN()),0)-IFERROR(INDEX(SP_GF_COGS,0,COLUMN()),0)-IFERROR(INDEX(SP_GF_SGA,0,COLUMN()),0)-IFERROR(INDEX(SP_GF_OI_Operating,0,COLUMN()),0)-IFERROR(INDEX(sp_gf_da_operating,0,COLUMN()),0)-IFERROR(INDEX(sp_gf_opex,0,COLUMN()),0)-IFERROR(INDEX(SP_GF_RD,0,COLUMN()),0)</f>
        <v>425.4</v>
      </c>
      <c r="J29" s="163" t="n">
        <f aca="false">IFERROR(INDEX(SP_GF_Rev,0,COLUMN()),0)-IFERROR(INDEX(SP_GF_COGS,0,COLUMN()),0)-IFERROR(INDEX(SP_GF_SGA,0,COLUMN()),0)-IFERROR(INDEX(SP_GF_OI_Operating,0,COLUMN()),0)-IFERROR(INDEX(sp_gf_da_operating,0,COLUMN()),0)-IFERROR(INDEX(sp_gf_opex,0,COLUMN()),0)-IFERROR(INDEX(SP_GF_RD,0,COLUMN()),0)</f>
        <v>261.4</v>
      </c>
      <c r="K29" s="163" t="n">
        <f aca="false">IFERROR(INDEX(SP_GF_Rev,0,COLUMN()),0)-IFERROR(INDEX(SP_GF_COGS,0,COLUMN()),0)-IFERROR(INDEX(SP_GF_SGA,0,COLUMN()),0)-IFERROR(INDEX(SP_GF_OI_Operating,0,COLUMN()),0)-IFERROR(INDEX(sp_gf_da_operating,0,COLUMN()),0)-IFERROR(INDEX(sp_gf_opex,0,COLUMN()),0)-IFERROR(INDEX(SP_GF_RD,0,COLUMN()),0)</f>
        <v>329.7</v>
      </c>
      <c r="L29" s="162" t="n">
        <f aca="false">IFERROR(INDEX(SP_GF_Rev,0,COLUMN()),0)-IFERROR(INDEX(SP_GF_COGS,0,COLUMN()),0)-IFERROR(INDEX(SP_GF_SGA,0,COLUMN()),0)-IFERROR(INDEX(SP_GF_OI_Operating,0,COLUMN()),0)-IFERROR(INDEX(sp_gf_da_operating,0,COLUMN()),0)-IFERROR(INDEX(sp_gf_opex,0,COLUMN()),0)-IFERROR(INDEX(SP_GF_RD,0,COLUMN()),0)</f>
        <v>1282.235</v>
      </c>
      <c r="M29" s="163" t="n">
        <f aca="false">IFERROR(INDEX(SP_GF_Rev,0,COLUMN()),0)-IFERROR(INDEX(SP_GF_COGS,0,COLUMN()),0)-IFERROR(INDEX(SP_GF_SGA,0,COLUMN()),0)-IFERROR(INDEX(SP_GF_OI_Operating,0,COLUMN()),0)-IFERROR(INDEX(sp_gf_da_operating,0,COLUMN()),0)-IFERROR(INDEX(sp_gf_opex,0,COLUMN()),0)-IFERROR(INDEX(SP_GF_RD,0,COLUMN()),0)</f>
        <v>455.7</v>
      </c>
      <c r="N29" s="163" t="n">
        <f aca="false">IFERROR(INDEX(SP_GF_Rev,0,COLUMN()),0)-IFERROR(INDEX(SP_GF_COGS,0,COLUMN()),0)-IFERROR(INDEX(SP_GF_SGA,0,COLUMN()),0)-IFERROR(INDEX(SP_GF_OI_Operating,0,COLUMN()),0)-IFERROR(INDEX(sp_gf_da_operating,0,COLUMN()),0)-IFERROR(INDEX(sp_gf_opex,0,COLUMN()),0)-IFERROR(INDEX(SP_GF_RD,0,COLUMN()),0)</f>
        <v>418.9</v>
      </c>
      <c r="O29" s="163" t="n">
        <f aca="false">IFERROR(INDEX(SP_GF_Rev,0,COLUMN()),0)-IFERROR(INDEX(SP_GF_COGS,0,COLUMN()),0)-IFERROR(INDEX(SP_GF_SGA,0,COLUMN()),0)-IFERROR(INDEX(SP_GF_OI_Operating,0,COLUMN()),0)-IFERROR(INDEX(sp_gf_da_operating,0,COLUMN()),0)-IFERROR(INDEX(sp_gf_opex,0,COLUMN()),0)-IFERROR(INDEX(SP_GF_RD,0,COLUMN()),0)</f>
        <v>372.4</v>
      </c>
      <c r="P29" s="163" t="n">
        <f aca="false">IFERROR(INDEX(SP_GF_Rev,0,COLUMN()),0)-IFERROR(INDEX(SP_GF_COGS,0,COLUMN()),0)-IFERROR(INDEX(SP_GF_SGA,0,COLUMN()),0)-IFERROR(INDEX(SP_GF_OI_Operating,0,COLUMN()),0)-IFERROR(INDEX(sp_gf_da_operating,0,COLUMN()),0)-IFERROR(INDEX(sp_gf_opex,0,COLUMN()),0)-IFERROR(INDEX(SP_GF_RD,0,COLUMN()),0)</f>
        <v>318.1</v>
      </c>
      <c r="Q29" s="162" t="n">
        <f aca="false">IFERROR(INDEX(SP_GF_Rev,0,COLUMN()),0)-IFERROR(INDEX(SP_GF_COGS,0,COLUMN()),0)-IFERROR(INDEX(SP_GF_SGA,0,COLUMN()),0)-IFERROR(INDEX(SP_GF_OI_Operating,0,COLUMN()),0)-IFERROR(INDEX(sp_gf_da_operating,0,COLUMN()),0)-IFERROR(INDEX(sp_gf_opex,0,COLUMN()),0)-IFERROR(INDEX(SP_GF_RD,0,COLUMN()),0)</f>
        <v>1565.135</v>
      </c>
      <c r="R29" s="163" t="n">
        <f aca="false">IFERROR(INDEX(SP_GF_Rev,0,COLUMN()),0)-IFERROR(INDEX(SP_GF_COGS,0,COLUMN()),0)-IFERROR(INDEX(SP_GF_SGA,0,COLUMN()),0)-IFERROR(INDEX(SP_GF_OI_Operating,0,COLUMN()),0)-IFERROR(INDEX(sp_gf_da_operating,0,COLUMN()),0)-IFERROR(INDEX(sp_gf_opex,0,COLUMN()),0)-IFERROR(INDEX(SP_GF_RD,0,COLUMN()),0)</f>
        <v>228</v>
      </c>
      <c r="S29" s="163" t="n">
        <f aca="false">IFERROR(INDEX(SP_GF_Rev,0,COLUMN()),0)-IFERROR(INDEX(SP_GF_COGS,0,COLUMN()),0)-IFERROR(INDEX(SP_GF_SGA,0,COLUMN()),0)-IFERROR(INDEX(SP_GF_OI_Operating,0,COLUMN()),0)-IFERROR(INDEX(sp_gf_da_operating,0,COLUMN()),0)-IFERROR(INDEX(sp_gf_opex,0,COLUMN()),0)-IFERROR(INDEX(SP_GF_RD,0,COLUMN()),0)</f>
        <v>404.2</v>
      </c>
      <c r="T29" s="163" t="n">
        <f aca="false">IFERROR(INDEX(SP_GF_Rev,0,COLUMN()),0)-IFERROR(INDEX(SP_GF_COGS,0,COLUMN()),0)-IFERROR(INDEX(SP_GF_SGA,0,COLUMN()),0)-IFERROR(INDEX(SP_GF_OI_Operating,0,COLUMN()),0)-IFERROR(INDEX(sp_gf_da_operating,0,COLUMN()),0)-IFERROR(INDEX(sp_gf_opex,0,COLUMN()),0)-IFERROR(INDEX(SP_GF_RD,0,COLUMN()),0)</f>
        <v>495.6</v>
      </c>
      <c r="U29" s="163" t="n">
        <f aca="false">IFERROR(INDEX(SP_GF_Rev,0,COLUMN()),0)-IFERROR(INDEX(SP_GF_COGS,0,COLUMN()),0)-IFERROR(INDEX(SP_GF_SGA,0,COLUMN()),0)-IFERROR(INDEX(SP_GF_OI_Operating,0,COLUMN()),0)-IFERROR(INDEX(sp_gf_da_operating,0,COLUMN()),0)-IFERROR(INDEX(sp_gf_opex,0,COLUMN()),0)-IFERROR(INDEX(SP_GF_RD,0,COLUMN()),0)</f>
        <v>529.9</v>
      </c>
      <c r="V29" s="162" t="n">
        <f aca="false">IFERROR(INDEX(SP_GF_Rev,0,COLUMN()),0)-IFERROR(INDEX(SP_GF_COGS,0,COLUMN()),0)-IFERROR(INDEX(SP_GF_SGA,0,COLUMN()),0)-IFERROR(INDEX(SP_GF_OI_Operating,0,COLUMN()),0)-IFERROR(INDEX(sp_gf_da_operating,0,COLUMN()),0)-IFERROR(INDEX(sp_gf_opex,0,COLUMN()),0)-IFERROR(INDEX(SP_GF_RD,0,COLUMN()),0)</f>
        <v>1657.7</v>
      </c>
      <c r="W29" s="163" t="n">
        <f aca="false">IFERROR(INDEX(SP_GF_Rev,0,COLUMN()),0)-IFERROR(INDEX(SP_GF_COGS,0,COLUMN()),0)-IFERROR(INDEX(SP_GF_SGA,0,COLUMN()),0)-IFERROR(INDEX(SP_GF_OI_Operating,0,COLUMN()),0)-IFERROR(INDEX(sp_gf_da_operating,0,COLUMN()),0)-IFERROR(INDEX(sp_gf_opex,0,COLUMN()),0)-IFERROR(INDEX(SP_GF_RD,0,COLUMN()),0)</f>
        <v>534.8</v>
      </c>
      <c r="X29" s="163" t="n">
        <f aca="false">IFERROR(INDEX(SP_GF_Rev,0,COLUMN()),0)-IFERROR(INDEX(SP_GF_COGS,0,COLUMN()),0)-IFERROR(INDEX(SP_GF_SGA,0,COLUMN()),0)-IFERROR(INDEX(SP_GF_OI_Operating,0,COLUMN()),0)-IFERROR(INDEX(sp_gf_da_operating,0,COLUMN()),0)-IFERROR(INDEX(sp_gf_opex,0,COLUMN()),0)-IFERROR(INDEX(SP_GF_RD,0,COLUMN()),0)</f>
        <v>555.8</v>
      </c>
      <c r="Y29" s="163" t="n">
        <f aca="false">IFERROR(INDEX(SP_GF_Rev,0,COLUMN()),0)-IFERROR(INDEX(SP_GF_COGS,0,COLUMN()),0)-IFERROR(INDEX(SP_GF_SGA,0,COLUMN()),0)-IFERROR(INDEX(SP_GF_OI_Operating,0,COLUMN()),0)-IFERROR(INDEX(sp_gf_da_operating,0,COLUMN()),0)-IFERROR(INDEX(sp_gf_opex,0,COLUMN()),0)-IFERROR(INDEX(SP_GF_RD,0,COLUMN()),0)</f>
        <v>655.6</v>
      </c>
      <c r="Z29" s="163" t="n">
        <f aca="false">IFERROR(INDEX(SP_GF_Rev,0,COLUMN()),0)-IFERROR(INDEX(SP_GF_COGS,0,COLUMN()),0)-IFERROR(INDEX(SP_GF_SGA,0,COLUMN()),0)-IFERROR(INDEX(SP_GF_OI_Operating,0,COLUMN()),0)-IFERROR(INDEX(sp_gf_da_operating,0,COLUMN()),0)-IFERROR(INDEX(sp_gf_opex,0,COLUMN()),0)-IFERROR(INDEX(SP_GF_RD,0,COLUMN()),0)</f>
        <v>750</v>
      </c>
      <c r="AA29" s="162" t="n">
        <f aca="false">IFERROR(INDEX(SP_GF_Rev,0,COLUMN()),0)-IFERROR(INDEX(SP_GF_COGS,0,COLUMN()),0)-IFERROR(INDEX(SP_GF_SGA,0,COLUMN()),0)-IFERROR(INDEX(SP_GF_OI_Operating,0,COLUMN()),0)-IFERROR(INDEX(sp_gf_da_operating,0,COLUMN()),0)-IFERROR(INDEX(sp_gf_opex,0,COLUMN()),0)-IFERROR(INDEX(SP_GF_RD,0,COLUMN()),0)</f>
        <v>2496.2</v>
      </c>
      <c r="AB29" s="163" t="n">
        <f aca="false">IFERROR(INDEX(SP_GF_Rev,0,COLUMN()),0)-IFERROR(INDEX(SP_GF_COGS,0,COLUMN()),0)-IFERROR(INDEX(SP_GF_SGA,0,COLUMN()),0)-IFERROR(INDEX(SP_GF_OI_Operating,0,COLUMN()),0)-IFERROR(INDEX(sp_gf_da_operating,0,COLUMN()),0)-IFERROR(INDEX(sp_gf_opex,0,COLUMN()),0)-IFERROR(INDEX(SP_GF_RD,0,COLUMN()),0)</f>
        <v>642.2</v>
      </c>
      <c r="AC29" s="163" t="n">
        <f aca="false">IFERROR(INDEX(SP_GF_Rev,0,COLUMN()),0)-IFERROR(INDEX(SP_GF_COGS,0,COLUMN()),0)-IFERROR(INDEX(SP_GF_SGA,0,COLUMN()),0)-IFERROR(INDEX(SP_GF_OI_Operating,0,COLUMN()),0)-IFERROR(INDEX(sp_gf_da_operating,0,COLUMN()),0)-IFERROR(INDEX(sp_gf_opex,0,COLUMN()),0)-IFERROR(INDEX(SP_GF_RD,0,COLUMN()),0)</f>
        <v>689.4</v>
      </c>
      <c r="AD29" s="163" t="n">
        <f aca="false">IFERROR(INDEX(SP_GF_Rev,0,COLUMN()),0)-IFERROR(INDEX(SP_GF_COGS,0,COLUMN()),0)-IFERROR(INDEX(SP_GF_SGA,0,COLUMN()),0)-IFERROR(INDEX(SP_GF_OI_Operating,0,COLUMN()),0)-IFERROR(INDEX(sp_gf_da_operating,0,COLUMN()),0)-IFERROR(INDEX(sp_gf_opex,0,COLUMN()),0)-IFERROR(INDEX(SP_GF_RD,0,COLUMN()),0)</f>
        <v>817.8</v>
      </c>
      <c r="AE29" s="163" t="n">
        <f aca="false">IFERROR(INDEX(SP_GF_Rev,0,COLUMN()),0)-IFERROR(INDEX(SP_GF_COGS,0,COLUMN()),0)-IFERROR(INDEX(SP_GF_SGA,0,COLUMN()),0)-IFERROR(INDEX(SP_GF_OI_Operating,0,COLUMN()),0)-IFERROR(INDEX(sp_gf_da_operating,0,COLUMN()),0)-IFERROR(INDEX(sp_gf_opex,0,COLUMN()),0)-IFERROR(INDEX(SP_GF_RD,0,COLUMN()),0)</f>
        <v>815.900000000001</v>
      </c>
      <c r="AF29" s="162" t="n">
        <f aca="false">IFERROR(INDEX(SP_GF_Rev,0,COLUMN()),0)-IFERROR(INDEX(SP_GF_COGS,0,COLUMN()),0)-IFERROR(INDEX(SP_GF_SGA,0,COLUMN()),0)-IFERROR(INDEX(SP_GF_OI_Operating,0,COLUMN()),0)-IFERROR(INDEX(sp_gf_da_operating,0,COLUMN()),0)-IFERROR(INDEX(sp_gf_opex,0,COLUMN()),0)-IFERROR(INDEX(SP_GF_RD,0,COLUMN()),0)</f>
        <v>2965.3</v>
      </c>
      <c r="AG29" s="163" t="n">
        <f aca="false">IFERROR(INDEX(SP_GF_Rev,0,COLUMN()),0)-IFERROR(INDEX(SP_GF_COGS,0,COLUMN()),0)-IFERROR(INDEX(SP_GF_SGA,0,COLUMN()),0)-IFERROR(INDEX(SP_GF_OI_Operating,0,COLUMN()),0)-IFERROR(INDEX(sp_gf_da_operating,0,COLUMN()),0)-IFERROR(INDEX(sp_gf_opex,0,COLUMN()),0)-IFERROR(INDEX(SP_GF_RD,0,COLUMN()),0)</f>
        <v>334.3</v>
      </c>
      <c r="AH29" s="163" t="n">
        <f aca="false">IFERROR(INDEX(SP_GF_Rev,0,COLUMN()),0)-IFERROR(INDEX(SP_GF_COGS,0,COLUMN()),0)-IFERROR(INDEX(SP_GF_SGA,0,COLUMN()),0)-IFERROR(INDEX(SP_GF_OI_Operating,0,COLUMN()),0)-IFERROR(INDEX(sp_gf_da_operating,0,COLUMN()),0)-IFERROR(INDEX(sp_gf_opex,0,COLUMN()),0)-IFERROR(INDEX(SP_GF_RD,0,COLUMN()),0)</f>
        <v>494.3</v>
      </c>
      <c r="AI29" s="163" t="n">
        <f aca="false">IFERROR(INDEX(SP_GF_Rev,0,COLUMN()),0)-IFERROR(INDEX(SP_GF_COGS,0,COLUMN()),0)-IFERROR(INDEX(SP_GF_SGA,0,COLUMN()),0)-IFERROR(INDEX(SP_GF_OI_Operating,0,COLUMN()),0)-IFERROR(INDEX(sp_gf_da_operating,0,COLUMN()),0)-IFERROR(INDEX(sp_gf_opex,0,COLUMN()),0)-IFERROR(INDEX(SP_GF_RD,0,COLUMN()),0)</f>
        <v>685.6</v>
      </c>
      <c r="AJ29" s="163" t="n">
        <f aca="false">IFERROR(INDEX(SP_GF_Rev,0,COLUMN()),0)-IFERROR(INDEX(SP_GF_COGS,0,COLUMN()),0)-IFERROR(INDEX(SP_GF_SGA,0,COLUMN()),0)-IFERROR(INDEX(SP_GF_OI_Operating,0,COLUMN()),0)-IFERROR(INDEX(sp_gf_da_operating,0,COLUMN()),0)-IFERROR(INDEX(sp_gf_opex,0,COLUMN()),0)-IFERROR(INDEX(SP_GF_RD,0,COLUMN()),0)</f>
        <v>1276.6</v>
      </c>
      <c r="AK29" s="162" t="n">
        <f aca="false">IFERROR(INDEX(SP_GF_Rev,0,COLUMN()),0)-IFERROR(INDEX(SP_GF_COGS,0,COLUMN()),0)-IFERROR(INDEX(SP_GF_SGA,0,COLUMN()),0)-IFERROR(INDEX(SP_GF_OI_Operating,0,COLUMN()),0)-IFERROR(INDEX(sp_gf_da_operating,0,COLUMN()),0)-IFERROR(INDEX(sp_gf_opex,0,COLUMN()),0)-IFERROR(INDEX(SP_GF_RD,0,COLUMN()),0)</f>
        <v>2790.8</v>
      </c>
      <c r="AL29" s="163" t="n">
        <f aca="false">IFERROR(INDEX(SP_GF_Rev,0,COLUMN()),0)-IFERROR(INDEX(SP_GF_COGS,0,COLUMN()),0)-IFERROR(INDEX(SP_GF_SGA,0,COLUMN()),0)-IFERROR(INDEX(SP_GF_OI_Operating,0,COLUMN()),0)-IFERROR(INDEX(sp_gf_da_operating,0,COLUMN()),0)-IFERROR(INDEX(sp_gf_opex,0,COLUMN()),0)-IFERROR(INDEX(SP_GF_RD,0,COLUMN()),0)</f>
        <v>426.7</v>
      </c>
      <c r="AM29" s="163" t="n">
        <f aca="false">IFERROR(INDEX(SP_GF_Rev,0,COLUMN()),0)-IFERROR(INDEX(SP_GF_COGS,0,COLUMN()),0)-IFERROR(INDEX(SP_GF_SGA,0,COLUMN()),0)-IFERROR(INDEX(SP_GF_OI_Operating,0,COLUMN()),0)-IFERROR(INDEX(sp_gf_da_operating,0,COLUMN()),0)-IFERROR(INDEX(sp_gf_opex,0,COLUMN()),0)-IFERROR(INDEX(SP_GF_RD,0,COLUMN()),0)</f>
        <v>905.1</v>
      </c>
      <c r="AN29" s="163" t="n">
        <f aca="false">IFERROR(INDEX(SP_GF_Rev,0,COLUMN()),0)-IFERROR(INDEX(SP_GF_COGS,0,COLUMN()),0)-IFERROR(INDEX(SP_GF_SGA,0,COLUMN()),0)-IFERROR(INDEX(SP_GF_OI_Operating,0,COLUMN()),0)-IFERROR(INDEX(sp_gf_da_operating,0,COLUMN()),0)-IFERROR(INDEX(sp_gf_opex,0,COLUMN()),0)-IFERROR(INDEX(SP_GF_RD,0,COLUMN()),0)</f>
        <v>1215.9</v>
      </c>
      <c r="AO29" s="163" t="n">
        <f aca="false">IFERROR(INDEX(SP_GF_Rev,0,COLUMN()),0)-IFERROR(INDEX(SP_GF_COGS,0,COLUMN()),0)-IFERROR(INDEX(SP_GF_SGA,0,COLUMN()),0)-IFERROR(INDEX(SP_GF_OI_Operating,0,COLUMN()),0)-IFERROR(INDEX(sp_gf_da_operating,0,COLUMN()),0)-IFERROR(INDEX(sp_gf_opex,0,COLUMN()),0)-IFERROR(INDEX(SP_GF_RD,0,COLUMN()),0)</f>
        <v>1503.8</v>
      </c>
      <c r="AP29" s="162" t="n">
        <f aca="false">IFERROR(INDEX(SP_GF_Rev,0,COLUMN()),0)-IFERROR(INDEX(SP_GF_COGS,0,COLUMN()),0)-IFERROR(INDEX(SP_GF_SGA,0,COLUMN()),0)-IFERROR(INDEX(SP_GF_OI_Operating,0,COLUMN()),0)-IFERROR(INDEX(sp_gf_da_operating,0,COLUMN()),0)-IFERROR(INDEX(sp_gf_opex,0,COLUMN()),0)-IFERROR(INDEX(SP_GF_RD,0,COLUMN()),0)</f>
        <v>4051.5</v>
      </c>
      <c r="AQ29" s="163" t="n">
        <f aca="false">IFERROR(INDEX(SP_GF_Rev,0,COLUMN()),0)-IFERROR(INDEX(SP_GF_COGS,0,COLUMN()),0)-IFERROR(INDEX(SP_GF_SGA,0,COLUMN()),0)-IFERROR(INDEX(SP_GF_OI_Operating,0,COLUMN()),0)-IFERROR(INDEX(sp_gf_da_operating,0,COLUMN()),0)-IFERROR(INDEX(sp_gf_opex,0,COLUMN()),0)-IFERROR(INDEX(SP_GF_RD,0,COLUMN()),0)</f>
        <v>1560.6</v>
      </c>
      <c r="AR29" s="163" t="n">
        <f aca="false">IFERROR(INDEX(SP_GF_Rev,0,COLUMN()),0)-IFERROR(INDEX(SP_GF_COGS,0,COLUMN()),0)-IFERROR(INDEX(SP_GF_SGA,0,COLUMN()),0)-IFERROR(INDEX(SP_GF_OI_Operating,0,COLUMN()),0)-IFERROR(INDEX(sp_gf_da_operating,0,COLUMN()),0)-IFERROR(INDEX(sp_gf_opex,0,COLUMN()),0)-IFERROR(INDEX(SP_GF_RD,0,COLUMN()),0)</f>
        <v>1239</v>
      </c>
      <c r="AS29" s="163" t="n">
        <f aca="false">IFERROR(INDEX(SP_GF_Rev,0,COLUMN()),0)-IFERROR(INDEX(SP_GF_COGS,0,COLUMN()),0)-IFERROR(INDEX(SP_GF_SGA,0,COLUMN()),0)-IFERROR(INDEX(SP_GF_OI_Operating,0,COLUMN()),0)-IFERROR(INDEX(sp_gf_da_operating,0,COLUMN()),0)-IFERROR(INDEX(sp_gf_opex,0,COLUMN()),0)-IFERROR(INDEX(SP_GF_RD,0,COLUMN()),0)</f>
        <v>1919.3</v>
      </c>
      <c r="AT29" s="163" t="n">
        <f aca="false">IFERROR(INDEX(SP_GF_Rev,0,COLUMN()),0)-IFERROR(INDEX(SP_GF_COGS,0,COLUMN()),0)-IFERROR(INDEX(SP_GF_SGA,0,COLUMN()),0)-IFERROR(INDEX(SP_GF_OI_Operating,0,COLUMN()),0)-IFERROR(INDEX(sp_gf_da_operating,0,COLUMN()),0)-IFERROR(INDEX(sp_gf_opex,0,COLUMN()),0)-IFERROR(INDEX(SP_GF_RD,0,COLUMN()),0)</f>
        <v>2031.2</v>
      </c>
      <c r="AU29" s="162" t="n">
        <f aca="false">IFERROR(INDEX(SP_GF_Rev,0,COLUMN()),0)-IFERROR(INDEX(SP_GF_COGS,0,COLUMN()),0)-IFERROR(INDEX(SP_GF_SGA,0,COLUMN()),0)-IFERROR(INDEX(SP_GF_OI_Operating,0,COLUMN()),0)-IFERROR(INDEX(sp_gf_da_operating,0,COLUMN()),0)-IFERROR(INDEX(sp_gf_opex,0,COLUMN()),0)-IFERROR(INDEX(SP_GF_RD,0,COLUMN()),0)</f>
        <v>6750.1</v>
      </c>
      <c r="AV29" s="163" t="n">
        <f aca="false">IFERROR(INDEX(SP_GF_Rev,0,COLUMN()),0)-IFERROR(INDEX(SP_GF_COGS,0,COLUMN()),0)-IFERROR(INDEX(SP_GF_SGA,0,COLUMN()),0)-IFERROR(INDEX(SP_GF_OI_Operating,0,COLUMN()),0)-IFERROR(INDEX(sp_gf_da_operating,0,COLUMN()),0)-IFERROR(INDEX(sp_gf_opex,0,COLUMN()),0)-IFERROR(INDEX(SP_GF_RD,0,COLUMN()),0)</f>
        <v>784.6</v>
      </c>
      <c r="AW29" s="163" t="n">
        <f aca="false">IFERROR(INDEX(SP_GF_Rev,0,COLUMN()),0)-IFERROR(INDEX(SP_GF_COGS,0,COLUMN()),0)-IFERROR(INDEX(SP_GF_SGA,0,COLUMN()),0)-IFERROR(INDEX(SP_GF_OI_Operating,0,COLUMN()),0)-IFERROR(INDEX(sp_gf_da_operating,0,COLUMN()),0)-IFERROR(INDEX(sp_gf_opex,0,COLUMN()),0)-IFERROR(INDEX(SP_GF_RD,0,COLUMN()),0)</f>
        <v>1653.4</v>
      </c>
      <c r="AX29" s="163" t="n">
        <f aca="false">IFERROR(INDEX(SP_GF_Rev,0,COLUMN()),0)-IFERROR(INDEX(SP_GF_COGS,0,COLUMN()),0)-IFERROR(INDEX(SP_GF_SGA,0,COLUMN()),0)-IFERROR(INDEX(SP_GF_OI_Operating,0,COLUMN()),0)-IFERROR(INDEX(sp_gf_da_operating,0,COLUMN()),0)-IFERROR(INDEX(sp_gf_opex,0,COLUMN()),0)-IFERROR(INDEX(SP_GF_RD,0,COLUMN()),0)</f>
        <v>1938.5</v>
      </c>
      <c r="AY29" s="163" t="n">
        <f aca="false">IFERROR(INDEX(SP_GF_Rev,0,COLUMN()),0)-IFERROR(INDEX(SP_GF_COGS,0,COLUMN()),0)-IFERROR(INDEX(SP_GF_SGA,0,COLUMN()),0)-IFERROR(INDEX(SP_GF_OI_Operating,0,COLUMN()),0)-IFERROR(INDEX(sp_gf_da_operating,0,COLUMN()),0)-IFERROR(INDEX(sp_gf_opex,0,COLUMN()),0)-IFERROR(INDEX(SP_GF_RD,0,COLUMN()),0)</f>
        <v>2124.2</v>
      </c>
      <c r="AZ29" s="162" t="n">
        <f aca="false">IFERROR(INDEX(SP_GF_Rev,0,COLUMN()),0)-IFERROR(INDEX(SP_GF_COGS,0,COLUMN()),0)-IFERROR(INDEX(SP_GF_SGA,0,COLUMN()),0)-IFERROR(INDEX(SP_GF_OI_Operating,0,COLUMN()),0)-IFERROR(INDEX(sp_gf_da_operating,0,COLUMN()),0)-IFERROR(INDEX(sp_gf_opex,0,COLUMN()),0)-IFERROR(INDEX(SP_GF_RD,0,COLUMN()),0)</f>
        <v>6500.7</v>
      </c>
      <c r="BA29" s="163" t="n">
        <f aca="false">IFERROR(INDEX(SP_GF_Rev,0,COLUMN()),0)-IFERROR(INDEX(SP_GF_COGS,0,COLUMN()),0)-IFERROR(INDEX(SP_GF_SGA,0,COLUMN()),0)-IFERROR(INDEX(SP_GF_OI_Operating,0,COLUMN()),0)-IFERROR(INDEX(sp_gf_da_operating,0,COLUMN()),0)-IFERROR(INDEX(sp_gf_opex,0,COLUMN()),0)-IFERROR(INDEX(SP_GF_RD,0,COLUMN()),0)</f>
        <v>2205</v>
      </c>
      <c r="BB29" s="163" t="n">
        <f aca="false">IFERROR(INDEX(SP_GF_Rev,0,COLUMN()),0)-IFERROR(INDEX(SP_GF_COGS,0,COLUMN()),0)-IFERROR(INDEX(SP_GF_SGA,0,COLUMN()),0)-IFERROR(INDEX(SP_GF_OI_Operating,0,COLUMN()),0)-IFERROR(INDEX(sp_gf_da_operating,0,COLUMN()),0)-IFERROR(INDEX(sp_gf_opex,0,COLUMN()),0)-IFERROR(INDEX(SP_GF_RD,0,COLUMN()),0)</f>
        <v>2263</v>
      </c>
      <c r="BC29" s="163" t="n">
        <f aca="false">IFERROR(INDEX(SP_GF_Rev,0,COLUMN()),0)-IFERROR(INDEX(SP_GF_COGS,0,COLUMN()),0)-IFERROR(INDEX(SP_GF_SGA,0,COLUMN()),0)-IFERROR(INDEX(SP_GF_OI_Operating,0,COLUMN()),0)-IFERROR(INDEX(sp_gf_da_operating,0,COLUMN()),0)-IFERROR(INDEX(sp_gf_opex,0,COLUMN()),0)-IFERROR(INDEX(SP_GF_RD,0,COLUMN()),0)</f>
        <v>2182.4</v>
      </c>
      <c r="BD29" s="163" t="n">
        <f aca="false">IFERROR(INDEX(SP_GF_Rev,0,COLUMN()),0)-IFERROR(INDEX(SP_GF_COGS,0,COLUMN()),0)-IFERROR(INDEX(SP_GF_SGA,0,COLUMN()),0)-IFERROR(INDEX(SP_GF_OI_Operating,0,COLUMN()),0)-IFERROR(INDEX(sp_gf_da_operating,0,COLUMN()),0)-IFERROR(INDEX(sp_gf_opex,0,COLUMN()),0)-IFERROR(INDEX(SP_GF_RD,0,COLUMN()),0)</f>
        <v>2391.9</v>
      </c>
      <c r="BE29" s="162" t="n">
        <f aca="false">IFERROR(INDEX(SP_GF_Rev,0,COLUMN()),0)-IFERROR(INDEX(SP_GF_COGS,0,COLUMN()),0)-IFERROR(INDEX(SP_GF_SGA,0,COLUMN()),0)-IFERROR(INDEX(SP_GF_OI_Operating,0,COLUMN()),0)-IFERROR(INDEX(sp_gf_da_operating,0,COLUMN()),0)-IFERROR(INDEX(sp_gf_opex,0,COLUMN()),0)-IFERROR(INDEX(SP_GF_RD,0,COLUMN()),0)</f>
        <v>9042.3</v>
      </c>
      <c r="BF29" s="163" t="n">
        <f aca="false">IFERROR(INDEX(SP_GF_Rev,0,COLUMN()),0)-IFERROR(INDEX(SP_GF_COGS,0,COLUMN()),0)-IFERROR(INDEX(SP_GF_SGA,0,COLUMN()),0)-IFERROR(INDEX(SP_GF_OI_Operating,0,COLUMN()),0)-IFERROR(INDEX(sp_gf_da_operating,0,COLUMN()),0)-IFERROR(INDEX(sp_gf_opex,0,COLUMN()),0)-IFERROR(INDEX(SP_GF_RD,0,COLUMN()),0)</f>
        <v>1391.4</v>
      </c>
      <c r="BG29" s="163" t="n">
        <f aca="false">IFERROR(INDEX(SP_GF_Rev,0,COLUMN()),0)-IFERROR(INDEX(SP_GF_COGS,0,COLUMN()),0)-IFERROR(INDEX(SP_GF_SGA,0,COLUMN()),0)-IFERROR(INDEX(SP_GF_OI_Operating,0,COLUMN()),0)-IFERROR(INDEX(sp_gf_da_operating,0,COLUMN()),0)-IFERROR(INDEX(sp_gf_opex,0,COLUMN()),0)-IFERROR(INDEX(SP_GF_RD,0,COLUMN()),0)</f>
        <v>1834.6</v>
      </c>
      <c r="BH29" s="163" t="n">
        <f aca="false">IFERROR(INDEX(SP_GF_Rev,0,COLUMN()),0)-IFERROR(INDEX(SP_GF_COGS,0,COLUMN()),0)-IFERROR(INDEX(SP_GF_SGA,0,COLUMN()),0)-IFERROR(INDEX(SP_GF_OI_Operating,0,COLUMN()),0)-IFERROR(INDEX(sp_gf_da_operating,0,COLUMN()),0)-IFERROR(INDEX(sp_gf_opex,0,COLUMN()),0)-IFERROR(INDEX(SP_GF_RD,0,COLUMN()),0)</f>
        <v>2441.2</v>
      </c>
      <c r="BI29" s="163" t="n">
        <f aca="false">IFERROR(INDEX(SP_GF_Rev,0,COLUMN()),0)-IFERROR(INDEX(SP_GF_COGS,0,COLUMN()),0)-IFERROR(INDEX(SP_GF_SGA,0,COLUMN()),0)-IFERROR(INDEX(SP_GF_OI_Operating,0,COLUMN()),0)-IFERROR(INDEX(sp_gf_da_operating,0,COLUMN()),0)-IFERROR(INDEX(sp_gf_opex,0,COLUMN()),0)-IFERROR(INDEX(SP_GF_RD,0,COLUMN()),0)</f>
        <v>3355.4</v>
      </c>
      <c r="BJ29" s="162" t="n">
        <f aca="false">IFERROR(INDEX(SP_GF_Rev,0,COLUMN()),0)-IFERROR(INDEX(SP_GF_COGS,0,COLUMN()),0)-IFERROR(INDEX(SP_GF_SGA,0,COLUMN()),0)-IFERROR(INDEX(SP_GF_OI_Operating,0,COLUMN()),0)-IFERROR(INDEX(sp_gf_da_operating,0,COLUMN()),0)-IFERROR(INDEX(sp_gf_opex,0,COLUMN()),0)-IFERROR(INDEX(SP_GF_RD,0,COLUMN()),0)</f>
        <v>9022.6</v>
      </c>
      <c r="BK29" s="163" t="n">
        <f aca="false">IFERROR(INDEX(SP_GF_Rev,0,COLUMN()),0)-IFERROR(INDEX(SP_GF_COGS,0,COLUMN()),0)-IFERROR(INDEX(SP_GF_SGA,0,COLUMN()),0)-IFERROR(INDEX(SP_GF_OI_Operating,0,COLUMN()),0)-IFERROR(INDEX(sp_gf_da_operating,0,COLUMN()),0)-IFERROR(INDEX(sp_gf_opex,0,COLUMN()),0)-IFERROR(INDEX(SP_GF_RD,0,COLUMN()),0)</f>
        <v>2737.9</v>
      </c>
      <c r="BL29" s="163" t="n">
        <f aca="false">IFERROR(INDEX(SP_GF_Rev,0,COLUMN()),0)-IFERROR(INDEX(SP_GF_COGS,0,COLUMN()),0)-IFERROR(INDEX(SP_GF_SGA,0,COLUMN()),0)-IFERROR(INDEX(SP_GF_OI_Operating,0,COLUMN()),0)-IFERROR(INDEX(sp_gf_da_operating,0,COLUMN()),0)-IFERROR(INDEX(sp_gf_opex,0,COLUMN()),0)-IFERROR(INDEX(SP_GF_RD,0,COLUMN()),0)</f>
        <v>2664.1</v>
      </c>
      <c r="BM29" s="163" t="n">
        <f aca="false">IFERROR(INDEX(SP_GF_Rev,0,COLUMN()),0)-IFERROR(INDEX(SP_GF_COGS,0,COLUMN()),0)-IFERROR(INDEX(SP_GF_SGA,0,COLUMN()),0)-IFERROR(INDEX(SP_GF_OI_Operating,0,COLUMN()),0)-IFERROR(INDEX(sp_gf_da_operating,0,COLUMN()),0)-IFERROR(INDEX(sp_gf_opex,0,COLUMN()),0)-IFERROR(INDEX(SP_GF_RD,0,COLUMN()),0)</f>
        <v>2468.4</v>
      </c>
      <c r="BN29" s="163" t="n">
        <f aca="false">IFERROR(INDEX(SP_GF_Rev,0,COLUMN()),0)-IFERROR(INDEX(SP_GF_COGS,0,COLUMN()),0)-IFERROR(INDEX(SP_GF_SGA,0,COLUMN()),0)-IFERROR(INDEX(SP_GF_OI_Operating,0,COLUMN()),0)-IFERROR(INDEX(sp_gf_da_operating,0,COLUMN()),0)-IFERROR(INDEX(sp_gf_opex,0,COLUMN()),0)-IFERROR(INDEX(SP_GF_RD,0,COLUMN()),0)</f>
        <v>3431</v>
      </c>
      <c r="BO29" s="164" t="n">
        <f aca="false">IFERROR(INDEX(SP_GF_Rev,0,COLUMN()),0)-IFERROR(INDEX(SP_GF_COGS,0,COLUMN()),0)-IFERROR(INDEX(SP_GF_SGA,0,COLUMN()),0)-IFERROR(INDEX(SP_GF_OI_Operating,0,COLUMN()),0)-IFERROR(INDEX(sp_gf_da_operating,0,COLUMN()),0)-IFERROR(INDEX(sp_gf_opex,0,COLUMN()),0)-IFERROR(INDEX(SP_GF_RD,0,COLUMN()),0)</f>
        <v>11301.4</v>
      </c>
      <c r="BP29" s="163" t="n">
        <f aca="false">IFERROR(INDEX(SP_GF_Rev,0,COLUMN()),0)-IFERROR(INDEX(SP_GF_COGS,0,COLUMN()),0)-IFERROR(INDEX(SP_GF_SGA,0,COLUMN()),0)-IFERROR(INDEX(SP_GF_OI_Operating,0,COLUMN()),0)-IFERROR(INDEX(sp_gf_da_operating,0,COLUMN()),0)-IFERROR(INDEX(sp_gf_opex,0,COLUMN()),0)-IFERROR(INDEX(SP_GF_RD,0,COLUMN()),0)</f>
        <v>2960.51304928716</v>
      </c>
      <c r="BQ29" s="163" t="n">
        <f aca="false">IFERROR(INDEX(SP_GF_Rev,0,COLUMN()),0)-IFERROR(INDEX(SP_GF_COGS,0,COLUMN()),0)-IFERROR(INDEX(SP_GF_SGA,0,COLUMN()),0)-IFERROR(INDEX(SP_GF_OI_Operating,0,COLUMN()),0)-IFERROR(INDEX(sp_gf_da_operating,0,COLUMN()),0)-IFERROR(INDEX(sp_gf_opex,0,COLUMN()),0)-IFERROR(INDEX(SP_GF_RD,0,COLUMN()),0)</f>
        <v>3495.39589769988</v>
      </c>
      <c r="BR29" s="163" t="n">
        <f aca="false">IFERROR(INDEX(SP_GF_Rev,0,COLUMN()),0)-IFERROR(INDEX(SP_GF_COGS,0,COLUMN()),0)-IFERROR(INDEX(SP_GF_SGA,0,COLUMN()),0)-IFERROR(INDEX(SP_GF_OI_Operating,0,COLUMN()),0)-IFERROR(INDEX(sp_gf_da_operating,0,COLUMN()),0)-IFERROR(INDEX(sp_gf_opex,0,COLUMN()),0)-IFERROR(INDEX(SP_GF_RD,0,COLUMN()),0)</f>
        <v>3258.47383875289</v>
      </c>
      <c r="BS29" s="163" t="n">
        <f aca="false">IFERROR(INDEX(SP_GF_Rev,0,COLUMN()),0)-IFERROR(INDEX(SP_GF_COGS,0,COLUMN()),0)-IFERROR(INDEX(SP_GF_SGA,0,COLUMN()),0)-IFERROR(INDEX(SP_GF_OI_Operating,0,COLUMN()),0)-IFERROR(INDEX(sp_gf_da_operating,0,COLUMN()),0)-IFERROR(INDEX(sp_gf_opex,0,COLUMN()),0)-IFERROR(INDEX(SP_GF_RD,0,COLUMN()),0)</f>
        <v>3620.15146398755</v>
      </c>
      <c r="BT29" s="162" t="n">
        <f aca="false">IFERROR(INDEX(SP_GF_Rev,0,COLUMN()),0)-IFERROR(INDEX(SP_GF_COGS,0,COLUMN()),0)-IFERROR(INDEX(SP_GF_SGA,0,COLUMN()),0)-IFERROR(INDEX(SP_GF_OI_Operating,0,COLUMN()),0)-IFERROR(INDEX(sp_gf_da_operating,0,COLUMN()),0)-IFERROR(INDEX(sp_gf_opex,0,COLUMN()),0)-IFERROR(INDEX(SP_GF_RD,0,COLUMN()),0)</f>
        <v>13334.5342497275</v>
      </c>
      <c r="BU29" s="163" t="n">
        <f aca="false">IFERROR(INDEX(SP_GF_Rev,0,COLUMN()),0)-IFERROR(INDEX(SP_GF_COGS,0,COLUMN()),0)-IFERROR(INDEX(SP_GF_SGA,0,COLUMN()),0)-IFERROR(INDEX(SP_GF_OI_Operating,0,COLUMN()),0)-IFERROR(INDEX(sp_gf_da_operating,0,COLUMN()),0)-IFERROR(INDEX(sp_gf_opex,0,COLUMN()),0)-IFERROR(INDEX(SP_GF_RD,0,COLUMN()),0)</f>
        <v>3118.35741631106</v>
      </c>
      <c r="BV29" s="163" t="n">
        <f aca="false">IFERROR(INDEX(SP_GF_Rev,0,COLUMN()),0)-IFERROR(INDEX(SP_GF_COGS,0,COLUMN()),0)-IFERROR(INDEX(SP_GF_SGA,0,COLUMN()),0)-IFERROR(INDEX(SP_GF_OI_Operating,0,COLUMN()),0)-IFERROR(INDEX(sp_gf_da_operating,0,COLUMN()),0)-IFERROR(INDEX(sp_gf_opex,0,COLUMN()),0)-IFERROR(INDEX(SP_GF_RD,0,COLUMN()),0)</f>
        <v>4205.38959859293</v>
      </c>
      <c r="BW29" s="163" t="n">
        <f aca="false">IFERROR(INDEX(SP_GF_Rev,0,COLUMN()),0)-IFERROR(INDEX(SP_GF_COGS,0,COLUMN()),0)-IFERROR(INDEX(SP_GF_SGA,0,COLUMN()),0)-IFERROR(INDEX(SP_GF_OI_Operating,0,COLUMN()),0)-IFERROR(INDEX(sp_gf_da_operating,0,COLUMN()),0)-IFERROR(INDEX(sp_gf_opex,0,COLUMN()),0)-IFERROR(INDEX(SP_GF_RD,0,COLUMN()),0)</f>
        <v>3876.92880713419</v>
      </c>
      <c r="BX29" s="163" t="n">
        <f aca="false">IFERROR(INDEX(SP_GF_Rev,0,COLUMN()),0)-IFERROR(INDEX(SP_GF_COGS,0,COLUMN()),0)-IFERROR(INDEX(SP_GF_SGA,0,COLUMN()),0)-IFERROR(INDEX(SP_GF_OI_Operating,0,COLUMN()),0)-IFERROR(INDEX(sp_gf_da_operating,0,COLUMN()),0)-IFERROR(INDEX(sp_gf_opex,0,COLUMN()),0)-IFERROR(INDEX(SP_GF_RD,0,COLUMN()),0)</f>
        <v>3912.99616548549</v>
      </c>
      <c r="BY29" s="162" t="n">
        <f aca="false">IFERROR(INDEX(SP_GF_Rev,0,COLUMN()),0)-IFERROR(INDEX(SP_GF_COGS,0,COLUMN()),0)-IFERROR(INDEX(SP_GF_SGA,0,COLUMN()),0)-IFERROR(INDEX(SP_GF_OI_Operating,0,COLUMN()),0)-IFERROR(INDEX(sp_gf_da_operating,0,COLUMN()),0)-IFERROR(INDEX(sp_gf_opex,0,COLUMN()),0)-IFERROR(INDEX(SP_GF_RD,0,COLUMN()),0)</f>
        <v>15113.6719875237</v>
      </c>
      <c r="BZ29" s="162" t="n">
        <f aca="false">IFERROR(INDEX(SP_GF_Rev,0,COLUMN()),0)-IFERROR(INDEX(SP_GF_COGS,0,COLUMN()),0)-IFERROR(INDEX(SP_GF_SGA,0,COLUMN()),0)-IFERROR(INDEX(SP_GF_OI_Operating,0,COLUMN()),0)-IFERROR(INDEX(sp_gf_da_operating,0,COLUMN()),0)-IFERROR(INDEX(sp_gf_opex,0,COLUMN()),0)-IFERROR(INDEX(SP_GF_RD,0,COLUMN()),0)</f>
        <v>18501.3799376864</v>
      </c>
      <c r="CA29" s="162" t="n">
        <f aca="false">IFERROR(INDEX(SP_GF_Rev,0,COLUMN()),0)-IFERROR(INDEX(SP_GF_COGS,0,COLUMN()),0)-IFERROR(INDEX(SP_GF_SGA,0,COLUMN()),0)-IFERROR(INDEX(SP_GF_OI_Operating,0,COLUMN()),0)-IFERROR(INDEX(sp_gf_da_operating,0,COLUMN()),0)-IFERROR(INDEX(sp_gf_opex,0,COLUMN()),0)-IFERROR(INDEX(SP_GF_RD,0,COLUMN()),0)</f>
        <v>19734.9606418536</v>
      </c>
      <c r="CB29" s="162" t="n">
        <f aca="false">IFERROR(INDEX(SP_GF_Rev,0,COLUMN()),0)-IFERROR(INDEX(SP_GF_COGS,0,COLUMN()),0)-IFERROR(INDEX(SP_GF_SGA,0,COLUMN()),0)-IFERROR(INDEX(SP_GF_OI_Operating,0,COLUMN()),0)-IFERROR(INDEX(sp_gf_da_operating,0,COLUMN()),0)-IFERROR(INDEX(sp_gf_opex,0,COLUMN()),0)-IFERROR(INDEX(SP_GF_RD,0,COLUMN()),0)</f>
        <v>21055.9876613057</v>
      </c>
      <c r="CC29" s="268"/>
    </row>
    <row r="30" s="51" customFormat="true" ht="15" hidden="false" customHeight="true" outlineLevel="0" collapsed="false">
      <c r="A30" s="145" t="str">
        <f aca="false">INDEX(MO_RIS_IE_Net,0,COLUMN())</f>
        <v>Net interest expense</v>
      </c>
      <c r="B30" s="254"/>
      <c r="C30" s="159" t="n">
        <f aca="false">IFERROR(INDEX(MO_RIS_IE_Net,0,COLUMN()),INDEX(mo_ris_ie,0,COLUMN())+INDEX(mo_ris_ii,0,COLUMN()))</f>
        <v>8.425</v>
      </c>
      <c r="D30" s="159" t="n">
        <f aca="false">IFERROR(INDEX(MO_RIS_IE_Net,0,COLUMN()),INDEX(mo_ris_ie,0,COLUMN())+INDEX(mo_ris_ii,0,COLUMN()))</f>
        <v>8.176</v>
      </c>
      <c r="E30" s="159" t="n">
        <f aca="false">IFERROR(INDEX(MO_RIS_IE_Net,0,COLUMN()),INDEX(mo_ris_ie,0,COLUMN())+INDEX(mo_ris_ii,0,COLUMN()))</f>
        <v>-7.419</v>
      </c>
      <c r="F30" s="159" t="n">
        <f aca="false">IFERROR(INDEX(MO_RIS_IE_Net,0,COLUMN()),INDEX(mo_ris_ie,0,COLUMN())+INDEX(mo_ris_ii,0,COLUMN()))</f>
        <v>6.196</v>
      </c>
      <c r="G30" s="159" t="n">
        <f aca="false">IFERROR(INDEX(MO_RIS_IE_Net,0,COLUMN()),INDEX(mo_ris_ie,0,COLUMN())+INDEX(mo_ris_ii,0,COLUMN()))</f>
        <v>24.471</v>
      </c>
      <c r="H30" s="48" t="n">
        <f aca="false">IFERROR(INDEX(MO_RIS_IE_Net,0,COLUMN()),INDEX(mo_ris_ie,0,COLUMN())+INDEX(mo_ris_ii,0,COLUMN()))</f>
        <v>2.6</v>
      </c>
      <c r="I30" s="48" t="n">
        <f aca="false">IFERROR(INDEX(MO_RIS_IE_Net,0,COLUMN()),INDEX(mo_ris_ie,0,COLUMN())+INDEX(mo_ris_ii,0,COLUMN()))</f>
        <v>1.4</v>
      </c>
      <c r="J30" s="48" t="n">
        <f aca="false">IFERROR(INDEX(MO_RIS_IE_Net,0,COLUMN()),INDEX(mo_ris_ie,0,COLUMN())+INDEX(mo_ris_ii,0,COLUMN()))</f>
        <v>2</v>
      </c>
      <c r="K30" s="48" t="n">
        <f aca="false">IFERROR(INDEX(MO_RIS_IE_Net,0,COLUMN()),INDEX(mo_ris_ie,0,COLUMN())+INDEX(mo_ris_ii,0,COLUMN()))</f>
        <v>2.6</v>
      </c>
      <c r="L30" s="159" t="n">
        <f aca="false">IFERROR(INDEX(MO_RIS_IE_Net,0,COLUMN()),INDEX(mo_ris_ie,0,COLUMN())+INDEX(mo_ris_ii,0,COLUMN()))</f>
        <v>8.6</v>
      </c>
      <c r="M30" s="48" t="n">
        <f aca="false">IFERROR(INDEX(MO_RIS_IE_Net,0,COLUMN()),INDEX(mo_ris_ie,0,COLUMN())+INDEX(mo_ris_ii,0,COLUMN()))</f>
        <v>3.5</v>
      </c>
      <c r="N30" s="48" t="n">
        <f aca="false">IFERROR(INDEX(MO_RIS_IE_Net,0,COLUMN()),INDEX(mo_ris_ie,0,COLUMN())+INDEX(mo_ris_ii,0,COLUMN()))</f>
        <v>4.2</v>
      </c>
      <c r="O30" s="48" t="n">
        <f aca="false">IFERROR(INDEX(MO_RIS_IE_Net,0,COLUMN()),INDEX(mo_ris_ie,0,COLUMN())+INDEX(mo_ris_ii,0,COLUMN()))</f>
        <v>4.2</v>
      </c>
      <c r="P30" s="48" t="n">
        <f aca="false">IFERROR(INDEX(MO_RIS_IE_Net,0,COLUMN()),INDEX(mo_ris_ie,0,COLUMN())+INDEX(mo_ris_ii,0,COLUMN()))</f>
        <v>4.6</v>
      </c>
      <c r="Q30" s="159" t="n">
        <f aca="false">IFERROR(INDEX(MO_RIS_IE_Net,0,COLUMN()),INDEX(mo_ris_ie,0,COLUMN())+INDEX(mo_ris_ii,0,COLUMN()))</f>
        <v>16.515</v>
      </c>
      <c r="R30" s="48" t="n">
        <f aca="false">IFERROR(INDEX(MO_RIS_IE_Net,0,COLUMN()),INDEX(mo_ris_ie,0,COLUMN())+INDEX(mo_ris_ii,0,COLUMN()))</f>
        <v>3.6</v>
      </c>
      <c r="S30" s="48" t="n">
        <f aca="false">IFERROR(INDEX(MO_RIS_IE_Net,0,COLUMN()),INDEX(mo_ris_ie,0,COLUMN())+INDEX(mo_ris_ii,0,COLUMN()))</f>
        <v>3.6</v>
      </c>
      <c r="T30" s="48" t="n">
        <f aca="false">IFERROR(INDEX(MO_RIS_IE_Net,0,COLUMN()),INDEX(mo_ris_ie,0,COLUMN())+INDEX(mo_ris_ii,0,COLUMN()))</f>
        <v>33.9</v>
      </c>
      <c r="U30" s="48" t="n">
        <f aca="false">IFERROR(INDEX(MO_RIS_IE_Net,0,COLUMN()),INDEX(mo_ris_ie,0,COLUMN())+INDEX(mo_ris_ii,0,COLUMN()))</f>
        <v>-74.8</v>
      </c>
      <c r="V30" s="159" t="n">
        <f aca="false">IFERROR(INDEX(MO_RIS_IE_Net,0,COLUMN()),INDEX(mo_ris_ie,0,COLUMN())+INDEX(mo_ris_ii,0,COLUMN()))</f>
        <v>-33.7</v>
      </c>
      <c r="W30" s="48" t="n">
        <f aca="false">IFERROR(INDEX(MO_RIS_IE_Net,0,COLUMN()),INDEX(mo_ris_ie,0,COLUMN())+INDEX(mo_ris_ii,0,COLUMN()))</f>
        <v>14.1</v>
      </c>
      <c r="X30" s="48" t="n">
        <f aca="false">IFERROR(INDEX(MO_RIS_IE_Net,0,COLUMN()),INDEX(mo_ris_ie,0,COLUMN())+INDEX(mo_ris_ii,0,COLUMN()))</f>
        <v>10.8</v>
      </c>
      <c r="Y30" s="48" t="n">
        <f aca="false">IFERROR(INDEX(MO_RIS_IE_Net,0,COLUMN()),INDEX(mo_ris_ie,0,COLUMN())+INDEX(mo_ris_ii,0,COLUMN()))</f>
        <v>12.5</v>
      </c>
      <c r="Z30" s="48" t="n">
        <f aca="false">IFERROR(INDEX(MO_RIS_IE_Net,0,COLUMN()),INDEX(mo_ris_ie,0,COLUMN())+INDEX(mo_ris_ii,0,COLUMN()))</f>
        <v>12.9</v>
      </c>
      <c r="AA30" s="159" t="n">
        <f aca="false">IFERROR(INDEX(MO_RIS_IE_Net,0,COLUMN()),INDEX(mo_ris_ie,0,COLUMN())+INDEX(mo_ris_ii,0,COLUMN()))</f>
        <v>50.3</v>
      </c>
      <c r="AB30" s="48" t="n">
        <f aca="false">IFERROR(INDEX(MO_RIS_IE_Net,0,COLUMN()),INDEX(mo_ris_ie,0,COLUMN())+INDEX(mo_ris_ii,0,COLUMN()))</f>
        <v>10.5</v>
      </c>
      <c r="AC30" s="48" t="n">
        <f aca="false">IFERROR(INDEX(MO_RIS_IE_Net,0,COLUMN()),INDEX(mo_ris_ie,0,COLUMN())+INDEX(mo_ris_ii,0,COLUMN()))</f>
        <v>2.2</v>
      </c>
      <c r="AD30" s="48" t="n">
        <f aca="false">IFERROR(INDEX(MO_RIS_IE_Net,0,COLUMN()),INDEX(mo_ris_ie,0,COLUMN())+INDEX(mo_ris_ii,0,COLUMN()))</f>
        <v>8.1</v>
      </c>
      <c r="AE30" s="48" t="n">
        <f aca="false">IFERROR(INDEX(MO_RIS_IE_Net,0,COLUMN()),INDEX(mo_ris_ie,0,COLUMN())+INDEX(mo_ris_ii,0,COLUMN()))</f>
        <v>7.5</v>
      </c>
      <c r="AF30" s="159" t="n">
        <f aca="false">IFERROR(INDEX(MO_RIS_IE_Net,0,COLUMN()),INDEX(mo_ris_ie,0,COLUMN())+INDEX(mo_ris_ii,0,COLUMN()))</f>
        <v>28.3</v>
      </c>
      <c r="AG30" s="48" t="n">
        <f aca="false">IFERROR(INDEX(MO_RIS_IE_Net,0,COLUMN()),INDEX(mo_ris_ie,0,COLUMN())+INDEX(mo_ris_ii,0,COLUMN()))</f>
        <v>7.9</v>
      </c>
      <c r="AH30" s="48" t="n">
        <f aca="false">IFERROR(INDEX(MO_RIS_IE_Net,0,COLUMN()),INDEX(mo_ris_ie,0,COLUMN())+INDEX(mo_ris_ii,0,COLUMN()))</f>
        <v>6.9</v>
      </c>
      <c r="AI30" s="48" t="n">
        <f aca="false">IFERROR(INDEX(MO_RIS_IE_Net,0,COLUMN()),INDEX(mo_ris_ie,0,COLUMN())+INDEX(mo_ris_ii,0,COLUMN()))</f>
        <v>5.4</v>
      </c>
      <c r="AJ30" s="48" t="n">
        <f aca="false">IFERROR(INDEX(MO_RIS_IE_Net,0,COLUMN()),INDEX(mo_ris_ie,0,COLUMN())+INDEX(mo_ris_ii,0,COLUMN()))</f>
        <v>4.8</v>
      </c>
      <c r="AK30" s="159" t="n">
        <f aca="false">IFERROR(INDEX(MO_RIS_IE_Net,0,COLUMN()),INDEX(mo_ris_ie,0,COLUMN())+INDEX(mo_ris_ii,0,COLUMN()))</f>
        <v>25</v>
      </c>
      <c r="AL30" s="48" t="n">
        <f aca="false">IFERROR(INDEX(MO_RIS_IE_Net,0,COLUMN()),INDEX(mo_ris_ie,0,COLUMN())+INDEX(mo_ris_ii,0,COLUMN()))</f>
        <v>11.4</v>
      </c>
      <c r="AM30" s="48" t="n">
        <f aca="false">IFERROR(INDEX(MO_RIS_IE_Net,0,COLUMN()),INDEX(mo_ris_ie,0,COLUMN())+INDEX(mo_ris_ii,0,COLUMN()))</f>
        <v>7.1</v>
      </c>
      <c r="AN30" s="48" t="n">
        <f aca="false">IFERROR(INDEX(MO_RIS_IE_Net,0,COLUMN()),INDEX(mo_ris_ie,0,COLUMN())+INDEX(mo_ris_ii,0,COLUMN()))</f>
        <v>8.4</v>
      </c>
      <c r="AO30" s="48" t="n">
        <f aca="false">IFERROR(INDEX(MO_RIS_IE_Net,0,COLUMN()),INDEX(mo_ris_ie,0,COLUMN())+INDEX(mo_ris_ii,0,COLUMN()))</f>
        <v>8</v>
      </c>
      <c r="AP30" s="159" t="n">
        <f aca="false">IFERROR(INDEX(MO_RIS_IE_Net,0,COLUMN()),INDEX(mo_ris_ie,0,COLUMN())+INDEX(mo_ris_ii,0,COLUMN()))</f>
        <v>34.9</v>
      </c>
      <c r="AQ30" s="48" t="n">
        <f aca="false">IFERROR(INDEX(MO_RIS_IE_Net,0,COLUMN()),INDEX(mo_ris_ie,0,COLUMN())+INDEX(mo_ris_ii,0,COLUMN()))</f>
        <v>12.1</v>
      </c>
      <c r="AR30" s="48" t="n">
        <f aca="false">IFERROR(INDEX(MO_RIS_IE_Net,0,COLUMN()),INDEX(mo_ris_ie,0,COLUMN())+INDEX(mo_ris_ii,0,COLUMN()))</f>
        <v>9.8</v>
      </c>
      <c r="AS30" s="48" t="n">
        <f aca="false">IFERROR(INDEX(MO_RIS_IE_Net,0,COLUMN()),INDEX(mo_ris_ie,0,COLUMN())+INDEX(mo_ris_ii,0,COLUMN()))</f>
        <v>10.5</v>
      </c>
      <c r="AT30" s="48" t="n">
        <f aca="false">IFERROR(INDEX(MO_RIS_IE_Net,0,COLUMN()),INDEX(mo_ris_ie,0,COLUMN())+INDEX(mo_ris_ii,0,COLUMN()))</f>
        <v>12.2</v>
      </c>
      <c r="AU30" s="159" t="n">
        <f aca="false">IFERROR(INDEX(MO_RIS_IE_Net,0,COLUMN()),INDEX(mo_ris_ie,0,COLUMN())+INDEX(mo_ris_ii,0,COLUMN()))</f>
        <v>44.6</v>
      </c>
      <c r="AV30" s="48" t="n">
        <f aca="false">IFERROR(INDEX(MO_RIS_IE_Net,0,COLUMN()),INDEX(mo_ris_ie,0,COLUMN())+INDEX(mo_ris_ii,0,COLUMN()))</f>
        <v>15.6</v>
      </c>
      <c r="AW30" s="48" t="n">
        <f aca="false">IFERROR(INDEX(MO_RIS_IE_Net,0,COLUMN()),INDEX(mo_ris_ie,0,COLUMN())+INDEX(mo_ris_ii,0,COLUMN()))</f>
        <v>10.8</v>
      </c>
      <c r="AX30" s="48" t="n">
        <f aca="false">IFERROR(INDEX(MO_RIS_IE_Net,0,COLUMN()),INDEX(mo_ris_ie,0,COLUMN())+INDEX(mo_ris_ii,0,COLUMN()))</f>
        <v>15.1</v>
      </c>
      <c r="AY30" s="48" t="n">
        <f aca="false">IFERROR(INDEX(MO_RIS_IE_Net,0,COLUMN()),INDEX(mo_ris_ie,0,COLUMN())+INDEX(mo_ris_ii,0,COLUMN()))</f>
        <v>3.1</v>
      </c>
      <c r="AZ30" s="159" t="n">
        <f aca="false">IFERROR(INDEX(MO_RIS_IE_Net,0,COLUMN()),INDEX(mo_ris_ie,0,COLUMN())+INDEX(mo_ris_ii,0,COLUMN()))</f>
        <v>44.6</v>
      </c>
      <c r="BA30" s="48" t="n">
        <f aca="false">IFERROR(INDEX(MO_RIS_IE_Net,0,COLUMN()),INDEX(mo_ris_ie,0,COLUMN())+INDEX(mo_ris_ii,0,COLUMN()))</f>
        <v>-12.2</v>
      </c>
      <c r="BB30" s="48" t="n">
        <f aca="false">IFERROR(INDEX(MO_RIS_IE_Net,0,COLUMN()),INDEX(mo_ris_ie,0,COLUMN())+INDEX(mo_ris_ii,0,COLUMN()))</f>
        <v>-16.7</v>
      </c>
      <c r="BC30" s="48" t="n">
        <f aca="false">IFERROR(INDEX(MO_RIS_IE_Net,0,COLUMN()),INDEX(mo_ris_ie,0,COLUMN())+INDEX(mo_ris_ii,0,COLUMN()))</f>
        <v>-7.1</v>
      </c>
      <c r="BD30" s="48" t="n">
        <f aca="false">IFERROR(INDEX(MO_RIS_IE_Net,0,COLUMN()),INDEX(mo_ris_ie,0,COLUMN())+INDEX(mo_ris_ii,0,COLUMN()))</f>
        <v>-5.2</v>
      </c>
      <c r="BE30" s="159" t="n">
        <f aca="false">IFERROR(INDEX(MO_RIS_IE_Net,0,COLUMN()),INDEX(mo_ris_ie,0,COLUMN())+INDEX(mo_ris_ii,0,COLUMN()))</f>
        <v>-41.2</v>
      </c>
      <c r="BF30" s="48" t="n">
        <f aca="false">IFERROR(INDEX(MO_RIS_IE_Net,0,COLUMN()),INDEX(mo_ris_ie,0,COLUMN())+INDEX(mo_ris_ii,0,COLUMN()))</f>
        <v>-26.2</v>
      </c>
      <c r="BG30" s="48" t="n">
        <f aca="false">IFERROR(INDEX(MO_RIS_IE_Net,0,COLUMN()),INDEX(mo_ris_ie,0,COLUMN())+INDEX(mo_ris_ii,0,COLUMN()))</f>
        <v>11.9</v>
      </c>
      <c r="BH30" s="48" t="n">
        <f aca="false">IFERROR(INDEX(MO_RIS_IE_Net,0,COLUMN()),INDEX(mo_ris_ie,0,COLUMN())+INDEX(mo_ris_ii,0,COLUMN()))</f>
        <v>0.8</v>
      </c>
      <c r="BI30" s="48" t="n">
        <f aca="false">IFERROR(INDEX(MO_RIS_IE_Net,0,COLUMN()),INDEX(mo_ris_ie,0,COLUMN())+INDEX(mo_ris_ii,0,COLUMN()))</f>
        <v>-6.3</v>
      </c>
      <c r="BJ30" s="159" t="n">
        <f aca="false">IFERROR(INDEX(MO_RIS_IE_Net,0,COLUMN()),INDEX(mo_ris_ie,0,COLUMN())+INDEX(mo_ris_ii,0,COLUMN()))</f>
        <v>-19.8</v>
      </c>
      <c r="BK30" s="48" t="n">
        <f aca="false">IFERROR(INDEX(MO_RIS_IE_Net,0,COLUMN()),INDEX(mo_ris_ie,0,COLUMN())+INDEX(mo_ris_ii,0,COLUMN()))</f>
        <v>-49.2</v>
      </c>
      <c r="BL30" s="48" t="n">
        <f aca="false">IFERROR(INDEX(MO_RIS_IE_Net,0,COLUMN()),INDEX(mo_ris_ie,0,COLUMN())+INDEX(mo_ris_ii,0,COLUMN()))</f>
        <v>-24.8</v>
      </c>
      <c r="BM30" s="48" t="n">
        <f aca="false">IFERROR(INDEX(MO_RIS_IE_Net,0,COLUMN()),INDEX(mo_ris_ie,0,COLUMN())+INDEX(mo_ris_ii,0,COLUMN()))</f>
        <v>-19.4</v>
      </c>
      <c r="BN30" s="48" t="n">
        <f aca="false">IFERROR(INDEX(MO_RIS_IE_Net,0,COLUMN()),INDEX(mo_ris_ie,0,COLUMN())+INDEX(mo_ris_ii,0,COLUMN()))</f>
        <v>-11.3</v>
      </c>
      <c r="BO30" s="160" t="n">
        <f aca="false">IFERROR(INDEX(MO_RIS_IE_Net,0,COLUMN()),INDEX(mo_ris_ie,0,COLUMN())+INDEX(mo_ris_ii,0,COLUMN()))</f>
        <v>-104.7</v>
      </c>
      <c r="BP30" s="48" t="n">
        <f aca="false">IFERROR(INDEX(MO_RIS_IE_Net,0,COLUMN()),INDEX(mo_ris_ie,0,COLUMN())+INDEX(mo_ris_ii,0,COLUMN()))</f>
        <v>35.2045676712329</v>
      </c>
      <c r="BQ30" s="48" t="n">
        <f aca="false">IFERROR(INDEX(MO_RIS_IE_Net,0,COLUMN()),INDEX(mo_ris_ie,0,COLUMN())+INDEX(mo_ris_ii,0,COLUMN()))</f>
        <v>35.5957295342466</v>
      </c>
      <c r="BR30" s="48" t="n">
        <f aca="false">IFERROR(INDEX(MO_RIS_IE_Net,0,COLUMN()),INDEX(mo_ris_ie,0,COLUMN())+INDEX(mo_ris_ii,0,COLUMN()))</f>
        <v>35.9868913972603</v>
      </c>
      <c r="BS30" s="48" t="n">
        <f aca="false">IFERROR(INDEX(MO_RIS_IE_Net,0,COLUMN()),INDEX(mo_ris_ie,0,COLUMN())+INDEX(mo_ris_ii,0,COLUMN()))</f>
        <v>35.9868913972603</v>
      </c>
      <c r="BT30" s="159" t="n">
        <f aca="false">IFERROR(INDEX(MO_RIS_IE_Net,0,COLUMN()),INDEX(mo_ris_ie,0,COLUMN())+INDEX(mo_ris_ii,0,COLUMN()))</f>
        <v>142.77408</v>
      </c>
      <c r="BU30" s="48" t="n">
        <f aca="false">IFERROR(INDEX(MO_RIS_IE_Net,0,COLUMN()),INDEX(mo_ris_ie,0,COLUMN())+INDEX(mo_ris_ii,0,COLUMN()))</f>
        <v>35.2045676712329</v>
      </c>
      <c r="BV30" s="48" t="n">
        <f aca="false">IFERROR(INDEX(MO_RIS_IE_Net,0,COLUMN()),INDEX(mo_ris_ie,0,COLUMN())+INDEX(mo_ris_ii,0,COLUMN()))</f>
        <v>35.5957295342466</v>
      </c>
      <c r="BW30" s="48" t="n">
        <f aca="false">IFERROR(INDEX(MO_RIS_IE_Net,0,COLUMN()),INDEX(mo_ris_ie,0,COLUMN())+INDEX(mo_ris_ii,0,COLUMN()))</f>
        <v>35.9868913972603</v>
      </c>
      <c r="BX30" s="48" t="n">
        <f aca="false">IFERROR(INDEX(MO_RIS_IE_Net,0,COLUMN()),INDEX(mo_ris_ie,0,COLUMN())+INDEX(mo_ris_ii,0,COLUMN()))</f>
        <v>35.9868913972603</v>
      </c>
      <c r="BY30" s="159" t="n">
        <f aca="false">IFERROR(INDEX(MO_RIS_IE_Net,0,COLUMN()),INDEX(mo_ris_ie,0,COLUMN())+INDEX(mo_ris_ii,0,COLUMN()))</f>
        <v>142.77408</v>
      </c>
      <c r="BZ30" s="159" t="n">
        <f aca="false">IFERROR(INDEX(MO_RIS_IE_Net,0,COLUMN()),INDEX(mo_ris_ie,0,COLUMN())+INDEX(mo_ris_ii,0,COLUMN()))</f>
        <v>142.77408</v>
      </c>
      <c r="CA30" s="159" t="n">
        <f aca="false">IFERROR(INDEX(MO_RIS_IE_Net,0,COLUMN()),INDEX(mo_ris_ie,0,COLUMN())+INDEX(mo_ris_ii,0,COLUMN()))</f>
        <v>142.77408</v>
      </c>
      <c r="CB30" s="159" t="n">
        <f aca="false">IFERROR(INDEX(MO_RIS_IE_Net,0,COLUMN()),INDEX(mo_ris_ie,0,COLUMN())+INDEX(mo_ris_ii,0,COLUMN()))</f>
        <v>142.77408</v>
      </c>
      <c r="CC30" s="48"/>
    </row>
    <row r="31" s="51" customFormat="true" ht="15" hidden="false" customHeight="true" outlineLevel="0" collapsed="false">
      <c r="A31" s="145" t="str">
        <f aca="false">INDEX(MO_RIS_EI,0,COLUMN())</f>
        <v>Income from equity method investments</v>
      </c>
      <c r="B31" s="254"/>
      <c r="C31" s="159" t="n">
        <f aca="false">INDEX(MO_RIS_EI,0,COLUMN())</f>
        <v>-0</v>
      </c>
      <c r="D31" s="159" t="n">
        <f aca="false">INDEX(MO_RIS_EI,0,COLUMN())</f>
        <v>-0</v>
      </c>
      <c r="E31" s="159" t="n">
        <f aca="false">INDEX(MO_RIS_EI,0,COLUMN())</f>
        <v>-0</v>
      </c>
      <c r="F31" s="159" t="n">
        <f aca="false">INDEX(MO_RIS_EI,0,COLUMN())</f>
        <v>-0</v>
      </c>
      <c r="G31" s="159" t="n">
        <f aca="false">INDEX(MO_RIS_EI,0,COLUMN())</f>
        <v>-0</v>
      </c>
      <c r="H31" s="48" t="n">
        <f aca="false">INDEX(MO_RIS_EI,0,COLUMN())</f>
        <v>-0</v>
      </c>
      <c r="I31" s="48" t="n">
        <f aca="false">INDEX(MO_RIS_EI,0,COLUMN())</f>
        <v>-0</v>
      </c>
      <c r="J31" s="48" t="n">
        <f aca="false">INDEX(MO_RIS_EI,0,COLUMN())</f>
        <v>-0</v>
      </c>
      <c r="K31" s="48" t="n">
        <f aca="false">INDEX(MO_RIS_EI,0,COLUMN())</f>
        <v>-0</v>
      </c>
      <c r="L31" s="159" t="n">
        <f aca="false">INDEX(MO_RIS_EI,0,COLUMN())</f>
        <v>-0</v>
      </c>
      <c r="M31" s="48" t="n">
        <f aca="false">INDEX(MO_RIS_EI,0,COLUMN())</f>
        <v>-0</v>
      </c>
      <c r="N31" s="48" t="n">
        <f aca="false">INDEX(MO_RIS_EI,0,COLUMN())</f>
        <v>-0</v>
      </c>
      <c r="O31" s="48" t="n">
        <f aca="false">INDEX(MO_RIS_EI,0,COLUMN())</f>
        <v>-0</v>
      </c>
      <c r="P31" s="48" t="n">
        <f aca="false">INDEX(MO_RIS_EI,0,COLUMN())</f>
        <v>-0</v>
      </c>
      <c r="Q31" s="159" t="n">
        <f aca="false">INDEX(MO_RIS_EI,0,COLUMN())</f>
        <v>-0</v>
      </c>
      <c r="R31" s="48" t="n">
        <f aca="false">INDEX(MO_RIS_EI,0,COLUMN())</f>
        <v>-0</v>
      </c>
      <c r="S31" s="48" t="n">
        <f aca="false">INDEX(MO_RIS_EI,0,COLUMN())</f>
        <v>-0</v>
      </c>
      <c r="T31" s="48" t="n">
        <f aca="false">INDEX(MO_RIS_EI,0,COLUMN())</f>
        <v>-0</v>
      </c>
      <c r="U31" s="48" t="n">
        <f aca="false">INDEX(MO_RIS_EI,0,COLUMN())</f>
        <v>-0</v>
      </c>
      <c r="V31" s="159" t="n">
        <f aca="false">INDEX(MO_RIS_EI,0,COLUMN())</f>
        <v>-0</v>
      </c>
      <c r="W31" s="48" t="n">
        <f aca="false">INDEX(MO_RIS_EI,0,COLUMN())</f>
        <v>-0</v>
      </c>
      <c r="X31" s="48" t="n">
        <f aca="false">INDEX(MO_RIS_EI,0,COLUMN())</f>
        <v>-0</v>
      </c>
      <c r="Y31" s="48" t="n">
        <f aca="false">INDEX(MO_RIS_EI,0,COLUMN())</f>
        <v>-0</v>
      </c>
      <c r="Z31" s="48" t="n">
        <f aca="false">INDEX(MO_RIS_EI,0,COLUMN())</f>
        <v>16.7</v>
      </c>
      <c r="AA31" s="159" t="n">
        <f aca="false">INDEX(MO_RIS_EI,0,COLUMN())</f>
        <v>16.7</v>
      </c>
      <c r="AB31" s="48" t="n">
        <f aca="false">INDEX(MO_RIS_EI,0,COLUMN())</f>
        <v>17.6</v>
      </c>
      <c r="AC31" s="48" t="n">
        <f aca="false">INDEX(MO_RIS_EI,0,COLUMN())</f>
        <v>-4.3</v>
      </c>
      <c r="AD31" s="48" t="n">
        <f aca="false">INDEX(MO_RIS_EI,0,COLUMN())</f>
        <v>-0.3</v>
      </c>
      <c r="AE31" s="48" t="n">
        <f aca="false">INDEX(MO_RIS_EI,0,COLUMN())</f>
        <v>-19.2</v>
      </c>
      <c r="AF31" s="159" t="n">
        <f aca="false">INDEX(MO_RIS_EI,0,COLUMN())</f>
        <v>-6.2</v>
      </c>
      <c r="AG31" s="48" t="n">
        <f aca="false">INDEX(MO_RIS_EI,0,COLUMN())</f>
        <v>-12</v>
      </c>
      <c r="AH31" s="48" t="n">
        <f aca="false">INDEX(MO_RIS_EI,0,COLUMN())</f>
        <v>-7.7</v>
      </c>
      <c r="AI31" s="48" t="n">
        <f aca="false">INDEX(MO_RIS_EI,0,COLUMN())</f>
        <v>-11.6</v>
      </c>
      <c r="AJ31" s="48" t="n">
        <f aca="false">INDEX(MO_RIS_EI,0,COLUMN())</f>
        <v>13.1</v>
      </c>
      <c r="AK31" s="159" t="n">
        <f aca="false">INDEX(MO_RIS_EI,0,COLUMN())</f>
        <v>-18.2</v>
      </c>
      <c r="AL31" s="48" t="n">
        <f aca="false">INDEX(MO_RIS_EI,0,COLUMN())</f>
        <v>-23.8</v>
      </c>
      <c r="AM31" s="48" t="n">
        <f aca="false">INDEX(MO_RIS_EI,0,COLUMN())</f>
        <v>-19.4</v>
      </c>
      <c r="AN31" s="48" t="n">
        <f aca="false">INDEX(MO_RIS_EI,0,COLUMN())</f>
        <v>-20.5</v>
      </c>
      <c r="AO31" s="48" t="n">
        <f aca="false">INDEX(MO_RIS_EI,0,COLUMN())</f>
        <v>-24.9</v>
      </c>
      <c r="AP31" s="159" t="n">
        <f aca="false">INDEX(MO_RIS_EI,0,COLUMN())</f>
        <v>-88.6</v>
      </c>
      <c r="AQ31" s="48" t="n">
        <f aca="false">INDEX(MO_RIS_EI,0,COLUMN())</f>
        <v>-13.2</v>
      </c>
      <c r="AR31" s="48" t="n">
        <f aca="false">INDEX(MO_RIS_EI,0,COLUMN())</f>
        <v>-13.2</v>
      </c>
      <c r="AS31" s="48" t="n">
        <f aca="false">INDEX(MO_RIS_EI,0,COLUMN())</f>
        <v>-102.3</v>
      </c>
      <c r="AT31" s="48" t="n">
        <f aca="false">INDEX(MO_RIS_EI,0,COLUMN())</f>
        <v>-70.4</v>
      </c>
      <c r="AU31" s="159" t="n">
        <f aca="false">INDEX(MO_RIS_EI,0,COLUMN())</f>
        <v>-199.1</v>
      </c>
      <c r="AV31" s="48" t="n">
        <f aca="false">INDEX(MO_RIS_EI,0,COLUMN())</f>
        <v>-40.7</v>
      </c>
      <c r="AW31" s="48" t="n">
        <f aca="false">INDEX(MO_RIS_EI,0,COLUMN())</f>
        <v>-14.5</v>
      </c>
      <c r="AX31" s="48" t="n">
        <f aca="false">INDEX(MO_RIS_EI,0,COLUMN())</f>
        <v>-30.1</v>
      </c>
      <c r="AY31" s="48" t="n">
        <f aca="false">INDEX(MO_RIS_EI,0,COLUMN())</f>
        <v>-52.7</v>
      </c>
      <c r="AZ31" s="159" t="n">
        <f aca="false">INDEX(MO_RIS_EI,0,COLUMN())</f>
        <v>-138</v>
      </c>
      <c r="BA31" s="48" t="n">
        <f aca="false">INDEX(MO_RIS_EI,0,COLUMN())</f>
        <v>-41.2</v>
      </c>
      <c r="BB31" s="48" t="n">
        <f aca="false">INDEX(MO_RIS_EI,0,COLUMN())</f>
        <v>-65.9</v>
      </c>
      <c r="BC31" s="48" t="n">
        <f aca="false">INDEX(MO_RIS_EI,0,COLUMN())</f>
        <v>-47.6</v>
      </c>
      <c r="BD31" s="48" t="n">
        <f aca="false">INDEX(MO_RIS_EI,0,COLUMN())</f>
        <v>-36.6</v>
      </c>
      <c r="BE31" s="159" t="n">
        <f aca="false">INDEX(MO_RIS_EI,0,COLUMN())</f>
        <v>-191.3</v>
      </c>
      <c r="BF31" s="48" t="n">
        <f aca="false">INDEX(MO_RIS_EI,0,COLUMN())</f>
        <v>-30.2</v>
      </c>
      <c r="BG31" s="48" t="n">
        <f aca="false">INDEX(MO_RIS_EI,0,COLUMN())</f>
        <v>-46.8</v>
      </c>
      <c r="BH31" s="48" t="n">
        <f aca="false">INDEX(MO_RIS_EI,0,COLUMN())</f>
        <v>-77.3</v>
      </c>
      <c r="BI31" s="48" t="n">
        <f aca="false">INDEX(MO_RIS_EI,0,COLUMN())</f>
        <v>-55.5</v>
      </c>
      <c r="BJ31" s="159" t="n">
        <f aca="false">INDEX(MO_RIS_EI,0,COLUMN())</f>
        <v>-209.8</v>
      </c>
      <c r="BK31" s="48" t="n">
        <f aca="false">INDEX(MO_RIS_EI,0,COLUMN())</f>
        <v>-33</v>
      </c>
      <c r="BL31" s="48" t="n">
        <f aca="false">INDEX(MO_RIS_EI,0,COLUMN())</f>
        <v>-88.8</v>
      </c>
      <c r="BM31" s="48" t="n">
        <f aca="false">INDEX(MO_RIS_EI,0,COLUMN())</f>
        <v>-78.9</v>
      </c>
      <c r="BN31" s="48" t="n">
        <f aca="false">INDEX(MO_RIS_EI,0,COLUMN())</f>
        <v>-16</v>
      </c>
      <c r="BO31" s="160" t="n">
        <f aca="false">INDEX(MO_RIS_EI,0,COLUMN())</f>
        <v>-216.7</v>
      </c>
      <c r="BP31" s="48" t="n">
        <f aca="false">INDEX(MO_RIS_EI,0,COLUMN())</f>
        <v>-20</v>
      </c>
      <c r="BQ31" s="48" t="n">
        <f aca="false">INDEX(MO_RIS_EI,0,COLUMN())</f>
        <v>-20</v>
      </c>
      <c r="BR31" s="48" t="n">
        <f aca="false">INDEX(MO_RIS_EI,0,COLUMN())</f>
        <v>-20</v>
      </c>
      <c r="BS31" s="48" t="n">
        <f aca="false">INDEX(MO_RIS_EI,0,COLUMN())</f>
        <v>-20</v>
      </c>
      <c r="BT31" s="159" t="n">
        <f aca="false">INDEX(MO_RIS_EI,0,COLUMN())</f>
        <v>-80</v>
      </c>
      <c r="BU31" s="48" t="n">
        <f aca="false">INDEX(MO_RIS_EI,0,COLUMN())</f>
        <v>-20</v>
      </c>
      <c r="BV31" s="48" t="n">
        <f aca="false">INDEX(MO_RIS_EI,0,COLUMN())</f>
        <v>-20</v>
      </c>
      <c r="BW31" s="48" t="n">
        <f aca="false">INDEX(MO_RIS_EI,0,COLUMN())</f>
        <v>-20</v>
      </c>
      <c r="BX31" s="48" t="n">
        <f aca="false">INDEX(MO_RIS_EI,0,COLUMN())</f>
        <v>-20</v>
      </c>
      <c r="BY31" s="159" t="n">
        <f aca="false">INDEX(MO_RIS_EI,0,COLUMN())</f>
        <v>-80</v>
      </c>
      <c r="BZ31" s="159" t="n">
        <f aca="false">INDEX(MO_RIS_EI,0,COLUMN())</f>
        <v>-80</v>
      </c>
      <c r="CA31" s="159" t="n">
        <f aca="false">INDEX(MO_RIS_EI,0,COLUMN())</f>
        <v>-80</v>
      </c>
      <c r="CB31" s="159" t="n">
        <f aca="false">INDEX(MO_RIS_EI,0,COLUMN())</f>
        <v>-80</v>
      </c>
      <c r="CC31" s="48"/>
    </row>
    <row r="32" s="51" customFormat="true" ht="15" hidden="false" customHeight="true" outlineLevel="0" collapsed="false">
      <c r="A32" s="145" t="str">
        <f aca="false">INDEX(MO_RIS_OTI,0,COLUMN())</f>
        <v>One-time item</v>
      </c>
      <c r="B32" s="254"/>
      <c r="C32" s="159" t="n">
        <f aca="false">INDEX(MO_RIS_OTI,0,COLUMN())</f>
        <v>0</v>
      </c>
      <c r="D32" s="159" t="n">
        <f aca="false">INDEX(MO_RIS_OTI,0,COLUMN())</f>
        <v>0</v>
      </c>
      <c r="E32" s="159" t="n">
        <f aca="false">INDEX(MO_RIS_OTI,0,COLUMN())</f>
        <v>0</v>
      </c>
      <c r="F32" s="159" t="n">
        <f aca="false">INDEX(MO_RIS_OTI,0,COLUMN())</f>
        <v>0</v>
      </c>
      <c r="G32" s="159" t="n">
        <f aca="false">INDEX(MO_RIS_OTI,0,COLUMN())</f>
        <v>0</v>
      </c>
      <c r="H32" s="48" t="n">
        <f aca="false">INDEX(MO_RIS_OTI,0,COLUMN())</f>
        <v>0</v>
      </c>
      <c r="I32" s="48" t="n">
        <f aca="false">INDEX(MO_RIS_OTI,0,COLUMN())</f>
        <v>0</v>
      </c>
      <c r="J32" s="48" t="n">
        <f aca="false">INDEX(MO_RIS_OTI,0,COLUMN())</f>
        <v>0</v>
      </c>
      <c r="K32" s="48" t="n">
        <f aca="false">INDEX(MO_RIS_OTI,0,COLUMN())</f>
        <v>0</v>
      </c>
      <c r="L32" s="159" t="n">
        <f aca="false">INDEX(MO_RIS_OTI,0,COLUMN())</f>
        <v>0</v>
      </c>
      <c r="M32" s="48" t="n">
        <f aca="false">INDEX(MO_RIS_OTI,0,COLUMN())</f>
        <v>0</v>
      </c>
      <c r="N32" s="48" t="n">
        <f aca="false">INDEX(MO_RIS_OTI,0,COLUMN())</f>
        <v>0</v>
      </c>
      <c r="O32" s="48" t="n">
        <f aca="false">INDEX(MO_RIS_OTI,0,COLUMN())</f>
        <v>0</v>
      </c>
      <c r="P32" s="48" t="n">
        <f aca="false">INDEX(MO_RIS_OTI,0,COLUMN())</f>
        <v>0</v>
      </c>
      <c r="Q32" s="159" t="n">
        <f aca="false">INDEX(MO_RIS_OTI,0,COLUMN())</f>
        <v>0</v>
      </c>
      <c r="R32" s="48" t="n">
        <f aca="false">INDEX(MO_RIS_OTI,0,COLUMN())</f>
        <v>0</v>
      </c>
      <c r="S32" s="48" t="n">
        <f aca="false">INDEX(MO_RIS_OTI,0,COLUMN())</f>
        <v>0</v>
      </c>
      <c r="T32" s="48" t="n">
        <f aca="false">INDEX(MO_RIS_OTI,0,COLUMN())</f>
        <v>0</v>
      </c>
      <c r="U32" s="48" t="n">
        <f aca="false">INDEX(MO_RIS_OTI,0,COLUMN())</f>
        <v>0</v>
      </c>
      <c r="V32" s="159" t="n">
        <f aca="false">INDEX(MO_RIS_OTI,0,COLUMN())</f>
        <v>0</v>
      </c>
      <c r="W32" s="48" t="n">
        <f aca="false">INDEX(MO_RIS_OTI,0,COLUMN())</f>
        <v>0</v>
      </c>
      <c r="X32" s="48" t="n">
        <f aca="false">INDEX(MO_RIS_OTI,0,COLUMN())</f>
        <v>0</v>
      </c>
      <c r="Y32" s="48" t="n">
        <f aca="false">INDEX(MO_RIS_OTI,0,COLUMN())</f>
        <v>0</v>
      </c>
      <c r="Z32" s="48" t="n">
        <f aca="false">INDEX(MO_RIS_OTI,0,COLUMN())</f>
        <v>0</v>
      </c>
      <c r="AA32" s="159" t="n">
        <f aca="false">INDEX(MO_RIS_OTI,0,COLUMN())</f>
        <v>0</v>
      </c>
      <c r="AB32" s="48" t="n">
        <f aca="false">INDEX(MO_RIS_OTI,0,COLUMN())</f>
        <v>0</v>
      </c>
      <c r="AC32" s="48" t="n">
        <f aca="false">INDEX(MO_RIS_OTI,0,COLUMN())</f>
        <v>0</v>
      </c>
      <c r="AD32" s="48" t="n">
        <f aca="false">INDEX(MO_RIS_OTI,0,COLUMN())</f>
        <v>0</v>
      </c>
      <c r="AE32" s="48" t="n">
        <f aca="false">INDEX(MO_RIS_OTI,0,COLUMN())</f>
        <v>0</v>
      </c>
      <c r="AF32" s="159" t="n">
        <f aca="false">INDEX(MO_RIS_OTI,0,COLUMN())</f>
        <v>0</v>
      </c>
      <c r="AG32" s="48" t="n">
        <f aca="false">INDEX(MO_RIS_OTI,0,COLUMN())</f>
        <v>0</v>
      </c>
      <c r="AH32" s="48" t="n">
        <f aca="false">INDEX(MO_RIS_OTI,0,COLUMN())</f>
        <v>0</v>
      </c>
      <c r="AI32" s="48" t="n">
        <f aca="false">INDEX(MO_RIS_OTI,0,COLUMN())</f>
        <v>0</v>
      </c>
      <c r="AJ32" s="48" t="n">
        <f aca="false">INDEX(MO_RIS_OTI,0,COLUMN())</f>
        <v>0</v>
      </c>
      <c r="AK32" s="159" t="n">
        <f aca="false">INDEX(MO_RIS_OTI,0,COLUMN())</f>
        <v>0</v>
      </c>
      <c r="AL32" s="48" t="n">
        <f aca="false">INDEX(MO_RIS_OTI,0,COLUMN())</f>
        <v>0</v>
      </c>
      <c r="AM32" s="48" t="n">
        <f aca="false">INDEX(MO_RIS_OTI,0,COLUMN())</f>
        <v>0</v>
      </c>
      <c r="AN32" s="48" t="n">
        <f aca="false">INDEX(MO_RIS_OTI,0,COLUMN())</f>
        <v>0</v>
      </c>
      <c r="AO32" s="48" t="n">
        <f aca="false">INDEX(MO_RIS_OTI,0,COLUMN())</f>
        <v>0</v>
      </c>
      <c r="AP32" s="159" t="n">
        <f aca="false">INDEX(MO_RIS_OTI,0,COLUMN())</f>
        <v>0</v>
      </c>
      <c r="AQ32" s="48" t="n">
        <f aca="false">INDEX(MO_RIS_OTI,0,COLUMN())</f>
        <v>0</v>
      </c>
      <c r="AR32" s="48" t="n">
        <f aca="false">INDEX(MO_RIS_OTI,0,COLUMN())</f>
        <v>0</v>
      </c>
      <c r="AS32" s="48" t="n">
        <f aca="false">INDEX(MO_RIS_OTI,0,COLUMN())</f>
        <v>0</v>
      </c>
      <c r="AT32" s="48" t="n">
        <f aca="false">INDEX(MO_RIS_OTI,0,COLUMN())</f>
        <v>0</v>
      </c>
      <c r="AU32" s="159" t="n">
        <f aca="false">INDEX(MO_RIS_OTI,0,COLUMN())</f>
        <v>0</v>
      </c>
      <c r="AV32" s="48" t="n">
        <f aca="false">INDEX(MO_RIS_OTI,0,COLUMN())</f>
        <v>0</v>
      </c>
      <c r="AW32" s="48" t="n">
        <f aca="false">INDEX(MO_RIS_OTI,0,COLUMN())</f>
        <v>0</v>
      </c>
      <c r="AX32" s="48" t="n">
        <f aca="false">INDEX(MO_RIS_OTI,0,COLUMN())</f>
        <v>0</v>
      </c>
      <c r="AY32" s="48" t="n">
        <f aca="false">INDEX(MO_RIS_OTI,0,COLUMN())</f>
        <v>0</v>
      </c>
      <c r="AZ32" s="159" t="n">
        <f aca="false">INDEX(MO_RIS_OTI,0,COLUMN())</f>
        <v>0</v>
      </c>
      <c r="BA32" s="48" t="n">
        <f aca="false">INDEX(MO_RIS_OTI,0,COLUMN())</f>
        <v>0</v>
      </c>
      <c r="BB32" s="48" t="n">
        <f aca="false">INDEX(MO_RIS_OTI,0,COLUMN())</f>
        <v>0</v>
      </c>
      <c r="BC32" s="48" t="n">
        <f aca="false">INDEX(MO_RIS_OTI,0,COLUMN())</f>
        <v>0</v>
      </c>
      <c r="BD32" s="48" t="n">
        <f aca="false">INDEX(MO_RIS_OTI,0,COLUMN())</f>
        <v>0</v>
      </c>
      <c r="BE32" s="159" t="n">
        <f aca="false">INDEX(MO_RIS_OTI,0,COLUMN())</f>
        <v>0</v>
      </c>
      <c r="BF32" s="48" t="n">
        <f aca="false">INDEX(MO_RIS_OTI,0,COLUMN())</f>
        <v>0</v>
      </c>
      <c r="BG32" s="48" t="n">
        <f aca="false">INDEX(MO_RIS_OTI,0,COLUMN())</f>
        <v>0</v>
      </c>
      <c r="BH32" s="48" t="n">
        <f aca="false">INDEX(MO_RIS_OTI,0,COLUMN())</f>
        <v>0</v>
      </c>
      <c r="BI32" s="48" t="n">
        <f aca="false">INDEX(MO_RIS_OTI,0,COLUMN())</f>
        <v>0</v>
      </c>
      <c r="BJ32" s="159" t="n">
        <f aca="false">INDEX(MO_RIS_OTI,0,COLUMN())</f>
        <v>0</v>
      </c>
      <c r="BK32" s="48" t="n">
        <f aca="false">INDEX(MO_RIS_OTI,0,COLUMN())</f>
        <v>0</v>
      </c>
      <c r="BL32" s="48" t="n">
        <f aca="false">INDEX(MO_RIS_OTI,0,COLUMN())</f>
        <v>0</v>
      </c>
      <c r="BM32" s="48" t="n">
        <f aca="false">INDEX(MO_RIS_OTI,0,COLUMN())</f>
        <v>0</v>
      </c>
      <c r="BN32" s="48" t="n">
        <f aca="false">INDEX(MO_RIS_OTI,0,COLUMN())</f>
        <v>0</v>
      </c>
      <c r="BO32" s="160" t="n">
        <f aca="false">INDEX(MO_RIS_OTI,0,COLUMN())</f>
        <v>0</v>
      </c>
      <c r="BP32" s="48" t="n">
        <f aca="false">INDEX(MO_RIS_OTI,0,COLUMN())</f>
        <v>0</v>
      </c>
      <c r="BQ32" s="48" t="n">
        <f aca="false">INDEX(MO_RIS_OTI,0,COLUMN())</f>
        <v>0</v>
      </c>
      <c r="BR32" s="48" t="n">
        <f aca="false">INDEX(MO_RIS_OTI,0,COLUMN())</f>
        <v>0</v>
      </c>
      <c r="BS32" s="48" t="n">
        <f aca="false">INDEX(MO_RIS_OTI,0,COLUMN())</f>
        <v>0</v>
      </c>
      <c r="BT32" s="159" t="n">
        <f aca="false">INDEX(MO_RIS_OTI,0,COLUMN())</f>
        <v>0</v>
      </c>
      <c r="BU32" s="48" t="n">
        <f aca="false">INDEX(MO_RIS_OTI,0,COLUMN())</f>
        <v>0</v>
      </c>
      <c r="BV32" s="48" t="n">
        <f aca="false">INDEX(MO_RIS_OTI,0,COLUMN())</f>
        <v>0</v>
      </c>
      <c r="BW32" s="48" t="n">
        <f aca="false">INDEX(MO_RIS_OTI,0,COLUMN())</f>
        <v>0</v>
      </c>
      <c r="BX32" s="48" t="n">
        <f aca="false">INDEX(MO_RIS_OTI,0,COLUMN())</f>
        <v>0</v>
      </c>
      <c r="BY32" s="159" t="n">
        <f aca="false">INDEX(MO_RIS_OTI,0,COLUMN())</f>
        <v>0</v>
      </c>
      <c r="BZ32" s="159" t="n">
        <f aca="false">INDEX(MO_RIS_OTI,0,COLUMN())</f>
        <v>0</v>
      </c>
      <c r="CA32" s="159" t="n">
        <f aca="false">INDEX(MO_RIS_OTI,0,COLUMN())</f>
        <v>0</v>
      </c>
      <c r="CB32" s="159" t="n">
        <f aca="false">INDEX(MO_RIS_OTI,0,COLUMN())</f>
        <v>0</v>
      </c>
      <c r="CC32" s="48"/>
    </row>
    <row r="33" s="51" customFormat="true" ht="15" hidden="false" customHeight="true" outlineLevel="0" collapsed="false">
      <c r="A33" s="251" t="str">
        <f aca="false">INDEX(MO_RIS_OI,0,COLUMN())</f>
        <v>Other items</v>
      </c>
      <c r="B33" s="257"/>
      <c r="C33" s="261" t="n">
        <f aca="false">INDEX(MO_RIS_OI,0,COLUMN())</f>
        <v>0</v>
      </c>
      <c r="D33" s="261" t="n">
        <f aca="false">INDEX(MO_RIS_OI,0,COLUMN())</f>
        <v>0</v>
      </c>
      <c r="E33" s="261" t="n">
        <f aca="false">INDEX(MO_RIS_OI,0,COLUMN())</f>
        <v>0</v>
      </c>
      <c r="F33" s="261" t="n">
        <f aca="false">INDEX(MO_RIS_OI,0,COLUMN())</f>
        <v>0</v>
      </c>
      <c r="G33" s="261" t="n">
        <f aca="false">INDEX(MO_RIS_OI,0,COLUMN())</f>
        <v>0</v>
      </c>
      <c r="H33" s="259" t="n">
        <f aca="false">INDEX(MO_RIS_OI,0,COLUMN())</f>
        <v>0</v>
      </c>
      <c r="I33" s="259" t="n">
        <f aca="false">INDEX(MO_RIS_OI,0,COLUMN())</f>
        <v>0</v>
      </c>
      <c r="J33" s="259" t="n">
        <f aca="false">INDEX(MO_RIS_OI,0,COLUMN())</f>
        <v>0</v>
      </c>
      <c r="K33" s="259" t="n">
        <f aca="false">INDEX(MO_RIS_OI,0,COLUMN())</f>
        <v>0</v>
      </c>
      <c r="L33" s="261" t="n">
        <f aca="false">INDEX(MO_RIS_OI,0,COLUMN())</f>
        <v>0</v>
      </c>
      <c r="M33" s="259" t="n">
        <f aca="false">INDEX(MO_RIS_OI,0,COLUMN())</f>
        <v>0</v>
      </c>
      <c r="N33" s="259" t="n">
        <f aca="false">INDEX(MO_RIS_OI,0,COLUMN())</f>
        <v>0</v>
      </c>
      <c r="O33" s="259" t="n">
        <f aca="false">INDEX(MO_RIS_OI,0,COLUMN())</f>
        <v>0</v>
      </c>
      <c r="P33" s="259" t="n">
        <f aca="false">INDEX(MO_RIS_OI,0,COLUMN())</f>
        <v>0</v>
      </c>
      <c r="Q33" s="261" t="n">
        <f aca="false">INDEX(MO_RIS_OI,0,COLUMN())</f>
        <v>0</v>
      </c>
      <c r="R33" s="259" t="n">
        <f aca="false">INDEX(MO_RIS_OI,0,COLUMN())</f>
        <v>0</v>
      </c>
      <c r="S33" s="259" t="n">
        <f aca="false">INDEX(MO_RIS_OI,0,COLUMN())</f>
        <v>0</v>
      </c>
      <c r="T33" s="259" t="n">
        <f aca="false">INDEX(MO_RIS_OI,0,COLUMN())</f>
        <v>0</v>
      </c>
      <c r="U33" s="259" t="n">
        <f aca="false">INDEX(MO_RIS_OI,0,COLUMN())</f>
        <v>0</v>
      </c>
      <c r="V33" s="261" t="n">
        <f aca="false">INDEX(MO_RIS_OI,0,COLUMN())</f>
        <v>0</v>
      </c>
      <c r="W33" s="259" t="n">
        <f aca="false">INDEX(MO_RIS_OI,0,COLUMN())</f>
        <v>0</v>
      </c>
      <c r="X33" s="259" t="n">
        <f aca="false">INDEX(MO_RIS_OI,0,COLUMN())</f>
        <v>0</v>
      </c>
      <c r="Y33" s="259" t="n">
        <f aca="false">INDEX(MO_RIS_OI,0,COLUMN())</f>
        <v>0</v>
      </c>
      <c r="Z33" s="259" t="n">
        <f aca="false">INDEX(MO_RIS_OI,0,COLUMN())</f>
        <v>0</v>
      </c>
      <c r="AA33" s="261" t="n">
        <f aca="false">INDEX(MO_RIS_OI,0,COLUMN())</f>
        <v>0</v>
      </c>
      <c r="AB33" s="259" t="n">
        <f aca="false">INDEX(MO_RIS_OI,0,COLUMN())</f>
        <v>0</v>
      </c>
      <c r="AC33" s="259" t="n">
        <f aca="false">INDEX(MO_RIS_OI,0,COLUMN())</f>
        <v>0</v>
      </c>
      <c r="AD33" s="259" t="n">
        <f aca="false">INDEX(MO_RIS_OI,0,COLUMN())</f>
        <v>0</v>
      </c>
      <c r="AE33" s="259" t="n">
        <f aca="false">INDEX(MO_RIS_OI,0,COLUMN())</f>
        <v>0</v>
      </c>
      <c r="AF33" s="261" t="n">
        <f aca="false">INDEX(MO_RIS_OI,0,COLUMN())</f>
        <v>0</v>
      </c>
      <c r="AG33" s="259" t="n">
        <f aca="false">INDEX(MO_RIS_OI,0,COLUMN())</f>
        <v>0</v>
      </c>
      <c r="AH33" s="259" t="n">
        <f aca="false">INDEX(MO_RIS_OI,0,COLUMN())</f>
        <v>0</v>
      </c>
      <c r="AI33" s="259" t="n">
        <f aca="false">INDEX(MO_RIS_OI,0,COLUMN())</f>
        <v>0</v>
      </c>
      <c r="AJ33" s="259" t="n">
        <f aca="false">INDEX(MO_RIS_OI,0,COLUMN())</f>
        <v>0</v>
      </c>
      <c r="AK33" s="261" t="n">
        <f aca="false">INDEX(MO_RIS_OI,0,COLUMN())</f>
        <v>0</v>
      </c>
      <c r="AL33" s="259" t="n">
        <f aca="false">INDEX(MO_RIS_OI,0,COLUMN())</f>
        <v>0</v>
      </c>
      <c r="AM33" s="259" t="n">
        <f aca="false">INDEX(MO_RIS_OI,0,COLUMN())</f>
        <v>0</v>
      </c>
      <c r="AN33" s="259" t="n">
        <f aca="false">INDEX(MO_RIS_OI,0,COLUMN())</f>
        <v>0</v>
      </c>
      <c r="AO33" s="259" t="n">
        <f aca="false">INDEX(MO_RIS_OI,0,COLUMN())</f>
        <v>0</v>
      </c>
      <c r="AP33" s="261" t="n">
        <f aca="false">INDEX(MO_RIS_OI,0,COLUMN())</f>
        <v>0</v>
      </c>
      <c r="AQ33" s="259" t="n">
        <f aca="false">INDEX(MO_RIS_OI,0,COLUMN())</f>
        <v>0</v>
      </c>
      <c r="AR33" s="259" t="n">
        <f aca="false">INDEX(MO_RIS_OI,0,COLUMN())</f>
        <v>0</v>
      </c>
      <c r="AS33" s="259" t="n">
        <f aca="false">INDEX(MO_RIS_OI,0,COLUMN())</f>
        <v>0</v>
      </c>
      <c r="AT33" s="259" t="n">
        <f aca="false">INDEX(MO_RIS_OI,0,COLUMN())</f>
        <v>0</v>
      </c>
      <c r="AU33" s="261" t="n">
        <f aca="false">INDEX(MO_RIS_OI,0,COLUMN())</f>
        <v>0</v>
      </c>
      <c r="AV33" s="259" t="n">
        <f aca="false">INDEX(MO_RIS_OI,0,COLUMN())</f>
        <v>0</v>
      </c>
      <c r="AW33" s="259" t="n">
        <f aca="false">INDEX(MO_RIS_OI,0,COLUMN())</f>
        <v>0</v>
      </c>
      <c r="AX33" s="259" t="n">
        <f aca="false">INDEX(MO_RIS_OI,0,COLUMN())</f>
        <v>0</v>
      </c>
      <c r="AY33" s="259" t="n">
        <f aca="false">INDEX(MO_RIS_OI,0,COLUMN())</f>
        <v>0</v>
      </c>
      <c r="AZ33" s="261" t="n">
        <f aca="false">INDEX(MO_RIS_OI,0,COLUMN())</f>
        <v>0</v>
      </c>
      <c r="BA33" s="259" t="n">
        <f aca="false">INDEX(MO_RIS_OI,0,COLUMN())</f>
        <v>0</v>
      </c>
      <c r="BB33" s="259" t="n">
        <f aca="false">INDEX(MO_RIS_OI,0,COLUMN())</f>
        <v>0</v>
      </c>
      <c r="BC33" s="259" t="n">
        <f aca="false">INDEX(MO_RIS_OI,0,COLUMN())</f>
        <v>0</v>
      </c>
      <c r="BD33" s="259" t="n">
        <f aca="false">INDEX(MO_RIS_OI,0,COLUMN())</f>
        <v>0</v>
      </c>
      <c r="BE33" s="261" t="n">
        <f aca="false">INDEX(MO_RIS_OI,0,COLUMN())</f>
        <v>0</v>
      </c>
      <c r="BF33" s="259" t="n">
        <f aca="false">INDEX(MO_RIS_OI,0,COLUMN())</f>
        <v>0</v>
      </c>
      <c r="BG33" s="259" t="n">
        <f aca="false">INDEX(MO_RIS_OI,0,COLUMN())</f>
        <v>0</v>
      </c>
      <c r="BH33" s="259" t="n">
        <f aca="false">INDEX(MO_RIS_OI,0,COLUMN())</f>
        <v>0</v>
      </c>
      <c r="BI33" s="259" t="n">
        <f aca="false">INDEX(MO_RIS_OI,0,COLUMN())</f>
        <v>0</v>
      </c>
      <c r="BJ33" s="261" t="n">
        <f aca="false">INDEX(MO_RIS_OI,0,COLUMN())</f>
        <v>0</v>
      </c>
      <c r="BK33" s="259" t="n">
        <f aca="false">INDEX(MO_RIS_OI,0,COLUMN())</f>
        <v>0</v>
      </c>
      <c r="BL33" s="259" t="n">
        <f aca="false">INDEX(MO_RIS_OI,0,COLUMN())</f>
        <v>0</v>
      </c>
      <c r="BM33" s="259" t="n">
        <f aca="false">INDEX(MO_RIS_OI,0,COLUMN())</f>
        <v>0</v>
      </c>
      <c r="BN33" s="259" t="n">
        <f aca="false">INDEX(MO_RIS_OI,0,COLUMN())</f>
        <v>0</v>
      </c>
      <c r="BO33" s="260" t="n">
        <f aca="false">INDEX(MO_RIS_OI,0,COLUMN())</f>
        <v>0</v>
      </c>
      <c r="BP33" s="259" t="n">
        <f aca="false">INDEX(MO_RIS_OI,0,COLUMN())</f>
        <v>0</v>
      </c>
      <c r="BQ33" s="259" t="n">
        <f aca="false">INDEX(MO_RIS_OI,0,COLUMN())</f>
        <v>0</v>
      </c>
      <c r="BR33" s="259" t="n">
        <f aca="false">INDEX(MO_RIS_OI,0,COLUMN())</f>
        <v>0</v>
      </c>
      <c r="BS33" s="259" t="n">
        <f aca="false">INDEX(MO_RIS_OI,0,COLUMN())</f>
        <v>0</v>
      </c>
      <c r="BT33" s="261" t="n">
        <f aca="false">INDEX(MO_RIS_OI,0,COLUMN())</f>
        <v>0</v>
      </c>
      <c r="BU33" s="259" t="n">
        <f aca="false">INDEX(MO_RIS_OI,0,COLUMN())</f>
        <v>0</v>
      </c>
      <c r="BV33" s="259" t="n">
        <f aca="false">INDEX(MO_RIS_OI,0,COLUMN())</f>
        <v>0</v>
      </c>
      <c r="BW33" s="259" t="n">
        <f aca="false">INDEX(MO_RIS_OI,0,COLUMN())</f>
        <v>0</v>
      </c>
      <c r="BX33" s="259" t="n">
        <f aca="false">INDEX(MO_RIS_OI,0,COLUMN())</f>
        <v>0</v>
      </c>
      <c r="BY33" s="261" t="n">
        <f aca="false">INDEX(MO_RIS_OI,0,COLUMN())</f>
        <v>0</v>
      </c>
      <c r="BZ33" s="261" t="n">
        <f aca="false">INDEX(MO_RIS_OI,0,COLUMN())</f>
        <v>0</v>
      </c>
      <c r="CA33" s="261" t="n">
        <f aca="false">INDEX(MO_RIS_OI,0,COLUMN())</f>
        <v>0</v>
      </c>
      <c r="CB33" s="261" t="n">
        <f aca="false">INDEX(MO_RIS_OI,0,COLUMN())</f>
        <v>0</v>
      </c>
      <c r="CC33" s="48"/>
    </row>
    <row r="34" s="157" customFormat="true" ht="15" hidden="false" customHeight="true" outlineLevel="0" collapsed="false">
      <c r="A34" s="151" t="str">
        <f aca="false">INDEX(MO_RIS_EBT,0,COLUMN())</f>
        <v>EBT</v>
      </c>
      <c r="B34" s="393"/>
      <c r="C34" s="162" t="n">
        <f aca="false">INDEX(SP_GF_EBIT,0,COLUMN())-INDEX(SP_GF_IE,0,COLUMN())-INDEX(SP_GF_OI,0,COLUMN())-INDEX(SP_GF_EI,0,COLUMN())-INDEX(SP_GF_OTI,0,COLUMN())</f>
        <v>-171.55</v>
      </c>
      <c r="D34" s="162" t="n">
        <f aca="false">INDEX(SP_GF_EBIT,0,COLUMN())-INDEX(SP_GF_IE,0,COLUMN())-INDEX(SP_GF_OI,0,COLUMN())-INDEX(SP_GF_EI,0,COLUMN())-INDEX(SP_GF_OTI,0,COLUMN())</f>
        <v>1242.523</v>
      </c>
      <c r="E34" s="162" t="n">
        <f aca="false">INDEX(SP_GF_EBIT,0,COLUMN())-INDEX(SP_GF_IE,0,COLUMN())-INDEX(SP_GF_OI,0,COLUMN())-INDEX(SP_GF_EI,0,COLUMN())-INDEX(SP_GF_OTI,0,COLUMN())</f>
        <v>1648.635</v>
      </c>
      <c r="F34" s="162" t="n">
        <f aca="false">INDEX(SP_GF_EBIT,0,COLUMN())-INDEX(SP_GF_IE,0,COLUMN())-INDEX(SP_GF_OI,0,COLUMN())-INDEX(SP_GF_EI,0,COLUMN())-INDEX(SP_GF_OTI,0,COLUMN())</f>
        <v>1150.578</v>
      </c>
      <c r="G34" s="162" t="n">
        <f aca="false">INDEX(SP_GF_EBIT,0,COLUMN())-INDEX(SP_GF_IE,0,COLUMN())-INDEX(SP_GF_OI,0,COLUMN())-INDEX(SP_GF_EI,0,COLUMN())-INDEX(SP_GF_OTI,0,COLUMN())</f>
        <v>1023.477</v>
      </c>
      <c r="H34" s="163" t="n">
        <f aca="false">INDEX(SP_GF_EBIT,0,COLUMN())-INDEX(SP_GF_IE,0,COLUMN())-INDEX(SP_GF_OI,0,COLUMN())-INDEX(SP_GF_EI,0,COLUMN())-INDEX(SP_GF_OTI,0,COLUMN())</f>
        <v>263.1</v>
      </c>
      <c r="I34" s="163" t="n">
        <f aca="false">INDEX(SP_GF_EBIT,0,COLUMN())-INDEX(SP_GF_IE,0,COLUMN())-INDEX(SP_GF_OI,0,COLUMN())-INDEX(SP_GF_EI,0,COLUMN())-INDEX(SP_GF_OTI,0,COLUMN())</f>
        <v>424</v>
      </c>
      <c r="J34" s="163" t="n">
        <f aca="false">INDEX(SP_GF_EBIT,0,COLUMN())-INDEX(SP_GF_IE,0,COLUMN())-INDEX(SP_GF_OI,0,COLUMN())-INDEX(SP_GF_EI,0,COLUMN())-INDEX(SP_GF_OTI,0,COLUMN())</f>
        <v>259.4</v>
      </c>
      <c r="K34" s="163" t="n">
        <f aca="false">INDEX(SP_GF_EBIT,0,COLUMN())-INDEX(SP_GF_IE,0,COLUMN())-INDEX(SP_GF_OI,0,COLUMN())-INDEX(SP_GF_EI,0,COLUMN())-INDEX(SP_GF_OTI,0,COLUMN())</f>
        <v>327.1</v>
      </c>
      <c r="L34" s="162" t="n">
        <f aca="false">INDEX(SP_GF_EBIT,0,COLUMN())-INDEX(SP_GF_IE,0,COLUMN())-INDEX(SP_GF_OI,0,COLUMN())-INDEX(SP_GF_EI,0,COLUMN())-INDEX(SP_GF_OTI,0,COLUMN())</f>
        <v>1273.635</v>
      </c>
      <c r="M34" s="163" t="n">
        <f aca="false">INDEX(SP_GF_EBIT,0,COLUMN())-INDEX(SP_GF_IE,0,COLUMN())-INDEX(SP_GF_OI,0,COLUMN())-INDEX(SP_GF_EI,0,COLUMN())-INDEX(SP_GF_OTI,0,COLUMN())</f>
        <v>452.2</v>
      </c>
      <c r="N34" s="163" t="n">
        <f aca="false">INDEX(SP_GF_EBIT,0,COLUMN())-INDEX(SP_GF_IE,0,COLUMN())-INDEX(SP_GF_OI,0,COLUMN())-INDEX(SP_GF_EI,0,COLUMN())-INDEX(SP_GF_OTI,0,COLUMN())</f>
        <v>414.7</v>
      </c>
      <c r="O34" s="163" t="n">
        <f aca="false">INDEX(SP_GF_EBIT,0,COLUMN())-INDEX(SP_GF_IE,0,COLUMN())-INDEX(SP_GF_OI,0,COLUMN())-INDEX(SP_GF_EI,0,COLUMN())-INDEX(SP_GF_OTI,0,COLUMN())</f>
        <v>368.2</v>
      </c>
      <c r="P34" s="163" t="n">
        <f aca="false">INDEX(SP_GF_EBIT,0,COLUMN())-INDEX(SP_GF_IE,0,COLUMN())-INDEX(SP_GF_OI,0,COLUMN())-INDEX(SP_GF_EI,0,COLUMN())-INDEX(SP_GF_OTI,0,COLUMN())</f>
        <v>313.5</v>
      </c>
      <c r="Q34" s="162" t="n">
        <f aca="false">INDEX(SP_GF_EBIT,0,COLUMN())-INDEX(SP_GF_IE,0,COLUMN())-INDEX(SP_GF_OI,0,COLUMN())-INDEX(SP_GF_EI,0,COLUMN())-INDEX(SP_GF_OTI,0,COLUMN())</f>
        <v>1548.62</v>
      </c>
      <c r="R34" s="163" t="n">
        <f aca="false">INDEX(SP_GF_EBIT,0,COLUMN())-INDEX(SP_GF_IE,0,COLUMN())-INDEX(SP_GF_OI,0,COLUMN())-INDEX(SP_GF_EI,0,COLUMN())-INDEX(SP_GF_OTI,0,COLUMN())</f>
        <v>224.4</v>
      </c>
      <c r="S34" s="163" t="n">
        <f aca="false">INDEX(SP_GF_EBIT,0,COLUMN())-INDEX(SP_GF_IE,0,COLUMN())-INDEX(SP_GF_OI,0,COLUMN())-INDEX(SP_GF_EI,0,COLUMN())-INDEX(SP_GF_OTI,0,COLUMN())</f>
        <v>400.6</v>
      </c>
      <c r="T34" s="163" t="n">
        <f aca="false">INDEX(SP_GF_EBIT,0,COLUMN())-INDEX(SP_GF_IE,0,COLUMN())-INDEX(SP_GF_OI,0,COLUMN())-INDEX(SP_GF_EI,0,COLUMN())-INDEX(SP_GF_OTI,0,COLUMN())</f>
        <v>461.7</v>
      </c>
      <c r="U34" s="163" t="n">
        <f aca="false">INDEX(SP_GF_EBIT,0,COLUMN())-INDEX(SP_GF_IE,0,COLUMN())-INDEX(SP_GF_OI,0,COLUMN())-INDEX(SP_GF_EI,0,COLUMN())-INDEX(SP_GF_OTI,0,COLUMN())</f>
        <v>604.7</v>
      </c>
      <c r="V34" s="162" t="n">
        <f aca="false">INDEX(SP_GF_EBIT,0,COLUMN())-INDEX(SP_GF_IE,0,COLUMN())-INDEX(SP_GF_OI,0,COLUMN())-INDEX(SP_GF_EI,0,COLUMN())-INDEX(SP_GF_OTI,0,COLUMN())</f>
        <v>1691.4</v>
      </c>
      <c r="W34" s="163" t="n">
        <f aca="false">INDEX(SP_GF_EBIT,0,COLUMN())-INDEX(SP_GF_IE,0,COLUMN())-INDEX(SP_GF_OI,0,COLUMN())-INDEX(SP_GF_EI,0,COLUMN())-INDEX(SP_GF_OTI,0,COLUMN())</f>
        <v>520.7</v>
      </c>
      <c r="X34" s="163" t="n">
        <f aca="false">INDEX(SP_GF_EBIT,0,COLUMN())-INDEX(SP_GF_IE,0,COLUMN())-INDEX(SP_GF_OI,0,COLUMN())-INDEX(SP_GF_EI,0,COLUMN())-INDEX(SP_GF_OTI,0,COLUMN())</f>
        <v>545</v>
      </c>
      <c r="Y34" s="163" t="n">
        <f aca="false">INDEX(SP_GF_EBIT,0,COLUMN())-INDEX(SP_GF_IE,0,COLUMN())-INDEX(SP_GF_OI,0,COLUMN())-INDEX(SP_GF_EI,0,COLUMN())-INDEX(SP_GF_OTI,0,COLUMN())</f>
        <v>643.1</v>
      </c>
      <c r="Z34" s="163" t="n">
        <f aca="false">INDEX(SP_GF_EBIT,0,COLUMN())-INDEX(SP_GF_IE,0,COLUMN())-INDEX(SP_GF_OI,0,COLUMN())-INDEX(SP_GF_EI,0,COLUMN())-INDEX(SP_GF_OTI,0,COLUMN())</f>
        <v>720.4</v>
      </c>
      <c r="AA34" s="162" t="n">
        <f aca="false">INDEX(SP_GF_EBIT,0,COLUMN())-INDEX(SP_GF_IE,0,COLUMN())-INDEX(SP_GF_OI,0,COLUMN())-INDEX(SP_GF_EI,0,COLUMN())-INDEX(SP_GF_OTI,0,COLUMN())</f>
        <v>2429.2</v>
      </c>
      <c r="AB34" s="163" t="n">
        <f aca="false">INDEX(SP_GF_EBIT,0,COLUMN())-INDEX(SP_GF_IE,0,COLUMN())-INDEX(SP_GF_OI,0,COLUMN())-INDEX(SP_GF_EI,0,COLUMN())-INDEX(SP_GF_OTI,0,COLUMN())</f>
        <v>614.1</v>
      </c>
      <c r="AC34" s="163" t="n">
        <f aca="false">INDEX(SP_GF_EBIT,0,COLUMN())-INDEX(SP_GF_IE,0,COLUMN())-INDEX(SP_GF_OI,0,COLUMN())-INDEX(SP_GF_EI,0,COLUMN())-INDEX(SP_GF_OTI,0,COLUMN())</f>
        <v>691.5</v>
      </c>
      <c r="AD34" s="163" t="n">
        <f aca="false">INDEX(SP_GF_EBIT,0,COLUMN())-INDEX(SP_GF_IE,0,COLUMN())-INDEX(SP_GF_OI,0,COLUMN())-INDEX(SP_GF_EI,0,COLUMN())-INDEX(SP_GF_OTI,0,COLUMN())</f>
        <v>810</v>
      </c>
      <c r="AE34" s="163" t="n">
        <f aca="false">INDEX(SP_GF_EBIT,0,COLUMN())-INDEX(SP_GF_IE,0,COLUMN())-INDEX(SP_GF_OI,0,COLUMN())-INDEX(SP_GF_EI,0,COLUMN())-INDEX(SP_GF_OTI,0,COLUMN())</f>
        <v>827.600000000001</v>
      </c>
      <c r="AF34" s="162" t="n">
        <f aca="false">INDEX(SP_GF_EBIT,0,COLUMN())-INDEX(SP_GF_IE,0,COLUMN())-INDEX(SP_GF_OI,0,COLUMN())-INDEX(SP_GF_EI,0,COLUMN())-INDEX(SP_GF_OTI,0,COLUMN())</f>
        <v>2943.2</v>
      </c>
      <c r="AG34" s="163" t="n">
        <f aca="false">INDEX(SP_GF_EBIT,0,COLUMN())-INDEX(SP_GF_IE,0,COLUMN())-INDEX(SP_GF_OI,0,COLUMN())-INDEX(SP_GF_EI,0,COLUMN())-INDEX(SP_GF_OTI,0,COLUMN())</f>
        <v>338.4</v>
      </c>
      <c r="AH34" s="163" t="n">
        <f aca="false">INDEX(SP_GF_EBIT,0,COLUMN())-INDEX(SP_GF_IE,0,COLUMN())-INDEX(SP_GF_OI,0,COLUMN())-INDEX(SP_GF_EI,0,COLUMN())-INDEX(SP_GF_OTI,0,COLUMN())</f>
        <v>495.1</v>
      </c>
      <c r="AI34" s="163" t="n">
        <f aca="false">INDEX(SP_GF_EBIT,0,COLUMN())-INDEX(SP_GF_IE,0,COLUMN())-INDEX(SP_GF_OI,0,COLUMN())-INDEX(SP_GF_EI,0,COLUMN())-INDEX(SP_GF_OTI,0,COLUMN())</f>
        <v>691.8</v>
      </c>
      <c r="AJ34" s="163" t="n">
        <f aca="false">INDEX(SP_GF_EBIT,0,COLUMN())-INDEX(SP_GF_IE,0,COLUMN())-INDEX(SP_GF_OI,0,COLUMN())-INDEX(SP_GF_EI,0,COLUMN())-INDEX(SP_GF_OTI,0,COLUMN())</f>
        <v>1258.7</v>
      </c>
      <c r="AK34" s="162" t="n">
        <f aca="false">INDEX(SP_GF_EBIT,0,COLUMN())-INDEX(SP_GF_IE,0,COLUMN())-INDEX(SP_GF_OI,0,COLUMN())-INDEX(SP_GF_EI,0,COLUMN())-INDEX(SP_GF_OTI,0,COLUMN())</f>
        <v>2784</v>
      </c>
      <c r="AL34" s="163" t="n">
        <f aca="false">INDEX(SP_GF_EBIT,0,COLUMN())-INDEX(SP_GF_IE,0,COLUMN())-INDEX(SP_GF_OI,0,COLUMN())-INDEX(SP_GF_EI,0,COLUMN())-INDEX(SP_GF_OTI,0,COLUMN())</f>
        <v>439.1</v>
      </c>
      <c r="AM34" s="163" t="n">
        <f aca="false">INDEX(SP_GF_EBIT,0,COLUMN())-INDEX(SP_GF_IE,0,COLUMN())-INDEX(SP_GF_OI,0,COLUMN())-INDEX(SP_GF_EI,0,COLUMN())-INDEX(SP_GF_OTI,0,COLUMN())</f>
        <v>917.4</v>
      </c>
      <c r="AN34" s="163" t="n">
        <f aca="false">INDEX(SP_GF_EBIT,0,COLUMN())-INDEX(SP_GF_IE,0,COLUMN())-INDEX(SP_GF_OI,0,COLUMN())-INDEX(SP_GF_EI,0,COLUMN())-INDEX(SP_GF_OTI,0,COLUMN())</f>
        <v>1228</v>
      </c>
      <c r="AO34" s="163" t="n">
        <f aca="false">INDEX(SP_GF_EBIT,0,COLUMN())-INDEX(SP_GF_IE,0,COLUMN())-INDEX(SP_GF_OI,0,COLUMN())-INDEX(SP_GF_EI,0,COLUMN())-INDEX(SP_GF_OTI,0,COLUMN())</f>
        <v>1520.7</v>
      </c>
      <c r="AP34" s="162" t="n">
        <f aca="false">INDEX(SP_GF_EBIT,0,COLUMN())-INDEX(SP_GF_IE,0,COLUMN())-INDEX(SP_GF_OI,0,COLUMN())-INDEX(SP_GF_EI,0,COLUMN())-INDEX(SP_GF_OTI,0,COLUMN())</f>
        <v>4105.2</v>
      </c>
      <c r="AQ34" s="163" t="n">
        <f aca="false">INDEX(SP_GF_EBIT,0,COLUMN())-INDEX(SP_GF_IE,0,COLUMN())-INDEX(SP_GF_OI,0,COLUMN())-INDEX(SP_GF_EI,0,COLUMN())-INDEX(SP_GF_OTI,0,COLUMN())</f>
        <v>1561.7</v>
      </c>
      <c r="AR34" s="163" t="n">
        <f aca="false">INDEX(SP_GF_EBIT,0,COLUMN())-INDEX(SP_GF_IE,0,COLUMN())-INDEX(SP_GF_OI,0,COLUMN())-INDEX(SP_GF_EI,0,COLUMN())-INDEX(SP_GF_OTI,0,COLUMN())</f>
        <v>1242.4</v>
      </c>
      <c r="AS34" s="163" t="n">
        <f aca="false">INDEX(SP_GF_EBIT,0,COLUMN())-INDEX(SP_GF_IE,0,COLUMN())-INDEX(SP_GF_OI,0,COLUMN())-INDEX(SP_GF_EI,0,COLUMN())-INDEX(SP_GF_OTI,0,COLUMN())</f>
        <v>2011.1</v>
      </c>
      <c r="AT34" s="163" t="n">
        <f aca="false">INDEX(SP_GF_EBIT,0,COLUMN())-INDEX(SP_GF_IE,0,COLUMN())-INDEX(SP_GF_OI,0,COLUMN())-INDEX(SP_GF_EI,0,COLUMN())-INDEX(SP_GF_OTI,0,COLUMN())</f>
        <v>2089.4</v>
      </c>
      <c r="AU34" s="162" t="n">
        <f aca="false">INDEX(SP_GF_EBIT,0,COLUMN())-INDEX(SP_GF_IE,0,COLUMN())-INDEX(SP_GF_OI,0,COLUMN())-INDEX(SP_GF_EI,0,COLUMN())-INDEX(SP_GF_OTI,0,COLUMN())</f>
        <v>6904.6</v>
      </c>
      <c r="AV34" s="163" t="n">
        <f aca="false">INDEX(SP_GF_EBIT,0,COLUMN())-INDEX(SP_GF_IE,0,COLUMN())-INDEX(SP_GF_OI,0,COLUMN())-INDEX(SP_GF_EI,0,COLUMN())-INDEX(SP_GF_OTI,0,COLUMN())</f>
        <v>809.7</v>
      </c>
      <c r="AW34" s="163" t="n">
        <f aca="false">INDEX(SP_GF_EBIT,0,COLUMN())-INDEX(SP_GF_IE,0,COLUMN())-INDEX(SP_GF_OI,0,COLUMN())-INDEX(SP_GF_EI,0,COLUMN())-INDEX(SP_GF_OTI,0,COLUMN())</f>
        <v>1657.1</v>
      </c>
      <c r="AX34" s="163" t="n">
        <f aca="false">INDEX(SP_GF_EBIT,0,COLUMN())-INDEX(SP_GF_IE,0,COLUMN())-INDEX(SP_GF_OI,0,COLUMN())-INDEX(SP_GF_EI,0,COLUMN())-INDEX(SP_GF_OTI,0,COLUMN())</f>
        <v>1953.5</v>
      </c>
      <c r="AY34" s="163" t="n">
        <f aca="false">INDEX(SP_GF_EBIT,0,COLUMN())-INDEX(SP_GF_IE,0,COLUMN())-INDEX(SP_GF_OI,0,COLUMN())-INDEX(SP_GF_EI,0,COLUMN())-INDEX(SP_GF_OTI,0,COLUMN())</f>
        <v>2173.8</v>
      </c>
      <c r="AZ34" s="162" t="n">
        <f aca="false">INDEX(SP_GF_EBIT,0,COLUMN())-INDEX(SP_GF_IE,0,COLUMN())-INDEX(SP_GF_OI,0,COLUMN())-INDEX(SP_GF_EI,0,COLUMN())-INDEX(SP_GF_OTI,0,COLUMN())</f>
        <v>6594.1</v>
      </c>
      <c r="BA34" s="163" t="n">
        <f aca="false">INDEX(SP_GF_EBIT,0,COLUMN())-INDEX(SP_GF_IE,0,COLUMN())-INDEX(SP_GF_OI,0,COLUMN())-INDEX(SP_GF_EI,0,COLUMN())-INDEX(SP_GF_OTI,0,COLUMN())</f>
        <v>2258.4</v>
      </c>
      <c r="BB34" s="163" t="n">
        <f aca="false">INDEX(SP_GF_EBIT,0,COLUMN())-INDEX(SP_GF_IE,0,COLUMN())-INDEX(SP_GF_OI,0,COLUMN())-INDEX(SP_GF_EI,0,COLUMN())-INDEX(SP_GF_OTI,0,COLUMN())</f>
        <v>2345.6</v>
      </c>
      <c r="BC34" s="163" t="n">
        <f aca="false">INDEX(SP_GF_EBIT,0,COLUMN())-INDEX(SP_GF_IE,0,COLUMN())-INDEX(SP_GF_OI,0,COLUMN())-INDEX(SP_GF_EI,0,COLUMN())-INDEX(SP_GF_OTI,0,COLUMN())</f>
        <v>2237.1</v>
      </c>
      <c r="BD34" s="163" t="n">
        <f aca="false">INDEX(SP_GF_EBIT,0,COLUMN())-INDEX(SP_GF_IE,0,COLUMN())-INDEX(SP_GF_OI,0,COLUMN())-INDEX(SP_GF_EI,0,COLUMN())-INDEX(SP_GF_OTI,0,COLUMN())</f>
        <v>2433.7</v>
      </c>
      <c r="BE34" s="162" t="n">
        <f aca="false">INDEX(SP_GF_EBIT,0,COLUMN())-INDEX(SP_GF_IE,0,COLUMN())-INDEX(SP_GF_OI,0,COLUMN())-INDEX(SP_GF_EI,0,COLUMN())-INDEX(SP_GF_OTI,0,COLUMN())</f>
        <v>9274.8</v>
      </c>
      <c r="BF34" s="163" t="n">
        <f aca="false">INDEX(SP_GF_EBIT,0,COLUMN())-INDEX(SP_GF_IE,0,COLUMN())-INDEX(SP_GF_OI,0,COLUMN())-INDEX(SP_GF_EI,0,COLUMN())-INDEX(SP_GF_OTI,0,COLUMN())</f>
        <v>1447.8</v>
      </c>
      <c r="BG34" s="163" t="n">
        <f aca="false">INDEX(SP_GF_EBIT,0,COLUMN())-INDEX(SP_GF_IE,0,COLUMN())-INDEX(SP_GF_OI,0,COLUMN())-INDEX(SP_GF_EI,0,COLUMN())-INDEX(SP_GF_OTI,0,COLUMN())</f>
        <v>1869.5</v>
      </c>
      <c r="BH34" s="163" t="n">
        <f aca="false">INDEX(SP_GF_EBIT,0,COLUMN())-INDEX(SP_GF_IE,0,COLUMN())-INDEX(SP_GF_OI,0,COLUMN())-INDEX(SP_GF_EI,0,COLUMN())-INDEX(SP_GF_OTI,0,COLUMN())</f>
        <v>2517.7</v>
      </c>
      <c r="BI34" s="163" t="n">
        <f aca="false">INDEX(SP_GF_EBIT,0,COLUMN())-INDEX(SP_GF_IE,0,COLUMN())-INDEX(SP_GF_OI,0,COLUMN())-INDEX(SP_GF_EI,0,COLUMN())-INDEX(SP_GF_OTI,0,COLUMN())</f>
        <v>3417.2</v>
      </c>
      <c r="BJ34" s="162" t="n">
        <f aca="false">INDEX(SP_GF_EBIT,0,COLUMN())-INDEX(SP_GF_IE,0,COLUMN())-INDEX(SP_GF_OI,0,COLUMN())-INDEX(SP_GF_EI,0,COLUMN())-INDEX(SP_GF_OTI,0,COLUMN())</f>
        <v>9252.2</v>
      </c>
      <c r="BK34" s="163" t="n">
        <f aca="false">INDEX(SP_GF_EBIT,0,COLUMN())-INDEX(SP_GF_IE,0,COLUMN())-INDEX(SP_GF_OI,0,COLUMN())-INDEX(SP_GF_EI,0,COLUMN())-INDEX(SP_GF_OTI,0,COLUMN())</f>
        <v>2820.1</v>
      </c>
      <c r="BL34" s="163" t="n">
        <f aca="false">INDEX(SP_GF_EBIT,0,COLUMN())-INDEX(SP_GF_IE,0,COLUMN())-INDEX(SP_GF_OI,0,COLUMN())-INDEX(SP_GF_EI,0,COLUMN())-INDEX(SP_GF_OTI,0,COLUMN())</f>
        <v>2777.7</v>
      </c>
      <c r="BM34" s="163" t="n">
        <f aca="false">INDEX(SP_GF_EBIT,0,COLUMN())-INDEX(SP_GF_IE,0,COLUMN())-INDEX(SP_GF_OI,0,COLUMN())-INDEX(SP_GF_EI,0,COLUMN())-INDEX(SP_GF_OTI,0,COLUMN())</f>
        <v>2566.7</v>
      </c>
      <c r="BN34" s="163" t="n">
        <f aca="false">INDEX(SP_GF_EBIT,0,COLUMN())-INDEX(SP_GF_IE,0,COLUMN())-INDEX(SP_GF_OI,0,COLUMN())-INDEX(SP_GF_EI,0,COLUMN())-INDEX(SP_GF_OTI,0,COLUMN())</f>
        <v>3458.3</v>
      </c>
      <c r="BO34" s="164" t="n">
        <f aca="false">INDEX(SP_GF_EBIT,0,COLUMN())-INDEX(SP_GF_IE,0,COLUMN())-INDEX(SP_GF_OI,0,COLUMN())-INDEX(SP_GF_EI,0,COLUMN())-INDEX(SP_GF_OTI,0,COLUMN())</f>
        <v>11622.8</v>
      </c>
      <c r="BP34" s="163" t="n">
        <f aca="false">INDEX(SP_GF_EBIT,0,COLUMN())-INDEX(SP_GF_IE,0,COLUMN())-INDEX(SP_GF_OI,0,COLUMN())-INDEX(SP_GF_EI,0,COLUMN())-INDEX(SP_GF_OTI,0,COLUMN())</f>
        <v>2945.30848161593</v>
      </c>
      <c r="BQ34" s="163" t="n">
        <f aca="false">INDEX(SP_GF_EBIT,0,COLUMN())-INDEX(SP_GF_IE,0,COLUMN())-INDEX(SP_GF_OI,0,COLUMN())-INDEX(SP_GF_EI,0,COLUMN())-INDEX(SP_GF_OTI,0,COLUMN())</f>
        <v>3479.80016816564</v>
      </c>
      <c r="BR34" s="163" t="n">
        <f aca="false">INDEX(SP_GF_EBIT,0,COLUMN())-INDEX(SP_GF_IE,0,COLUMN())-INDEX(SP_GF_OI,0,COLUMN())-INDEX(SP_GF_EI,0,COLUMN())-INDEX(SP_GF_OTI,0,COLUMN())</f>
        <v>3242.48694735563</v>
      </c>
      <c r="BS34" s="163" t="n">
        <f aca="false">INDEX(SP_GF_EBIT,0,COLUMN())-INDEX(SP_GF_IE,0,COLUMN())-INDEX(SP_GF_OI,0,COLUMN())-INDEX(SP_GF_EI,0,COLUMN())-INDEX(SP_GF_OTI,0,COLUMN())</f>
        <v>3604.16457259029</v>
      </c>
      <c r="BT34" s="162" t="n">
        <f aca="false">INDEX(SP_GF_EBIT,0,COLUMN())-INDEX(SP_GF_IE,0,COLUMN())-INDEX(SP_GF_OI,0,COLUMN())-INDEX(SP_GF_EI,0,COLUMN())-INDEX(SP_GF_OTI,0,COLUMN())</f>
        <v>13271.7601697275</v>
      </c>
      <c r="BU34" s="163" t="n">
        <f aca="false">INDEX(SP_GF_EBIT,0,COLUMN())-INDEX(SP_GF_IE,0,COLUMN())-INDEX(SP_GF_OI,0,COLUMN())-INDEX(SP_GF_EI,0,COLUMN())-INDEX(SP_GF_OTI,0,COLUMN())</f>
        <v>3103.15284863983</v>
      </c>
      <c r="BV34" s="163" t="n">
        <f aca="false">INDEX(SP_GF_EBIT,0,COLUMN())-INDEX(SP_GF_IE,0,COLUMN())-INDEX(SP_GF_OI,0,COLUMN())-INDEX(SP_GF_EI,0,COLUMN())-INDEX(SP_GF_OTI,0,COLUMN())</f>
        <v>4189.79386905868</v>
      </c>
      <c r="BW34" s="163" t="n">
        <f aca="false">INDEX(SP_GF_EBIT,0,COLUMN())-INDEX(SP_GF_IE,0,COLUMN())-INDEX(SP_GF_OI,0,COLUMN())-INDEX(SP_GF_EI,0,COLUMN())-INDEX(SP_GF_OTI,0,COLUMN())</f>
        <v>3860.94191573693</v>
      </c>
      <c r="BX34" s="163" t="n">
        <f aca="false">INDEX(SP_GF_EBIT,0,COLUMN())-INDEX(SP_GF_IE,0,COLUMN())-INDEX(SP_GF_OI,0,COLUMN())-INDEX(SP_GF_EI,0,COLUMN())-INDEX(SP_GF_OTI,0,COLUMN())</f>
        <v>3897.00927408823</v>
      </c>
      <c r="BY34" s="162" t="n">
        <f aca="false">INDEX(SP_GF_EBIT,0,COLUMN())-INDEX(SP_GF_IE,0,COLUMN())-INDEX(SP_GF_OI,0,COLUMN())-INDEX(SP_GF_EI,0,COLUMN())-INDEX(SP_GF_OTI,0,COLUMN())</f>
        <v>15050.8979075237</v>
      </c>
      <c r="BZ34" s="162" t="n">
        <f aca="false">INDEX(SP_GF_EBIT,0,COLUMN())-INDEX(SP_GF_IE,0,COLUMN())-INDEX(SP_GF_OI,0,COLUMN())-INDEX(SP_GF_EI,0,COLUMN())-INDEX(SP_GF_OTI,0,COLUMN())</f>
        <v>18438.6058576864</v>
      </c>
      <c r="CA34" s="162" t="n">
        <f aca="false">INDEX(SP_GF_EBIT,0,COLUMN())-INDEX(SP_GF_IE,0,COLUMN())-INDEX(SP_GF_OI,0,COLUMN())-INDEX(SP_GF_EI,0,COLUMN())-INDEX(SP_GF_OTI,0,COLUMN())</f>
        <v>19672.1865618536</v>
      </c>
      <c r="CB34" s="162" t="n">
        <f aca="false">INDEX(SP_GF_EBIT,0,COLUMN())-INDEX(SP_GF_IE,0,COLUMN())-INDEX(SP_GF_OI,0,COLUMN())-INDEX(SP_GF_EI,0,COLUMN())-INDEX(SP_GF_OTI,0,COLUMN())</f>
        <v>20993.2135813057</v>
      </c>
      <c r="CC34" s="268"/>
    </row>
    <row r="35" s="51" customFormat="true" ht="15" hidden="false" customHeight="true" outlineLevel="0" collapsed="false">
      <c r="A35" s="145" t="s">
        <v>801</v>
      </c>
      <c r="B35" s="254"/>
      <c r="C35" s="159" t="n">
        <f aca="false">INDEX(MO_RIS_Tax_Current,0,COLUMN())+INDEX(MO_RIS_Tax_Deferred,0,COLUMN())</f>
        <v>-20.625</v>
      </c>
      <c r="D35" s="159" t="n">
        <f aca="false">INDEX(MO_RIS_Tax_Current,0,COLUMN())+INDEX(MO_RIS_Tax_Deferred,0,COLUMN())</f>
        <v>220.703</v>
      </c>
      <c r="E35" s="159" t="n">
        <f aca="false">INDEX(MO_RIS_Tax_Current,0,COLUMN())+INDEX(MO_RIS_Tax_Deferred,0,COLUMN())</f>
        <v>181.675</v>
      </c>
      <c r="F35" s="159" t="n">
        <f aca="false">INDEX(MO_RIS_Tax_Current,0,COLUMN())+INDEX(MO_RIS_Tax_Deferred,0,COLUMN())</f>
        <v>4.262</v>
      </c>
      <c r="G35" s="159" t="n">
        <f aca="false">INDEX(MO_RIS_Tax_Current,0,COLUMN())+INDEX(MO_RIS_Tax_Deferred,0,COLUMN())</f>
        <v>7.987</v>
      </c>
      <c r="H35" s="48" t="n">
        <f aca="false">INDEX(MO_RIS_Tax_Current,0,COLUMN())+INDEX(MO_RIS_Tax_Deferred,0,COLUMN())</f>
        <v>14</v>
      </c>
      <c r="I35" s="48" t="n">
        <f aca="false">INDEX(MO_RIS_Tax_Current,0,COLUMN())+INDEX(MO_RIS_Tax_Deferred,0,COLUMN())</f>
        <v>25.3</v>
      </c>
      <c r="J35" s="48" t="n">
        <f aca="false">INDEX(MO_RIS_Tax_Current,0,COLUMN())+INDEX(MO_RIS_Tax_Deferred,0,COLUMN())</f>
        <v>15.4</v>
      </c>
      <c r="K35" s="48" t="n">
        <f aca="false">INDEX(MO_RIS_Tax_Current,0,COLUMN())+INDEX(MO_RIS_Tax_Deferred,0,COLUMN())</f>
        <v>22.3</v>
      </c>
      <c r="L35" s="159" t="n">
        <f aca="false">INDEX(MO_RIS_Tax_Current,0,COLUMN())+INDEX(MO_RIS_Tax_Deferred,0,COLUMN())</f>
        <v>76.995</v>
      </c>
      <c r="M35" s="48" t="n">
        <f aca="false">INDEX(MO_RIS_Tax_Current,0,COLUMN())+INDEX(MO_RIS_Tax_Deferred,0,COLUMN())</f>
        <v>49.5</v>
      </c>
      <c r="N35" s="48" t="n">
        <f aca="false">INDEX(MO_RIS_Tax_Current,0,COLUMN())+INDEX(MO_RIS_Tax_Deferred,0,COLUMN())</f>
        <v>45</v>
      </c>
      <c r="O35" s="48" t="n">
        <f aca="false">INDEX(MO_RIS_Tax_Current,0,COLUMN())+INDEX(MO_RIS_Tax_Deferred,0,COLUMN())</f>
        <v>45.8</v>
      </c>
      <c r="P35" s="48" t="n">
        <f aca="false">INDEX(MO_RIS_Tax_Current,0,COLUMN())+INDEX(MO_RIS_Tax_Deferred,0,COLUMN())</f>
        <v>21.1</v>
      </c>
      <c r="Q35" s="159" t="n">
        <f aca="false">INDEX(MO_RIS_Tax_Current,0,COLUMN())+INDEX(MO_RIS_Tax_Deferred,0,COLUMN())</f>
        <v>161.446</v>
      </c>
      <c r="R35" s="48" t="n">
        <f aca="false">INDEX(MO_RIS_Tax_Current,0,COLUMN())+INDEX(MO_RIS_Tax_Deferred,0,COLUMN())</f>
        <v>26.4</v>
      </c>
      <c r="S35" s="48" t="n">
        <f aca="false">INDEX(MO_RIS_Tax_Current,0,COLUMN())+INDEX(MO_RIS_Tax_Deferred,0,COLUMN())</f>
        <v>46.8</v>
      </c>
      <c r="T35" s="48" t="n">
        <f aca="false">INDEX(MO_RIS_Tax_Current,0,COLUMN())+INDEX(MO_RIS_Tax_Deferred,0,COLUMN())</f>
        <v>65.8</v>
      </c>
      <c r="U35" s="48" t="n">
        <f aca="false">INDEX(MO_RIS_Tax_Current,0,COLUMN())+INDEX(MO_RIS_Tax_Deferred,0,COLUMN())</f>
        <v>80.5</v>
      </c>
      <c r="V35" s="159" t="n">
        <f aca="false">INDEX(MO_RIS_Tax_Current,0,COLUMN())+INDEX(MO_RIS_Tax_Deferred,0,COLUMN())</f>
        <v>219.5</v>
      </c>
      <c r="W35" s="48" t="n">
        <f aca="false">INDEX(MO_RIS_Tax_Current,0,COLUMN())+INDEX(MO_RIS_Tax_Deferred,0,COLUMN())</f>
        <v>68.6</v>
      </c>
      <c r="X35" s="48" t="n">
        <f aca="false">INDEX(MO_RIS_Tax_Current,0,COLUMN())+INDEX(MO_RIS_Tax_Deferred,0,COLUMN())</f>
        <v>78.7</v>
      </c>
      <c r="Y35" s="48" t="n">
        <f aca="false">INDEX(MO_RIS_Tax_Current,0,COLUMN())+INDEX(MO_RIS_Tax_Deferred,0,COLUMN())</f>
        <v>86</v>
      </c>
      <c r="Z35" s="48" t="n">
        <f aca="false">INDEX(MO_RIS_Tax_Current,0,COLUMN())+INDEX(MO_RIS_Tax_Deferred,0,COLUMN())</f>
        <v>77.4</v>
      </c>
      <c r="AA35" s="159" t="n">
        <f aca="false">INDEX(MO_RIS_Tax_Current,0,COLUMN())+INDEX(MO_RIS_Tax_Deferred,0,COLUMN())</f>
        <v>310.7</v>
      </c>
      <c r="AB35" s="48" t="n">
        <f aca="false">INDEX(MO_RIS_Tax_Current,0,COLUMN())+INDEX(MO_RIS_Tax_Deferred,0,COLUMN())</f>
        <v>74.4</v>
      </c>
      <c r="AC35" s="48" t="n">
        <f aca="false">INDEX(MO_RIS_Tax_Current,0,COLUMN())+INDEX(MO_RIS_Tax_Deferred,0,COLUMN())</f>
        <v>107.5</v>
      </c>
      <c r="AD35" s="48" t="n">
        <f aca="false">INDEX(MO_RIS_Tax_Current,0,COLUMN())+INDEX(MO_RIS_Tax_Deferred,0,COLUMN())</f>
        <v>129.6</v>
      </c>
      <c r="AE35" s="48" t="n">
        <f aca="false">INDEX(MO_RIS_Tax_Current,0,COLUMN())+INDEX(MO_RIS_Tax_Deferred,0,COLUMN())</f>
        <v>40.1</v>
      </c>
      <c r="AF35" s="159" t="n">
        <f aca="false">INDEX(MO_RIS_Tax_Current,0,COLUMN())+INDEX(MO_RIS_Tax_Deferred,0,COLUMN())</f>
        <v>351.6</v>
      </c>
      <c r="AG35" s="48" t="n">
        <f aca="false">INDEX(MO_RIS_Tax_Current,0,COLUMN())+INDEX(MO_RIS_Tax_Deferred,0,COLUMN())</f>
        <v>-17</v>
      </c>
      <c r="AH35" s="48" t="n">
        <f aca="false">INDEX(MO_RIS_Tax_Current,0,COLUMN())+INDEX(MO_RIS_Tax_Deferred,0,COLUMN())</f>
        <v>19.1</v>
      </c>
      <c r="AI35" s="48" t="n">
        <f aca="false">INDEX(MO_RIS_Tax_Current,0,COLUMN())+INDEX(MO_RIS_Tax_Deferred,0,COLUMN())</f>
        <v>65</v>
      </c>
      <c r="AJ35" s="48" t="n">
        <f aca="false">INDEX(MO_RIS_Tax_Current,0,COLUMN())+INDEX(MO_RIS_Tax_Deferred,0,COLUMN())</f>
        <v>124.6</v>
      </c>
      <c r="AK35" s="159" t="n">
        <f aca="false">INDEX(MO_RIS_Tax_Current,0,COLUMN())+INDEX(MO_RIS_Tax_Deferred,0,COLUMN())</f>
        <v>191.7</v>
      </c>
      <c r="AL35" s="48" t="n">
        <f aca="false">INDEX(MO_RIS_Tax_Current,0,COLUMN())+INDEX(MO_RIS_Tax_Deferred,0,COLUMN())</f>
        <v>48.5</v>
      </c>
      <c r="AM35" s="48" t="n">
        <f aca="false">INDEX(MO_RIS_Tax_Current,0,COLUMN())+INDEX(MO_RIS_Tax_Deferred,0,COLUMN())</f>
        <v>166.4</v>
      </c>
      <c r="AN35" s="48" t="n">
        <f aca="false">INDEX(MO_RIS_Tax_Current,0,COLUMN())+INDEX(MO_RIS_Tax_Deferred,0,COLUMN())</f>
        <v>166.5</v>
      </c>
      <c r="AO35" s="48" t="n">
        <f aca="false">INDEX(MO_RIS_Tax_Current,0,COLUMN())+INDEX(MO_RIS_Tax_Deferred,0,COLUMN())</f>
        <v>170.1</v>
      </c>
      <c r="AP35" s="159" t="n">
        <f aca="false">INDEX(MO_RIS_Tax_Current,0,COLUMN())+INDEX(MO_RIS_Tax_Deferred,0,COLUMN())</f>
        <v>551.5</v>
      </c>
      <c r="AQ35" s="48" t="n">
        <f aca="false">INDEX(MO_RIS_Tax_Current,0,COLUMN())+INDEX(MO_RIS_Tax_Deferred,0,COLUMN())</f>
        <v>230.3</v>
      </c>
      <c r="AR35" s="48" t="n">
        <f aca="false">INDEX(MO_RIS_Tax_Current,0,COLUMN())+INDEX(MO_RIS_Tax_Deferred,0,COLUMN())</f>
        <v>204.2</v>
      </c>
      <c r="AS35" s="48" t="n">
        <f aca="false">INDEX(MO_RIS_Tax_Current,0,COLUMN())+INDEX(MO_RIS_Tax_Deferred,0,COLUMN())</f>
        <v>270.9</v>
      </c>
      <c r="AT35" s="48" t="n">
        <f aca="false">INDEX(MO_RIS_Tax_Current,0,COLUMN())+INDEX(MO_RIS_Tax_Deferred,0,COLUMN())</f>
        <v>316</v>
      </c>
      <c r="AU35" s="159" t="n">
        <f aca="false">INDEX(MO_RIS_Tax_Current,0,COLUMN())+INDEX(MO_RIS_Tax_Deferred,0,COLUMN())</f>
        <v>1021.4</v>
      </c>
      <c r="AV35" s="48" t="n">
        <f aca="false">INDEX(MO_RIS_Tax_Current,0,COLUMN())+INDEX(MO_RIS_Tax_Deferred,0,COLUMN())</f>
        <v>114.4</v>
      </c>
      <c r="AW35" s="48" t="n">
        <f aca="false">INDEX(MO_RIS_Tax_Current,0,COLUMN())+INDEX(MO_RIS_Tax_Deferred,0,COLUMN())</f>
        <v>246.2</v>
      </c>
      <c r="AX35" s="48" t="n">
        <f aca="false">INDEX(MO_RIS_Tax_Current,0,COLUMN())+INDEX(MO_RIS_Tax_Deferred,0,COLUMN())</f>
        <v>252</v>
      </c>
      <c r="AY35" s="48" t="n">
        <f aca="false">INDEX(MO_RIS_Tax_Current,0,COLUMN())+INDEX(MO_RIS_Tax_Deferred,0,COLUMN())</f>
        <v>357.3</v>
      </c>
      <c r="AZ35" s="159" t="n">
        <f aca="false">INDEX(MO_RIS_Tax_Current,0,COLUMN())+INDEX(MO_RIS_Tax_Deferred,0,COLUMN())</f>
        <v>969.9</v>
      </c>
      <c r="BA35" s="48" t="n">
        <f aca="false">INDEX(MO_RIS_Tax_Current,0,COLUMN())+INDEX(MO_RIS_Tax_Deferred,0,COLUMN())</f>
        <v>302.6</v>
      </c>
      <c r="BB35" s="48" t="n">
        <f aca="false">INDEX(MO_RIS_Tax_Current,0,COLUMN())+INDEX(MO_RIS_Tax_Deferred,0,COLUMN())</f>
        <v>403.9</v>
      </c>
      <c r="BC35" s="48" t="n">
        <f aca="false">INDEX(MO_RIS_Tax_Current,0,COLUMN())+INDEX(MO_RIS_Tax_Deferred,0,COLUMN())</f>
        <v>343.7</v>
      </c>
      <c r="BD35" s="48" t="n">
        <f aca="false">INDEX(MO_RIS_Tax_Current,0,COLUMN())+INDEX(MO_RIS_Tax_Deferred,0,COLUMN())</f>
        <v>385.6</v>
      </c>
      <c r="BE35" s="159" t="n">
        <f aca="false">INDEX(MO_RIS_Tax_Current,0,COLUMN())+INDEX(MO_RIS_Tax_Deferred,0,COLUMN())</f>
        <v>1435.8</v>
      </c>
      <c r="BF35" s="48" t="n">
        <f aca="false">INDEX(MO_RIS_Tax_Current,0,COLUMN())+INDEX(MO_RIS_Tax_Deferred,0,COLUMN())</f>
        <v>224</v>
      </c>
      <c r="BG35" s="48" t="n">
        <f aca="false">INDEX(MO_RIS_Tax_Current,0,COLUMN())+INDEX(MO_RIS_Tax_Deferred,0,COLUMN())</f>
        <v>291.6</v>
      </c>
      <c r="BH35" s="48" t="n">
        <f aca="false">INDEX(MO_RIS_Tax_Current,0,COLUMN())+INDEX(MO_RIS_Tax_Deferred,0,COLUMN())</f>
        <v>441.2</v>
      </c>
      <c r="BI35" s="48" t="n">
        <f aca="false">INDEX(MO_RIS_Tax_Current,0,COLUMN())+INDEX(MO_RIS_Tax_Deferred,0,COLUMN())</f>
        <v>723.8</v>
      </c>
      <c r="BJ35" s="159" t="n">
        <f aca="false">INDEX(MO_RIS_Tax_Current,0,COLUMN())+INDEX(MO_RIS_Tax_Deferred,0,COLUMN())</f>
        <v>1680.6</v>
      </c>
      <c r="BK35" s="48" t="n">
        <f aca="false">INDEX(MO_RIS_Tax_Current,0,COLUMN())+INDEX(MO_RIS_Tax_Deferred,0,COLUMN())</f>
        <v>465.1</v>
      </c>
      <c r="BL35" s="48" t="n">
        <f aca="false">INDEX(MO_RIS_Tax_Current,0,COLUMN())+INDEX(MO_RIS_Tax_Deferred,0,COLUMN())</f>
        <v>487.4</v>
      </c>
      <c r="BM35" s="48" t="n">
        <f aca="false">INDEX(MO_RIS_Tax_Current,0,COLUMN())+INDEX(MO_RIS_Tax_Deferred,0,COLUMN())</f>
        <v>442.2</v>
      </c>
      <c r="BN35" s="48" t="n">
        <f aca="false">INDEX(MO_RIS_Tax_Current,0,COLUMN())+INDEX(MO_RIS_Tax_Deferred,0,COLUMN())</f>
        <v>618.7</v>
      </c>
      <c r="BO35" s="160" t="n">
        <f aca="false">INDEX(MO_RIS_Tax_Current,0,COLUMN())+INDEX(MO_RIS_Tax_Deferred,0,COLUMN())</f>
        <v>2013.4</v>
      </c>
      <c r="BP35" s="48" t="n">
        <f aca="false">INDEX(MO_RIS_Tax_Current,0,COLUMN())+INDEX(MO_RIS_Tax_Deferred,0,COLUMN())</f>
        <v>500.702441874707</v>
      </c>
      <c r="BQ35" s="48" t="n">
        <f aca="false">INDEX(MO_RIS_Tax_Current,0,COLUMN())+INDEX(MO_RIS_Tax_Deferred,0,COLUMN())</f>
        <v>591.566028588158</v>
      </c>
      <c r="BR35" s="48" t="n">
        <f aca="false">INDEX(MO_RIS_Tax_Current,0,COLUMN())+INDEX(MO_RIS_Tax_Deferred,0,COLUMN())</f>
        <v>518.7979115769</v>
      </c>
      <c r="BS35" s="48" t="n">
        <f aca="false">INDEX(MO_RIS_Tax_Current,0,COLUMN())+INDEX(MO_RIS_Tax_Deferred,0,COLUMN())</f>
        <v>630.7288002033</v>
      </c>
      <c r="BT35" s="159" t="n">
        <f aca="false">INDEX(MO_RIS_Tax_Current,0,COLUMN())+INDEX(MO_RIS_Tax_Deferred,0,COLUMN())</f>
        <v>2241.79518224307</v>
      </c>
      <c r="BU35" s="48" t="n">
        <f aca="false">INDEX(MO_RIS_Tax_Current,0,COLUMN())+INDEX(MO_RIS_Tax_Deferred,0,COLUMN())</f>
        <v>496.504455782372</v>
      </c>
      <c r="BV35" s="48" t="n">
        <f aca="false">INDEX(MO_RIS_Tax_Current,0,COLUMN())+INDEX(MO_RIS_Tax_Deferred,0,COLUMN())</f>
        <v>670.367019049389</v>
      </c>
      <c r="BW35" s="48" t="n">
        <f aca="false">INDEX(MO_RIS_Tax_Current,0,COLUMN())+INDEX(MO_RIS_Tax_Deferred,0,COLUMN())</f>
        <v>579.14128736054</v>
      </c>
      <c r="BX35" s="48" t="n">
        <f aca="false">INDEX(MO_RIS_Tax_Current,0,COLUMN())+INDEX(MO_RIS_Tax_Deferred,0,COLUMN())</f>
        <v>467.641112890588</v>
      </c>
      <c r="BY35" s="159" t="n">
        <f aca="false">INDEX(MO_RIS_Tax_Current,0,COLUMN())+INDEX(MO_RIS_Tax_Deferred,0,COLUMN())</f>
        <v>2213.65387508289</v>
      </c>
      <c r="BZ35" s="159" t="n">
        <f aca="false">INDEX(MO_RIS_Tax_Current,0,COLUMN())+INDEX(MO_RIS_Tax_Deferred,0,COLUMN())</f>
        <v>2950.17693722982</v>
      </c>
      <c r="CA35" s="159" t="n">
        <f aca="false">INDEX(MO_RIS_Tax_Current,0,COLUMN())+INDEX(MO_RIS_Tax_Deferred,0,COLUMN())</f>
        <v>3147.54984989657</v>
      </c>
      <c r="CB35" s="159" t="n">
        <f aca="false">INDEX(MO_RIS_Tax_Current,0,COLUMN())+INDEX(MO_RIS_Tax_Deferred,0,COLUMN())</f>
        <v>3358.91417300891</v>
      </c>
      <c r="CC35" s="48"/>
    </row>
    <row r="36" s="51" customFormat="true" ht="15" hidden="false" customHeight="true" outlineLevel="0" collapsed="false">
      <c r="A36" s="145" t="str">
        <f aca="false">INDEX(MO_RIS_DisCont,0,COLUMN())</f>
        <v>Discontinued Operations</v>
      </c>
      <c r="B36" s="254"/>
      <c r="C36" s="159" t="n">
        <f aca="false">INDEX(MO_RIS_DisCont,0,COLUMN())</f>
        <v>0</v>
      </c>
      <c r="D36" s="159" t="n">
        <f aca="false">INDEX(MO_RIS_DisCont,0,COLUMN())</f>
        <v>0</v>
      </c>
      <c r="E36" s="159" t="n">
        <f aca="false">INDEX(MO_RIS_DisCont,0,COLUMN())</f>
        <v>0</v>
      </c>
      <c r="F36" s="159" t="n">
        <f aca="false">INDEX(MO_RIS_DisCont,0,COLUMN())</f>
        <v>0</v>
      </c>
      <c r="G36" s="159" t="n">
        <f aca="false">INDEX(MO_RIS_DisCont,0,COLUMN())</f>
        <v>0</v>
      </c>
      <c r="H36" s="48" t="n">
        <f aca="false">INDEX(MO_RIS_DisCont,0,COLUMN())</f>
        <v>0</v>
      </c>
      <c r="I36" s="48" t="n">
        <f aca="false">INDEX(MO_RIS_DisCont,0,COLUMN())</f>
        <v>0</v>
      </c>
      <c r="J36" s="48" t="n">
        <f aca="false">INDEX(MO_RIS_DisCont,0,COLUMN())</f>
        <v>0</v>
      </c>
      <c r="K36" s="48" t="n">
        <f aca="false">INDEX(MO_RIS_DisCont,0,COLUMN())</f>
        <v>0</v>
      </c>
      <c r="L36" s="159" t="n">
        <f aca="false">INDEX(MO_RIS_DisCont,0,COLUMN())</f>
        <v>0</v>
      </c>
      <c r="M36" s="48" t="n">
        <f aca="false">INDEX(MO_RIS_DisCont,0,COLUMN())</f>
        <v>0</v>
      </c>
      <c r="N36" s="48" t="n">
        <f aca="false">INDEX(MO_RIS_DisCont,0,COLUMN())</f>
        <v>0</v>
      </c>
      <c r="O36" s="48" t="n">
        <f aca="false">INDEX(MO_RIS_DisCont,0,COLUMN())</f>
        <v>0</v>
      </c>
      <c r="P36" s="48" t="n">
        <f aca="false">INDEX(MO_RIS_DisCont,0,COLUMN())</f>
        <v>0</v>
      </c>
      <c r="Q36" s="159" t="n">
        <f aca="false">INDEX(MO_RIS_DisCont,0,COLUMN())</f>
        <v>0</v>
      </c>
      <c r="R36" s="48" t="n">
        <f aca="false">INDEX(MO_RIS_DisCont,0,COLUMN())</f>
        <v>0</v>
      </c>
      <c r="S36" s="48" t="n">
        <f aca="false">INDEX(MO_RIS_DisCont,0,COLUMN())</f>
        <v>0</v>
      </c>
      <c r="T36" s="48" t="n">
        <f aca="false">INDEX(MO_RIS_DisCont,0,COLUMN())</f>
        <v>0</v>
      </c>
      <c r="U36" s="48" t="n">
        <f aca="false">INDEX(MO_RIS_DisCont,0,COLUMN())</f>
        <v>0</v>
      </c>
      <c r="V36" s="159" t="n">
        <f aca="false">INDEX(MO_RIS_DisCont,0,COLUMN())</f>
        <v>0</v>
      </c>
      <c r="W36" s="48" t="n">
        <f aca="false">INDEX(MO_RIS_DisCont,0,COLUMN())</f>
        <v>0</v>
      </c>
      <c r="X36" s="48" t="n">
        <f aca="false">INDEX(MO_RIS_DisCont,0,COLUMN())</f>
        <v>0</v>
      </c>
      <c r="Y36" s="48" t="n">
        <f aca="false">INDEX(MO_RIS_DisCont,0,COLUMN())</f>
        <v>0</v>
      </c>
      <c r="Z36" s="48" t="n">
        <f aca="false">INDEX(MO_RIS_DisCont,0,COLUMN())</f>
        <v>0</v>
      </c>
      <c r="AA36" s="159" t="n">
        <f aca="false">INDEX(MO_RIS_DisCont,0,COLUMN())</f>
        <v>0</v>
      </c>
      <c r="AB36" s="48" t="n">
        <f aca="false">INDEX(MO_RIS_DisCont,0,COLUMN())</f>
        <v>0</v>
      </c>
      <c r="AC36" s="48" t="n">
        <f aca="false">INDEX(MO_RIS_DisCont,0,COLUMN())</f>
        <v>0</v>
      </c>
      <c r="AD36" s="48" t="n">
        <f aca="false">INDEX(MO_RIS_DisCont,0,COLUMN())</f>
        <v>0</v>
      </c>
      <c r="AE36" s="48" t="n">
        <f aca="false">INDEX(MO_RIS_DisCont,0,COLUMN())</f>
        <v>0</v>
      </c>
      <c r="AF36" s="159" t="n">
        <f aca="false">INDEX(MO_RIS_DisCont,0,COLUMN())</f>
        <v>0</v>
      </c>
      <c r="AG36" s="48" t="n">
        <f aca="false">INDEX(MO_RIS_DisCont,0,COLUMN())</f>
        <v>0</v>
      </c>
      <c r="AH36" s="48" t="n">
        <f aca="false">INDEX(MO_RIS_DisCont,0,COLUMN())</f>
        <v>0</v>
      </c>
      <c r="AI36" s="48" t="n">
        <f aca="false">INDEX(MO_RIS_DisCont,0,COLUMN())</f>
        <v>0</v>
      </c>
      <c r="AJ36" s="48" t="n">
        <f aca="false">INDEX(MO_RIS_DisCont,0,COLUMN())</f>
        <v>0</v>
      </c>
      <c r="AK36" s="159" t="n">
        <f aca="false">INDEX(MO_RIS_DisCont,0,COLUMN())</f>
        <v>0</v>
      </c>
      <c r="AL36" s="48" t="n">
        <f aca="false">INDEX(MO_RIS_DisCont,0,COLUMN())</f>
        <v>0</v>
      </c>
      <c r="AM36" s="48" t="n">
        <f aca="false">INDEX(MO_RIS_DisCont,0,COLUMN())</f>
        <v>0</v>
      </c>
      <c r="AN36" s="48" t="n">
        <f aca="false">INDEX(MO_RIS_DisCont,0,COLUMN())</f>
        <v>0</v>
      </c>
      <c r="AO36" s="48" t="n">
        <f aca="false">INDEX(MO_RIS_DisCont,0,COLUMN())</f>
        <v>0</v>
      </c>
      <c r="AP36" s="159" t="n">
        <f aca="false">INDEX(MO_RIS_DisCont,0,COLUMN())</f>
        <v>0</v>
      </c>
      <c r="AQ36" s="48" t="n">
        <f aca="false">INDEX(MO_RIS_DisCont,0,COLUMN())</f>
        <v>0</v>
      </c>
      <c r="AR36" s="48" t="n">
        <f aca="false">INDEX(MO_RIS_DisCont,0,COLUMN())</f>
        <v>0</v>
      </c>
      <c r="AS36" s="48" t="n">
        <f aca="false">INDEX(MO_RIS_DisCont,0,COLUMN())</f>
        <v>0</v>
      </c>
      <c r="AT36" s="48" t="n">
        <f aca="false">INDEX(MO_RIS_DisCont,0,COLUMN())</f>
        <v>0</v>
      </c>
      <c r="AU36" s="159" t="n">
        <f aca="false">INDEX(MO_RIS_DisCont,0,COLUMN())</f>
        <v>0</v>
      </c>
      <c r="AV36" s="48" t="n">
        <f aca="false">INDEX(MO_RIS_DisCont,0,COLUMN())</f>
        <v>0</v>
      </c>
      <c r="AW36" s="48" t="n">
        <f aca="false">INDEX(MO_RIS_DisCont,0,COLUMN())</f>
        <v>0</v>
      </c>
      <c r="AX36" s="48" t="n">
        <f aca="false">INDEX(MO_RIS_DisCont,0,COLUMN())</f>
        <v>0</v>
      </c>
      <c r="AY36" s="48" t="n">
        <f aca="false">INDEX(MO_RIS_DisCont,0,COLUMN())</f>
        <v>0</v>
      </c>
      <c r="AZ36" s="159" t="n">
        <f aca="false">INDEX(MO_RIS_DisCont,0,COLUMN())</f>
        <v>0</v>
      </c>
      <c r="BA36" s="48" t="n">
        <f aca="false">INDEX(MO_RIS_DisCont,0,COLUMN())</f>
        <v>0</v>
      </c>
      <c r="BB36" s="48" t="n">
        <f aca="false">INDEX(MO_RIS_DisCont,0,COLUMN())</f>
        <v>0</v>
      </c>
      <c r="BC36" s="48" t="n">
        <f aca="false">INDEX(MO_RIS_DisCont,0,COLUMN())</f>
        <v>0</v>
      </c>
      <c r="BD36" s="48" t="n">
        <f aca="false">INDEX(MO_RIS_DisCont,0,COLUMN())</f>
        <v>0</v>
      </c>
      <c r="BE36" s="159" t="n">
        <f aca="false">INDEX(MO_RIS_DisCont,0,COLUMN())</f>
        <v>0</v>
      </c>
      <c r="BF36" s="48" t="n">
        <f aca="false">INDEX(MO_RIS_DisCont,0,COLUMN())</f>
        <v>0</v>
      </c>
      <c r="BG36" s="48" t="n">
        <f aca="false">INDEX(MO_RIS_DisCont,0,COLUMN())</f>
        <v>0</v>
      </c>
      <c r="BH36" s="48" t="n">
        <f aca="false">INDEX(MO_RIS_DisCont,0,COLUMN())</f>
        <v>0</v>
      </c>
      <c r="BI36" s="48" t="n">
        <f aca="false">INDEX(MO_RIS_DisCont,0,COLUMN())</f>
        <v>0</v>
      </c>
      <c r="BJ36" s="159" t="n">
        <f aca="false">INDEX(MO_RIS_DisCont,0,COLUMN())</f>
        <v>0</v>
      </c>
      <c r="BK36" s="48" t="n">
        <f aca="false">INDEX(MO_RIS_DisCont,0,COLUMN())</f>
        <v>0</v>
      </c>
      <c r="BL36" s="48" t="n">
        <f aca="false">INDEX(MO_RIS_DisCont,0,COLUMN())</f>
        <v>0</v>
      </c>
      <c r="BM36" s="48" t="n">
        <f aca="false">INDEX(MO_RIS_DisCont,0,COLUMN())</f>
        <v>0</v>
      </c>
      <c r="BN36" s="48" t="n">
        <f aca="false">INDEX(MO_RIS_DisCont,0,COLUMN())</f>
        <v>0</v>
      </c>
      <c r="BO36" s="160" t="n">
        <f aca="false">INDEX(MO_RIS_DisCont,0,COLUMN())</f>
        <v>0</v>
      </c>
      <c r="BP36" s="48" t="n">
        <f aca="false">INDEX(MO_RIS_DisCont,0,COLUMN())</f>
        <v>0</v>
      </c>
      <c r="BQ36" s="48" t="n">
        <f aca="false">INDEX(MO_RIS_DisCont,0,COLUMN())</f>
        <v>0</v>
      </c>
      <c r="BR36" s="48" t="n">
        <f aca="false">INDEX(MO_RIS_DisCont,0,COLUMN())</f>
        <v>0</v>
      </c>
      <c r="BS36" s="48" t="n">
        <f aca="false">INDEX(MO_RIS_DisCont,0,COLUMN())</f>
        <v>0</v>
      </c>
      <c r="BT36" s="159" t="n">
        <f aca="false">INDEX(MO_RIS_DisCont,0,COLUMN())</f>
        <v>0</v>
      </c>
      <c r="BU36" s="48" t="n">
        <f aca="false">INDEX(MO_RIS_DisCont,0,COLUMN())</f>
        <v>0</v>
      </c>
      <c r="BV36" s="48" t="n">
        <f aca="false">INDEX(MO_RIS_DisCont,0,COLUMN())</f>
        <v>0</v>
      </c>
      <c r="BW36" s="48" t="n">
        <f aca="false">INDEX(MO_RIS_DisCont,0,COLUMN())</f>
        <v>0</v>
      </c>
      <c r="BX36" s="48" t="n">
        <f aca="false">INDEX(MO_RIS_DisCont,0,COLUMN())</f>
        <v>0</v>
      </c>
      <c r="BY36" s="159" t="n">
        <f aca="false">INDEX(MO_RIS_DisCont,0,COLUMN())</f>
        <v>0</v>
      </c>
      <c r="BZ36" s="159" t="n">
        <f aca="false">INDEX(MO_RIS_DisCont,0,COLUMN())</f>
        <v>0</v>
      </c>
      <c r="CA36" s="159" t="n">
        <f aca="false">INDEX(MO_RIS_DisCont,0,COLUMN())</f>
        <v>0</v>
      </c>
      <c r="CB36" s="159" t="n">
        <f aca="false">INDEX(MO_RIS_DisCont,0,COLUMN())</f>
        <v>0</v>
      </c>
      <c r="CC36" s="48"/>
    </row>
    <row r="37" s="51" customFormat="true" ht="15" hidden="false" customHeight="true" outlineLevel="0" collapsed="false">
      <c r="A37" s="145" t="str">
        <f aca="false">INDEX(MO_RIS_NCI,0,COLUMN())</f>
        <v>Net Income to NCI</v>
      </c>
      <c r="B37" s="254"/>
      <c r="C37" s="159" t="n">
        <f aca="false">INDEX(MO_RIS_NCI,0,COLUMN())</f>
        <v>0</v>
      </c>
      <c r="D37" s="159" t="n">
        <f aca="false">INDEX(MO_RIS_NCI,0,COLUMN())</f>
        <v>0</v>
      </c>
      <c r="E37" s="159" t="n">
        <f aca="false">INDEX(MO_RIS_NCI,0,COLUMN())</f>
        <v>0</v>
      </c>
      <c r="F37" s="159" t="n">
        <f aca="false">INDEX(MO_RIS_NCI,0,COLUMN())</f>
        <v>0</v>
      </c>
      <c r="G37" s="159" t="n">
        <f aca="false">INDEX(MO_RIS_NCI,0,COLUMN())</f>
        <v>0</v>
      </c>
      <c r="H37" s="48" t="n">
        <f aca="false">INDEX(MO_RIS_NCI,0,COLUMN())</f>
        <v>0</v>
      </c>
      <c r="I37" s="48" t="n">
        <f aca="false">INDEX(MO_RIS_NCI,0,COLUMN())</f>
        <v>0</v>
      </c>
      <c r="J37" s="48" t="n">
        <f aca="false">INDEX(MO_RIS_NCI,0,COLUMN())</f>
        <v>0</v>
      </c>
      <c r="K37" s="48" t="n">
        <f aca="false">INDEX(MO_RIS_NCI,0,COLUMN())</f>
        <v>0</v>
      </c>
      <c r="L37" s="159" t="n">
        <f aca="false">INDEX(MO_RIS_NCI,0,COLUMN())</f>
        <v>0</v>
      </c>
      <c r="M37" s="48" t="n">
        <f aca="false">INDEX(MO_RIS_NCI,0,COLUMN())</f>
        <v>0</v>
      </c>
      <c r="N37" s="48" t="n">
        <f aca="false">INDEX(MO_RIS_NCI,0,COLUMN())</f>
        <v>0</v>
      </c>
      <c r="O37" s="48" t="n">
        <f aca="false">INDEX(MO_RIS_NCI,0,COLUMN())</f>
        <v>0</v>
      </c>
      <c r="P37" s="48" t="n">
        <f aca="false">INDEX(MO_RIS_NCI,0,COLUMN())</f>
        <v>0</v>
      </c>
      <c r="Q37" s="159" t="n">
        <f aca="false">INDEX(MO_RIS_NCI,0,COLUMN())</f>
        <v>0</v>
      </c>
      <c r="R37" s="48" t="n">
        <f aca="false">INDEX(MO_RIS_NCI,0,COLUMN())</f>
        <v>0</v>
      </c>
      <c r="S37" s="48" t="n">
        <f aca="false">INDEX(MO_RIS_NCI,0,COLUMN())</f>
        <v>0</v>
      </c>
      <c r="T37" s="48" t="n">
        <f aca="false">INDEX(MO_RIS_NCI,0,COLUMN())</f>
        <v>0</v>
      </c>
      <c r="U37" s="48" t="n">
        <f aca="false">INDEX(MO_RIS_NCI,0,COLUMN())</f>
        <v>0</v>
      </c>
      <c r="V37" s="159" t="n">
        <f aca="false">INDEX(MO_RIS_NCI,0,COLUMN())</f>
        <v>0</v>
      </c>
      <c r="W37" s="48" t="n">
        <f aca="false">INDEX(MO_RIS_NCI,0,COLUMN())</f>
        <v>0</v>
      </c>
      <c r="X37" s="48" t="n">
        <f aca="false">INDEX(MO_RIS_NCI,0,COLUMN())</f>
        <v>0</v>
      </c>
      <c r="Y37" s="48" t="n">
        <f aca="false">INDEX(MO_RIS_NCI,0,COLUMN())</f>
        <v>0</v>
      </c>
      <c r="Z37" s="48" t="n">
        <f aca="false">INDEX(MO_RIS_NCI,0,COLUMN())</f>
        <v>0</v>
      </c>
      <c r="AA37" s="159" t="n">
        <f aca="false">INDEX(MO_RIS_NCI,0,COLUMN())</f>
        <v>0</v>
      </c>
      <c r="AB37" s="48" t="n">
        <f aca="false">INDEX(MO_RIS_NCI,0,COLUMN())</f>
        <v>0</v>
      </c>
      <c r="AC37" s="48" t="n">
        <f aca="false">INDEX(MO_RIS_NCI,0,COLUMN())</f>
        <v>0</v>
      </c>
      <c r="AD37" s="48" t="n">
        <f aca="false">INDEX(MO_RIS_NCI,0,COLUMN())</f>
        <v>0</v>
      </c>
      <c r="AE37" s="48" t="n">
        <f aca="false">INDEX(MO_RIS_NCI,0,COLUMN())</f>
        <v>0</v>
      </c>
      <c r="AF37" s="159" t="n">
        <f aca="false">INDEX(MO_RIS_NCI,0,COLUMN())</f>
        <v>0</v>
      </c>
      <c r="AG37" s="48" t="n">
        <f aca="false">INDEX(MO_RIS_NCI,0,COLUMN())</f>
        <v>0</v>
      </c>
      <c r="AH37" s="48" t="n">
        <f aca="false">INDEX(MO_RIS_NCI,0,COLUMN())</f>
        <v>0</v>
      </c>
      <c r="AI37" s="48" t="n">
        <f aca="false">INDEX(MO_RIS_NCI,0,COLUMN())</f>
        <v>0</v>
      </c>
      <c r="AJ37" s="48" t="n">
        <f aca="false">INDEX(MO_RIS_NCI,0,COLUMN())</f>
        <v>0</v>
      </c>
      <c r="AK37" s="159" t="n">
        <f aca="false">INDEX(MO_RIS_NCI,0,COLUMN())</f>
        <v>0</v>
      </c>
      <c r="AL37" s="48" t="n">
        <f aca="false">INDEX(MO_RIS_NCI,0,COLUMN())</f>
        <v>0</v>
      </c>
      <c r="AM37" s="48" t="n">
        <f aca="false">INDEX(MO_RIS_NCI,0,COLUMN())</f>
        <v>0</v>
      </c>
      <c r="AN37" s="48" t="n">
        <f aca="false">INDEX(MO_RIS_NCI,0,COLUMN())</f>
        <v>0</v>
      </c>
      <c r="AO37" s="48" t="n">
        <f aca="false">INDEX(MO_RIS_NCI,0,COLUMN())</f>
        <v>0</v>
      </c>
      <c r="AP37" s="159" t="n">
        <f aca="false">INDEX(MO_RIS_NCI,0,COLUMN())</f>
        <v>0</v>
      </c>
      <c r="AQ37" s="48" t="n">
        <f aca="false">INDEX(MO_RIS_NCI,0,COLUMN())</f>
        <v>0</v>
      </c>
      <c r="AR37" s="48" t="n">
        <f aca="false">INDEX(MO_RIS_NCI,0,COLUMN())</f>
        <v>0</v>
      </c>
      <c r="AS37" s="48" t="n">
        <f aca="false">INDEX(MO_RIS_NCI,0,COLUMN())</f>
        <v>0</v>
      </c>
      <c r="AT37" s="48" t="n">
        <f aca="false">INDEX(MO_RIS_NCI,0,COLUMN())</f>
        <v>0</v>
      </c>
      <c r="AU37" s="159" t="n">
        <f aca="false">INDEX(MO_RIS_NCI,0,COLUMN())</f>
        <v>0</v>
      </c>
      <c r="AV37" s="48" t="n">
        <f aca="false">INDEX(MO_RIS_NCI,0,COLUMN())</f>
        <v>0</v>
      </c>
      <c r="AW37" s="48" t="n">
        <f aca="false">INDEX(MO_RIS_NCI,0,COLUMN())</f>
        <v>0</v>
      </c>
      <c r="AX37" s="48" t="n">
        <f aca="false">INDEX(MO_RIS_NCI,0,COLUMN())</f>
        <v>0</v>
      </c>
      <c r="AY37" s="48" t="n">
        <f aca="false">INDEX(MO_RIS_NCI,0,COLUMN())</f>
        <v>0</v>
      </c>
      <c r="AZ37" s="159" t="n">
        <f aca="false">INDEX(MO_RIS_NCI,0,COLUMN())</f>
        <v>0</v>
      </c>
      <c r="BA37" s="48" t="n">
        <f aca="false">INDEX(MO_RIS_NCI,0,COLUMN())</f>
        <v>0</v>
      </c>
      <c r="BB37" s="48" t="n">
        <f aca="false">INDEX(MO_RIS_NCI,0,COLUMN())</f>
        <v>0</v>
      </c>
      <c r="BC37" s="48" t="n">
        <f aca="false">INDEX(MO_RIS_NCI,0,COLUMN())</f>
        <v>0</v>
      </c>
      <c r="BD37" s="48" t="n">
        <f aca="false">INDEX(MO_RIS_NCI,0,COLUMN())</f>
        <v>0</v>
      </c>
      <c r="BE37" s="159" t="n">
        <f aca="false">INDEX(MO_RIS_NCI,0,COLUMN())</f>
        <v>0</v>
      </c>
      <c r="BF37" s="48" t="n">
        <f aca="false">INDEX(MO_RIS_NCI,0,COLUMN())</f>
        <v>0</v>
      </c>
      <c r="BG37" s="48" t="n">
        <f aca="false">INDEX(MO_RIS_NCI,0,COLUMN())</f>
        <v>0</v>
      </c>
      <c r="BH37" s="48" t="n">
        <f aca="false">INDEX(MO_RIS_NCI,0,COLUMN())</f>
        <v>0</v>
      </c>
      <c r="BI37" s="48" t="n">
        <f aca="false">INDEX(MO_RIS_NCI,0,COLUMN())</f>
        <v>0</v>
      </c>
      <c r="BJ37" s="159" t="n">
        <f aca="false">INDEX(MO_RIS_NCI,0,COLUMN())</f>
        <v>0</v>
      </c>
      <c r="BK37" s="48" t="n">
        <f aca="false">INDEX(MO_RIS_NCI,0,COLUMN())</f>
        <v>0</v>
      </c>
      <c r="BL37" s="48" t="n">
        <f aca="false">INDEX(MO_RIS_NCI,0,COLUMN())</f>
        <v>0</v>
      </c>
      <c r="BM37" s="48" t="n">
        <f aca="false">INDEX(MO_RIS_NCI,0,COLUMN())</f>
        <v>0</v>
      </c>
      <c r="BN37" s="48" t="n">
        <f aca="false">INDEX(MO_RIS_NCI,0,COLUMN())</f>
        <v>0</v>
      </c>
      <c r="BO37" s="160" t="n">
        <f aca="false">INDEX(MO_RIS_NCI,0,COLUMN())</f>
        <v>0</v>
      </c>
      <c r="BP37" s="48" t="n">
        <f aca="false">INDEX(MO_RIS_NCI,0,COLUMN())</f>
        <v>0</v>
      </c>
      <c r="BQ37" s="48" t="n">
        <f aca="false">INDEX(MO_RIS_NCI,0,COLUMN())</f>
        <v>0</v>
      </c>
      <c r="BR37" s="48" t="n">
        <f aca="false">INDEX(MO_RIS_NCI,0,COLUMN())</f>
        <v>0</v>
      </c>
      <c r="BS37" s="48" t="n">
        <f aca="false">INDEX(MO_RIS_NCI,0,COLUMN())</f>
        <v>0</v>
      </c>
      <c r="BT37" s="159" t="n">
        <f aca="false">INDEX(MO_RIS_NCI,0,COLUMN())</f>
        <v>0</v>
      </c>
      <c r="BU37" s="48" t="n">
        <f aca="false">INDEX(MO_RIS_NCI,0,COLUMN())</f>
        <v>0</v>
      </c>
      <c r="BV37" s="48" t="n">
        <f aca="false">INDEX(MO_RIS_NCI,0,COLUMN())</f>
        <v>0</v>
      </c>
      <c r="BW37" s="48" t="n">
        <f aca="false">INDEX(MO_RIS_NCI,0,COLUMN())</f>
        <v>0</v>
      </c>
      <c r="BX37" s="48" t="n">
        <f aca="false">INDEX(MO_RIS_NCI,0,COLUMN())</f>
        <v>0</v>
      </c>
      <c r="BY37" s="159" t="n">
        <f aca="false">INDEX(MO_RIS_NCI,0,COLUMN())</f>
        <v>0</v>
      </c>
      <c r="BZ37" s="159" t="n">
        <f aca="false">INDEX(MO_RIS_NCI,0,COLUMN())</f>
        <v>0</v>
      </c>
      <c r="CA37" s="159" t="n">
        <f aca="false">INDEX(MO_RIS_NCI,0,COLUMN())</f>
        <v>0</v>
      </c>
      <c r="CB37" s="159" t="n">
        <f aca="false">INDEX(MO_RIS_NCI,0,COLUMN())</f>
        <v>0</v>
      </c>
      <c r="CC37" s="48"/>
    </row>
    <row r="38" s="51" customFormat="true" ht="15" hidden="false" customHeight="true" outlineLevel="0" collapsed="false">
      <c r="A38" s="251" t="str">
        <f aca="false">INDEX(MO_RIS_Dividend_Prefs,0,COLUMN())</f>
        <v>Earnings to Preferred and Other Securities</v>
      </c>
      <c r="B38" s="257"/>
      <c r="C38" s="261" t="n">
        <f aca="false">INDEX(MO_RIS_Dividend_Prefs,0,COLUMN())</f>
        <v>0</v>
      </c>
      <c r="D38" s="261" t="n">
        <f aca="false">INDEX(MO_RIS_Dividend_Prefs,0,COLUMN())</f>
        <v>0</v>
      </c>
      <c r="E38" s="261" t="n">
        <f aca="false">INDEX(MO_RIS_Dividend_Prefs,0,COLUMN())</f>
        <v>0</v>
      </c>
      <c r="F38" s="261" t="n">
        <f aca="false">INDEX(MO_RIS_Dividend_Prefs,0,COLUMN())</f>
        <v>0</v>
      </c>
      <c r="G38" s="261" t="n">
        <f aca="false">INDEX(MO_RIS_Dividend_Prefs,0,COLUMN())</f>
        <v>0</v>
      </c>
      <c r="H38" s="259" t="n">
        <f aca="false">INDEX(MO_RIS_Dividend_Prefs,0,COLUMN())</f>
        <v>0</v>
      </c>
      <c r="I38" s="259" t="n">
        <f aca="false">INDEX(MO_RIS_Dividend_Prefs,0,COLUMN())</f>
        <v>0</v>
      </c>
      <c r="J38" s="259" t="n">
        <f aca="false">INDEX(MO_RIS_Dividend_Prefs,0,COLUMN())</f>
        <v>0</v>
      </c>
      <c r="K38" s="259" t="n">
        <f aca="false">INDEX(MO_RIS_Dividend_Prefs,0,COLUMN())</f>
        <v>0</v>
      </c>
      <c r="L38" s="261" t="n">
        <f aca="false">INDEX(MO_RIS_Dividend_Prefs,0,COLUMN())</f>
        <v>0</v>
      </c>
      <c r="M38" s="259" t="n">
        <f aca="false">INDEX(MO_RIS_Dividend_Prefs,0,COLUMN())</f>
        <v>0</v>
      </c>
      <c r="N38" s="259" t="n">
        <f aca="false">INDEX(MO_RIS_Dividend_Prefs,0,COLUMN())</f>
        <v>0</v>
      </c>
      <c r="O38" s="259" t="n">
        <f aca="false">INDEX(MO_RIS_Dividend_Prefs,0,COLUMN())</f>
        <v>0</v>
      </c>
      <c r="P38" s="259" t="n">
        <f aca="false">INDEX(MO_RIS_Dividend_Prefs,0,COLUMN())</f>
        <v>0</v>
      </c>
      <c r="Q38" s="261" t="n">
        <f aca="false">INDEX(MO_RIS_Dividend_Prefs,0,COLUMN())</f>
        <v>0</v>
      </c>
      <c r="R38" s="259" t="n">
        <f aca="false">INDEX(MO_RIS_Dividend_Prefs,0,COLUMN())</f>
        <v>0</v>
      </c>
      <c r="S38" s="259" t="n">
        <f aca="false">INDEX(MO_RIS_Dividend_Prefs,0,COLUMN())</f>
        <v>0</v>
      </c>
      <c r="T38" s="259" t="n">
        <f aca="false">INDEX(MO_RIS_Dividend_Prefs,0,COLUMN())</f>
        <v>0</v>
      </c>
      <c r="U38" s="259" t="n">
        <f aca="false">INDEX(MO_RIS_Dividend_Prefs,0,COLUMN())</f>
        <v>0</v>
      </c>
      <c r="V38" s="261" t="n">
        <f aca="false">INDEX(MO_RIS_Dividend_Prefs,0,COLUMN())</f>
        <v>0</v>
      </c>
      <c r="W38" s="259" t="n">
        <f aca="false">INDEX(MO_RIS_Dividend_Prefs,0,COLUMN())</f>
        <v>0</v>
      </c>
      <c r="X38" s="259" t="n">
        <f aca="false">INDEX(MO_RIS_Dividend_Prefs,0,COLUMN())</f>
        <v>0</v>
      </c>
      <c r="Y38" s="259" t="n">
        <f aca="false">INDEX(MO_RIS_Dividend_Prefs,0,COLUMN())</f>
        <v>0</v>
      </c>
      <c r="Z38" s="259" t="n">
        <f aca="false">INDEX(MO_RIS_Dividend_Prefs,0,COLUMN())</f>
        <v>0</v>
      </c>
      <c r="AA38" s="261" t="n">
        <f aca="false">INDEX(MO_RIS_Dividend_Prefs,0,COLUMN())</f>
        <v>0</v>
      </c>
      <c r="AB38" s="259" t="n">
        <f aca="false">INDEX(MO_RIS_Dividend_Prefs,0,COLUMN())</f>
        <v>0</v>
      </c>
      <c r="AC38" s="259" t="n">
        <f aca="false">INDEX(MO_RIS_Dividend_Prefs,0,COLUMN())</f>
        <v>0</v>
      </c>
      <c r="AD38" s="259" t="n">
        <f aca="false">INDEX(MO_RIS_Dividend_Prefs,0,COLUMN())</f>
        <v>0</v>
      </c>
      <c r="AE38" s="259" t="n">
        <f aca="false">INDEX(MO_RIS_Dividend_Prefs,0,COLUMN())</f>
        <v>0</v>
      </c>
      <c r="AF38" s="261" t="n">
        <f aca="false">INDEX(MO_RIS_Dividend_Prefs,0,COLUMN())</f>
        <v>0</v>
      </c>
      <c r="AG38" s="259" t="n">
        <f aca="false">INDEX(MO_RIS_Dividend_Prefs,0,COLUMN())</f>
        <v>0</v>
      </c>
      <c r="AH38" s="259" t="n">
        <f aca="false">INDEX(MO_RIS_Dividend_Prefs,0,COLUMN())</f>
        <v>0</v>
      </c>
      <c r="AI38" s="259" t="n">
        <f aca="false">INDEX(MO_RIS_Dividend_Prefs,0,COLUMN())</f>
        <v>0</v>
      </c>
      <c r="AJ38" s="259" t="n">
        <f aca="false">INDEX(MO_RIS_Dividend_Prefs,0,COLUMN())</f>
        <v>0</v>
      </c>
      <c r="AK38" s="261" t="n">
        <f aca="false">INDEX(MO_RIS_Dividend_Prefs,0,COLUMN())</f>
        <v>0</v>
      </c>
      <c r="AL38" s="259" t="n">
        <f aca="false">INDEX(MO_RIS_Dividend_Prefs,0,COLUMN())</f>
        <v>0</v>
      </c>
      <c r="AM38" s="259" t="n">
        <f aca="false">INDEX(MO_RIS_Dividend_Prefs,0,COLUMN())</f>
        <v>0</v>
      </c>
      <c r="AN38" s="259" t="n">
        <f aca="false">INDEX(MO_RIS_Dividend_Prefs,0,COLUMN())</f>
        <v>0</v>
      </c>
      <c r="AO38" s="259" t="n">
        <f aca="false">INDEX(MO_RIS_Dividend_Prefs,0,COLUMN())</f>
        <v>0</v>
      </c>
      <c r="AP38" s="261" t="n">
        <f aca="false">INDEX(MO_RIS_Dividend_Prefs,0,COLUMN())</f>
        <v>0</v>
      </c>
      <c r="AQ38" s="259" t="n">
        <f aca="false">INDEX(MO_RIS_Dividend_Prefs,0,COLUMN())</f>
        <v>0</v>
      </c>
      <c r="AR38" s="259" t="n">
        <f aca="false">INDEX(MO_RIS_Dividend_Prefs,0,COLUMN())</f>
        <v>0</v>
      </c>
      <c r="AS38" s="259" t="n">
        <f aca="false">INDEX(MO_RIS_Dividend_Prefs,0,COLUMN())</f>
        <v>0</v>
      </c>
      <c r="AT38" s="259" t="n">
        <f aca="false">INDEX(MO_RIS_Dividend_Prefs,0,COLUMN())</f>
        <v>0</v>
      </c>
      <c r="AU38" s="261" t="n">
        <f aca="false">INDEX(MO_RIS_Dividend_Prefs,0,COLUMN())</f>
        <v>0</v>
      </c>
      <c r="AV38" s="259" t="n">
        <f aca="false">INDEX(MO_RIS_Dividend_Prefs,0,COLUMN())</f>
        <v>0</v>
      </c>
      <c r="AW38" s="259" t="n">
        <f aca="false">INDEX(MO_RIS_Dividend_Prefs,0,COLUMN())</f>
        <v>0</v>
      </c>
      <c r="AX38" s="259" t="n">
        <f aca="false">INDEX(MO_RIS_Dividend_Prefs,0,COLUMN())</f>
        <v>0</v>
      </c>
      <c r="AY38" s="259" t="n">
        <f aca="false">INDEX(MO_RIS_Dividend_Prefs,0,COLUMN())</f>
        <v>0</v>
      </c>
      <c r="AZ38" s="261" t="n">
        <f aca="false">INDEX(MO_RIS_Dividend_Prefs,0,COLUMN())</f>
        <v>0</v>
      </c>
      <c r="BA38" s="259" t="n">
        <f aca="false">INDEX(MO_RIS_Dividend_Prefs,0,COLUMN())</f>
        <v>0</v>
      </c>
      <c r="BB38" s="259" t="n">
        <f aca="false">INDEX(MO_RIS_Dividend_Prefs,0,COLUMN())</f>
        <v>0</v>
      </c>
      <c r="BC38" s="259" t="n">
        <f aca="false">INDEX(MO_RIS_Dividend_Prefs,0,COLUMN())</f>
        <v>0</v>
      </c>
      <c r="BD38" s="259" t="n">
        <f aca="false">INDEX(MO_RIS_Dividend_Prefs,0,COLUMN())</f>
        <v>0</v>
      </c>
      <c r="BE38" s="261" t="n">
        <f aca="false">INDEX(MO_RIS_Dividend_Prefs,0,COLUMN())</f>
        <v>0</v>
      </c>
      <c r="BF38" s="259" t="n">
        <f aca="false">INDEX(MO_RIS_Dividend_Prefs,0,COLUMN())</f>
        <v>0</v>
      </c>
      <c r="BG38" s="259" t="n">
        <f aca="false">INDEX(MO_RIS_Dividend_Prefs,0,COLUMN())</f>
        <v>0</v>
      </c>
      <c r="BH38" s="259" t="n">
        <f aca="false">INDEX(MO_RIS_Dividend_Prefs,0,COLUMN())</f>
        <v>0</v>
      </c>
      <c r="BI38" s="259" t="n">
        <f aca="false">INDEX(MO_RIS_Dividend_Prefs,0,COLUMN())</f>
        <v>0</v>
      </c>
      <c r="BJ38" s="261" t="n">
        <f aca="false">INDEX(MO_RIS_Dividend_Prefs,0,COLUMN())</f>
        <v>0</v>
      </c>
      <c r="BK38" s="259" t="n">
        <f aca="false">INDEX(MO_RIS_Dividend_Prefs,0,COLUMN())</f>
        <v>0</v>
      </c>
      <c r="BL38" s="259" t="n">
        <f aca="false">INDEX(MO_RIS_Dividend_Prefs,0,COLUMN())</f>
        <v>0</v>
      </c>
      <c r="BM38" s="259" t="n">
        <f aca="false">INDEX(MO_RIS_Dividend_Prefs,0,COLUMN())</f>
        <v>0</v>
      </c>
      <c r="BN38" s="259" t="n">
        <f aca="false">INDEX(MO_RIS_Dividend_Prefs,0,COLUMN())</f>
        <v>0</v>
      </c>
      <c r="BO38" s="260" t="n">
        <f aca="false">INDEX(MO_RIS_Dividend_Prefs,0,COLUMN())</f>
        <v>0</v>
      </c>
      <c r="BP38" s="259" t="n">
        <f aca="false">INDEX(MO_RIS_Dividend_Prefs,0,COLUMN())</f>
        <v>0</v>
      </c>
      <c r="BQ38" s="259" t="n">
        <f aca="false">INDEX(MO_RIS_Dividend_Prefs,0,COLUMN())</f>
        <v>0</v>
      </c>
      <c r="BR38" s="259" t="n">
        <f aca="false">INDEX(MO_RIS_Dividend_Prefs,0,COLUMN())</f>
        <v>0</v>
      </c>
      <c r="BS38" s="259" t="n">
        <f aca="false">INDEX(MO_RIS_Dividend_Prefs,0,COLUMN())</f>
        <v>0</v>
      </c>
      <c r="BT38" s="261" t="n">
        <f aca="false">INDEX(MO_RIS_Dividend_Prefs,0,COLUMN())</f>
        <v>0</v>
      </c>
      <c r="BU38" s="259" t="n">
        <f aca="false">INDEX(MO_RIS_Dividend_Prefs,0,COLUMN())</f>
        <v>0</v>
      </c>
      <c r="BV38" s="259" t="n">
        <f aca="false">INDEX(MO_RIS_Dividend_Prefs,0,COLUMN())</f>
        <v>0</v>
      </c>
      <c r="BW38" s="259" t="n">
        <f aca="false">INDEX(MO_RIS_Dividend_Prefs,0,COLUMN())</f>
        <v>0</v>
      </c>
      <c r="BX38" s="259" t="n">
        <f aca="false">INDEX(MO_RIS_Dividend_Prefs,0,COLUMN())</f>
        <v>0</v>
      </c>
      <c r="BY38" s="261" t="n">
        <f aca="false">INDEX(MO_RIS_Dividend_Prefs,0,COLUMN())</f>
        <v>0</v>
      </c>
      <c r="BZ38" s="261" t="n">
        <f aca="false">INDEX(MO_RIS_Dividend_Prefs,0,COLUMN())</f>
        <v>0</v>
      </c>
      <c r="CA38" s="261" t="n">
        <f aca="false">INDEX(MO_RIS_Dividend_Prefs,0,COLUMN())</f>
        <v>0</v>
      </c>
      <c r="CB38" s="261" t="n">
        <f aca="false">INDEX(MO_RIS_Dividend_Prefs,0,COLUMN())</f>
        <v>0</v>
      </c>
      <c r="CC38" s="48"/>
    </row>
    <row r="39" s="157" customFormat="true" ht="15" hidden="false" customHeight="true" outlineLevel="0" collapsed="false">
      <c r="A39" s="151" t="str">
        <f aca="false">INDEX(MO_RIS_NI_GAAP_Basic,0,COLUMN())</f>
        <v>Net Income to Common Shareholders</v>
      </c>
      <c r="B39" s="393"/>
      <c r="C39" s="162" t="n">
        <f aca="false">INDEX(MO_RIS_NI_GAAP_Basic,0,COLUMN())</f>
        <v>-150.925</v>
      </c>
      <c r="D39" s="162" t="n">
        <f aca="false">INDEX(MO_RIS_NI_GAAP_Basic,0,COLUMN())</f>
        <v>1021.82</v>
      </c>
      <c r="E39" s="162" t="n">
        <f aca="false">INDEX(MO_RIS_NI_GAAP_Basic,0,COLUMN())</f>
        <v>1466.96</v>
      </c>
      <c r="F39" s="162" t="n">
        <f aca="false">INDEX(MO_RIS_NI_GAAP_Basic,0,COLUMN())</f>
        <v>1146.316</v>
      </c>
      <c r="G39" s="162" t="n">
        <f aca="false">INDEX(MO_RIS_NI_GAAP_Basic,0,COLUMN())</f>
        <v>1015.49</v>
      </c>
      <c r="H39" s="163" t="n">
        <f aca="false">INDEX(MO_RIS_NI_GAAP_Basic,0,COLUMN())</f>
        <v>249.1</v>
      </c>
      <c r="I39" s="163" t="n">
        <f aca="false">INDEX(MO_RIS_NI_GAAP_Basic,0,COLUMN())</f>
        <v>398.7</v>
      </c>
      <c r="J39" s="163" t="n">
        <f aca="false">INDEX(MO_RIS_NI_GAAP_Basic,0,COLUMN())</f>
        <v>244</v>
      </c>
      <c r="K39" s="163" t="n">
        <f aca="false">INDEX(MO_RIS_NI_GAAP_Basic,0,COLUMN())</f>
        <v>304.8</v>
      </c>
      <c r="L39" s="162" t="n">
        <f aca="false">INDEX(MO_RIS_NI_GAAP_Basic,0,COLUMN())</f>
        <v>1196.64</v>
      </c>
      <c r="M39" s="163" t="n">
        <f aca="false">INDEX(MO_RIS_NI_GAAP_Basic,0,COLUMN())</f>
        <v>402.7</v>
      </c>
      <c r="N39" s="163" t="n">
        <f aca="false">INDEX(MO_RIS_NI_GAAP_Basic,0,COLUMN())</f>
        <v>369.7</v>
      </c>
      <c r="O39" s="163" t="n">
        <f aca="false">INDEX(MO_RIS_NI_GAAP_Basic,0,COLUMN())</f>
        <v>322.4</v>
      </c>
      <c r="P39" s="163" t="n">
        <f aca="false">INDEX(MO_RIS_NI_GAAP_Basic,0,COLUMN())</f>
        <v>292.4</v>
      </c>
      <c r="Q39" s="162" t="n">
        <f aca="false">INDEX(MO_RIS_NI_GAAP_Basic,0,COLUMN())</f>
        <v>1387.174</v>
      </c>
      <c r="R39" s="163" t="n">
        <f aca="false">INDEX(MO_RIS_NI_GAAP_Basic,0,COLUMN())</f>
        <v>198</v>
      </c>
      <c r="S39" s="163" t="n">
        <f aca="false">INDEX(MO_RIS_NI_GAAP_Basic,0,COLUMN())</f>
        <v>353.8</v>
      </c>
      <c r="T39" s="163" t="n">
        <f aca="false">INDEX(MO_RIS_NI_GAAP_Basic,0,COLUMN())</f>
        <v>395.9</v>
      </c>
      <c r="U39" s="163" t="n">
        <f aca="false">INDEX(MO_RIS_NI_GAAP_Basic,0,COLUMN())</f>
        <v>524.2</v>
      </c>
      <c r="V39" s="162" t="n">
        <f aca="false">INDEX(MO_RIS_NI_GAAP_Basic,0,COLUMN())</f>
        <v>1471.9</v>
      </c>
      <c r="W39" s="163" t="n">
        <f aca="false">INDEX(MO_RIS_NI_GAAP_Basic,0,COLUMN())</f>
        <v>452.1</v>
      </c>
      <c r="X39" s="163" t="n">
        <f aca="false">INDEX(MO_RIS_NI_GAAP_Basic,0,COLUMN())</f>
        <v>466.3</v>
      </c>
      <c r="Y39" s="163" t="n">
        <f aca="false">INDEX(MO_RIS_NI_GAAP_Basic,0,COLUMN())</f>
        <v>557.1</v>
      </c>
      <c r="Z39" s="163" t="n">
        <f aca="false">INDEX(MO_RIS_NI_GAAP_Basic,0,COLUMN())</f>
        <v>643</v>
      </c>
      <c r="AA39" s="162" t="n">
        <f aca="false">INDEX(MO_RIS_NI_GAAP_Basic,0,COLUMN())</f>
        <v>2118.5</v>
      </c>
      <c r="AB39" s="163" t="n">
        <f aca="false">INDEX(MO_RIS_NI_GAAP_Basic,0,COLUMN())</f>
        <v>539.7</v>
      </c>
      <c r="AC39" s="163" t="n">
        <f aca="false">INDEX(MO_RIS_NI_GAAP_Basic,0,COLUMN())</f>
        <v>584</v>
      </c>
      <c r="AD39" s="163" t="n">
        <f aca="false">INDEX(MO_RIS_NI_GAAP_Basic,0,COLUMN())</f>
        <v>680.4</v>
      </c>
      <c r="AE39" s="163" t="n">
        <f aca="false">INDEX(MO_RIS_NI_GAAP_Basic,0,COLUMN())</f>
        <v>787.500000000001</v>
      </c>
      <c r="AF39" s="162" t="n">
        <f aca="false">INDEX(MO_RIS_NI_GAAP_Basic,0,COLUMN())</f>
        <v>2591.6</v>
      </c>
      <c r="AG39" s="163" t="n">
        <f aca="false">INDEX(MO_RIS_NI_GAAP_Basic,0,COLUMN())</f>
        <v>355.4</v>
      </c>
      <c r="AH39" s="163" t="n">
        <f aca="false">INDEX(MO_RIS_NI_GAAP_Basic,0,COLUMN())</f>
        <v>476</v>
      </c>
      <c r="AI39" s="163" t="n">
        <f aca="false">INDEX(MO_RIS_NI_GAAP_Basic,0,COLUMN())</f>
        <v>626.8</v>
      </c>
      <c r="AJ39" s="163" t="n">
        <f aca="false">INDEX(MO_RIS_NI_GAAP_Basic,0,COLUMN())</f>
        <v>1134.1</v>
      </c>
      <c r="AK39" s="162" t="n">
        <f aca="false">INDEX(MO_RIS_NI_GAAP_Basic,0,COLUMN())</f>
        <v>2592.3</v>
      </c>
      <c r="AL39" s="163" t="n">
        <f aca="false">INDEX(MO_RIS_NI_GAAP_Basic,0,COLUMN())</f>
        <v>390.6</v>
      </c>
      <c r="AM39" s="163" t="n">
        <f aca="false">INDEX(MO_RIS_NI_GAAP_Basic,0,COLUMN())</f>
        <v>751</v>
      </c>
      <c r="AN39" s="163" t="n">
        <f aca="false">INDEX(MO_RIS_NI_GAAP_Basic,0,COLUMN())</f>
        <v>1061.5</v>
      </c>
      <c r="AO39" s="163" t="n">
        <f aca="false">INDEX(MO_RIS_NI_GAAP_Basic,0,COLUMN())</f>
        <v>1350.6</v>
      </c>
      <c r="AP39" s="162" t="n">
        <f aca="false">INDEX(MO_RIS_NI_GAAP_Basic,0,COLUMN())</f>
        <v>3553.7</v>
      </c>
      <c r="AQ39" s="163" t="n">
        <f aca="false">INDEX(MO_RIS_NI_GAAP_Basic,0,COLUMN())</f>
        <v>1331.4</v>
      </c>
      <c r="AR39" s="163" t="n">
        <f aca="false">INDEX(MO_RIS_NI_GAAP_Basic,0,COLUMN())</f>
        <v>1038.2</v>
      </c>
      <c r="AS39" s="163" t="n">
        <f aca="false">INDEX(MO_RIS_NI_GAAP_Basic,0,COLUMN())</f>
        <v>1740.2</v>
      </c>
      <c r="AT39" s="163" t="n">
        <f aca="false">INDEX(MO_RIS_NI_GAAP_Basic,0,COLUMN())</f>
        <v>1773.4</v>
      </c>
      <c r="AU39" s="162" t="n">
        <f aca="false">INDEX(MO_RIS_NI_GAAP_Basic,0,COLUMN())</f>
        <v>5883.2</v>
      </c>
      <c r="AV39" s="163" t="n">
        <f aca="false">INDEX(MO_RIS_NI_GAAP_Basic,0,COLUMN())</f>
        <v>695.3</v>
      </c>
      <c r="AW39" s="163" t="n">
        <f aca="false">INDEX(MO_RIS_NI_GAAP_Basic,0,COLUMN())</f>
        <v>1410.9</v>
      </c>
      <c r="AX39" s="163" t="n">
        <f aca="false">INDEX(MO_RIS_NI_GAAP_Basic,0,COLUMN())</f>
        <v>1701.5</v>
      </c>
      <c r="AY39" s="163" t="n">
        <f aca="false">INDEX(MO_RIS_NI_GAAP_Basic,0,COLUMN())</f>
        <v>1816.5</v>
      </c>
      <c r="AZ39" s="162" t="n">
        <f aca="false">INDEX(MO_RIS_NI_GAAP_Basic,0,COLUMN())</f>
        <v>5624.2</v>
      </c>
      <c r="BA39" s="163" t="n">
        <f aca="false">INDEX(MO_RIS_NI_GAAP_Basic,0,COLUMN())</f>
        <v>1955.8</v>
      </c>
      <c r="BB39" s="163" t="n">
        <f aca="false">INDEX(MO_RIS_NI_GAAP_Basic,0,COLUMN())</f>
        <v>1941.7</v>
      </c>
      <c r="BC39" s="163" t="n">
        <f aca="false">INDEX(MO_RIS_NI_GAAP_Basic,0,COLUMN())</f>
        <v>1893.4</v>
      </c>
      <c r="BD39" s="163" t="n">
        <f aca="false">INDEX(MO_RIS_NI_GAAP_Basic,0,COLUMN())</f>
        <v>2048.1</v>
      </c>
      <c r="BE39" s="162" t="n">
        <f aca="false">INDEX(MO_RIS_NI_GAAP_Basic,0,COLUMN())</f>
        <v>7839</v>
      </c>
      <c r="BF39" s="163" t="n">
        <f aca="false">INDEX(MO_RIS_NI_GAAP_Basic,0,COLUMN())</f>
        <v>1223.8</v>
      </c>
      <c r="BG39" s="163" t="n">
        <f aca="false">INDEX(MO_RIS_NI_GAAP_Basic,0,COLUMN())</f>
        <v>1577.9</v>
      </c>
      <c r="BH39" s="163" t="n">
        <f aca="false">INDEX(MO_RIS_NI_GAAP_Basic,0,COLUMN())</f>
        <v>2076.5</v>
      </c>
      <c r="BI39" s="163" t="n">
        <f aca="false">INDEX(MO_RIS_NI_GAAP_Basic,0,COLUMN())</f>
        <v>2693.4</v>
      </c>
      <c r="BJ39" s="162" t="n">
        <f aca="false">INDEX(MO_RIS_NI_GAAP_Basic,0,COLUMN())</f>
        <v>7571.6</v>
      </c>
      <c r="BK39" s="163" t="n">
        <f aca="false">INDEX(MO_RIS_NI_GAAP_Basic,0,COLUMN())</f>
        <v>2355</v>
      </c>
      <c r="BL39" s="163" t="n">
        <f aca="false">INDEX(MO_RIS_NI_GAAP_Basic,0,COLUMN())</f>
        <v>2290.3</v>
      </c>
      <c r="BM39" s="163" t="n">
        <f aca="false">INDEX(MO_RIS_NI_GAAP_Basic,0,COLUMN())</f>
        <v>2124.5</v>
      </c>
      <c r="BN39" s="163" t="n">
        <f aca="false">INDEX(MO_RIS_NI_GAAP_Basic,0,COLUMN())</f>
        <v>2839.6</v>
      </c>
      <c r="BO39" s="164" t="n">
        <f aca="false">INDEX(MO_RIS_NI_GAAP_Basic,0,COLUMN())</f>
        <v>9609.4</v>
      </c>
      <c r="BP39" s="163" t="n">
        <f aca="false">INDEX(MO_RIS_NI_GAAP_Basic,0,COLUMN())</f>
        <v>2444.60603974122</v>
      </c>
      <c r="BQ39" s="163" t="n">
        <f aca="false">INDEX(MO_RIS_NI_GAAP_Basic,0,COLUMN())</f>
        <v>2888.23413957748</v>
      </c>
      <c r="BR39" s="163" t="n">
        <f aca="false">INDEX(MO_RIS_NI_GAAP_Basic,0,COLUMN())</f>
        <v>2723.68903577873</v>
      </c>
      <c r="BS39" s="163" t="n">
        <f aca="false">INDEX(MO_RIS_NI_GAAP_Basic,0,COLUMN())</f>
        <v>2973.43577238699</v>
      </c>
      <c r="BT39" s="162" t="n">
        <f aca="false">INDEX(MO_RIS_NI_GAAP_Basic,0,COLUMN())</f>
        <v>11029.9649874844</v>
      </c>
      <c r="BU39" s="163" t="n">
        <f aca="false">INDEX(MO_RIS_NI_GAAP_Basic,0,COLUMN())</f>
        <v>2606.64839285746</v>
      </c>
      <c r="BV39" s="163" t="n">
        <f aca="false">INDEX(MO_RIS_NI_GAAP_Basic,0,COLUMN())</f>
        <v>3519.42685000929</v>
      </c>
      <c r="BW39" s="163" t="n">
        <f aca="false">INDEX(MO_RIS_NI_GAAP_Basic,0,COLUMN())</f>
        <v>3281.80062837639</v>
      </c>
      <c r="BX39" s="163" t="n">
        <f aca="false">INDEX(MO_RIS_NI_GAAP_Basic,0,COLUMN())</f>
        <v>3429.36816119764</v>
      </c>
      <c r="BY39" s="162" t="n">
        <f aca="false">INDEX(MO_RIS_NI_GAAP_Basic,0,COLUMN())</f>
        <v>12837.2440324408</v>
      </c>
      <c r="BZ39" s="162" t="n">
        <f aca="false">INDEX(MO_RIS_NI_GAAP_Basic,0,COLUMN())</f>
        <v>15488.4289204566</v>
      </c>
      <c r="CA39" s="162" t="n">
        <f aca="false">INDEX(MO_RIS_NI_GAAP_Basic,0,COLUMN())</f>
        <v>16524.636711957</v>
      </c>
      <c r="CB39" s="162" t="n">
        <f aca="false">INDEX(MO_RIS_NI_GAAP_Basic,0,COLUMN())</f>
        <v>17634.2994082968</v>
      </c>
      <c r="CC39" s="268"/>
    </row>
    <row r="40" s="157" customFormat="true" ht="15" hidden="false" customHeight="true" outlineLevel="0" collapsed="false">
      <c r="A40" s="145" t="str">
        <f aca="false">INDEX(MO_RIS_Adjustments_Dilution_GAAP,0,COLUMN())</f>
        <v>Adjustments for Convertible Securities</v>
      </c>
      <c r="B40" s="254"/>
      <c r="C40" s="159" t="n">
        <f aca="false">INDEX(MO_RIS_Adjustments_Dilution_GAAP,0,COLUMN())</f>
        <v>0</v>
      </c>
      <c r="D40" s="159" t="n">
        <f aca="false">INDEX(MO_RIS_Adjustments_Dilution_GAAP,0,COLUMN())</f>
        <v>0</v>
      </c>
      <c r="E40" s="159" t="n">
        <f aca="false">INDEX(MO_RIS_Adjustments_Dilution_GAAP,0,COLUMN())</f>
        <v>0</v>
      </c>
      <c r="F40" s="159" t="n">
        <f aca="false">INDEX(MO_RIS_Adjustments_Dilution_GAAP,0,COLUMN())</f>
        <v>0</v>
      </c>
      <c r="G40" s="159" t="n">
        <f aca="false">INDEX(MO_RIS_Adjustments_Dilution_GAAP,0,COLUMN())</f>
        <v>0</v>
      </c>
      <c r="H40" s="48" t="n">
        <f aca="false">INDEX(MO_RIS_Adjustments_Dilution_GAAP,0,COLUMN())</f>
        <v>0</v>
      </c>
      <c r="I40" s="48" t="n">
        <f aca="false">INDEX(MO_RIS_Adjustments_Dilution_GAAP,0,COLUMN())</f>
        <v>0</v>
      </c>
      <c r="J40" s="48" t="n">
        <f aca="false">INDEX(MO_RIS_Adjustments_Dilution_GAAP,0,COLUMN())</f>
        <v>0</v>
      </c>
      <c r="K40" s="48" t="n">
        <f aca="false">INDEX(MO_RIS_Adjustments_Dilution_GAAP,0,COLUMN())</f>
        <v>0</v>
      </c>
      <c r="L40" s="159" t="n">
        <f aca="false">INDEX(MO_RIS_Adjustments_Dilution_GAAP,0,COLUMN())</f>
        <v>0</v>
      </c>
      <c r="M40" s="48" t="n">
        <f aca="false">INDEX(MO_RIS_Adjustments_Dilution_GAAP,0,COLUMN())</f>
        <v>0</v>
      </c>
      <c r="N40" s="48" t="n">
        <f aca="false">INDEX(MO_RIS_Adjustments_Dilution_GAAP,0,COLUMN())</f>
        <v>0</v>
      </c>
      <c r="O40" s="48" t="n">
        <f aca="false">INDEX(MO_RIS_Adjustments_Dilution_GAAP,0,COLUMN())</f>
        <v>0</v>
      </c>
      <c r="P40" s="48" t="n">
        <f aca="false">INDEX(MO_RIS_Adjustments_Dilution_GAAP,0,COLUMN())</f>
        <v>0</v>
      </c>
      <c r="Q40" s="159" t="n">
        <f aca="false">INDEX(MO_RIS_Adjustments_Dilution_GAAP,0,COLUMN())</f>
        <v>0</v>
      </c>
      <c r="R40" s="48" t="n">
        <f aca="false">INDEX(MO_RIS_Adjustments_Dilution_GAAP,0,COLUMN())</f>
        <v>0</v>
      </c>
      <c r="S40" s="48" t="n">
        <f aca="false">INDEX(MO_RIS_Adjustments_Dilution_GAAP,0,COLUMN())</f>
        <v>0</v>
      </c>
      <c r="T40" s="48" t="n">
        <f aca="false">INDEX(MO_RIS_Adjustments_Dilution_GAAP,0,COLUMN())</f>
        <v>0</v>
      </c>
      <c r="U40" s="48" t="n">
        <f aca="false">INDEX(MO_RIS_Adjustments_Dilution_GAAP,0,COLUMN())</f>
        <v>0</v>
      </c>
      <c r="V40" s="159" t="n">
        <f aca="false">INDEX(MO_RIS_Adjustments_Dilution_GAAP,0,COLUMN())</f>
        <v>0</v>
      </c>
      <c r="W40" s="48" t="n">
        <f aca="false">INDEX(MO_RIS_Adjustments_Dilution_GAAP,0,COLUMN())</f>
        <v>0</v>
      </c>
      <c r="X40" s="48" t="n">
        <f aca="false">INDEX(MO_RIS_Adjustments_Dilution_GAAP,0,COLUMN())</f>
        <v>0</v>
      </c>
      <c r="Y40" s="48" t="n">
        <f aca="false">INDEX(MO_RIS_Adjustments_Dilution_GAAP,0,COLUMN())</f>
        <v>0</v>
      </c>
      <c r="Z40" s="48" t="n">
        <f aca="false">INDEX(MO_RIS_Adjustments_Dilution_GAAP,0,COLUMN())</f>
        <v>0</v>
      </c>
      <c r="AA40" s="159" t="n">
        <f aca="false">INDEX(MO_RIS_Adjustments_Dilution_GAAP,0,COLUMN())</f>
        <v>0</v>
      </c>
      <c r="AB40" s="48" t="n">
        <f aca="false">INDEX(MO_RIS_Adjustments_Dilution_GAAP,0,COLUMN())</f>
        <v>0</v>
      </c>
      <c r="AC40" s="48" t="n">
        <f aca="false">INDEX(MO_RIS_Adjustments_Dilution_GAAP,0,COLUMN())</f>
        <v>0</v>
      </c>
      <c r="AD40" s="48" t="n">
        <f aca="false">INDEX(MO_RIS_Adjustments_Dilution_GAAP,0,COLUMN())</f>
        <v>0</v>
      </c>
      <c r="AE40" s="48" t="n">
        <f aca="false">INDEX(MO_RIS_Adjustments_Dilution_GAAP,0,COLUMN())</f>
        <v>0</v>
      </c>
      <c r="AF40" s="159" t="n">
        <f aca="false">INDEX(MO_RIS_Adjustments_Dilution_GAAP,0,COLUMN())</f>
        <v>0</v>
      </c>
      <c r="AG40" s="48" t="n">
        <f aca="false">INDEX(MO_RIS_Adjustments_Dilution_GAAP,0,COLUMN())</f>
        <v>0</v>
      </c>
      <c r="AH40" s="48" t="n">
        <f aca="false">INDEX(MO_RIS_Adjustments_Dilution_GAAP,0,COLUMN())</f>
        <v>0</v>
      </c>
      <c r="AI40" s="48" t="n">
        <f aca="false">INDEX(MO_RIS_Adjustments_Dilution_GAAP,0,COLUMN())</f>
        <v>0</v>
      </c>
      <c r="AJ40" s="48" t="n">
        <f aca="false">INDEX(MO_RIS_Adjustments_Dilution_GAAP,0,COLUMN())</f>
        <v>0</v>
      </c>
      <c r="AK40" s="159" t="n">
        <f aca="false">INDEX(MO_RIS_Adjustments_Dilution_GAAP,0,COLUMN())</f>
        <v>0</v>
      </c>
      <c r="AL40" s="48" t="n">
        <f aca="false">INDEX(MO_RIS_Adjustments_Dilution_GAAP,0,COLUMN())</f>
        <v>0</v>
      </c>
      <c r="AM40" s="48" t="n">
        <f aca="false">INDEX(MO_RIS_Adjustments_Dilution_GAAP,0,COLUMN())</f>
        <v>0</v>
      </c>
      <c r="AN40" s="48" t="n">
        <f aca="false">INDEX(MO_RIS_Adjustments_Dilution_GAAP,0,COLUMN())</f>
        <v>0</v>
      </c>
      <c r="AO40" s="48" t="n">
        <f aca="false">INDEX(MO_RIS_Adjustments_Dilution_GAAP,0,COLUMN())</f>
        <v>0</v>
      </c>
      <c r="AP40" s="159" t="n">
        <f aca="false">INDEX(MO_RIS_Adjustments_Dilution_GAAP,0,COLUMN())</f>
        <v>0</v>
      </c>
      <c r="AQ40" s="48" t="n">
        <f aca="false">INDEX(MO_RIS_Adjustments_Dilution_GAAP,0,COLUMN())</f>
        <v>0</v>
      </c>
      <c r="AR40" s="48" t="n">
        <f aca="false">INDEX(MO_RIS_Adjustments_Dilution_GAAP,0,COLUMN())</f>
        <v>0</v>
      </c>
      <c r="AS40" s="48" t="n">
        <f aca="false">INDEX(MO_RIS_Adjustments_Dilution_GAAP,0,COLUMN())</f>
        <v>0</v>
      </c>
      <c r="AT40" s="48" t="n">
        <f aca="false">INDEX(MO_RIS_Adjustments_Dilution_GAAP,0,COLUMN())</f>
        <v>0</v>
      </c>
      <c r="AU40" s="159" t="n">
        <f aca="false">INDEX(MO_RIS_Adjustments_Dilution_GAAP,0,COLUMN())</f>
        <v>0</v>
      </c>
      <c r="AV40" s="48" t="n">
        <f aca="false">INDEX(MO_RIS_Adjustments_Dilution_GAAP,0,COLUMN())</f>
        <v>0</v>
      </c>
      <c r="AW40" s="48" t="n">
        <f aca="false">INDEX(MO_RIS_Adjustments_Dilution_GAAP,0,COLUMN())</f>
        <v>0</v>
      </c>
      <c r="AX40" s="48" t="n">
        <f aca="false">INDEX(MO_RIS_Adjustments_Dilution_GAAP,0,COLUMN())</f>
        <v>0</v>
      </c>
      <c r="AY40" s="48" t="n">
        <f aca="false">INDEX(MO_RIS_Adjustments_Dilution_GAAP,0,COLUMN())</f>
        <v>0</v>
      </c>
      <c r="AZ40" s="159" t="n">
        <f aca="false">INDEX(MO_RIS_Adjustments_Dilution_GAAP,0,COLUMN())</f>
        <v>0</v>
      </c>
      <c r="BA40" s="48" t="n">
        <f aca="false">INDEX(MO_RIS_Adjustments_Dilution_GAAP,0,COLUMN())</f>
        <v>0</v>
      </c>
      <c r="BB40" s="48" t="n">
        <f aca="false">INDEX(MO_RIS_Adjustments_Dilution_GAAP,0,COLUMN())</f>
        <v>0</v>
      </c>
      <c r="BC40" s="48" t="n">
        <f aca="false">INDEX(MO_RIS_Adjustments_Dilution_GAAP,0,COLUMN())</f>
        <v>0</v>
      </c>
      <c r="BD40" s="48" t="n">
        <f aca="false">INDEX(MO_RIS_Adjustments_Dilution_GAAP,0,COLUMN())</f>
        <v>0</v>
      </c>
      <c r="BE40" s="159" t="n">
        <f aca="false">INDEX(MO_RIS_Adjustments_Dilution_GAAP,0,COLUMN())</f>
        <v>0</v>
      </c>
      <c r="BF40" s="48" t="n">
        <f aca="false">INDEX(MO_RIS_Adjustments_Dilution_GAAP,0,COLUMN())</f>
        <v>0</v>
      </c>
      <c r="BG40" s="48" t="n">
        <f aca="false">INDEX(MO_RIS_Adjustments_Dilution_GAAP,0,COLUMN())</f>
        <v>0</v>
      </c>
      <c r="BH40" s="48" t="n">
        <f aca="false">INDEX(MO_RIS_Adjustments_Dilution_GAAP,0,COLUMN())</f>
        <v>0</v>
      </c>
      <c r="BI40" s="48" t="n">
        <f aca="false">INDEX(MO_RIS_Adjustments_Dilution_GAAP,0,COLUMN())</f>
        <v>0</v>
      </c>
      <c r="BJ40" s="159" t="n">
        <f aca="false">INDEX(MO_RIS_Adjustments_Dilution_GAAP,0,COLUMN())</f>
        <v>0</v>
      </c>
      <c r="BK40" s="48" t="n">
        <f aca="false">INDEX(MO_RIS_Adjustments_Dilution_GAAP,0,COLUMN())</f>
        <v>0</v>
      </c>
      <c r="BL40" s="48" t="n">
        <f aca="false">INDEX(MO_RIS_Adjustments_Dilution_GAAP,0,COLUMN())</f>
        <v>0</v>
      </c>
      <c r="BM40" s="48" t="n">
        <f aca="false">INDEX(MO_RIS_Adjustments_Dilution_GAAP,0,COLUMN())</f>
        <v>0</v>
      </c>
      <c r="BN40" s="48" t="n">
        <f aca="false">INDEX(MO_RIS_Adjustments_Dilution_GAAP,0,COLUMN())</f>
        <v>0</v>
      </c>
      <c r="BO40" s="160" t="n">
        <f aca="false">INDEX(MO_RIS_Adjustments_Dilution_GAAP,0,COLUMN())</f>
        <v>0</v>
      </c>
      <c r="BP40" s="48" t="n">
        <f aca="false">INDEX(MO_RIS_Adjustments_Dilution_GAAP,0,COLUMN())</f>
        <v>0</v>
      </c>
      <c r="BQ40" s="48" t="n">
        <f aca="false">INDEX(MO_RIS_Adjustments_Dilution_GAAP,0,COLUMN())</f>
        <v>0</v>
      </c>
      <c r="BR40" s="48" t="n">
        <f aca="false">INDEX(MO_RIS_Adjustments_Dilution_GAAP,0,COLUMN())</f>
        <v>0</v>
      </c>
      <c r="BS40" s="48" t="n">
        <f aca="false">INDEX(MO_RIS_Adjustments_Dilution_GAAP,0,COLUMN())</f>
        <v>0</v>
      </c>
      <c r="BT40" s="159" t="n">
        <f aca="false">INDEX(MO_RIS_Adjustments_Dilution_GAAP,0,COLUMN())</f>
        <v>0</v>
      </c>
      <c r="BU40" s="48" t="n">
        <f aca="false">INDEX(MO_RIS_Adjustments_Dilution_GAAP,0,COLUMN())</f>
        <v>0</v>
      </c>
      <c r="BV40" s="48" t="n">
        <f aca="false">INDEX(MO_RIS_Adjustments_Dilution_GAAP,0,COLUMN())</f>
        <v>0</v>
      </c>
      <c r="BW40" s="48" t="n">
        <f aca="false">INDEX(MO_RIS_Adjustments_Dilution_GAAP,0,COLUMN())</f>
        <v>0</v>
      </c>
      <c r="BX40" s="48" t="n">
        <f aca="false">INDEX(MO_RIS_Adjustments_Dilution_GAAP,0,COLUMN())</f>
        <v>0</v>
      </c>
      <c r="BY40" s="159" t="n">
        <f aca="false">INDEX(MO_RIS_Adjustments_Dilution_GAAP,0,COLUMN())</f>
        <v>0</v>
      </c>
      <c r="BZ40" s="159" t="n">
        <f aca="false">INDEX(MO_RIS_Adjustments_Dilution_GAAP,0,COLUMN())</f>
        <v>0</v>
      </c>
      <c r="CA40" s="159" t="n">
        <f aca="false">INDEX(MO_RIS_Adjustments_Dilution_GAAP,0,COLUMN())</f>
        <v>0</v>
      </c>
      <c r="CB40" s="159" t="n">
        <f aca="false">INDEX(MO_RIS_Adjustments_Dilution_GAAP,0,COLUMN())</f>
        <v>0</v>
      </c>
      <c r="CC40" s="268"/>
    </row>
    <row r="41" s="157" customFormat="true" ht="15" hidden="false" customHeight="true" outlineLevel="0" collapsed="false">
      <c r="A41" s="151" t="str">
        <f aca="false">INDEX(MO_RIS_NI_GAAP_Diluted,0,COLUMN())</f>
        <v>Diluted Net Income to Common Shareholders</v>
      </c>
      <c r="B41" s="393"/>
      <c r="C41" s="162" t="n">
        <f aca="false">INDEX(MO_RIS_NI_GAAP_Diluted,0,COLUMN())</f>
        <v>-150.925</v>
      </c>
      <c r="D41" s="162" t="n">
        <f aca="false">INDEX(MO_RIS_NI_GAAP_Diluted,0,COLUMN())</f>
        <v>1021.82</v>
      </c>
      <c r="E41" s="162" t="n">
        <f aca="false">INDEX(MO_RIS_NI_GAAP_Diluted,0,COLUMN())</f>
        <v>1466.96</v>
      </c>
      <c r="F41" s="162" t="n">
        <f aca="false">INDEX(MO_RIS_NI_GAAP_Diluted,0,COLUMN())</f>
        <v>1146.316</v>
      </c>
      <c r="G41" s="162" t="n">
        <f aca="false">INDEX(MO_RIS_NI_GAAP_Diluted,0,COLUMN())</f>
        <v>1015.49</v>
      </c>
      <c r="H41" s="163" t="n">
        <f aca="false">INDEX(MO_RIS_NI_GAAP_Diluted,0,COLUMN())</f>
        <v>249.1</v>
      </c>
      <c r="I41" s="163" t="n">
        <f aca="false">INDEX(MO_RIS_NI_GAAP_Diluted,0,COLUMN())</f>
        <v>398.7</v>
      </c>
      <c r="J41" s="163" t="n">
        <f aca="false">INDEX(MO_RIS_NI_GAAP_Diluted,0,COLUMN())</f>
        <v>244</v>
      </c>
      <c r="K41" s="163" t="n">
        <f aca="false">INDEX(MO_RIS_NI_GAAP_Diluted,0,COLUMN())</f>
        <v>304.8</v>
      </c>
      <c r="L41" s="162" t="n">
        <f aca="false">INDEX(MO_RIS_NI_GAAP_Diluted,0,COLUMN())</f>
        <v>1196.64</v>
      </c>
      <c r="M41" s="163" t="n">
        <f aca="false">INDEX(MO_RIS_NI_GAAP_Diluted,0,COLUMN())</f>
        <v>402.7</v>
      </c>
      <c r="N41" s="163" t="n">
        <f aca="false">INDEX(MO_RIS_NI_GAAP_Diluted,0,COLUMN())</f>
        <v>369.7</v>
      </c>
      <c r="O41" s="163" t="n">
        <f aca="false">INDEX(MO_RIS_NI_GAAP_Diluted,0,COLUMN())</f>
        <v>322.4</v>
      </c>
      <c r="P41" s="163" t="n">
        <f aca="false">INDEX(MO_RIS_NI_GAAP_Diluted,0,COLUMN())</f>
        <v>292.4</v>
      </c>
      <c r="Q41" s="162" t="n">
        <f aca="false">INDEX(MO_RIS_NI_GAAP_Diluted,0,COLUMN())</f>
        <v>1387.174</v>
      </c>
      <c r="R41" s="163" t="n">
        <f aca="false">INDEX(MO_RIS_NI_GAAP_Diluted,0,COLUMN())</f>
        <v>198</v>
      </c>
      <c r="S41" s="163" t="n">
        <f aca="false">INDEX(MO_RIS_NI_GAAP_Diluted,0,COLUMN())</f>
        <v>353.8</v>
      </c>
      <c r="T41" s="163" t="n">
        <f aca="false">INDEX(MO_RIS_NI_GAAP_Diluted,0,COLUMN())</f>
        <v>395.9</v>
      </c>
      <c r="U41" s="163" t="n">
        <f aca="false">INDEX(MO_RIS_NI_GAAP_Diluted,0,COLUMN())</f>
        <v>524.2</v>
      </c>
      <c r="V41" s="162" t="n">
        <f aca="false">INDEX(MO_RIS_NI_GAAP_Diluted,0,COLUMN())</f>
        <v>1471.9</v>
      </c>
      <c r="W41" s="163" t="n">
        <f aca="false">INDEX(MO_RIS_NI_GAAP_Diluted,0,COLUMN())</f>
        <v>452.1</v>
      </c>
      <c r="X41" s="163" t="n">
        <f aca="false">INDEX(MO_RIS_NI_GAAP_Diluted,0,COLUMN())</f>
        <v>466.3</v>
      </c>
      <c r="Y41" s="163" t="n">
        <f aca="false">INDEX(MO_RIS_NI_GAAP_Diluted,0,COLUMN())</f>
        <v>557.1</v>
      </c>
      <c r="Z41" s="163" t="n">
        <f aca="false">INDEX(MO_RIS_NI_GAAP_Diluted,0,COLUMN())</f>
        <v>643</v>
      </c>
      <c r="AA41" s="162" t="n">
        <f aca="false">INDEX(MO_RIS_NI_GAAP_Diluted,0,COLUMN())</f>
        <v>2118.5</v>
      </c>
      <c r="AB41" s="163" t="n">
        <f aca="false">INDEX(MO_RIS_NI_GAAP_Diluted,0,COLUMN())</f>
        <v>539.7</v>
      </c>
      <c r="AC41" s="163" t="n">
        <f aca="false">INDEX(MO_RIS_NI_GAAP_Diluted,0,COLUMN())</f>
        <v>584</v>
      </c>
      <c r="AD41" s="163" t="n">
        <f aca="false">INDEX(MO_RIS_NI_GAAP_Diluted,0,COLUMN())</f>
        <v>680.4</v>
      </c>
      <c r="AE41" s="163" t="n">
        <f aca="false">INDEX(MO_RIS_NI_GAAP_Diluted,0,COLUMN())</f>
        <v>787.500000000001</v>
      </c>
      <c r="AF41" s="162" t="n">
        <f aca="false">INDEX(MO_RIS_NI_GAAP_Diluted,0,COLUMN())</f>
        <v>2591.6</v>
      </c>
      <c r="AG41" s="163" t="n">
        <f aca="false">INDEX(MO_RIS_NI_GAAP_Diluted,0,COLUMN())</f>
        <v>355.4</v>
      </c>
      <c r="AH41" s="163" t="n">
        <f aca="false">INDEX(MO_RIS_NI_GAAP_Diluted,0,COLUMN())</f>
        <v>476</v>
      </c>
      <c r="AI41" s="163" t="n">
        <f aca="false">INDEX(MO_RIS_NI_GAAP_Diluted,0,COLUMN())</f>
        <v>626.8</v>
      </c>
      <c r="AJ41" s="163" t="n">
        <f aca="false">INDEX(MO_RIS_NI_GAAP_Diluted,0,COLUMN())</f>
        <v>1134.1</v>
      </c>
      <c r="AK41" s="162" t="n">
        <f aca="false">INDEX(MO_RIS_NI_GAAP_Diluted,0,COLUMN())</f>
        <v>2592.3</v>
      </c>
      <c r="AL41" s="163" t="n">
        <f aca="false">INDEX(MO_RIS_NI_GAAP_Diluted,0,COLUMN())</f>
        <v>390.6</v>
      </c>
      <c r="AM41" s="163" t="n">
        <f aca="false">INDEX(MO_RIS_NI_GAAP_Diluted,0,COLUMN())</f>
        <v>751</v>
      </c>
      <c r="AN41" s="163" t="n">
        <f aca="false">INDEX(MO_RIS_NI_GAAP_Diluted,0,COLUMN())</f>
        <v>1061.5</v>
      </c>
      <c r="AO41" s="163" t="n">
        <f aca="false">INDEX(MO_RIS_NI_GAAP_Diluted,0,COLUMN())</f>
        <v>1350.6</v>
      </c>
      <c r="AP41" s="162" t="n">
        <f aca="false">INDEX(MO_RIS_NI_GAAP_Diluted,0,COLUMN())</f>
        <v>3553.7</v>
      </c>
      <c r="AQ41" s="163" t="n">
        <f aca="false">INDEX(MO_RIS_NI_GAAP_Diluted,0,COLUMN())</f>
        <v>1331.4</v>
      </c>
      <c r="AR41" s="163" t="n">
        <f aca="false">INDEX(MO_RIS_NI_GAAP_Diluted,0,COLUMN())</f>
        <v>1038.2</v>
      </c>
      <c r="AS41" s="163" t="n">
        <f aca="false">INDEX(MO_RIS_NI_GAAP_Diluted,0,COLUMN())</f>
        <v>1740.2</v>
      </c>
      <c r="AT41" s="163" t="n">
        <f aca="false">INDEX(MO_RIS_NI_GAAP_Diluted,0,COLUMN())</f>
        <v>1773.4</v>
      </c>
      <c r="AU41" s="162" t="n">
        <f aca="false">INDEX(MO_RIS_NI_GAAP_Diluted,0,COLUMN())</f>
        <v>5883.2</v>
      </c>
      <c r="AV41" s="163" t="n">
        <f aca="false">INDEX(MO_RIS_NI_GAAP_Diluted,0,COLUMN())</f>
        <v>695.3</v>
      </c>
      <c r="AW41" s="163" t="n">
        <f aca="false">INDEX(MO_RIS_NI_GAAP_Diluted,0,COLUMN())</f>
        <v>1410.9</v>
      </c>
      <c r="AX41" s="163" t="n">
        <f aca="false">INDEX(MO_RIS_NI_GAAP_Diluted,0,COLUMN())</f>
        <v>1701.5</v>
      </c>
      <c r="AY41" s="163" t="n">
        <f aca="false">INDEX(MO_RIS_NI_GAAP_Diluted,0,COLUMN())</f>
        <v>1816.5</v>
      </c>
      <c r="AZ41" s="162" t="n">
        <f aca="false">INDEX(MO_RIS_NI_GAAP_Diluted,0,COLUMN())</f>
        <v>5624.2</v>
      </c>
      <c r="BA41" s="163" t="n">
        <f aca="false">INDEX(MO_RIS_NI_GAAP_Diluted,0,COLUMN())</f>
        <v>1955.8</v>
      </c>
      <c r="BB41" s="163" t="n">
        <f aca="false">INDEX(MO_RIS_NI_GAAP_Diluted,0,COLUMN())</f>
        <v>1941.7</v>
      </c>
      <c r="BC41" s="163" t="n">
        <f aca="false">INDEX(MO_RIS_NI_GAAP_Diluted,0,COLUMN())</f>
        <v>1893.4</v>
      </c>
      <c r="BD41" s="163" t="n">
        <f aca="false">INDEX(MO_RIS_NI_GAAP_Diluted,0,COLUMN())</f>
        <v>2048.1</v>
      </c>
      <c r="BE41" s="162" t="n">
        <f aca="false">INDEX(MO_RIS_NI_GAAP_Diluted,0,COLUMN())</f>
        <v>7839</v>
      </c>
      <c r="BF41" s="163" t="n">
        <f aca="false">INDEX(MO_RIS_NI_GAAP_Diluted,0,COLUMN())</f>
        <v>1223.8</v>
      </c>
      <c r="BG41" s="163" t="n">
        <f aca="false">INDEX(MO_RIS_NI_GAAP_Diluted,0,COLUMN())</f>
        <v>1577.9</v>
      </c>
      <c r="BH41" s="163" t="n">
        <f aca="false">INDEX(MO_RIS_NI_GAAP_Diluted,0,COLUMN())</f>
        <v>2076.5</v>
      </c>
      <c r="BI41" s="163" t="n">
        <f aca="false">INDEX(MO_RIS_NI_GAAP_Diluted,0,COLUMN())</f>
        <v>2693.4</v>
      </c>
      <c r="BJ41" s="162" t="n">
        <f aca="false">INDEX(MO_RIS_NI_GAAP_Diluted,0,COLUMN())</f>
        <v>7571.6</v>
      </c>
      <c r="BK41" s="163" t="n">
        <f aca="false">INDEX(MO_RIS_NI_GAAP_Diluted,0,COLUMN())</f>
        <v>2355</v>
      </c>
      <c r="BL41" s="163" t="n">
        <f aca="false">INDEX(MO_RIS_NI_GAAP_Diluted,0,COLUMN())</f>
        <v>2290.3</v>
      </c>
      <c r="BM41" s="163" t="n">
        <f aca="false">INDEX(MO_RIS_NI_GAAP_Diluted,0,COLUMN())</f>
        <v>2124.5</v>
      </c>
      <c r="BN41" s="163" t="n">
        <f aca="false">INDEX(MO_RIS_NI_GAAP_Diluted,0,COLUMN())</f>
        <v>2839.6</v>
      </c>
      <c r="BO41" s="164" t="n">
        <f aca="false">INDEX(MO_RIS_NI_GAAP_Diluted,0,COLUMN())</f>
        <v>9609.4</v>
      </c>
      <c r="BP41" s="163" t="n">
        <f aca="false">INDEX(MO_RIS_NI_GAAP_Diluted,0,COLUMN())</f>
        <v>2444.60603974122</v>
      </c>
      <c r="BQ41" s="163" t="n">
        <f aca="false">INDEX(MO_RIS_NI_GAAP_Diluted,0,COLUMN())</f>
        <v>2888.23413957748</v>
      </c>
      <c r="BR41" s="163" t="n">
        <f aca="false">INDEX(MO_RIS_NI_GAAP_Diluted,0,COLUMN())</f>
        <v>2723.68903577873</v>
      </c>
      <c r="BS41" s="163" t="n">
        <f aca="false">INDEX(MO_RIS_NI_GAAP_Diluted,0,COLUMN())</f>
        <v>2973.43577238699</v>
      </c>
      <c r="BT41" s="162" t="n">
        <f aca="false">INDEX(MO_RIS_NI_GAAP_Diluted,0,COLUMN())</f>
        <v>11029.9649874844</v>
      </c>
      <c r="BU41" s="163" t="n">
        <f aca="false">INDEX(MO_RIS_NI_GAAP_Diluted,0,COLUMN())</f>
        <v>2606.64839285746</v>
      </c>
      <c r="BV41" s="163" t="n">
        <f aca="false">INDEX(MO_RIS_NI_GAAP_Diluted,0,COLUMN())</f>
        <v>3519.42685000929</v>
      </c>
      <c r="BW41" s="163" t="n">
        <f aca="false">INDEX(MO_RIS_NI_GAAP_Diluted,0,COLUMN())</f>
        <v>3281.80062837639</v>
      </c>
      <c r="BX41" s="163" t="n">
        <f aca="false">INDEX(MO_RIS_NI_GAAP_Diluted,0,COLUMN())</f>
        <v>3429.36816119764</v>
      </c>
      <c r="BY41" s="162" t="n">
        <f aca="false">INDEX(MO_RIS_NI_GAAP_Diluted,0,COLUMN())</f>
        <v>12837.2440324408</v>
      </c>
      <c r="BZ41" s="162" t="n">
        <f aca="false">INDEX(MO_RIS_NI_GAAP_Diluted,0,COLUMN())</f>
        <v>15488.4289204566</v>
      </c>
      <c r="CA41" s="162" t="n">
        <f aca="false">INDEX(MO_RIS_NI_GAAP_Diluted,0,COLUMN())</f>
        <v>16524.636711957</v>
      </c>
      <c r="CB41" s="162" t="n">
        <f aca="false">INDEX(MO_RIS_NI_GAAP_Diluted,0,COLUMN())</f>
        <v>17634.2994082968</v>
      </c>
      <c r="CC41" s="268"/>
    </row>
    <row r="42" s="445" customFormat="true" ht="15" hidden="false" customHeight="true" outlineLevel="0" collapsed="false">
      <c r="A42" s="443" t="str">
        <f aca="false">INDEX(MO_RIS_EPS_WAD,0,COLUMN())</f>
        <v>Earnings Per Share - WAD</v>
      </c>
      <c r="B42" s="439"/>
      <c r="C42" s="713" t="n">
        <f aca="false">INDEX(MO_RIS_EPS_WAD,0,COLUMN())</f>
        <v>-0.3488667753083</v>
      </c>
      <c r="D42" s="713" t="n">
        <f aca="false">INDEX(MO_RIS_EPS_WAD,0,COLUMN())</f>
        <v>2.32774606240916</v>
      </c>
      <c r="E42" s="713" t="n">
        <f aca="false">INDEX(MO_RIS_EPS_WAD,0,COLUMN())</f>
        <v>3.41906477754497</v>
      </c>
      <c r="F42" s="713" t="n">
        <f aca="false">INDEX(MO_RIS_EPS_WAD,0,COLUMN())</f>
        <v>2.68466881818139</v>
      </c>
      <c r="G42" s="713" t="n">
        <f aca="false">INDEX(MO_RIS_EPS_WAD,0,COLUMN())</f>
        <v>2.34282932591372</v>
      </c>
      <c r="H42" s="443" t="n">
        <f aca="false">INDEX(MO_RIS_EPS_WAD,0,COLUMN())</f>
        <v>0.561668545659526</v>
      </c>
      <c r="I42" s="443" t="n">
        <f aca="false">INDEX(MO_RIS_EPS_WAD,0,COLUMN())</f>
        <v>0.902853260869565</v>
      </c>
      <c r="J42" s="443" t="n">
        <f aca="false">INDEX(MO_RIS_EPS_WAD,0,COLUMN())</f>
        <v>0.555808656036446</v>
      </c>
      <c r="K42" s="443" t="n">
        <f aca="false">INDEX(MO_RIS_EPS_WAD,0,COLUMN())</f>
        <v>0.697961987634532</v>
      </c>
      <c r="L42" s="713" t="n">
        <f aca="false">INDEX(MO_RIS_EPS_WAD,0,COLUMN())</f>
        <v>2.72153525300607</v>
      </c>
      <c r="M42" s="443" t="n">
        <f aca="false">INDEX(MO_RIS_EPS_WAD,0,COLUMN())</f>
        <v>0.925109120147025</v>
      </c>
      <c r="N42" s="443" t="n">
        <f aca="false">INDEX(MO_RIS_EPS_WAD,0,COLUMN())</f>
        <v>0.852236053480867</v>
      </c>
      <c r="O42" s="443" t="n">
        <f aca="false">INDEX(MO_RIS_EPS_WAD,0,COLUMN())</f>
        <v>0.745778394633356</v>
      </c>
      <c r="P42" s="443" t="n">
        <f aca="false">INDEX(MO_RIS_EPS_WAD,0,COLUMN())</f>
        <v>0.678737233054781</v>
      </c>
      <c r="Q42" s="713" t="n">
        <f aca="false">INDEX(MO_RIS_EPS_WAD,0,COLUMN())</f>
        <v>3.20627120681207</v>
      </c>
      <c r="R42" s="443" t="n">
        <f aca="false">INDEX(MO_RIS_EPS_WAD,0,COLUMN())</f>
        <v>0.461430901887671</v>
      </c>
      <c r="S42" s="443" t="n">
        <f aca="false">INDEX(MO_RIS_EPS_WAD,0,COLUMN())</f>
        <v>0.829542790152403</v>
      </c>
      <c r="T42" s="443" t="n">
        <f aca="false">INDEX(MO_RIS_EPS_WAD,0,COLUMN())</f>
        <v>0.92977923907938</v>
      </c>
      <c r="U42" s="443" t="n">
        <f aca="false">INDEX(MO_RIS_EPS_WAD,0,COLUMN())</f>
        <v>1.22134203168686</v>
      </c>
      <c r="V42" s="713" t="n">
        <f aca="false">INDEX(MO_RIS_EPS_WAD,0,COLUMN())</f>
        <v>3.44143090951602</v>
      </c>
      <c r="W42" s="443" t="n">
        <f aca="false">INDEX(MO_RIS_EPS_WAD,0,COLUMN())</f>
        <v>1.04580152671756</v>
      </c>
      <c r="X42" s="443" t="n">
        <f aca="false">INDEX(MO_RIS_EPS_WAD,0,COLUMN())</f>
        <v>1.07839962997225</v>
      </c>
      <c r="Y42" s="443" t="n">
        <f aca="false">INDEX(MO_RIS_EPS_WAD,0,COLUMN())</f>
        <v>1.28958333333333</v>
      </c>
      <c r="Z42" s="443" t="n">
        <f aca="false">INDEX(MO_RIS_EPS_WAD,0,COLUMN())</f>
        <v>1.49430629793168</v>
      </c>
      <c r="AA42" s="713" t="n">
        <f aca="false">INDEX(MO_RIS_EPS_WAD,0,COLUMN())</f>
        <v>4.90848007414272</v>
      </c>
      <c r="AB42" s="443" t="n">
        <f aca="false">INDEX(MO_RIS_EPS_WAD,0,COLUMN())</f>
        <v>1.25833527628818</v>
      </c>
      <c r="AC42" s="443" t="n">
        <f aca="false">INDEX(MO_RIS_EPS_WAD,0,COLUMN())</f>
        <v>1.36576239476146</v>
      </c>
      <c r="AD42" s="443" t="n">
        <f aca="false">INDEX(MO_RIS_EPS_WAD,0,COLUMN())</f>
        <v>1.59755811223292</v>
      </c>
      <c r="AE42" s="443" t="n">
        <f aca="false">INDEX(MO_RIS_EPS_WAD,0,COLUMN())</f>
        <v>1.85906515580737</v>
      </c>
      <c r="AF42" s="713" t="n">
        <f aca="false">INDEX(MO_RIS_EPS_WAD,0,COLUMN())</f>
        <v>6.07786116322702</v>
      </c>
      <c r="AG42" s="443" t="n">
        <f aca="false">INDEX(MO_RIS_EPS_WAD,0,COLUMN())</f>
        <v>0.841183431952663</v>
      </c>
      <c r="AH42" s="443" t="n">
        <f aca="false">INDEX(MO_RIS_EPS_WAD,0,COLUMN())</f>
        <v>1.1284969179706</v>
      </c>
      <c r="AI42" s="443" t="n">
        <f aca="false">INDEX(MO_RIS_EPS_WAD,0,COLUMN())</f>
        <v>1.48636471425184</v>
      </c>
      <c r="AJ42" s="443" t="n">
        <f aca="false">INDEX(MO_RIS_EPS_WAD,0,COLUMN())</f>
        <v>2.69318451674187</v>
      </c>
      <c r="AK42" s="713" t="n">
        <f aca="false">INDEX(MO_RIS_EPS_WAD,0,COLUMN())</f>
        <v>6.14871916508539</v>
      </c>
      <c r="AL42" s="443" t="n">
        <f aca="false">INDEX(MO_RIS_EPS_WAD,0,COLUMN())</f>
        <v>0.930664760543245</v>
      </c>
      <c r="AM42" s="443" t="n">
        <f aca="false">INDEX(MO_RIS_EPS_WAD,0,COLUMN())</f>
        <v>1.79236276849642</v>
      </c>
      <c r="AN42" s="443" t="n">
        <f aca="false">INDEX(MO_RIS_EPS_WAD,0,COLUMN())</f>
        <v>2.53220419847328</v>
      </c>
      <c r="AO42" s="443" t="n">
        <f aca="false">INDEX(MO_RIS_EPS_WAD,0,COLUMN())</f>
        <v>3.22801147227534</v>
      </c>
      <c r="AP42" s="713" t="n">
        <f aca="false">INDEX(MO_RIS_EPS_WAD,0,COLUMN())</f>
        <v>8.47936053447864</v>
      </c>
      <c r="AQ42" s="443" t="n">
        <f aca="false">INDEX(MO_RIS_EPS_WAD,0,COLUMN())</f>
        <v>3.2020202020202</v>
      </c>
      <c r="AR42" s="443" t="n">
        <f aca="false">INDEX(MO_RIS_EPS_WAD,0,COLUMN())</f>
        <v>2.51990291262136</v>
      </c>
      <c r="AS42" s="443" t="n">
        <f aca="false">INDEX(MO_RIS_EPS_WAD,0,COLUMN())</f>
        <v>4.25893294175233</v>
      </c>
      <c r="AT42" s="443" t="n">
        <f aca="false">INDEX(MO_RIS_EPS_WAD,0,COLUMN())</f>
        <v>4.37876543209876</v>
      </c>
      <c r="AU42" s="713" t="n">
        <f aca="false">INDEX(MO_RIS_EPS_WAD,0,COLUMN())</f>
        <v>14.3352826510721</v>
      </c>
      <c r="AV42" s="443" t="n">
        <f aca="false">INDEX(MO_RIS_EPS_WAD,0,COLUMN())</f>
        <v>1.73175591531756</v>
      </c>
      <c r="AW42" s="443" t="n">
        <f aca="false">INDEX(MO_RIS_EPS_WAD,0,COLUMN())</f>
        <v>3.53963873557451</v>
      </c>
      <c r="AX42" s="443" t="n">
        <f aca="false">INDEX(MO_RIS_EPS_WAD,0,COLUMN())</f>
        <v>4.29021684316692</v>
      </c>
      <c r="AY42" s="443" t="n">
        <f aca="false">INDEX(MO_RIS_EPS_WAD,0,COLUMN())</f>
        <v>4.59640688259109</v>
      </c>
      <c r="AZ42" s="713" t="n">
        <f aca="false">INDEX(MO_RIS_EPS_WAD,0,COLUMN())</f>
        <v>14.1276061291133</v>
      </c>
      <c r="BA42" s="443" t="n">
        <f aca="false">INDEX(MO_RIS_EPS_WAD,0,COLUMN())</f>
        <v>4.95390070921986</v>
      </c>
      <c r="BB42" s="443" t="n">
        <f aca="false">INDEX(MO_RIS_EPS_WAD,0,COLUMN())</f>
        <v>4.92817258883249</v>
      </c>
      <c r="BC42" s="443" t="n">
        <f aca="false">INDEX(MO_RIS_EPS_WAD,0,COLUMN())</f>
        <v>4.80924561849124</v>
      </c>
      <c r="BD42" s="443" t="n">
        <f aca="false">INDEX(MO_RIS_EPS_WAD,0,COLUMN())</f>
        <v>5.20086338242763</v>
      </c>
      <c r="BE42" s="713" t="n">
        <f aca="false">INDEX(MO_RIS_EPS_WAD,0,COLUMN())</f>
        <v>19.8908906368942</v>
      </c>
      <c r="BF42" s="443" t="n">
        <f aca="false">INDEX(MO_RIS_EPS_WAD,0,COLUMN())</f>
        <v>3.10845821691643</v>
      </c>
      <c r="BG42" s="443" t="n">
        <f aca="false">INDEX(MO_RIS_EPS_WAD,0,COLUMN())</f>
        <v>4.00991105463787</v>
      </c>
      <c r="BH42" s="443" t="n">
        <f aca="false">INDEX(MO_RIS_EPS_WAD,0,COLUMN())</f>
        <v>5.27566056910569</v>
      </c>
      <c r="BI42" s="443" t="n">
        <f aca="false">INDEX(MO_RIS_EPS_WAD,0,COLUMN())</f>
        <v>6.84298780487805</v>
      </c>
      <c r="BJ42" s="713" t="n">
        <f aca="false">INDEX(MO_RIS_EPS_WAD,0,COLUMN())</f>
        <v>19.2367886178862</v>
      </c>
      <c r="BK42" s="443" t="n">
        <f aca="false">INDEX(MO_RIS_EPS_WAD,0,COLUMN())</f>
        <v>6</v>
      </c>
      <c r="BL42" s="443" t="n">
        <f aca="false">INDEX(MO_RIS_EPS_WAD,0,COLUMN())</f>
        <v>5.89675592173018</v>
      </c>
      <c r="BM42" s="443" t="n">
        <f aca="false">INDEX(MO_RIS_EPS_WAD,0,COLUMN())</f>
        <v>5.4811661506708</v>
      </c>
      <c r="BN42" s="443" t="n">
        <f aca="false">INDEX(MO_RIS_EPS_WAD,0,COLUMN())</f>
        <v>7.3374677002584</v>
      </c>
      <c r="BO42" s="714" t="n">
        <f aca="false">INDEX(MO_RIS_EPS_WAD,0,COLUMN())</f>
        <v>24.7091797377218</v>
      </c>
      <c r="BP42" s="443" t="n">
        <f aca="false">INDEX(MO_RIS_EPS_WAD,0,COLUMN())</f>
        <v>6.28566621559985</v>
      </c>
      <c r="BQ42" s="443" t="n">
        <f aca="false">INDEX(MO_RIS_EPS_WAD,0,COLUMN())</f>
        <v>7.42754297623292</v>
      </c>
      <c r="BR42" s="443" t="n">
        <f aca="false">INDEX(MO_RIS_EPS_WAD,0,COLUMN())</f>
        <v>7.00368929945768</v>
      </c>
      <c r="BS42" s="443" t="n">
        <f aca="false">INDEX(MO_RIS_EPS_WAD,0,COLUMN())</f>
        <v>7.64512311587625</v>
      </c>
      <c r="BT42" s="713" t="n">
        <f aca="false">INDEX(MO_RIS_EPS_WAD,0,COLUMN())</f>
        <v>28.36199173921</v>
      </c>
      <c r="BU42" s="443" t="n">
        <f aca="false">INDEX(MO_RIS_EPS_WAD,0,COLUMN())</f>
        <v>6.70139084647969</v>
      </c>
      <c r="BV42" s="443" t="n">
        <f aca="false">INDEX(MO_RIS_EPS_WAD,0,COLUMN())</f>
        <v>9.04713373405708</v>
      </c>
      <c r="BW42" s="443" t="n">
        <f aca="false">INDEX(MO_RIS_EPS_WAD,0,COLUMN())</f>
        <v>8.43544180533749</v>
      </c>
      <c r="BX42" s="443" t="n">
        <f aca="false">INDEX(MO_RIS_EPS_WAD,0,COLUMN())</f>
        <v>8.81386357490837</v>
      </c>
      <c r="BY42" s="713" t="n">
        <f aca="false">INDEX(MO_RIS_EPS_WAD,0,COLUMN())</f>
        <v>32.998084582981</v>
      </c>
      <c r="BZ42" s="713" t="n">
        <f aca="false">INDEX(MO_RIS_EPS_WAD,0,COLUMN())</f>
        <v>39.7970624211642</v>
      </c>
      <c r="CA42" s="713" t="n">
        <f aca="false">INDEX(MO_RIS_EPS_WAD,0,COLUMN())</f>
        <v>42.4425908185012</v>
      </c>
      <c r="CB42" s="713" t="n">
        <f aca="false">INDEX(MO_RIS_EPS_WAD,0,COLUMN())</f>
        <v>45.2745865921301</v>
      </c>
      <c r="CC42" s="443"/>
    </row>
    <row r="43" s="51" customFormat="true" ht="15" hidden="false" customHeight="true" outlineLevel="0" collapsed="false">
      <c r="A43" s="209" t="str">
        <f aca="false">INDEX(MO_RIS_ShareCount_WAD_Adj,0,COLUMN())</f>
        <v>Adjusted Shares Outstanding - WAD</v>
      </c>
      <c r="B43" s="254"/>
      <c r="C43" s="159" t="n">
        <f aca="false">INDEX(MO_RIS_ShareCount_WAD_Adj,0,COLUMN())</f>
        <v>432.615</v>
      </c>
      <c r="D43" s="159" t="n">
        <f aca="false">INDEX(MO_RIS_ShareCount_WAD_Adj,0,COLUMN())</f>
        <v>438.974</v>
      </c>
      <c r="E43" s="159" t="n">
        <f aca="false">INDEX(MO_RIS_ShareCount_WAD_Adj,0,COLUMN())</f>
        <v>429.053</v>
      </c>
      <c r="F43" s="159" t="n">
        <f aca="false">INDEX(MO_RIS_ShareCount_WAD_Adj,0,COLUMN())</f>
        <v>426.986</v>
      </c>
      <c r="G43" s="159" t="n">
        <f aca="false">INDEX(MO_RIS_ShareCount_WAD_Adj,0,COLUMN())</f>
        <v>433.446</v>
      </c>
      <c r="H43" s="48" t="n">
        <f aca="false">INDEX(MO_RIS_ShareCount_WAD_Adj,0,COLUMN())</f>
        <v>443.5</v>
      </c>
      <c r="I43" s="48" t="n">
        <f aca="false">INDEX(MO_RIS_ShareCount_WAD_Adj,0,COLUMN())</f>
        <v>441.6</v>
      </c>
      <c r="J43" s="48" t="n">
        <f aca="false">INDEX(MO_RIS_ShareCount_WAD_Adj,0,COLUMN())</f>
        <v>439</v>
      </c>
      <c r="K43" s="48" t="n">
        <f aca="false">INDEX(MO_RIS_ShareCount_WAD_Adj,0,COLUMN())</f>
        <v>436.7</v>
      </c>
      <c r="L43" s="159" t="n">
        <f aca="false">INDEX(MO_RIS_ShareCount_WAD_Adj,0,COLUMN())</f>
        <v>439.693</v>
      </c>
      <c r="M43" s="48" t="n">
        <f aca="false">INDEX(MO_RIS_ShareCount_WAD_Adj,0,COLUMN())</f>
        <v>435.3</v>
      </c>
      <c r="N43" s="48" t="n">
        <f aca="false">INDEX(MO_RIS_ShareCount_WAD_Adj,0,COLUMN())</f>
        <v>433.8</v>
      </c>
      <c r="O43" s="48" t="n">
        <f aca="false">INDEX(MO_RIS_ShareCount_WAD_Adj,0,COLUMN())</f>
        <v>432.3</v>
      </c>
      <c r="P43" s="48" t="n">
        <f aca="false">INDEX(MO_RIS_ShareCount_WAD_Adj,0,COLUMN())</f>
        <v>430.8</v>
      </c>
      <c r="Q43" s="159" t="n">
        <f aca="false">INDEX(MO_RIS_ShareCount_WAD_Adj,0,COLUMN())</f>
        <v>432.644</v>
      </c>
      <c r="R43" s="48" t="n">
        <f aca="false">INDEX(MO_RIS_ShareCount_WAD_Adj,0,COLUMN())</f>
        <v>429.1</v>
      </c>
      <c r="S43" s="48" t="n">
        <f aca="false">INDEX(MO_RIS_ShareCount_WAD_Adj,0,COLUMN())</f>
        <v>426.5</v>
      </c>
      <c r="T43" s="48" t="n">
        <f aca="false">INDEX(MO_RIS_ShareCount_WAD_Adj,0,COLUMN())</f>
        <v>425.8</v>
      </c>
      <c r="U43" s="48" t="n">
        <f aca="false">INDEX(MO_RIS_ShareCount_WAD_Adj,0,COLUMN())</f>
        <v>429.2</v>
      </c>
      <c r="V43" s="159" t="n">
        <f aca="false">INDEX(MO_RIS_ShareCount_WAD_Adj,0,COLUMN())</f>
        <v>427.7</v>
      </c>
      <c r="W43" s="48" t="n">
        <f aca="false">INDEX(MO_RIS_ShareCount_WAD_Adj,0,COLUMN())</f>
        <v>432.3</v>
      </c>
      <c r="X43" s="48" t="n">
        <f aca="false">INDEX(MO_RIS_ShareCount_WAD_Adj,0,COLUMN())</f>
        <v>432.4</v>
      </c>
      <c r="Y43" s="48" t="n">
        <f aca="false">INDEX(MO_RIS_ShareCount_WAD_Adj,0,COLUMN())</f>
        <v>432</v>
      </c>
      <c r="Z43" s="48" t="n">
        <f aca="false">INDEX(MO_RIS_ShareCount_WAD_Adj,0,COLUMN())</f>
        <v>430.3</v>
      </c>
      <c r="AA43" s="159" t="n">
        <f aca="false">INDEX(MO_RIS_ShareCount_WAD_Adj,0,COLUMN())</f>
        <v>431.6</v>
      </c>
      <c r="AB43" s="48" t="n">
        <f aca="false">INDEX(MO_RIS_ShareCount_WAD_Adj,0,COLUMN())</f>
        <v>428.9</v>
      </c>
      <c r="AC43" s="48" t="n">
        <f aca="false">INDEX(MO_RIS_ShareCount_WAD_Adj,0,COLUMN())</f>
        <v>427.6</v>
      </c>
      <c r="AD43" s="48" t="n">
        <f aca="false">INDEX(MO_RIS_ShareCount_WAD_Adj,0,COLUMN())</f>
        <v>425.9</v>
      </c>
      <c r="AE43" s="48" t="n">
        <f aca="false">INDEX(MO_RIS_ShareCount_WAD_Adj,0,COLUMN())</f>
        <v>423.6</v>
      </c>
      <c r="AF43" s="159" t="n">
        <f aca="false">INDEX(MO_RIS_ShareCount_WAD_Adj,0,COLUMN())</f>
        <v>426.4</v>
      </c>
      <c r="AG43" s="48" t="n">
        <f aca="false">INDEX(MO_RIS_ShareCount_WAD_Adj,0,COLUMN())</f>
        <v>422.5</v>
      </c>
      <c r="AH43" s="48" t="n">
        <f aca="false">INDEX(MO_RIS_ShareCount_WAD_Adj,0,COLUMN())</f>
        <v>421.8</v>
      </c>
      <c r="AI43" s="48" t="n">
        <f aca="false">INDEX(MO_RIS_ShareCount_WAD_Adj,0,COLUMN())</f>
        <v>421.7</v>
      </c>
      <c r="AJ43" s="48" t="n">
        <f aca="false">INDEX(MO_RIS_ShareCount_WAD_Adj,0,COLUMN())</f>
        <v>421.1</v>
      </c>
      <c r="AK43" s="159" t="n">
        <f aca="false">INDEX(MO_RIS_ShareCount_WAD_Adj,0,COLUMN())</f>
        <v>421.6</v>
      </c>
      <c r="AL43" s="48" t="n">
        <f aca="false">INDEX(MO_RIS_ShareCount_WAD_Adj,0,COLUMN())</f>
        <v>419.7</v>
      </c>
      <c r="AM43" s="48" t="n">
        <f aca="false">INDEX(MO_RIS_ShareCount_WAD_Adj,0,COLUMN())</f>
        <v>419</v>
      </c>
      <c r="AN43" s="48" t="n">
        <f aca="false">INDEX(MO_RIS_ShareCount_WAD_Adj,0,COLUMN())</f>
        <v>419.2</v>
      </c>
      <c r="AO43" s="48" t="n">
        <f aca="false">INDEX(MO_RIS_ShareCount_WAD_Adj,0,COLUMN())</f>
        <v>418.4</v>
      </c>
      <c r="AP43" s="159" t="n">
        <f aca="false">INDEX(MO_RIS_ShareCount_WAD_Adj,0,COLUMN())</f>
        <v>419.1</v>
      </c>
      <c r="AQ43" s="48" t="n">
        <f aca="false">INDEX(MO_RIS_ShareCount_WAD_Adj,0,COLUMN())</f>
        <v>415.8</v>
      </c>
      <c r="AR43" s="48" t="n">
        <f aca="false">INDEX(MO_RIS_ShareCount_WAD_Adj,0,COLUMN())</f>
        <v>412</v>
      </c>
      <c r="AS43" s="48" t="n">
        <f aca="false">INDEX(MO_RIS_ShareCount_WAD_Adj,0,COLUMN())</f>
        <v>408.6</v>
      </c>
      <c r="AT43" s="48" t="n">
        <f aca="false">INDEX(MO_RIS_ShareCount_WAD_Adj,0,COLUMN())</f>
        <v>405</v>
      </c>
      <c r="AU43" s="159" t="n">
        <f aca="false">INDEX(MO_RIS_ShareCount_WAD_Adj,0,COLUMN())</f>
        <v>410.4</v>
      </c>
      <c r="AV43" s="48" t="n">
        <f aca="false">INDEX(MO_RIS_ShareCount_WAD_Adj,0,COLUMN())</f>
        <v>401.5</v>
      </c>
      <c r="AW43" s="48" t="n">
        <f aca="false">INDEX(MO_RIS_ShareCount_WAD_Adj,0,COLUMN())</f>
        <v>398.6</v>
      </c>
      <c r="AX43" s="48" t="n">
        <f aca="false">INDEX(MO_RIS_ShareCount_WAD_Adj,0,COLUMN())</f>
        <v>396.6</v>
      </c>
      <c r="AY43" s="48" t="n">
        <f aca="false">INDEX(MO_RIS_ShareCount_WAD_Adj,0,COLUMN())</f>
        <v>395.2</v>
      </c>
      <c r="AZ43" s="159" t="n">
        <f aca="false">INDEX(MO_RIS_ShareCount_WAD_Adj,0,COLUMN())</f>
        <v>398.1</v>
      </c>
      <c r="BA43" s="48" t="n">
        <f aca="false">INDEX(MO_RIS_ShareCount_WAD_Adj,0,COLUMN())</f>
        <v>394.8</v>
      </c>
      <c r="BB43" s="48" t="n">
        <f aca="false">INDEX(MO_RIS_ShareCount_WAD_Adj,0,COLUMN())</f>
        <v>394</v>
      </c>
      <c r="BC43" s="48" t="n">
        <f aca="false">INDEX(MO_RIS_ShareCount_WAD_Adj,0,COLUMN())</f>
        <v>393.7</v>
      </c>
      <c r="BD43" s="48" t="n">
        <f aca="false">INDEX(MO_RIS_ShareCount_WAD_Adj,0,COLUMN())</f>
        <v>393.8</v>
      </c>
      <c r="BE43" s="159" t="n">
        <f aca="false">INDEX(MO_RIS_ShareCount_WAD_Adj,0,COLUMN())</f>
        <v>394.1</v>
      </c>
      <c r="BF43" s="48" t="n">
        <f aca="false">INDEX(MO_RIS_ShareCount_WAD_Adj,0,COLUMN())</f>
        <v>393.7</v>
      </c>
      <c r="BG43" s="48" t="n">
        <f aca="false">INDEX(MO_RIS_ShareCount_WAD_Adj,0,COLUMN())</f>
        <v>393.5</v>
      </c>
      <c r="BH43" s="48" t="n">
        <f aca="false">INDEX(MO_RIS_ShareCount_WAD_Adj,0,COLUMN())</f>
        <v>393.6</v>
      </c>
      <c r="BI43" s="48" t="n">
        <f aca="false">INDEX(MO_RIS_ShareCount_WAD_Adj,0,COLUMN())</f>
        <v>393.6</v>
      </c>
      <c r="BJ43" s="159" t="n">
        <f aca="false">INDEX(MO_RIS_ShareCount_WAD_Adj,0,COLUMN())</f>
        <v>393.6</v>
      </c>
      <c r="BK43" s="48" t="n">
        <f aca="false">INDEX(MO_RIS_ShareCount_WAD_Adj,0,COLUMN())</f>
        <v>392.5</v>
      </c>
      <c r="BL43" s="48" t="n">
        <f aca="false">INDEX(MO_RIS_ShareCount_WAD_Adj,0,COLUMN())</f>
        <v>388.4</v>
      </c>
      <c r="BM43" s="48" t="n">
        <f aca="false">INDEX(MO_RIS_ShareCount_WAD_Adj,0,COLUMN())</f>
        <v>387.6</v>
      </c>
      <c r="BN43" s="48" t="n">
        <f aca="false">INDEX(MO_RIS_ShareCount_WAD_Adj,0,COLUMN())</f>
        <v>387</v>
      </c>
      <c r="BO43" s="160" t="n">
        <f aca="false">INDEX(MO_RIS_ShareCount_WAD_Adj,0,COLUMN())</f>
        <v>388.9</v>
      </c>
      <c r="BP43" s="48" t="n">
        <f aca="false">INDEX(MO_RIS_ShareCount_WAD_Adj,0,COLUMN())</f>
        <v>388.917571485766</v>
      </c>
      <c r="BQ43" s="48" t="n">
        <f aca="false">INDEX(MO_RIS_ShareCount_WAD_Adj,0,COLUMN())</f>
        <v>388.85458472868</v>
      </c>
      <c r="BR43" s="48" t="n">
        <f aca="false">INDEX(MO_RIS_ShareCount_WAD_Adj,0,COLUMN())</f>
        <v>388.893470187153</v>
      </c>
      <c r="BS43" s="48" t="n">
        <f aca="false">INDEX(MO_RIS_ShareCount_WAD_Adj,0,COLUMN())</f>
        <v>388.932359534172</v>
      </c>
      <c r="BT43" s="159" t="n">
        <f aca="false">INDEX(MO_RIS_ShareCount_WAD_Adj,0,COLUMN())</f>
        <v>388.899520488742</v>
      </c>
      <c r="BU43" s="48" t="n">
        <f aca="false">INDEX(MO_RIS_ShareCount_WAD_Adj,0,COLUMN())</f>
        <v>388.971252770125</v>
      </c>
      <c r="BV43" s="48" t="n">
        <f aca="false">INDEX(MO_RIS_ShareCount_WAD_Adj,0,COLUMN())</f>
        <v>389.010149895402</v>
      </c>
      <c r="BW43" s="48" t="n">
        <f aca="false">INDEX(MO_RIS_ShareCount_WAD_Adj,0,COLUMN())</f>
        <v>389.049050910392</v>
      </c>
      <c r="BX43" s="48" t="n">
        <f aca="false">INDEX(MO_RIS_ShareCount_WAD_Adj,0,COLUMN())</f>
        <v>389.087955815483</v>
      </c>
      <c r="BY43" s="159" t="n">
        <f aca="false">INDEX(MO_RIS_ShareCount_WAD_Adj,0,COLUMN())</f>
        <v>389.029975365954</v>
      </c>
      <c r="BZ43" s="159" t="n">
        <f aca="false">INDEX(MO_RIS_ShareCount_WAD_Adj,0,COLUMN())</f>
        <v>389.18523072245</v>
      </c>
      <c r="CA43" s="159" t="n">
        <f aca="false">INDEX(MO_RIS_ShareCount_WAD_Adj,0,COLUMN())</f>
        <v>389.340904814739</v>
      </c>
      <c r="CB43" s="159" t="n">
        <f aca="false">INDEX(MO_RIS_ShareCount_WAD_Adj,0,COLUMN())</f>
        <v>389.496641176665</v>
      </c>
      <c r="CC43" s="48"/>
    </row>
    <row r="44" s="51" customFormat="true" ht="15" hidden="false" customHeight="true" outlineLevel="0" collapsed="false">
      <c r="A44" s="145"/>
      <c r="B44" s="254"/>
      <c r="C44" s="159"/>
      <c r="D44" s="159"/>
      <c r="E44" s="159"/>
      <c r="F44" s="159"/>
      <c r="G44" s="159"/>
      <c r="H44" s="48"/>
      <c r="I44" s="48"/>
      <c r="J44" s="48"/>
      <c r="K44" s="48"/>
      <c r="L44" s="159"/>
      <c r="M44" s="48"/>
      <c r="N44" s="48"/>
      <c r="O44" s="48"/>
      <c r="P44" s="48"/>
      <c r="Q44" s="159"/>
      <c r="R44" s="48"/>
      <c r="S44" s="48"/>
      <c r="T44" s="48"/>
      <c r="U44" s="48"/>
      <c r="V44" s="159"/>
      <c r="W44" s="48"/>
      <c r="X44" s="48"/>
      <c r="Y44" s="48"/>
      <c r="Z44" s="48"/>
      <c r="AA44" s="159"/>
      <c r="AB44" s="48"/>
      <c r="AC44" s="48"/>
      <c r="AD44" s="48"/>
      <c r="AE44" s="48"/>
      <c r="AF44" s="159"/>
      <c r="AG44" s="48"/>
      <c r="AH44" s="48"/>
      <c r="AI44" s="48"/>
      <c r="AJ44" s="48"/>
      <c r="AK44" s="159"/>
      <c r="AL44" s="48"/>
      <c r="AM44" s="48"/>
      <c r="AN44" s="48"/>
      <c r="AO44" s="48"/>
      <c r="AP44" s="159"/>
      <c r="AQ44" s="48"/>
      <c r="AR44" s="48"/>
      <c r="AS44" s="48"/>
      <c r="AT44" s="48"/>
      <c r="AU44" s="159"/>
      <c r="AV44" s="48"/>
      <c r="AW44" s="48"/>
      <c r="AX44" s="48"/>
      <c r="AY44" s="48"/>
      <c r="AZ44" s="159"/>
      <c r="BA44" s="48"/>
      <c r="BB44" s="48"/>
      <c r="BC44" s="48"/>
      <c r="BD44" s="48"/>
      <c r="BE44" s="159"/>
      <c r="BF44" s="48"/>
      <c r="BG44" s="48"/>
      <c r="BH44" s="48"/>
      <c r="BI44" s="48"/>
      <c r="BJ44" s="159"/>
      <c r="BK44" s="48"/>
      <c r="BL44" s="48"/>
      <c r="BM44" s="48"/>
      <c r="BN44" s="48"/>
      <c r="BO44" s="160"/>
      <c r="BP44" s="48"/>
      <c r="BQ44" s="48"/>
      <c r="BR44" s="48"/>
      <c r="BS44" s="48"/>
      <c r="BT44" s="159"/>
      <c r="BU44" s="48"/>
      <c r="BV44" s="48"/>
      <c r="BW44" s="48"/>
      <c r="BX44" s="48"/>
      <c r="BY44" s="159"/>
      <c r="BZ44" s="159"/>
      <c r="CA44" s="159"/>
      <c r="CB44" s="159"/>
      <c r="CC44" s="48"/>
    </row>
    <row r="45" customFormat="false" ht="15" hidden="false" customHeight="true" outlineLevel="0" collapsed="false">
      <c r="A45" s="81" t="s">
        <v>802</v>
      </c>
      <c r="B45" s="721"/>
      <c r="C45" s="721"/>
      <c r="D45" s="721"/>
      <c r="E45" s="721"/>
      <c r="F45" s="721"/>
      <c r="G45" s="721"/>
      <c r="H45" s="721"/>
      <c r="I45" s="721"/>
      <c r="J45" s="721"/>
      <c r="K45" s="721"/>
      <c r="L45" s="721"/>
      <c r="M45" s="721"/>
      <c r="N45" s="721"/>
      <c r="O45" s="721"/>
      <c r="P45" s="721"/>
      <c r="Q45" s="721"/>
      <c r="R45" s="721"/>
      <c r="S45" s="721"/>
      <c r="T45" s="721"/>
      <c r="U45" s="721"/>
      <c r="V45" s="721"/>
      <c r="W45" s="721"/>
      <c r="X45" s="721"/>
      <c r="Y45" s="721"/>
      <c r="Z45" s="721"/>
      <c r="AA45" s="721"/>
      <c r="AB45" s="721"/>
      <c r="AC45" s="721"/>
      <c r="AD45" s="721"/>
      <c r="AE45" s="721"/>
      <c r="AF45" s="721"/>
      <c r="AG45" s="721"/>
      <c r="AH45" s="721"/>
      <c r="AI45" s="721"/>
      <c r="AJ45" s="721"/>
      <c r="AK45" s="721"/>
      <c r="AL45" s="721"/>
      <c r="AM45" s="721"/>
      <c r="AN45" s="721"/>
      <c r="AO45" s="721"/>
      <c r="AP45" s="721"/>
      <c r="AQ45" s="721"/>
      <c r="AR45" s="721"/>
      <c r="AS45" s="721"/>
      <c r="AT45" s="721"/>
      <c r="AU45" s="721"/>
      <c r="AV45" s="721"/>
      <c r="AW45" s="721"/>
      <c r="AX45" s="721"/>
      <c r="AY45" s="721"/>
      <c r="AZ45" s="721"/>
      <c r="BA45" s="721"/>
      <c r="BB45" s="721"/>
      <c r="BC45" s="721"/>
      <c r="BD45" s="721"/>
      <c r="BE45" s="721"/>
      <c r="BF45" s="721"/>
      <c r="BG45" s="721"/>
      <c r="BH45" s="721"/>
      <c r="BI45" s="721"/>
      <c r="BJ45" s="721"/>
      <c r="BK45" s="721"/>
      <c r="BL45" s="721"/>
      <c r="BM45" s="721"/>
      <c r="BN45" s="721"/>
      <c r="BO45" s="722"/>
      <c r="BP45" s="721"/>
      <c r="BQ45" s="721"/>
      <c r="BR45" s="721"/>
      <c r="BS45" s="721"/>
      <c r="BT45" s="721"/>
      <c r="BU45" s="721"/>
      <c r="BV45" s="721"/>
      <c r="BW45" s="721"/>
      <c r="BX45" s="721"/>
      <c r="BY45" s="721"/>
      <c r="BZ45" s="721"/>
      <c r="CA45" s="721"/>
      <c r="CB45" s="721"/>
      <c r="CC45" s="625"/>
    </row>
    <row r="46" s="157" customFormat="true" ht="15" hidden="false" customHeight="true" outlineLevel="0" collapsed="false">
      <c r="A46" s="252" t="str">
        <f aca="false">INDEX(MO_RIS_EBITDA_Adj,0,COLUMN())</f>
        <v>Adjusted EBITDA (No Adjustments)</v>
      </c>
      <c r="B46" s="266"/>
      <c r="C46" s="267" t="n">
        <f aca="false">INDEX(MO_RIS_EBITDA_Adj,0,COLUMN())</f>
        <v>-8.10000000000022</v>
      </c>
      <c r="D46" s="267" t="n">
        <f aca="false">INDEX(MO_RIS_EBITDA_Adj,0,COLUMN())</f>
        <v>1414.252</v>
      </c>
      <c r="E46" s="267" t="n">
        <f aca="false">INDEX(MO_RIS_EBITDA_Adj,0,COLUMN())</f>
        <v>1818.831</v>
      </c>
      <c r="F46" s="267" t="n">
        <f aca="false">INDEX(MO_RIS_EBITDA_Adj,0,COLUMN())</f>
        <v>1362.108</v>
      </c>
      <c r="G46" s="267" t="n">
        <f aca="false">INDEX(MO_RIS_EBITDA_Adj,0,COLUMN())</f>
        <v>1329.094</v>
      </c>
      <c r="H46" s="268" t="n">
        <f aca="false">INDEX(MO_RIS_EBITDA_Adj,0,COLUMN())</f>
        <v>353.5</v>
      </c>
      <c r="I46" s="268" t="n">
        <f aca="false">INDEX(MO_RIS_EBITDA_Adj,0,COLUMN())</f>
        <v>505.9</v>
      </c>
      <c r="J46" s="268" t="n">
        <f aca="false">INDEX(MO_RIS_EBITDA_Adj,0,COLUMN())</f>
        <v>335.5</v>
      </c>
      <c r="K46" s="268" t="n">
        <f aca="false">INDEX(MO_RIS_EBITDA_Adj,0,COLUMN())</f>
        <v>405.324</v>
      </c>
      <c r="L46" s="267" t="n">
        <f aca="false">INDEX(MO_RIS_EBITDA_Adj,0,COLUMN())</f>
        <v>1600.259</v>
      </c>
      <c r="M46" s="268" t="n">
        <f aca="false">INDEX(MO_RIS_EBITDA_Adj,0,COLUMN())</f>
        <v>536.4</v>
      </c>
      <c r="N46" s="268" t="n">
        <f aca="false">INDEX(MO_RIS_EBITDA_Adj,0,COLUMN())</f>
        <v>506.7</v>
      </c>
      <c r="O46" s="268" t="n">
        <f aca="false">INDEX(MO_RIS_EBITDA_Adj,0,COLUMN())</f>
        <v>464.7</v>
      </c>
      <c r="P46" s="268" t="n">
        <f aca="false">INDEX(MO_RIS_EBITDA_Adj,0,COLUMN())</f>
        <v>413.254</v>
      </c>
      <c r="Q46" s="267" t="n">
        <f aca="false">INDEX(MO_RIS_EBITDA_Adj,0,COLUMN())</f>
        <v>1921.089</v>
      </c>
      <c r="R46" s="268" t="n">
        <f aca="false">INDEX(MO_RIS_EBITDA_Adj,0,COLUMN())</f>
        <v>323.2</v>
      </c>
      <c r="S46" s="268" t="n">
        <f aca="false">INDEX(MO_RIS_EBITDA_Adj,0,COLUMN())</f>
        <v>499.2</v>
      </c>
      <c r="T46" s="268" t="n">
        <f aca="false">INDEX(MO_RIS_EBITDA_Adj,0,COLUMN())</f>
        <v>594.9</v>
      </c>
      <c r="U46" s="268" t="n">
        <f aca="false">INDEX(MO_RIS_EBITDA_Adj,0,COLUMN())</f>
        <v>645</v>
      </c>
      <c r="V46" s="267" t="n">
        <f aca="false">INDEX(MO_RIS_EBITDA_Adj,0,COLUMN())</f>
        <v>2062.3</v>
      </c>
      <c r="W46" s="268" t="n">
        <f aca="false">INDEX(MO_RIS_EBITDA_Adj,0,COLUMN())</f>
        <v>658.4</v>
      </c>
      <c r="X46" s="268" t="n">
        <f aca="false">INDEX(MO_RIS_EBITDA_Adj,0,COLUMN())</f>
        <v>669.8</v>
      </c>
      <c r="Y46" s="268" t="n">
        <f aca="false">INDEX(MO_RIS_EBITDA_Adj,0,COLUMN())</f>
        <v>771.6</v>
      </c>
      <c r="Z46" s="268" t="n">
        <f aca="false">INDEX(MO_RIS_EBITDA_Adj,0,COLUMN())</f>
        <v>867</v>
      </c>
      <c r="AA46" s="267" t="n">
        <f aca="false">INDEX(MO_RIS_EBITDA_Adj,0,COLUMN())</f>
        <v>2966.8</v>
      </c>
      <c r="AB46" s="268" t="n">
        <f aca="false">INDEX(MO_RIS_EBITDA_Adj,0,COLUMN())</f>
        <v>757</v>
      </c>
      <c r="AC46" s="268" t="n">
        <f aca="false">INDEX(MO_RIS_EBITDA_Adj,0,COLUMN())</f>
        <v>798.3</v>
      </c>
      <c r="AD46" s="268" t="n">
        <f aca="false">INDEX(MO_RIS_EBITDA_Adj,0,COLUMN())</f>
        <v>944.4</v>
      </c>
      <c r="AE46" s="268" t="n">
        <f aca="false">INDEX(MO_RIS_EBITDA_Adj,0,COLUMN())</f>
        <v>934.600000000001</v>
      </c>
      <c r="AF46" s="267" t="n">
        <f aca="false">INDEX(MO_RIS_EBITDA_Adj,0,COLUMN())</f>
        <v>3434.3</v>
      </c>
      <c r="AG46" s="268" t="n">
        <f aca="false">INDEX(MO_RIS_EBITDA_Adj,0,COLUMN())</f>
        <v>454</v>
      </c>
      <c r="AH46" s="268" t="n">
        <f aca="false">INDEX(MO_RIS_EBITDA_Adj,0,COLUMN())</f>
        <v>615.2</v>
      </c>
      <c r="AI46" s="268" t="n">
        <f aca="false">INDEX(MO_RIS_EBITDA_Adj,0,COLUMN())</f>
        <v>816</v>
      </c>
      <c r="AJ46" s="268" t="n">
        <f aca="false">INDEX(MO_RIS_EBITDA_Adj,0,COLUMN())</f>
        <v>1428.7</v>
      </c>
      <c r="AK46" s="267" t="n">
        <f aca="false">INDEX(MO_RIS_EBITDA_Adj,0,COLUMN())</f>
        <v>3313.9</v>
      </c>
      <c r="AL46" s="268" t="n">
        <f aca="false">INDEX(MO_RIS_EBITDA_Adj,0,COLUMN())</f>
        <v>559.9</v>
      </c>
      <c r="AM46" s="268" t="n">
        <f aca="false">INDEX(MO_RIS_EBITDA_Adj,0,COLUMN())</f>
        <v>1040.5</v>
      </c>
      <c r="AN46" s="268" t="n">
        <f aca="false">INDEX(MO_RIS_EBITDA_Adj,0,COLUMN())</f>
        <v>1360.4</v>
      </c>
      <c r="AO46" s="268" t="n">
        <f aca="false">INDEX(MO_RIS_EBITDA_Adj,0,COLUMN())</f>
        <v>1635.4</v>
      </c>
      <c r="AP46" s="267" t="n">
        <f aca="false">INDEX(MO_RIS_EBITDA_Adj,0,COLUMN())</f>
        <v>4596.2</v>
      </c>
      <c r="AQ46" s="268" t="n">
        <f aca="false">INDEX(MO_RIS_EBITDA_Adj,0,COLUMN())</f>
        <v>1699.5</v>
      </c>
      <c r="AR46" s="268" t="n">
        <f aca="false">INDEX(MO_RIS_EBITDA_Adj,0,COLUMN())</f>
        <v>1380.7</v>
      </c>
      <c r="AS46" s="268" t="n">
        <f aca="false">INDEX(MO_RIS_EBITDA_Adj,0,COLUMN())</f>
        <v>2069.5</v>
      </c>
      <c r="AT46" s="268" t="n">
        <f aca="false">INDEX(MO_RIS_EBITDA_Adj,0,COLUMN())</f>
        <v>2188.9</v>
      </c>
      <c r="AU46" s="267" t="n">
        <f aca="false">INDEX(MO_RIS_EBITDA_Adj,0,COLUMN())</f>
        <v>7338.6</v>
      </c>
      <c r="AV46" s="268" t="n">
        <f aca="false">INDEX(MO_RIS_EBITDA_Adj,0,COLUMN())</f>
        <v>927.1</v>
      </c>
      <c r="AW46" s="268" t="n">
        <f aca="false">INDEX(MO_RIS_EBITDA_Adj,0,COLUMN())</f>
        <v>1798.8</v>
      </c>
      <c r="AX46" s="268" t="n">
        <f aca="false">INDEX(MO_RIS_EBITDA_Adj,0,COLUMN())</f>
        <v>2098.9</v>
      </c>
      <c r="AY46" s="268" t="n">
        <f aca="false">INDEX(MO_RIS_EBITDA_Adj,0,COLUMN())</f>
        <v>2328.4</v>
      </c>
      <c r="AZ46" s="267" t="n">
        <f aca="false">INDEX(MO_RIS_EBITDA_Adj,0,COLUMN())</f>
        <v>7153.2</v>
      </c>
      <c r="BA46" s="268" t="n">
        <f aca="false">INDEX(MO_RIS_EBITDA_Adj,0,COLUMN())</f>
        <v>2393.6</v>
      </c>
      <c r="BB46" s="268" t="n">
        <f aca="false">INDEX(MO_RIS_EBITDA_Adj,0,COLUMN())</f>
        <v>2477.6</v>
      </c>
      <c r="BC46" s="268" t="n">
        <f aca="false">INDEX(MO_RIS_EBITDA_Adj,0,COLUMN())</f>
        <v>2400.1</v>
      </c>
      <c r="BD46" s="268" t="n">
        <f aca="false">INDEX(MO_RIS_EBITDA_Adj,0,COLUMN())</f>
        <v>2645.6</v>
      </c>
      <c r="BE46" s="267" t="n">
        <f aca="false">INDEX(MO_RIS_EBITDA_Adj,0,COLUMN())</f>
        <v>9916.9</v>
      </c>
      <c r="BF46" s="268" t="n">
        <f aca="false">INDEX(MO_RIS_EBITDA_Adj,0,COLUMN())</f>
        <v>1625.6</v>
      </c>
      <c r="BG46" s="268" t="n">
        <f aca="false">INDEX(MO_RIS_EBITDA_Adj,0,COLUMN())</f>
        <v>2108.6</v>
      </c>
      <c r="BH46" s="268" t="n">
        <f aca="false">INDEX(MO_RIS_EBITDA_Adj,0,COLUMN())</f>
        <v>2730.2</v>
      </c>
      <c r="BI46" s="268" t="n">
        <f aca="false">INDEX(MO_RIS_EBITDA_Adj,0,COLUMN())</f>
        <v>3649.4</v>
      </c>
      <c r="BJ46" s="267" t="n">
        <f aca="false">INDEX(MO_RIS_EBITDA_Adj,0,COLUMN())</f>
        <v>10113.8</v>
      </c>
      <c r="BK46" s="268" t="n">
        <f aca="false">INDEX(MO_RIS_EBITDA_Adj,0,COLUMN())</f>
        <v>3019.2</v>
      </c>
      <c r="BL46" s="268" t="n">
        <f aca="false">INDEX(MO_RIS_EBITDA_Adj,0,COLUMN())</f>
        <v>2968</v>
      </c>
      <c r="BM46" s="268" t="n">
        <f aca="false">INDEX(MO_RIS_EBITDA_Adj,0,COLUMN())</f>
        <v>2800.7</v>
      </c>
      <c r="BN46" s="268" t="n">
        <f aca="false">INDEX(MO_RIS_EBITDA_Adj,0,COLUMN())</f>
        <v>3741.7</v>
      </c>
      <c r="BO46" s="269" t="n">
        <f aca="false">INDEX(MO_RIS_EBITDA_Adj,0,COLUMN())</f>
        <v>12529.6</v>
      </c>
      <c r="BP46" s="268" t="n">
        <f aca="false">INDEX(MO_RIS_EBITDA_Adj,0,COLUMN())</f>
        <v>3280.25624225458</v>
      </c>
      <c r="BQ46" s="268" t="n">
        <f aca="false">INDEX(MO_RIS_EBITDA_Adj,0,COLUMN())</f>
        <v>3813.47009383085</v>
      </c>
      <c r="BR46" s="268" t="n">
        <f aca="false">INDEX(MO_RIS_EBITDA_Adj,0,COLUMN())</f>
        <v>3575.56693350136</v>
      </c>
      <c r="BS46" s="268" t="n">
        <f aca="false">INDEX(MO_RIS_EBITDA_Adj,0,COLUMN())</f>
        <v>3933.73052830704</v>
      </c>
      <c r="BT46" s="267" t="n">
        <f aca="false">INDEX(MO_RIS_EBITDA_Adj,0,COLUMN())</f>
        <v>14603.0237978938</v>
      </c>
      <c r="BU46" s="268" t="n">
        <f aca="false">INDEX(MO_RIS_EBITDA_Adj,0,COLUMN())</f>
        <v>3416.93387466714</v>
      </c>
      <c r="BV46" s="268" t="n">
        <f aca="false">INDEX(MO_RIS_EBITDA_Adj,0,COLUMN())</f>
        <v>4502.43915970956</v>
      </c>
      <c r="BW46" s="268" t="n">
        <f aca="false">INDEX(MO_RIS_EBITDA_Adj,0,COLUMN())</f>
        <v>4174.73642088093</v>
      </c>
      <c r="BX46" s="268" t="n">
        <f aca="false">INDEX(MO_RIS_EBITDA_Adj,0,COLUMN())</f>
        <v>4208.2169099221</v>
      </c>
      <c r="BY46" s="267" t="n">
        <f aca="false">INDEX(MO_RIS_EBITDA_Adj,0,COLUMN())</f>
        <v>16302.3263651797</v>
      </c>
      <c r="BZ46" s="267" t="n">
        <f aca="false">INDEX(MO_RIS_EBITDA_Adj,0,COLUMN())</f>
        <v>19666.0773204889</v>
      </c>
      <c r="CA46" s="267" t="n">
        <f aca="false">INDEX(MO_RIS_EBITDA_Adj,0,COLUMN())</f>
        <v>20846.7398199122</v>
      </c>
      <c r="CB46" s="267" t="n">
        <f aca="false">INDEX(MO_RIS_EBITDA_Adj,0,COLUMN())</f>
        <v>22123.7588659144</v>
      </c>
      <c r="CC46" s="268"/>
    </row>
    <row r="47" s="157" customFormat="true" ht="15" hidden="false" customHeight="true" outlineLevel="0" collapsed="false">
      <c r="A47" s="252" t="str">
        <f aca="false">INDEX(MO_RIS_EBIT_Adj,0,COLUMN())</f>
        <v>Adjusted EBIT (No Adjustments)</v>
      </c>
      <c r="B47" s="266"/>
      <c r="C47" s="267" t="n">
        <f aca="false">INDEX(MO_RIS_EBIT_Adj,0,COLUMN())</f>
        <v>-163.125</v>
      </c>
      <c r="D47" s="267" t="n">
        <f aca="false">INDEX(MO_RIS_EBIT_Adj,0,COLUMN())</f>
        <v>1250.699</v>
      </c>
      <c r="E47" s="267" t="n">
        <f aca="false">INDEX(MO_RIS_EBIT_Adj,0,COLUMN())</f>
        <v>1641.216</v>
      </c>
      <c r="F47" s="267" t="n">
        <f aca="false">INDEX(MO_RIS_EBIT_Adj,0,COLUMN())</f>
        <v>1156.774</v>
      </c>
      <c r="G47" s="267" t="n">
        <f aca="false">INDEX(MO_RIS_EBIT_Adj,0,COLUMN())</f>
        <v>1047.948</v>
      </c>
      <c r="H47" s="268" t="n">
        <f aca="false">INDEX(MO_RIS_EBIT_Adj,0,COLUMN())</f>
        <v>265.7</v>
      </c>
      <c r="I47" s="268" t="n">
        <f aca="false">INDEX(MO_RIS_EBIT_Adj,0,COLUMN())</f>
        <v>425.4</v>
      </c>
      <c r="J47" s="268" t="n">
        <f aca="false">INDEX(MO_RIS_EBIT_Adj,0,COLUMN())</f>
        <v>261.4</v>
      </c>
      <c r="K47" s="268" t="n">
        <f aca="false">INDEX(MO_RIS_EBIT_Adj,0,COLUMN())</f>
        <v>329.7</v>
      </c>
      <c r="L47" s="267" t="n">
        <f aca="false">INDEX(MO_RIS_EBIT_Adj,0,COLUMN())</f>
        <v>1282.235</v>
      </c>
      <c r="M47" s="268" t="n">
        <f aca="false">INDEX(MO_RIS_EBIT_Adj,0,COLUMN())</f>
        <v>455.7</v>
      </c>
      <c r="N47" s="268" t="n">
        <f aca="false">INDEX(MO_RIS_EBIT_Adj,0,COLUMN())</f>
        <v>418.9</v>
      </c>
      <c r="O47" s="268" t="n">
        <f aca="false">INDEX(MO_RIS_EBIT_Adj,0,COLUMN())</f>
        <v>372.4</v>
      </c>
      <c r="P47" s="268" t="n">
        <f aca="false">INDEX(MO_RIS_EBIT_Adj,0,COLUMN())</f>
        <v>318.1</v>
      </c>
      <c r="Q47" s="267" t="n">
        <f aca="false">INDEX(MO_RIS_EBIT_Adj,0,COLUMN())</f>
        <v>1565.135</v>
      </c>
      <c r="R47" s="268" t="n">
        <f aca="false">INDEX(MO_RIS_EBIT_Adj,0,COLUMN())</f>
        <v>228</v>
      </c>
      <c r="S47" s="268" t="n">
        <f aca="false">INDEX(MO_RIS_EBIT_Adj,0,COLUMN())</f>
        <v>404.2</v>
      </c>
      <c r="T47" s="268" t="n">
        <f aca="false">INDEX(MO_RIS_EBIT_Adj,0,COLUMN())</f>
        <v>495.6</v>
      </c>
      <c r="U47" s="268" t="n">
        <f aca="false">INDEX(MO_RIS_EBIT_Adj,0,COLUMN())</f>
        <v>529.9</v>
      </c>
      <c r="V47" s="267" t="n">
        <f aca="false">INDEX(MO_RIS_EBIT_Adj,0,COLUMN())</f>
        <v>1657.7</v>
      </c>
      <c r="W47" s="268" t="n">
        <f aca="false">INDEX(MO_RIS_EBIT_Adj,0,COLUMN())</f>
        <v>534.8</v>
      </c>
      <c r="X47" s="268" t="n">
        <f aca="false">INDEX(MO_RIS_EBIT_Adj,0,COLUMN())</f>
        <v>555.8</v>
      </c>
      <c r="Y47" s="268" t="n">
        <f aca="false">INDEX(MO_RIS_EBIT_Adj,0,COLUMN())</f>
        <v>655.6</v>
      </c>
      <c r="Z47" s="268" t="n">
        <f aca="false">INDEX(MO_RIS_EBIT_Adj,0,COLUMN())</f>
        <v>750</v>
      </c>
      <c r="AA47" s="267" t="n">
        <f aca="false">INDEX(MO_RIS_EBIT_Adj,0,COLUMN())</f>
        <v>2496.2</v>
      </c>
      <c r="AB47" s="268" t="n">
        <f aca="false">INDEX(MO_RIS_EBIT_Adj,0,COLUMN())</f>
        <v>642.2</v>
      </c>
      <c r="AC47" s="268" t="n">
        <f aca="false">INDEX(MO_RIS_EBIT_Adj,0,COLUMN())</f>
        <v>689.4</v>
      </c>
      <c r="AD47" s="268" t="n">
        <f aca="false">INDEX(MO_RIS_EBIT_Adj,0,COLUMN())</f>
        <v>817.8</v>
      </c>
      <c r="AE47" s="268" t="n">
        <f aca="false">INDEX(MO_RIS_EBIT_Adj,0,COLUMN())</f>
        <v>815.900000000001</v>
      </c>
      <c r="AF47" s="267" t="n">
        <f aca="false">INDEX(MO_RIS_EBIT_Adj,0,COLUMN())</f>
        <v>2965.3</v>
      </c>
      <c r="AG47" s="268" t="n">
        <f aca="false">INDEX(MO_RIS_EBIT_Adj,0,COLUMN())</f>
        <v>334.3</v>
      </c>
      <c r="AH47" s="268" t="n">
        <f aca="false">INDEX(MO_RIS_EBIT_Adj,0,COLUMN())</f>
        <v>494.3</v>
      </c>
      <c r="AI47" s="268" t="n">
        <f aca="false">INDEX(MO_RIS_EBIT_Adj,0,COLUMN())</f>
        <v>685.6</v>
      </c>
      <c r="AJ47" s="268" t="n">
        <f aca="false">INDEX(MO_RIS_EBIT_Adj,0,COLUMN())</f>
        <v>1276.6</v>
      </c>
      <c r="AK47" s="267" t="n">
        <f aca="false">INDEX(MO_RIS_EBIT_Adj,0,COLUMN())</f>
        <v>2790.8</v>
      </c>
      <c r="AL47" s="268" t="n">
        <f aca="false">INDEX(MO_RIS_EBIT_Adj,0,COLUMN())</f>
        <v>426.7</v>
      </c>
      <c r="AM47" s="268" t="n">
        <f aca="false">INDEX(MO_RIS_EBIT_Adj,0,COLUMN())</f>
        <v>905.1</v>
      </c>
      <c r="AN47" s="268" t="n">
        <f aca="false">INDEX(MO_RIS_EBIT_Adj,0,COLUMN())</f>
        <v>1215.9</v>
      </c>
      <c r="AO47" s="268" t="n">
        <f aca="false">INDEX(MO_RIS_EBIT_Adj,0,COLUMN())</f>
        <v>1503.8</v>
      </c>
      <c r="AP47" s="267" t="n">
        <f aca="false">INDEX(MO_RIS_EBIT_Adj,0,COLUMN())</f>
        <v>4051.5</v>
      </c>
      <c r="AQ47" s="268" t="n">
        <f aca="false">INDEX(MO_RIS_EBIT_Adj,0,COLUMN())</f>
        <v>1560.6</v>
      </c>
      <c r="AR47" s="268" t="n">
        <f aca="false">INDEX(MO_RIS_EBIT_Adj,0,COLUMN())</f>
        <v>1239</v>
      </c>
      <c r="AS47" s="268" t="n">
        <f aca="false">INDEX(MO_RIS_EBIT_Adj,0,COLUMN())</f>
        <v>1919.3</v>
      </c>
      <c r="AT47" s="268" t="n">
        <f aca="false">INDEX(MO_RIS_EBIT_Adj,0,COLUMN())</f>
        <v>2031.2</v>
      </c>
      <c r="AU47" s="267" t="n">
        <f aca="false">INDEX(MO_RIS_EBIT_Adj,0,COLUMN())</f>
        <v>6750.1</v>
      </c>
      <c r="AV47" s="268" t="n">
        <f aca="false">INDEX(MO_RIS_EBIT_Adj,0,COLUMN())</f>
        <v>784.6</v>
      </c>
      <c r="AW47" s="268" t="n">
        <f aca="false">INDEX(MO_RIS_EBIT_Adj,0,COLUMN())</f>
        <v>1653.4</v>
      </c>
      <c r="AX47" s="268" t="n">
        <f aca="false">INDEX(MO_RIS_EBIT_Adj,0,COLUMN())</f>
        <v>1938.5</v>
      </c>
      <c r="AY47" s="268" t="n">
        <f aca="false">INDEX(MO_RIS_EBIT_Adj,0,COLUMN())</f>
        <v>2124.2</v>
      </c>
      <c r="AZ47" s="267" t="n">
        <f aca="false">INDEX(MO_RIS_EBIT_Adj,0,COLUMN())</f>
        <v>6500.7</v>
      </c>
      <c r="BA47" s="268" t="n">
        <f aca="false">INDEX(MO_RIS_EBIT_Adj,0,COLUMN())</f>
        <v>2205</v>
      </c>
      <c r="BB47" s="268" t="n">
        <f aca="false">INDEX(MO_RIS_EBIT_Adj,0,COLUMN())</f>
        <v>2263</v>
      </c>
      <c r="BC47" s="268" t="n">
        <f aca="false">INDEX(MO_RIS_EBIT_Adj,0,COLUMN())</f>
        <v>2182.4</v>
      </c>
      <c r="BD47" s="268" t="n">
        <f aca="false">INDEX(MO_RIS_EBIT_Adj,0,COLUMN())</f>
        <v>2391.9</v>
      </c>
      <c r="BE47" s="267" t="n">
        <f aca="false">INDEX(MO_RIS_EBIT_Adj,0,COLUMN())</f>
        <v>9042.3</v>
      </c>
      <c r="BF47" s="268" t="n">
        <f aca="false">INDEX(MO_RIS_EBIT_Adj,0,COLUMN())</f>
        <v>1391.4</v>
      </c>
      <c r="BG47" s="268" t="n">
        <f aca="false">INDEX(MO_RIS_EBIT_Adj,0,COLUMN())</f>
        <v>1834.6</v>
      </c>
      <c r="BH47" s="268" t="n">
        <f aca="false">INDEX(MO_RIS_EBIT_Adj,0,COLUMN())</f>
        <v>2441.2</v>
      </c>
      <c r="BI47" s="268" t="n">
        <f aca="false">INDEX(MO_RIS_EBIT_Adj,0,COLUMN())</f>
        <v>3355.4</v>
      </c>
      <c r="BJ47" s="267" t="n">
        <f aca="false">INDEX(MO_RIS_EBIT_Adj,0,COLUMN())</f>
        <v>9022.6</v>
      </c>
      <c r="BK47" s="268" t="n">
        <f aca="false">INDEX(MO_RIS_EBIT_Adj,0,COLUMN())</f>
        <v>2737.9</v>
      </c>
      <c r="BL47" s="268" t="n">
        <f aca="false">INDEX(MO_RIS_EBIT_Adj,0,COLUMN())</f>
        <v>2664.1</v>
      </c>
      <c r="BM47" s="268" t="n">
        <f aca="false">INDEX(MO_RIS_EBIT_Adj,0,COLUMN())</f>
        <v>2468.4</v>
      </c>
      <c r="BN47" s="268" t="n">
        <f aca="false">INDEX(MO_RIS_EBIT_Adj,0,COLUMN())</f>
        <v>3431</v>
      </c>
      <c r="BO47" s="269" t="n">
        <f aca="false">INDEX(MO_RIS_EBIT_Adj,0,COLUMN())</f>
        <v>11301.4</v>
      </c>
      <c r="BP47" s="268" t="n">
        <f aca="false">INDEX(MO_RIS_EBIT_Adj,0,COLUMN())</f>
        <v>2960.51304928716</v>
      </c>
      <c r="BQ47" s="268" t="n">
        <f aca="false">INDEX(MO_RIS_EBIT_Adj,0,COLUMN())</f>
        <v>3495.39589769988</v>
      </c>
      <c r="BR47" s="268" t="n">
        <f aca="false">INDEX(MO_RIS_EBIT_Adj,0,COLUMN())</f>
        <v>3258.47383875289</v>
      </c>
      <c r="BS47" s="268" t="n">
        <f aca="false">INDEX(MO_RIS_EBIT_Adj,0,COLUMN())</f>
        <v>3620.15146398755</v>
      </c>
      <c r="BT47" s="267" t="n">
        <f aca="false">INDEX(MO_RIS_EBIT_Adj,0,COLUMN())</f>
        <v>13334.5342497275</v>
      </c>
      <c r="BU47" s="268" t="n">
        <f aca="false">INDEX(MO_RIS_EBIT_Adj,0,COLUMN())</f>
        <v>3118.35741631106</v>
      </c>
      <c r="BV47" s="268" t="n">
        <f aca="false">INDEX(MO_RIS_EBIT_Adj,0,COLUMN())</f>
        <v>4205.38959859293</v>
      </c>
      <c r="BW47" s="268" t="n">
        <f aca="false">INDEX(MO_RIS_EBIT_Adj,0,COLUMN())</f>
        <v>3876.92880713419</v>
      </c>
      <c r="BX47" s="268" t="n">
        <f aca="false">INDEX(MO_RIS_EBIT_Adj,0,COLUMN())</f>
        <v>3912.99616548549</v>
      </c>
      <c r="BY47" s="267" t="n">
        <f aca="false">INDEX(MO_RIS_EBIT_Adj,0,COLUMN())</f>
        <v>15113.6719875237</v>
      </c>
      <c r="BZ47" s="267" t="n">
        <f aca="false">INDEX(MO_RIS_EBIT_Adj,0,COLUMN())</f>
        <v>18501.3799376864</v>
      </c>
      <c r="CA47" s="267" t="n">
        <f aca="false">INDEX(MO_RIS_EBIT_Adj,0,COLUMN())</f>
        <v>19734.9606418536</v>
      </c>
      <c r="CB47" s="267" t="n">
        <f aca="false">INDEX(MO_RIS_EBIT_Adj,0,COLUMN())</f>
        <v>21055.9876613057</v>
      </c>
      <c r="CC47" s="268"/>
    </row>
    <row r="48" s="157" customFormat="true" ht="15" hidden="false" customHeight="true" outlineLevel="0" collapsed="false">
      <c r="A48" s="252" t="str">
        <f aca="false">INDEX(MO_RIS_NI_NONGAAP_Diluted,0,COLUMN())</f>
        <v>Adjusted Net Income</v>
      </c>
      <c r="B48" s="266"/>
      <c r="C48" s="267" t="n">
        <f aca="false">INDEX(MO_RIS_NI_NONGAAP_Diluted,0,COLUMN())</f>
        <v>-150.925</v>
      </c>
      <c r="D48" s="267" t="n">
        <f aca="false">INDEX(MO_RIS_NI_NONGAAP_Diluted,0,COLUMN())</f>
        <v>1021.82</v>
      </c>
      <c r="E48" s="267" t="n">
        <f aca="false">INDEX(MO_RIS_NI_NONGAAP_Diluted,0,COLUMN())</f>
        <v>1466.96</v>
      </c>
      <c r="F48" s="267" t="n">
        <f aca="false">INDEX(MO_RIS_NI_NONGAAP_Diluted,0,COLUMN())</f>
        <v>1146.316</v>
      </c>
      <c r="G48" s="267" t="n">
        <f aca="false">INDEX(MO_RIS_NI_NONGAAP_Diluted,0,COLUMN())</f>
        <v>1015.49</v>
      </c>
      <c r="H48" s="268" t="n">
        <f aca="false">INDEX(MO_RIS_NI_NONGAAP_Diluted,0,COLUMN())</f>
        <v>249.1</v>
      </c>
      <c r="I48" s="268" t="n">
        <f aca="false">INDEX(MO_RIS_NI_NONGAAP_Diluted,0,COLUMN())</f>
        <v>398.7</v>
      </c>
      <c r="J48" s="268" t="n">
        <f aca="false">INDEX(MO_RIS_NI_NONGAAP_Diluted,0,COLUMN())</f>
        <v>244</v>
      </c>
      <c r="K48" s="268" t="n">
        <f aca="false">INDEX(MO_RIS_NI_NONGAAP_Diluted,0,COLUMN())</f>
        <v>304.8</v>
      </c>
      <c r="L48" s="267" t="n">
        <f aca="false">INDEX(MO_RIS_NI_NONGAAP_Diluted,0,COLUMN())</f>
        <v>1196.64</v>
      </c>
      <c r="M48" s="268" t="n">
        <f aca="false">INDEX(MO_RIS_NI_NONGAAP_Diluted,0,COLUMN())</f>
        <v>402.7</v>
      </c>
      <c r="N48" s="268" t="n">
        <f aca="false">INDEX(MO_RIS_NI_NONGAAP_Diluted,0,COLUMN())</f>
        <v>369.7</v>
      </c>
      <c r="O48" s="268" t="n">
        <f aca="false">INDEX(MO_RIS_NI_NONGAAP_Diluted,0,COLUMN())</f>
        <v>322.4</v>
      </c>
      <c r="P48" s="268" t="n">
        <f aca="false">INDEX(MO_RIS_NI_NONGAAP_Diluted,0,COLUMN())</f>
        <v>292.4</v>
      </c>
      <c r="Q48" s="267" t="n">
        <f aca="false">INDEX(MO_RIS_NI_NONGAAP_Diluted,0,COLUMN())</f>
        <v>1387.174</v>
      </c>
      <c r="R48" s="268" t="n">
        <f aca="false">INDEX(MO_RIS_NI_NONGAAP_Diluted,0,COLUMN())</f>
        <v>198</v>
      </c>
      <c r="S48" s="268" t="n">
        <f aca="false">INDEX(MO_RIS_NI_NONGAAP_Diluted,0,COLUMN())</f>
        <v>353.8</v>
      </c>
      <c r="T48" s="268" t="n">
        <f aca="false">INDEX(MO_RIS_NI_NONGAAP_Diluted,0,COLUMN())</f>
        <v>395.9</v>
      </c>
      <c r="U48" s="268" t="n">
        <f aca="false">INDEX(MO_RIS_NI_NONGAAP_Diluted,0,COLUMN())</f>
        <v>524.2</v>
      </c>
      <c r="V48" s="267" t="n">
        <f aca="false">INDEX(MO_RIS_NI_NONGAAP_Diluted,0,COLUMN())</f>
        <v>1471.9</v>
      </c>
      <c r="W48" s="268" t="n">
        <f aca="false">INDEX(MO_RIS_NI_NONGAAP_Diluted,0,COLUMN())</f>
        <v>452.1</v>
      </c>
      <c r="X48" s="268" t="n">
        <f aca="false">INDEX(MO_RIS_NI_NONGAAP_Diluted,0,COLUMN())</f>
        <v>466.3</v>
      </c>
      <c r="Y48" s="268" t="n">
        <f aca="false">INDEX(MO_RIS_NI_NONGAAP_Diluted,0,COLUMN())</f>
        <v>557.1</v>
      </c>
      <c r="Z48" s="268" t="n">
        <f aca="false">INDEX(MO_RIS_NI_NONGAAP_Diluted,0,COLUMN())</f>
        <v>643</v>
      </c>
      <c r="AA48" s="267" t="n">
        <f aca="false">INDEX(MO_RIS_NI_NONGAAP_Diluted,0,COLUMN())</f>
        <v>2118.5</v>
      </c>
      <c r="AB48" s="268" t="n">
        <f aca="false">INDEX(MO_RIS_NI_NONGAAP_Diluted,0,COLUMN())</f>
        <v>539.7</v>
      </c>
      <c r="AC48" s="268" t="n">
        <f aca="false">INDEX(MO_RIS_NI_NONGAAP_Diluted,0,COLUMN())</f>
        <v>584</v>
      </c>
      <c r="AD48" s="268" t="n">
        <f aca="false">INDEX(MO_RIS_NI_NONGAAP_Diluted,0,COLUMN())</f>
        <v>680.4</v>
      </c>
      <c r="AE48" s="268" t="n">
        <f aca="false">INDEX(MO_RIS_NI_NONGAAP_Diluted,0,COLUMN())</f>
        <v>787.500000000001</v>
      </c>
      <c r="AF48" s="267" t="n">
        <f aca="false">INDEX(MO_RIS_NI_NONGAAP_Diluted,0,COLUMN())</f>
        <v>2591.6</v>
      </c>
      <c r="AG48" s="268" t="n">
        <f aca="false">INDEX(MO_RIS_NI_NONGAAP_Diluted,0,COLUMN())</f>
        <v>355.4</v>
      </c>
      <c r="AH48" s="268" t="n">
        <f aca="false">INDEX(MO_RIS_NI_NONGAAP_Diluted,0,COLUMN())</f>
        <v>476</v>
      </c>
      <c r="AI48" s="268" t="n">
        <f aca="false">INDEX(MO_RIS_NI_NONGAAP_Diluted,0,COLUMN())</f>
        <v>626.8</v>
      </c>
      <c r="AJ48" s="268" t="n">
        <f aca="false">INDEX(MO_RIS_NI_NONGAAP_Diluted,0,COLUMN())</f>
        <v>1134.1</v>
      </c>
      <c r="AK48" s="267" t="n">
        <f aca="false">INDEX(MO_RIS_NI_NONGAAP_Diluted,0,COLUMN())</f>
        <v>2592.3</v>
      </c>
      <c r="AL48" s="268" t="n">
        <f aca="false">INDEX(MO_RIS_NI_NONGAAP_Diluted,0,COLUMN())</f>
        <v>390.6</v>
      </c>
      <c r="AM48" s="268" t="n">
        <f aca="false">INDEX(MO_RIS_NI_NONGAAP_Diluted,0,COLUMN())</f>
        <v>751</v>
      </c>
      <c r="AN48" s="268" t="n">
        <f aca="false">INDEX(MO_RIS_NI_NONGAAP_Diluted,0,COLUMN())</f>
        <v>1061.5</v>
      </c>
      <c r="AO48" s="268" t="n">
        <f aca="false">INDEX(MO_RIS_NI_NONGAAP_Diluted,0,COLUMN())</f>
        <v>1350.6</v>
      </c>
      <c r="AP48" s="267" t="n">
        <f aca="false">INDEX(MO_RIS_NI_NONGAAP_Diluted,0,COLUMN())</f>
        <v>3553.7</v>
      </c>
      <c r="AQ48" s="268" t="n">
        <f aca="false">INDEX(MO_RIS_NI_NONGAAP_Diluted,0,COLUMN())</f>
        <v>1331.4</v>
      </c>
      <c r="AR48" s="268" t="n">
        <f aca="false">INDEX(MO_RIS_NI_NONGAAP_Diluted,0,COLUMN())</f>
        <v>1038.2</v>
      </c>
      <c r="AS48" s="268" t="n">
        <f aca="false">INDEX(MO_RIS_NI_NONGAAP_Diluted,0,COLUMN())</f>
        <v>1740.2</v>
      </c>
      <c r="AT48" s="268" t="n">
        <f aca="false">INDEX(MO_RIS_NI_NONGAAP_Diluted,0,COLUMN())</f>
        <v>1773.4</v>
      </c>
      <c r="AU48" s="267" t="n">
        <f aca="false">INDEX(MO_RIS_NI_NONGAAP_Diluted,0,COLUMN())</f>
        <v>5883.2</v>
      </c>
      <c r="AV48" s="268" t="n">
        <f aca="false">INDEX(MO_RIS_NI_NONGAAP_Diluted,0,COLUMN())</f>
        <v>695.3</v>
      </c>
      <c r="AW48" s="268" t="n">
        <f aca="false">INDEX(MO_RIS_NI_NONGAAP_Diluted,0,COLUMN())</f>
        <v>1410.9</v>
      </c>
      <c r="AX48" s="268" t="n">
        <f aca="false">INDEX(MO_RIS_NI_NONGAAP_Diluted,0,COLUMN())</f>
        <v>1701.5</v>
      </c>
      <c r="AY48" s="268" t="n">
        <f aca="false">INDEX(MO_RIS_NI_NONGAAP_Diluted,0,COLUMN())</f>
        <v>1816.5</v>
      </c>
      <c r="AZ48" s="267" t="n">
        <f aca="false">INDEX(MO_RIS_NI_NONGAAP_Diluted,0,COLUMN())</f>
        <v>5624.2</v>
      </c>
      <c r="BA48" s="268" t="n">
        <f aca="false">INDEX(MO_RIS_NI_NONGAAP_Diluted,0,COLUMN())</f>
        <v>1955.8</v>
      </c>
      <c r="BB48" s="268" t="n">
        <f aca="false">INDEX(MO_RIS_NI_NONGAAP_Diluted,0,COLUMN())</f>
        <v>1941.7</v>
      </c>
      <c r="BC48" s="268" t="n">
        <f aca="false">INDEX(MO_RIS_NI_NONGAAP_Diluted,0,COLUMN())</f>
        <v>1893.4</v>
      </c>
      <c r="BD48" s="268" t="n">
        <f aca="false">INDEX(MO_RIS_NI_NONGAAP_Diluted,0,COLUMN())</f>
        <v>2048.1</v>
      </c>
      <c r="BE48" s="267" t="n">
        <f aca="false">INDEX(MO_RIS_NI_NONGAAP_Diluted,0,COLUMN())</f>
        <v>7839</v>
      </c>
      <c r="BF48" s="268" t="n">
        <f aca="false">INDEX(MO_RIS_NI_NONGAAP_Diluted,0,COLUMN())</f>
        <v>1223.8</v>
      </c>
      <c r="BG48" s="268" t="n">
        <f aca="false">INDEX(MO_RIS_NI_NONGAAP_Diluted,0,COLUMN())</f>
        <v>1577.9</v>
      </c>
      <c r="BH48" s="268" t="n">
        <f aca="false">INDEX(MO_RIS_NI_NONGAAP_Diluted,0,COLUMN())</f>
        <v>2076.5</v>
      </c>
      <c r="BI48" s="268" t="n">
        <f aca="false">INDEX(MO_RIS_NI_NONGAAP_Diluted,0,COLUMN())</f>
        <v>2693.4</v>
      </c>
      <c r="BJ48" s="267" t="n">
        <f aca="false">INDEX(MO_RIS_NI_NONGAAP_Diluted,0,COLUMN())</f>
        <v>7571.6</v>
      </c>
      <c r="BK48" s="268" t="n">
        <f aca="false">INDEX(MO_RIS_NI_NONGAAP_Diluted,0,COLUMN())</f>
        <v>2355</v>
      </c>
      <c r="BL48" s="268" t="n">
        <f aca="false">INDEX(MO_RIS_NI_NONGAAP_Diluted,0,COLUMN())</f>
        <v>2290.3</v>
      </c>
      <c r="BM48" s="268" t="n">
        <f aca="false">INDEX(MO_RIS_NI_NONGAAP_Diluted,0,COLUMN())</f>
        <v>2124.5</v>
      </c>
      <c r="BN48" s="268" t="n">
        <f aca="false">INDEX(MO_RIS_NI_NONGAAP_Diluted,0,COLUMN())</f>
        <v>2839.6</v>
      </c>
      <c r="BO48" s="269" t="n">
        <f aca="false">INDEX(MO_RIS_NI_NONGAAP_Diluted,0,COLUMN())</f>
        <v>9609.4</v>
      </c>
      <c r="BP48" s="268" t="n">
        <f aca="false">INDEX(MO_RIS_NI_NONGAAP_Diluted,0,COLUMN())</f>
        <v>2444.60603974122</v>
      </c>
      <c r="BQ48" s="268" t="n">
        <f aca="false">INDEX(MO_RIS_NI_NONGAAP_Diluted,0,COLUMN())</f>
        <v>2888.23413957748</v>
      </c>
      <c r="BR48" s="268" t="n">
        <f aca="false">INDEX(MO_RIS_NI_NONGAAP_Diluted,0,COLUMN())</f>
        <v>2723.68903577873</v>
      </c>
      <c r="BS48" s="268" t="n">
        <f aca="false">INDEX(MO_RIS_NI_NONGAAP_Diluted,0,COLUMN())</f>
        <v>2973.43577238699</v>
      </c>
      <c r="BT48" s="267" t="n">
        <f aca="false">INDEX(MO_RIS_NI_NONGAAP_Diluted,0,COLUMN())</f>
        <v>11029.9649874844</v>
      </c>
      <c r="BU48" s="268" t="n">
        <f aca="false">INDEX(MO_RIS_NI_NONGAAP_Diluted,0,COLUMN())</f>
        <v>2606.64839285746</v>
      </c>
      <c r="BV48" s="268" t="n">
        <f aca="false">INDEX(MO_RIS_NI_NONGAAP_Diluted,0,COLUMN())</f>
        <v>3519.42685000929</v>
      </c>
      <c r="BW48" s="268" t="n">
        <f aca="false">INDEX(MO_RIS_NI_NONGAAP_Diluted,0,COLUMN())</f>
        <v>3281.80062837639</v>
      </c>
      <c r="BX48" s="268" t="n">
        <f aca="false">INDEX(MO_RIS_NI_NONGAAP_Diluted,0,COLUMN())</f>
        <v>3429.36816119764</v>
      </c>
      <c r="BY48" s="267" t="n">
        <f aca="false">INDEX(MO_RIS_NI_NONGAAP_Diluted,0,COLUMN())</f>
        <v>12837.2440324408</v>
      </c>
      <c r="BZ48" s="267" t="n">
        <f aca="false">INDEX(MO_RIS_NI_NONGAAP_Diluted,0,COLUMN())</f>
        <v>15488.4289204566</v>
      </c>
      <c r="CA48" s="267" t="n">
        <f aca="false">INDEX(MO_RIS_NI_NONGAAP_Diluted,0,COLUMN())</f>
        <v>16524.636711957</v>
      </c>
      <c r="CB48" s="267" t="n">
        <f aca="false">INDEX(MO_RIS_NI_NONGAAP_Diluted,0,COLUMN())</f>
        <v>17634.2994082968</v>
      </c>
      <c r="CC48" s="268"/>
    </row>
    <row r="49" s="445" customFormat="true" ht="15" hidden="false" customHeight="true" outlineLevel="0" collapsed="false">
      <c r="A49" s="443" t="str">
        <f aca="false">INDEX(MO_RIS_EPS_WAD_Adj,0,COLUMN())</f>
        <v>Adjusted Earnings Per Share - WAD (No Adjustments)</v>
      </c>
      <c r="B49" s="439"/>
      <c r="C49" s="713" t="n">
        <f aca="false">INDEX(MO_RIS_EPS_WAD_Adj,0,COLUMN())</f>
        <v>-0.3488667753083</v>
      </c>
      <c r="D49" s="713" t="n">
        <f aca="false">INDEX(MO_RIS_EPS_WAD_Adj,0,COLUMN())</f>
        <v>2.32774606240916</v>
      </c>
      <c r="E49" s="713" t="n">
        <f aca="false">INDEX(MO_RIS_EPS_WAD_Adj,0,COLUMN())</f>
        <v>3.41906477754497</v>
      </c>
      <c r="F49" s="713" t="n">
        <f aca="false">INDEX(MO_RIS_EPS_WAD_Adj,0,COLUMN())</f>
        <v>2.68466881818139</v>
      </c>
      <c r="G49" s="713" t="n">
        <f aca="false">INDEX(MO_RIS_EPS_WAD_Adj,0,COLUMN())</f>
        <v>2.34282932591372</v>
      </c>
      <c r="H49" s="443" t="n">
        <f aca="false">INDEX(MO_RIS_EPS_WAD_Adj,0,COLUMN())</f>
        <v>0.561668545659526</v>
      </c>
      <c r="I49" s="443" t="n">
        <f aca="false">INDEX(MO_RIS_EPS_WAD_Adj,0,COLUMN())</f>
        <v>0.902853260869565</v>
      </c>
      <c r="J49" s="443" t="n">
        <f aca="false">INDEX(MO_RIS_EPS_WAD_Adj,0,COLUMN())</f>
        <v>0.555808656036446</v>
      </c>
      <c r="K49" s="443" t="n">
        <f aca="false">INDEX(MO_RIS_EPS_WAD_Adj,0,COLUMN())</f>
        <v>0.697961987634532</v>
      </c>
      <c r="L49" s="713" t="n">
        <f aca="false">INDEX(MO_RIS_EPS_WAD_Adj,0,COLUMN())</f>
        <v>2.72153525300607</v>
      </c>
      <c r="M49" s="443" t="n">
        <f aca="false">INDEX(MO_RIS_EPS_WAD_Adj,0,COLUMN())</f>
        <v>0.925109120147025</v>
      </c>
      <c r="N49" s="443" t="n">
        <f aca="false">INDEX(MO_RIS_EPS_WAD_Adj,0,COLUMN())</f>
        <v>0.852236053480867</v>
      </c>
      <c r="O49" s="443" t="n">
        <f aca="false">INDEX(MO_RIS_EPS_WAD_Adj,0,COLUMN())</f>
        <v>0.745778394633356</v>
      </c>
      <c r="P49" s="443" t="n">
        <f aca="false">INDEX(MO_RIS_EPS_WAD_Adj,0,COLUMN())</f>
        <v>0.678737233054781</v>
      </c>
      <c r="Q49" s="713" t="n">
        <f aca="false">INDEX(MO_RIS_EPS_WAD_Adj,0,COLUMN())</f>
        <v>3.20627120681207</v>
      </c>
      <c r="R49" s="443" t="n">
        <f aca="false">INDEX(MO_RIS_EPS_WAD_Adj,0,COLUMN())</f>
        <v>0.461430901887671</v>
      </c>
      <c r="S49" s="443" t="n">
        <f aca="false">INDEX(MO_RIS_EPS_WAD_Adj,0,COLUMN())</f>
        <v>0.829542790152403</v>
      </c>
      <c r="T49" s="443" t="n">
        <f aca="false">INDEX(MO_RIS_EPS_WAD_Adj,0,COLUMN())</f>
        <v>0.92977923907938</v>
      </c>
      <c r="U49" s="443" t="n">
        <f aca="false">INDEX(MO_RIS_EPS_WAD_Adj,0,COLUMN())</f>
        <v>1.22134203168686</v>
      </c>
      <c r="V49" s="713" t="n">
        <f aca="false">INDEX(MO_RIS_EPS_WAD_Adj,0,COLUMN())</f>
        <v>3.44143090951602</v>
      </c>
      <c r="W49" s="443" t="n">
        <f aca="false">INDEX(MO_RIS_EPS_WAD_Adj,0,COLUMN())</f>
        <v>1.04580152671756</v>
      </c>
      <c r="X49" s="443" t="n">
        <f aca="false">INDEX(MO_RIS_EPS_WAD_Adj,0,COLUMN())</f>
        <v>1.07839962997225</v>
      </c>
      <c r="Y49" s="443" t="n">
        <f aca="false">INDEX(MO_RIS_EPS_WAD_Adj,0,COLUMN())</f>
        <v>1.28958333333333</v>
      </c>
      <c r="Z49" s="443" t="n">
        <f aca="false">INDEX(MO_RIS_EPS_WAD_Adj,0,COLUMN())</f>
        <v>1.49430629793168</v>
      </c>
      <c r="AA49" s="713" t="n">
        <f aca="false">INDEX(MO_RIS_EPS_WAD_Adj,0,COLUMN())</f>
        <v>4.90848007414272</v>
      </c>
      <c r="AB49" s="443" t="n">
        <f aca="false">INDEX(MO_RIS_EPS_WAD_Adj,0,COLUMN())</f>
        <v>1.25833527628818</v>
      </c>
      <c r="AC49" s="443" t="n">
        <f aca="false">INDEX(MO_RIS_EPS_WAD_Adj,0,COLUMN())</f>
        <v>1.36576239476146</v>
      </c>
      <c r="AD49" s="443" t="n">
        <f aca="false">INDEX(MO_RIS_EPS_WAD_Adj,0,COLUMN())</f>
        <v>1.59755811223292</v>
      </c>
      <c r="AE49" s="443" t="n">
        <f aca="false">INDEX(MO_RIS_EPS_WAD_Adj,0,COLUMN())</f>
        <v>1.85906515580737</v>
      </c>
      <c r="AF49" s="713" t="n">
        <f aca="false">INDEX(MO_RIS_EPS_WAD_Adj,0,COLUMN())</f>
        <v>6.07786116322702</v>
      </c>
      <c r="AG49" s="443" t="n">
        <f aca="false">INDEX(MO_RIS_EPS_WAD_Adj,0,COLUMN())</f>
        <v>0.841183431952663</v>
      </c>
      <c r="AH49" s="443" t="n">
        <f aca="false">INDEX(MO_RIS_EPS_WAD_Adj,0,COLUMN())</f>
        <v>1.1284969179706</v>
      </c>
      <c r="AI49" s="443" t="n">
        <f aca="false">INDEX(MO_RIS_EPS_WAD_Adj,0,COLUMN())</f>
        <v>1.48636471425184</v>
      </c>
      <c r="AJ49" s="443" t="n">
        <f aca="false">INDEX(MO_RIS_EPS_WAD_Adj,0,COLUMN())</f>
        <v>2.69318451674187</v>
      </c>
      <c r="AK49" s="713" t="n">
        <f aca="false">INDEX(MO_RIS_EPS_WAD_Adj,0,COLUMN())</f>
        <v>6.14871916508539</v>
      </c>
      <c r="AL49" s="443" t="n">
        <f aca="false">INDEX(MO_RIS_EPS_WAD_Adj,0,COLUMN())</f>
        <v>0.930664760543245</v>
      </c>
      <c r="AM49" s="443" t="n">
        <f aca="false">INDEX(MO_RIS_EPS_WAD_Adj,0,COLUMN())</f>
        <v>1.79236276849642</v>
      </c>
      <c r="AN49" s="443" t="n">
        <f aca="false">INDEX(MO_RIS_EPS_WAD_Adj,0,COLUMN())</f>
        <v>2.53220419847328</v>
      </c>
      <c r="AO49" s="443" t="n">
        <f aca="false">INDEX(MO_RIS_EPS_WAD_Adj,0,COLUMN())</f>
        <v>3.22801147227534</v>
      </c>
      <c r="AP49" s="713" t="n">
        <f aca="false">INDEX(MO_RIS_EPS_WAD_Adj,0,COLUMN())</f>
        <v>8.47936053447864</v>
      </c>
      <c r="AQ49" s="443" t="n">
        <f aca="false">INDEX(MO_RIS_EPS_WAD_Adj,0,COLUMN())</f>
        <v>3.2020202020202</v>
      </c>
      <c r="AR49" s="443" t="n">
        <f aca="false">INDEX(MO_RIS_EPS_WAD_Adj,0,COLUMN())</f>
        <v>2.51990291262136</v>
      </c>
      <c r="AS49" s="443" t="n">
        <f aca="false">INDEX(MO_RIS_EPS_WAD_Adj,0,COLUMN())</f>
        <v>4.25893294175233</v>
      </c>
      <c r="AT49" s="443" t="n">
        <f aca="false">INDEX(MO_RIS_EPS_WAD_Adj,0,COLUMN())</f>
        <v>4.37876543209876</v>
      </c>
      <c r="AU49" s="713" t="n">
        <f aca="false">INDEX(MO_RIS_EPS_WAD_Adj,0,COLUMN())</f>
        <v>14.3352826510721</v>
      </c>
      <c r="AV49" s="443" t="n">
        <f aca="false">INDEX(MO_RIS_EPS_WAD_Adj,0,COLUMN())</f>
        <v>1.73175591531756</v>
      </c>
      <c r="AW49" s="443" t="n">
        <f aca="false">INDEX(MO_RIS_EPS_WAD_Adj,0,COLUMN())</f>
        <v>3.53963873557451</v>
      </c>
      <c r="AX49" s="443" t="n">
        <f aca="false">INDEX(MO_RIS_EPS_WAD_Adj,0,COLUMN())</f>
        <v>4.29021684316692</v>
      </c>
      <c r="AY49" s="443" t="n">
        <f aca="false">INDEX(MO_RIS_EPS_WAD_Adj,0,COLUMN())</f>
        <v>4.59640688259109</v>
      </c>
      <c r="AZ49" s="713" t="n">
        <f aca="false">INDEX(MO_RIS_EPS_WAD_Adj,0,COLUMN())</f>
        <v>14.1276061291133</v>
      </c>
      <c r="BA49" s="443" t="n">
        <f aca="false">INDEX(MO_RIS_EPS_WAD_Adj,0,COLUMN())</f>
        <v>4.95390070921986</v>
      </c>
      <c r="BB49" s="443" t="n">
        <f aca="false">INDEX(MO_RIS_EPS_WAD_Adj,0,COLUMN())</f>
        <v>4.92817258883249</v>
      </c>
      <c r="BC49" s="443" t="n">
        <f aca="false">INDEX(MO_RIS_EPS_WAD_Adj,0,COLUMN())</f>
        <v>4.80924561849124</v>
      </c>
      <c r="BD49" s="443" t="n">
        <f aca="false">INDEX(MO_RIS_EPS_WAD_Adj,0,COLUMN())</f>
        <v>5.20086338242763</v>
      </c>
      <c r="BE49" s="713" t="n">
        <f aca="false">INDEX(MO_RIS_EPS_WAD_Adj,0,COLUMN())</f>
        <v>19.8908906368942</v>
      </c>
      <c r="BF49" s="443" t="n">
        <f aca="false">INDEX(MO_RIS_EPS_WAD_Adj,0,COLUMN())</f>
        <v>3.10845821691643</v>
      </c>
      <c r="BG49" s="443" t="n">
        <f aca="false">INDEX(MO_RIS_EPS_WAD_Adj,0,COLUMN())</f>
        <v>4.00991105463787</v>
      </c>
      <c r="BH49" s="443" t="n">
        <f aca="false">INDEX(MO_RIS_EPS_WAD_Adj,0,COLUMN())</f>
        <v>5.27566056910569</v>
      </c>
      <c r="BI49" s="443" t="n">
        <f aca="false">INDEX(MO_RIS_EPS_WAD_Adj,0,COLUMN())</f>
        <v>6.84298780487805</v>
      </c>
      <c r="BJ49" s="713" t="n">
        <f aca="false">INDEX(MO_RIS_EPS_WAD_Adj,0,COLUMN())</f>
        <v>19.2367886178862</v>
      </c>
      <c r="BK49" s="443" t="n">
        <f aca="false">INDEX(MO_RIS_EPS_WAD_Adj,0,COLUMN())</f>
        <v>6</v>
      </c>
      <c r="BL49" s="443" t="n">
        <f aca="false">INDEX(MO_RIS_EPS_WAD_Adj,0,COLUMN())</f>
        <v>5.89675592173018</v>
      </c>
      <c r="BM49" s="443" t="n">
        <f aca="false">INDEX(MO_RIS_EPS_WAD_Adj,0,COLUMN())</f>
        <v>5.4811661506708</v>
      </c>
      <c r="BN49" s="443" t="n">
        <f aca="false">INDEX(MO_RIS_EPS_WAD_Adj,0,COLUMN())</f>
        <v>7.3374677002584</v>
      </c>
      <c r="BO49" s="714" t="n">
        <f aca="false">INDEX(MO_RIS_EPS_WAD_Adj,0,COLUMN())</f>
        <v>24.7091797377218</v>
      </c>
      <c r="BP49" s="443" t="n">
        <f aca="false">INDEX(MO_RIS_EPS_WAD_Adj,0,COLUMN())</f>
        <v>6.28566621559985</v>
      </c>
      <c r="BQ49" s="443" t="n">
        <f aca="false">INDEX(MO_RIS_EPS_WAD_Adj,0,COLUMN())</f>
        <v>7.42754297623292</v>
      </c>
      <c r="BR49" s="443" t="n">
        <f aca="false">INDEX(MO_RIS_EPS_WAD_Adj,0,COLUMN())</f>
        <v>7.00368929945768</v>
      </c>
      <c r="BS49" s="443" t="n">
        <f aca="false">INDEX(MO_RIS_EPS_WAD_Adj,0,COLUMN())</f>
        <v>7.64512311587625</v>
      </c>
      <c r="BT49" s="713" t="n">
        <f aca="false">INDEX(MO_RIS_EPS_WAD_Adj,0,COLUMN())</f>
        <v>28.36199173921</v>
      </c>
      <c r="BU49" s="443" t="n">
        <f aca="false">INDEX(MO_RIS_EPS_WAD_Adj,0,COLUMN())</f>
        <v>6.70139084647969</v>
      </c>
      <c r="BV49" s="443" t="n">
        <f aca="false">INDEX(MO_RIS_EPS_WAD_Adj,0,COLUMN())</f>
        <v>9.04713373405708</v>
      </c>
      <c r="BW49" s="443" t="n">
        <f aca="false">INDEX(MO_RIS_EPS_WAD_Adj,0,COLUMN())</f>
        <v>8.43544180533749</v>
      </c>
      <c r="BX49" s="443" t="n">
        <f aca="false">INDEX(MO_RIS_EPS_WAD_Adj,0,COLUMN())</f>
        <v>8.81386357490837</v>
      </c>
      <c r="BY49" s="713" t="n">
        <f aca="false">INDEX(MO_RIS_EPS_WAD_Adj,0,COLUMN())</f>
        <v>32.998084582981</v>
      </c>
      <c r="BZ49" s="713" t="n">
        <f aca="false">INDEX(MO_RIS_EPS_WAD_Adj,0,COLUMN())</f>
        <v>39.7970624211642</v>
      </c>
      <c r="CA49" s="713" t="n">
        <f aca="false">INDEX(MO_RIS_EPS_WAD_Adj,0,COLUMN())</f>
        <v>42.4425908185012</v>
      </c>
      <c r="CB49" s="713" t="n">
        <f aca="false">INDEX(MO_RIS_EPS_WAD_Adj,0,COLUMN())</f>
        <v>45.2745865921301</v>
      </c>
      <c r="CC49" s="443"/>
    </row>
    <row r="50" customFormat="false" ht="15" hidden="false" customHeight="true" outlineLevel="0" collapsed="false">
      <c r="A50" s="625"/>
      <c r="B50" s="625"/>
      <c r="C50" s="696"/>
      <c r="D50" s="696"/>
      <c r="E50" s="696"/>
      <c r="F50" s="696"/>
      <c r="G50" s="696"/>
      <c r="H50" s="700"/>
      <c r="I50" s="700"/>
      <c r="J50" s="700"/>
      <c r="K50" s="700"/>
      <c r="L50" s="696"/>
      <c r="M50" s="700"/>
      <c r="N50" s="700"/>
      <c r="O50" s="700"/>
      <c r="P50" s="700"/>
      <c r="Q50" s="696"/>
      <c r="R50" s="700"/>
      <c r="S50" s="700"/>
      <c r="T50" s="700"/>
      <c r="U50" s="700"/>
      <c r="V50" s="696"/>
      <c r="W50" s="700"/>
      <c r="X50" s="700"/>
      <c r="Y50" s="700"/>
      <c r="Z50" s="705"/>
      <c r="AA50" s="359"/>
      <c r="AB50" s="700"/>
      <c r="AC50" s="700"/>
      <c r="AD50" s="700"/>
      <c r="AE50" s="705"/>
      <c r="AF50" s="359"/>
      <c r="AG50" s="700"/>
      <c r="AH50" s="700"/>
      <c r="AI50" s="700"/>
      <c r="AJ50" s="705"/>
      <c r="AK50" s="359"/>
      <c r="AL50" s="700"/>
      <c r="AM50" s="700"/>
      <c r="AN50" s="700"/>
      <c r="AO50" s="705"/>
      <c r="AP50" s="359"/>
      <c r="AQ50" s="700"/>
      <c r="AR50" s="700"/>
      <c r="AS50" s="700"/>
      <c r="AT50" s="705"/>
      <c r="AU50" s="359"/>
      <c r="AV50" s="700"/>
      <c r="AW50" s="700"/>
      <c r="AX50" s="700"/>
      <c r="AY50" s="705"/>
      <c r="AZ50" s="359"/>
      <c r="BA50" s="700"/>
      <c r="BB50" s="700"/>
      <c r="BC50" s="700"/>
      <c r="BD50" s="705"/>
      <c r="BE50" s="359"/>
      <c r="BF50" s="700"/>
      <c r="BG50" s="700"/>
      <c r="BH50" s="700"/>
      <c r="BI50" s="705"/>
      <c r="BJ50" s="359"/>
      <c r="BK50" s="700"/>
      <c r="BL50" s="700"/>
      <c r="BM50" s="700"/>
      <c r="BN50" s="705"/>
      <c r="BO50" s="723"/>
      <c r="BP50" s="700"/>
      <c r="BQ50" s="700"/>
      <c r="BR50" s="700"/>
      <c r="BS50" s="705"/>
      <c r="BT50" s="359"/>
      <c r="BU50" s="700"/>
      <c r="BV50" s="700"/>
      <c r="BW50" s="700"/>
      <c r="BX50" s="705"/>
      <c r="BY50" s="359"/>
      <c r="BZ50" s="359"/>
      <c r="CA50" s="359"/>
      <c r="CB50" s="359"/>
      <c r="CC50" s="625"/>
    </row>
    <row r="51" customFormat="false" ht="15" hidden="false" customHeight="true" outlineLevel="0" collapsed="false">
      <c r="A51" s="219" t="s">
        <v>367</v>
      </c>
      <c r="B51" s="716"/>
      <c r="C51" s="716"/>
      <c r="D51" s="716"/>
      <c r="E51" s="716"/>
      <c r="F51" s="716"/>
      <c r="G51" s="716"/>
      <c r="H51" s="716"/>
      <c r="I51" s="716"/>
      <c r="J51" s="716"/>
      <c r="K51" s="716"/>
      <c r="L51" s="716"/>
      <c r="M51" s="716"/>
      <c r="N51" s="716"/>
      <c r="O51" s="716"/>
      <c r="P51" s="716"/>
      <c r="Q51" s="716"/>
      <c r="R51" s="716"/>
      <c r="S51" s="716"/>
      <c r="T51" s="716"/>
      <c r="U51" s="716"/>
      <c r="V51" s="716"/>
      <c r="W51" s="716"/>
      <c r="X51" s="716"/>
      <c r="Y51" s="716"/>
      <c r="Z51" s="716"/>
      <c r="AA51" s="716"/>
      <c r="AB51" s="716"/>
      <c r="AC51" s="716"/>
      <c r="AD51" s="716"/>
      <c r="AE51" s="716"/>
      <c r="AF51" s="716"/>
      <c r="AG51" s="716"/>
      <c r="AH51" s="716"/>
      <c r="AI51" s="716"/>
      <c r="AJ51" s="716"/>
      <c r="AK51" s="716"/>
      <c r="AL51" s="716"/>
      <c r="AM51" s="716"/>
      <c r="AN51" s="716"/>
      <c r="AO51" s="716"/>
      <c r="AP51" s="716"/>
      <c r="AQ51" s="716"/>
      <c r="AR51" s="716"/>
      <c r="AS51" s="716"/>
      <c r="AT51" s="716"/>
      <c r="AU51" s="716"/>
      <c r="AV51" s="716"/>
      <c r="AW51" s="716"/>
      <c r="AX51" s="716"/>
      <c r="AY51" s="716"/>
      <c r="AZ51" s="716"/>
      <c r="BA51" s="716"/>
      <c r="BB51" s="716"/>
      <c r="BC51" s="716"/>
      <c r="BD51" s="716"/>
      <c r="BE51" s="716"/>
      <c r="BF51" s="716"/>
      <c r="BG51" s="716"/>
      <c r="BH51" s="716"/>
      <c r="BI51" s="716"/>
      <c r="BJ51" s="716"/>
      <c r="BK51" s="716"/>
      <c r="BL51" s="716"/>
      <c r="BM51" s="716"/>
      <c r="BN51" s="716"/>
      <c r="BO51" s="717"/>
      <c r="BP51" s="716"/>
      <c r="BQ51" s="716"/>
      <c r="BR51" s="716"/>
      <c r="BS51" s="716"/>
      <c r="BT51" s="716"/>
      <c r="BU51" s="716"/>
      <c r="BV51" s="716"/>
      <c r="BW51" s="716"/>
      <c r="BX51" s="716"/>
      <c r="BY51" s="716"/>
      <c r="BZ51" s="716"/>
      <c r="CA51" s="716"/>
      <c r="CB51" s="716"/>
      <c r="CC51" s="48"/>
    </row>
    <row r="52" s="237" customFormat="true" ht="15" hidden="false" customHeight="true" outlineLevel="0" collapsed="false">
      <c r="A52" s="343" t="str">
        <f aca="false">INDEX(MO_MA_COGS,0,COLUMN())</f>
        <v>COGS Margin, %</v>
      </c>
      <c r="B52" s="625"/>
      <c r="C52" s="233" t="n">
        <f aca="false">INDEX(SP_GF_COGS,0,COLUMN())/INDEX(SP_GF_Rev,0,COLUMN())</f>
        <v>0.712798304327586</v>
      </c>
      <c r="D52" s="233" t="n">
        <f aca="false">INDEX(SP_GF_COGS,0,COLUMN())/INDEX(SP_GF_Rev,0,COLUMN())</f>
        <v>0.566282854821872</v>
      </c>
      <c r="E52" s="233" t="n">
        <f aca="false">INDEX(SP_GF_COGS,0,COLUMN())/INDEX(SP_GF_Rev,0,COLUMN())</f>
        <v>0.566559046263207</v>
      </c>
      <c r="F52" s="233" t="n">
        <f aca="false">INDEX(SP_GF_COGS,0,COLUMN())/INDEX(SP_GF_Rev,0,COLUMN())</f>
        <v>0.576194929573893</v>
      </c>
      <c r="G52" s="233" t="n">
        <f aca="false">INDEX(SP_GF_COGS,0,COLUMN())/INDEX(SP_GF_Rev,0,COLUMN())</f>
        <v>0.58491388333156</v>
      </c>
      <c r="H52" s="234" t="n">
        <f aca="false">INDEX(SP_GF_COGS,0,COLUMN())/INDEX(SP_GF_Rev,0,COLUMN())</f>
        <v>0.563551736484067</v>
      </c>
      <c r="I52" s="234" t="n">
        <f aca="false">INDEX(SP_GF_COGS,0,COLUMN())/INDEX(SP_GF_Rev,0,COLUMN())</f>
        <v>0.542528595765393</v>
      </c>
      <c r="J52" s="234" t="n">
        <f aca="false">INDEX(SP_GF_COGS,0,COLUMN())/INDEX(SP_GF_Rev,0,COLUMN())</f>
        <v>0.562774164271668</v>
      </c>
      <c r="K52" s="234" t="n">
        <f aca="false">INDEX(SP_GF_COGS,0,COLUMN())/INDEX(SP_GF_Rev,0,COLUMN())</f>
        <v>0.560307898259706</v>
      </c>
      <c r="L52" s="233" t="n">
        <f aca="false">INDEX(SP_GF_COGS,0,COLUMN())/INDEX(SP_GF_Rev,0,COLUMN())</f>
        <v>0.556651094201999</v>
      </c>
      <c r="M52" s="234" t="n">
        <f aca="false">INDEX(SP_GF_COGS,0,COLUMN())/INDEX(SP_GF_Rev,0,COLUMN())</f>
        <v>0.528092611673435</v>
      </c>
      <c r="N52" s="234" t="n">
        <f aca="false">INDEX(SP_GF_COGS,0,COLUMN())/INDEX(SP_GF_Rev,0,COLUMN())</f>
        <v>0.544283900610604</v>
      </c>
      <c r="O52" s="234" t="n">
        <f aca="false">INDEX(SP_GF_COGS,0,COLUMN())/INDEX(SP_GF_Rev,0,COLUMN())</f>
        <v>0.545894655305965</v>
      </c>
      <c r="P52" s="234" t="n">
        <f aca="false">INDEX(SP_GF_COGS,0,COLUMN())/INDEX(SP_GF_Rev,0,COLUMN())</f>
        <v>0.539952586807977</v>
      </c>
      <c r="Q52" s="233" t="n">
        <f aca="false">INDEX(SP_GF_COGS,0,COLUMN())/INDEX(SP_GF_Rev,0,COLUMN())</f>
        <v>0.539435137875505</v>
      </c>
      <c r="R52" s="234" t="n">
        <f aca="false">INDEX(SP_GF_COGS,0,COLUMN())/INDEX(SP_GF_Rev,0,COLUMN())</f>
        <v>0.573882388238824</v>
      </c>
      <c r="S52" s="234" t="n">
        <f aca="false">INDEX(SP_GF_COGS,0,COLUMN())/INDEX(SP_GF_Rev,0,COLUMN())</f>
        <v>0.573810071280754</v>
      </c>
      <c r="T52" s="234" t="n">
        <f aca="false">INDEX(SP_GF_COGS,0,COLUMN())/INDEX(SP_GF_Rev,0,COLUMN())</f>
        <v>0.540174143061832</v>
      </c>
      <c r="U52" s="234" t="n">
        <f aca="false">INDEX(SP_GF_COGS,0,COLUMN())/INDEX(SP_GF_Rev,0,COLUMN())</f>
        <v>0.527838943063857</v>
      </c>
      <c r="V52" s="233" t="n">
        <f aca="false">INDEX(SP_GF_COGS,0,COLUMN())/INDEX(SP_GF_Rev,0,COLUMN())</f>
        <v>0.551936775181021</v>
      </c>
      <c r="W52" s="234" t="n">
        <f aca="false">INDEX(SP_GF_COGS,0,COLUMN())/INDEX(SP_GF_Rev,0,COLUMN())</f>
        <v>0.524284832270014</v>
      </c>
      <c r="X52" s="234" t="n">
        <f aca="false">INDEX(SP_GF_COGS,0,COLUMN())/INDEX(SP_GF_Rev,0,COLUMN())</f>
        <v>0.549585990292186</v>
      </c>
      <c r="Y52" s="234" t="n">
        <f aca="false">INDEX(SP_GF_COGS,0,COLUMN())/INDEX(SP_GF_Rev,0,COLUMN())</f>
        <v>0.571177576203318</v>
      </c>
      <c r="Z52" s="234" t="n">
        <f aca="false">INDEX(SP_GF_COGS,0,COLUMN())/INDEX(SP_GF_Rev,0,COLUMN())</f>
        <v>0.548468989220434</v>
      </c>
      <c r="AA52" s="233" t="n">
        <f aca="false">INDEX(SP_GF_COGS,0,COLUMN())/INDEX(SP_GF_Rev,0,COLUMN())</f>
        <v>0.549675238600212</v>
      </c>
      <c r="AB52" s="234" t="n">
        <f aca="false">INDEX(SP_GF_COGS,0,COLUMN())/INDEX(SP_GF_Rev,0,COLUMN())</f>
        <v>0.512691466083151</v>
      </c>
      <c r="AC52" s="234" t="n">
        <f aca="false">INDEX(SP_GF_COGS,0,COLUMN())/INDEX(SP_GF_Rev,0,COLUMN())</f>
        <v>0.566888045540797</v>
      </c>
      <c r="AD52" s="234" t="n">
        <f aca="false">INDEX(SP_GF_COGS,0,COLUMN())/INDEX(SP_GF_Rev,0,COLUMN())</f>
        <v>0.518785346349195</v>
      </c>
      <c r="AE52" s="234" t="n">
        <f aca="false">INDEX(SP_GF_COGS,0,COLUMN())/INDEX(SP_GF_Rev,0,COLUMN())</f>
        <v>0.556754176610978</v>
      </c>
      <c r="AF52" s="233" t="n">
        <f aca="false">INDEX(SP_GF_COGS,0,COLUMN())/INDEX(SP_GF_Rev,0,COLUMN())</f>
        <v>0.540460526315789</v>
      </c>
      <c r="AG52" s="234" t="n">
        <f aca="false">INDEX(SP_GF_COGS,0,COLUMN())/INDEX(SP_GF_Rev,0,COLUMN())</f>
        <v>0.583688484141582</v>
      </c>
      <c r="AH52" s="234" t="n">
        <f aca="false">INDEX(SP_GF_COGS,0,COLUMN())/INDEX(SP_GF_Rev,0,COLUMN())</f>
        <v>0.569609408466062</v>
      </c>
      <c r="AI52" s="234" t="n">
        <f aca="false">INDEX(SP_GF_COGS,0,COLUMN())/INDEX(SP_GF_Rev,0,COLUMN())</f>
        <v>0.562564875272058</v>
      </c>
      <c r="AJ52" s="234" t="n">
        <f aca="false">INDEX(SP_GF_COGS,0,COLUMN())/INDEX(SP_GF_Rev,0,COLUMN())</f>
        <v>0.519336058466493</v>
      </c>
      <c r="AK52" s="233" t="n">
        <f aca="false">INDEX(SP_GF_COGS,0,COLUMN())/INDEX(SP_GF_Rev,0,COLUMN())</f>
        <v>0.55331641285956</v>
      </c>
      <c r="AL52" s="234" t="n">
        <f aca="false">INDEX(SP_GF_COGS,0,COLUMN())/INDEX(SP_GF_Rev,0,COLUMN())</f>
        <v>0.548717528476604</v>
      </c>
      <c r="AM52" s="234" t="n">
        <f aca="false">INDEX(SP_GF_COGS,0,COLUMN())/INDEX(SP_GF_Rev,0,COLUMN())</f>
        <v>0.517936073608564</v>
      </c>
      <c r="AN52" s="234" t="n">
        <f aca="false">INDEX(SP_GF_COGS,0,COLUMN())/INDEX(SP_GF_Rev,0,COLUMN())</f>
        <v>0.524658918645781</v>
      </c>
      <c r="AO52" s="234" t="n">
        <f aca="false">INDEX(SP_GF_COGS,0,COLUMN())/INDEX(SP_GF_Rev,0,COLUMN())</f>
        <v>0.480231300832119</v>
      </c>
      <c r="AP52" s="233" t="n">
        <f aca="false">INDEX(SP_GF_COGS,0,COLUMN())/INDEX(SP_GF_Rev,0,COLUMN())</f>
        <v>0.513738956254248</v>
      </c>
      <c r="AQ52" s="234" t="n">
        <f aca="false">INDEX(SP_GF_COGS,0,COLUMN())/INDEX(SP_GF_Rev,0,COLUMN())</f>
        <v>0.460940901487202</v>
      </c>
      <c r="AR52" s="234" t="n">
        <f aca="false">INDEX(SP_GF_COGS,0,COLUMN())/INDEX(SP_GF_Rev,0,COLUMN())</f>
        <v>0.491418337396149</v>
      </c>
      <c r="AS52" s="234" t="n">
        <f aca="false">INDEX(SP_GF_COGS,0,COLUMN())/INDEX(SP_GF_Rev,0,COLUMN())</f>
        <v>0.482685593268846</v>
      </c>
      <c r="AT52" s="234" t="n">
        <f aca="false">INDEX(SP_GF_COGS,0,COLUMN())/INDEX(SP_GF_Rev,0,COLUMN())</f>
        <v>0.458319961489089</v>
      </c>
      <c r="AU52" s="233" t="n">
        <f aca="false">INDEX(SP_GF_COGS,0,COLUMN())/INDEX(SP_GF_Rev,0,COLUMN())</f>
        <v>0.472946107140938</v>
      </c>
      <c r="AV52" s="234" t="n">
        <f aca="false">INDEX(SP_GF_COGS,0,COLUMN())/INDEX(SP_GF_Rev,0,COLUMN())</f>
        <v>0.510242191036668</v>
      </c>
      <c r="AW52" s="234" t="n">
        <f aca="false">INDEX(SP_GF_COGS,0,COLUMN())/INDEX(SP_GF_Rev,0,COLUMN())</f>
        <v>0.509345364146948</v>
      </c>
      <c r="AX52" s="234" t="n">
        <f aca="false">INDEX(SP_GF_COGS,0,COLUMN())/INDEX(SP_GF_Rev,0,COLUMN())</f>
        <v>0.481906443071492</v>
      </c>
      <c r="AY52" s="234" t="n">
        <f aca="false">INDEX(SP_GF_COGS,0,COLUMN())/INDEX(SP_GF_Rev,0,COLUMN())</f>
        <v>0.485101552051258</v>
      </c>
      <c r="AZ52" s="233" t="n">
        <f aca="false">INDEX(SP_GF_COGS,0,COLUMN())/INDEX(SP_GF_Rev,0,COLUMN())</f>
        <v>0.494644223412395</v>
      </c>
      <c r="BA52" s="234" t="n">
        <f aca="false">INDEX(SP_GF_COGS,0,COLUMN())/INDEX(SP_GF_Rev,0,COLUMN())</f>
        <v>0.494055912958406</v>
      </c>
      <c r="BB52" s="234" t="n">
        <f aca="false">INDEX(SP_GF_COGS,0,COLUMN())/INDEX(SP_GF_Rev,0,COLUMN())</f>
        <v>0.486547962273445</v>
      </c>
      <c r="BC52" s="234" t="n">
        <f aca="false">INDEX(SP_GF_COGS,0,COLUMN())/INDEX(SP_GF_Rev,0,COLUMN())</f>
        <v>0.481252809830661</v>
      </c>
      <c r="BD52" s="234" t="n">
        <f aca="false">INDEX(SP_GF_COGS,0,COLUMN())/INDEX(SP_GF_Rev,0,COLUMN())</f>
        <v>0.48634793422689</v>
      </c>
      <c r="BE52" s="233" t="n">
        <f aca="false">INDEX(SP_GF_COGS,0,COLUMN())/INDEX(SP_GF_Rev,0,COLUMN())</f>
        <v>0.487051182030952</v>
      </c>
      <c r="BF52" s="234" t="n">
        <f aca="false">INDEX(SP_GF_COGS,0,COLUMN())/INDEX(SP_GF_Rev,0,COLUMN())</f>
        <v>0.490245746691872</v>
      </c>
      <c r="BG52" s="234" t="n">
        <f aca="false">INDEX(SP_GF_COGS,0,COLUMN())/INDEX(SP_GF_Rev,0,COLUMN())</f>
        <v>0.485455244441597</v>
      </c>
      <c r="BH52" s="234" t="n">
        <f aca="false">INDEX(SP_GF_COGS,0,COLUMN())/INDEX(SP_GF_Rev,0,COLUMN())</f>
        <v>0.491998446560336</v>
      </c>
      <c r="BI52" s="234" t="n">
        <f aca="false">INDEX(SP_GF_COGS,0,COLUMN())/INDEX(SP_GF_Rev,0,COLUMN())</f>
        <v>0.482899339292654</v>
      </c>
      <c r="BJ52" s="233" t="n">
        <f aca="false">INDEX(SP_GF_COGS,0,COLUMN())/INDEX(SP_GF_Rev,0,COLUMN())</f>
        <v>0.487242993464931</v>
      </c>
      <c r="BK52" s="234" t="n">
        <f aca="false">INDEX(SP_GF_COGS,0,COLUMN())/INDEX(SP_GF_Rev,0,COLUMN())</f>
        <v>0.460091713492217</v>
      </c>
      <c r="BL52" s="234" t="n">
        <f aca="false">INDEX(SP_GF_COGS,0,COLUMN())/INDEX(SP_GF_Rev,0,COLUMN())</f>
        <v>0.463122586684348</v>
      </c>
      <c r="BM52" s="234" t="n">
        <f aca="false">INDEX(SP_GF_COGS,0,COLUMN())/INDEX(SP_GF_Rev,0,COLUMN())</f>
        <v>0.483728046833422</v>
      </c>
      <c r="BN52" s="234" t="n">
        <f aca="false">INDEX(SP_GF_COGS,0,COLUMN())/INDEX(SP_GF_Rev,0,COLUMN())</f>
        <v>0.478447433140223</v>
      </c>
      <c r="BO52" s="235" t="n">
        <f aca="false">INDEX(SP_GF_COGS,0,COLUMN())/INDEX(SP_GF_Rev,0,COLUMN())</f>
        <v>0.471704120022163</v>
      </c>
      <c r="BP52" s="234" t="n">
        <f aca="false">INDEX(SP_GF_COGS,0,COLUMN())/INDEX(SP_GF_Rev,0,COLUMN())</f>
        <v>0.480091713492217</v>
      </c>
      <c r="BQ52" s="234" t="n">
        <f aca="false">INDEX(SP_GF_COGS,0,COLUMN())/INDEX(SP_GF_Rev,0,COLUMN())</f>
        <v>0.461122586684348</v>
      </c>
      <c r="BR52" s="234" t="n">
        <f aca="false">INDEX(SP_GF_COGS,0,COLUMN())/INDEX(SP_GF_Rev,0,COLUMN())</f>
        <v>0.481728046833422</v>
      </c>
      <c r="BS52" s="234" t="n">
        <f aca="false">INDEX(SP_GF_COGS,0,COLUMN())/INDEX(SP_GF_Rev,0,COLUMN())</f>
        <v>0.476447433140223</v>
      </c>
      <c r="BT52" s="359" t="n">
        <f aca="false">INDEX(SP_GF_COGS,0,COLUMN())/INDEX(SP_GF_Rev,0,COLUMN())</f>
        <v>0.4749574754338</v>
      </c>
      <c r="BU52" s="234" t="n">
        <f aca="false">INDEX(SP_GF_COGS,0,COLUMN())/INDEX(SP_GF_Rev,0,COLUMN())</f>
        <v>0.478091713492217</v>
      </c>
      <c r="BV52" s="234" t="n">
        <f aca="false">INDEX(SP_GF_COGS,0,COLUMN())/INDEX(SP_GF_Rev,0,COLUMN())</f>
        <v>0.436122586684348</v>
      </c>
      <c r="BW52" s="234" t="n">
        <f aca="false">INDEX(SP_GF_COGS,0,COLUMN())/INDEX(SP_GF_Rev,0,COLUMN())</f>
        <v>0.456728046833422</v>
      </c>
      <c r="BX52" s="234" t="n">
        <f aca="false">INDEX(SP_GF_COGS,0,COLUMN())/INDEX(SP_GF_Rev,0,COLUMN())</f>
        <v>0.474447433140223</v>
      </c>
      <c r="BY52" s="359" t="n">
        <f aca="false">INDEX(SP_GF_COGS,0,COLUMN())/INDEX(SP_GF_Rev,0,COLUMN())</f>
        <v>0.461745793947806</v>
      </c>
      <c r="BZ52" s="359" t="n">
        <f aca="false">INDEX(SP_GF_COGS,0,COLUMN())/INDEX(SP_GF_Rev,0,COLUMN())</f>
        <v>0.459745793947806</v>
      </c>
      <c r="CA52" s="359" t="n">
        <f aca="false">INDEX(SP_GF_COGS,0,COLUMN())/INDEX(SP_GF_Rev,0,COLUMN())</f>
        <v>0.457745793947806</v>
      </c>
      <c r="CB52" s="359" t="n">
        <f aca="false">INDEX(SP_GF_COGS,0,COLUMN())/INDEX(SP_GF_Rev,0,COLUMN())</f>
        <v>0.455745793947806</v>
      </c>
      <c r="CC52" s="625"/>
    </row>
    <row r="53" s="237" customFormat="true" ht="15" hidden="false" customHeight="true" outlineLevel="0" collapsed="false">
      <c r="A53" s="343" t="str">
        <f aca="false">INDEX(MO_MA_SGA,0,COLUMN())</f>
        <v>SG&amp;A Margin, %</v>
      </c>
      <c r="B53" s="625"/>
      <c r="C53" s="233" t="n">
        <f aca="false">INDEX(SP_GF_SGA,0,COLUMN())/INDEX(SP_GF_Rev,0,COLUMN())</f>
        <v>0.0969610848694569</v>
      </c>
      <c r="D53" s="233" t="n">
        <f aca="false">INDEX(SP_GF_SGA,0,COLUMN())/INDEX(SP_GF_Rev,0,COLUMN())</f>
        <v>0.0401613775522201</v>
      </c>
      <c r="E53" s="233" t="n">
        <f aca="false">INDEX(SP_GF_SGA,0,COLUMN())/INDEX(SP_GF_Rev,0,COLUMN())</f>
        <v>0.0385600159970696</v>
      </c>
      <c r="F53" s="233" t="n">
        <f aca="false">INDEX(SP_GF_SGA,0,COLUMN())/INDEX(SP_GF_Rev,0,COLUMN())</f>
        <v>0.0548024909358551</v>
      </c>
      <c r="G53" s="233" t="n">
        <f aca="false">INDEX(SP_GF_SGA,0,COLUMN())/INDEX(SP_GF_Rev,0,COLUMN())</f>
        <v>0.0594321496890756</v>
      </c>
      <c r="H53" s="234" t="n">
        <f aca="false">INDEX(SP_GF_SGA,0,COLUMN())/INDEX(SP_GF_Rev,0,COLUMN())</f>
        <v>0.0607948442534909</v>
      </c>
      <c r="I53" s="234" t="n">
        <f aca="false">INDEX(SP_GF_SGA,0,COLUMN())/INDEX(SP_GF_Rev,0,COLUMN())</f>
        <v>0.0486128011681674</v>
      </c>
      <c r="J53" s="234" t="n">
        <f aca="false">INDEX(SP_GF_SGA,0,COLUMN())/INDEX(SP_GF_Rev,0,COLUMN())</f>
        <v>0.0581606413553169</v>
      </c>
      <c r="K53" s="234" t="n">
        <f aca="false">INDEX(SP_GF_SGA,0,COLUMN())/INDEX(SP_GF_Rev,0,COLUMN())</f>
        <v>0.0531459170013387</v>
      </c>
      <c r="L53" s="233" t="n">
        <f aca="false">INDEX(SP_GF_SGA,0,COLUMN())/INDEX(SP_GF_Rev,0,COLUMN())</f>
        <v>0.0548317642761775</v>
      </c>
      <c r="M53" s="234" t="n">
        <f aca="false">INDEX(SP_GF_SGA,0,COLUMN())/INDEX(SP_GF_Rev,0,COLUMN())</f>
        <v>0.0498818110188496</v>
      </c>
      <c r="N53" s="234" t="n">
        <f aca="false">INDEX(SP_GF_SGA,0,COLUMN())/INDEX(SP_GF_Rev,0,COLUMN())</f>
        <v>0.053382504080769</v>
      </c>
      <c r="O53" s="234" t="n">
        <f aca="false">INDEX(SP_GF_SGA,0,COLUMN())/INDEX(SP_GF_Rev,0,COLUMN())</f>
        <v>0.0552543248128066</v>
      </c>
      <c r="P53" s="234" t="n">
        <f aca="false">INDEX(SP_GF_SGA,0,COLUMN())/INDEX(SP_GF_Rev,0,COLUMN())</f>
        <v>0.0624041277367173</v>
      </c>
      <c r="Q53" s="233" t="n">
        <f aca="false">INDEX(SP_GF_SGA,0,COLUMN())/INDEX(SP_GF_Rev,0,COLUMN())</f>
        <v>0.0549882900256466</v>
      </c>
      <c r="R53" s="234" t="n">
        <f aca="false">INDEX(SP_GF_SGA,0,COLUMN())/INDEX(SP_GF_Rev,0,COLUMN())</f>
        <v>0.0666066606660666</v>
      </c>
      <c r="S53" s="234" t="n">
        <f aca="false">INDEX(SP_GF_SGA,0,COLUMN())/INDEX(SP_GF_Rev,0,COLUMN())</f>
        <v>0.0519659691883192</v>
      </c>
      <c r="T53" s="234" t="n">
        <f aca="false">INDEX(SP_GF_SGA,0,COLUMN())/INDEX(SP_GF_Rev,0,COLUMN())</f>
        <v>0.0489364047172931</v>
      </c>
      <c r="U53" s="234" t="n">
        <f aca="false">INDEX(SP_GF_SGA,0,COLUMN())/INDEX(SP_GF_Rev,0,COLUMN())</f>
        <v>0.0559924504561183</v>
      </c>
      <c r="V53" s="233" t="n">
        <f aca="false">INDEX(SP_GF_SGA,0,COLUMN())/INDEX(SP_GF_Rev,0,COLUMN())</f>
        <v>0.0551598281038441</v>
      </c>
      <c r="W53" s="234" t="n">
        <f aca="false">INDEX(SP_GF_SGA,0,COLUMN())/INDEX(SP_GF_Rev,0,COLUMN())</f>
        <v>0.0507306030047335</v>
      </c>
      <c r="X53" s="234" t="n">
        <f aca="false">INDEX(SP_GF_SGA,0,COLUMN())/INDEX(SP_GF_Rev,0,COLUMN())</f>
        <v>0.0485390691919673</v>
      </c>
      <c r="Y53" s="234" t="n">
        <f aca="false">INDEX(SP_GF_SGA,0,COLUMN())/INDEX(SP_GF_Rev,0,COLUMN())</f>
        <v>0.0422080575304405</v>
      </c>
      <c r="Z53" s="234" t="n">
        <f aca="false">INDEX(SP_GF_SGA,0,COLUMN())/INDEX(SP_GF_Rev,0,COLUMN())</f>
        <v>0.0440165599125137</v>
      </c>
      <c r="AA53" s="233" t="n">
        <f aca="false">INDEX(SP_GF_SGA,0,COLUMN())/INDEX(SP_GF_Rev,0,COLUMN())</f>
        <v>0.0460189112760693</v>
      </c>
      <c r="AB53" s="234" t="n">
        <f aca="false">INDEX(SP_GF_SGA,0,COLUMN())/INDEX(SP_GF_Rev,0,COLUMN())</f>
        <v>0.0499781181619256</v>
      </c>
      <c r="AC53" s="234" t="n">
        <f aca="false">INDEX(SP_GF_SGA,0,COLUMN())/INDEX(SP_GF_Rev,0,COLUMN())</f>
        <v>0.0428404612465334</v>
      </c>
      <c r="AD53" s="234" t="n">
        <f aca="false">INDEX(SP_GF_SGA,0,COLUMN())/INDEX(SP_GF_Rev,0,COLUMN())</f>
        <v>0.0438745001981197</v>
      </c>
      <c r="AE53" s="234" t="n">
        <f aca="false">INDEX(SP_GF_SGA,0,COLUMN())/INDEX(SP_GF_Rev,0,COLUMN())</f>
        <v>0.0428321400159109</v>
      </c>
      <c r="AF53" s="233" t="n">
        <f aca="false">INDEX(SP_GF_SGA,0,COLUMN())/INDEX(SP_GF_Rev,0,COLUMN())</f>
        <v>0.0445906432748538</v>
      </c>
      <c r="AG53" s="234" t="n">
        <f aca="false">INDEX(SP_GF_SGA,0,COLUMN())/INDEX(SP_GF_Rev,0,COLUMN())</f>
        <v>0.0542819972186084</v>
      </c>
      <c r="AH53" s="234" t="n">
        <f aca="false">INDEX(SP_GF_SGA,0,COLUMN())/INDEX(SP_GF_Rev,0,COLUMN())</f>
        <v>0.0480937731220063</v>
      </c>
      <c r="AI53" s="234" t="n">
        <f aca="false">INDEX(SP_GF_SGA,0,COLUMN())/INDEX(SP_GF_Rev,0,COLUMN())</f>
        <v>0.0430269546291646</v>
      </c>
      <c r="AJ53" s="234" t="n">
        <f aca="false">INDEX(SP_GF_SGA,0,COLUMN())/INDEX(SP_GF_Rev,0,COLUMN())</f>
        <v>0.0365415582806887</v>
      </c>
      <c r="AK53" s="233" t="n">
        <f aca="false">INDEX(SP_GF_SGA,0,COLUMN())/INDEX(SP_GF_Rev,0,COLUMN())</f>
        <v>0.0440355329949239</v>
      </c>
      <c r="AL53" s="234" t="n">
        <f aca="false">INDEX(SP_GF_SGA,0,COLUMN())/INDEX(SP_GF_Rev,0,COLUMN())</f>
        <v>0.0535524051462755</v>
      </c>
      <c r="AM53" s="234" t="n">
        <f aca="false">INDEX(SP_GF_SGA,0,COLUMN())/INDEX(SP_GF_Rev,0,COLUMN())</f>
        <v>0.0394503412815347</v>
      </c>
      <c r="AN53" s="234" t="n">
        <f aca="false">INDEX(SP_GF_SGA,0,COLUMN())/INDEX(SP_GF_Rev,0,COLUMN())</f>
        <v>0.0332238504295099</v>
      </c>
      <c r="AO53" s="234" t="n">
        <f aca="false">INDEX(SP_GF_SGA,0,COLUMN())/INDEX(SP_GF_Rev,0,COLUMN())</f>
        <v>0.0356118659207371</v>
      </c>
      <c r="AP53" s="233" t="n">
        <f aca="false">INDEX(SP_GF_SGA,0,COLUMN())/INDEX(SP_GF_Rev,0,COLUMN())</f>
        <v>0.0389812926995028</v>
      </c>
      <c r="AQ53" s="234" t="n">
        <f aca="false">INDEX(SP_GF_SGA,0,COLUMN())/INDEX(SP_GF_Rev,0,COLUMN())</f>
        <v>0.0385893352276633</v>
      </c>
      <c r="AR53" s="234" t="n">
        <f aca="false">INDEX(SP_GF_SGA,0,COLUMN())/INDEX(SP_GF_Rev,0,COLUMN())</f>
        <v>0.0427341923287399</v>
      </c>
      <c r="AS53" s="234" t="n">
        <f aca="false">INDEX(SP_GF_SGA,0,COLUMN())/INDEX(SP_GF_Rev,0,COLUMN())</f>
        <v>0.0348959227672524</v>
      </c>
      <c r="AT53" s="234" t="n">
        <f aca="false">INDEX(SP_GF_SGA,0,COLUMN())/INDEX(SP_GF_Rev,0,COLUMN())</f>
        <v>0.0406169768934532</v>
      </c>
      <c r="AU53" s="233" t="n">
        <f aca="false">INDEX(SP_GF_SGA,0,COLUMN())/INDEX(SP_GF_Rev,0,COLUMN())</f>
        <v>0.0389876954489281</v>
      </c>
      <c r="AV53" s="234" t="n">
        <f aca="false">INDEX(SP_GF_SGA,0,COLUMN())/INDEX(SP_GF_Rev,0,COLUMN())</f>
        <v>0.0587652784065188</v>
      </c>
      <c r="AW53" s="234" t="n">
        <f aca="false">INDEX(SP_GF_SGA,0,COLUMN())/INDEX(SP_GF_Rev,0,COLUMN())</f>
        <v>0.0408802136083234</v>
      </c>
      <c r="AX53" s="234" t="n">
        <f aca="false">INDEX(SP_GF_SGA,0,COLUMN())/INDEX(SP_GF_Rev,0,COLUMN())</f>
        <v>0.0408078500597062</v>
      </c>
      <c r="AY53" s="234" t="n">
        <f aca="false">INDEX(SP_GF_SGA,0,COLUMN())/INDEX(SP_GF_Rev,0,COLUMN())</f>
        <v>0.0436067307393238</v>
      </c>
      <c r="AZ53" s="233" t="n">
        <f aca="false">INDEX(SP_GF_SGA,0,COLUMN())/INDEX(SP_GF_Rev,0,COLUMN())</f>
        <v>0.0446739777267704</v>
      </c>
      <c r="BA53" s="234" t="n">
        <f aca="false">INDEX(SP_GF_SGA,0,COLUMN())/INDEX(SP_GF_Rev,0,COLUMN())</f>
        <v>0.0385846847113931</v>
      </c>
      <c r="BB53" s="234" t="n">
        <f aca="false">INDEX(SP_GF_SGA,0,COLUMN())/INDEX(SP_GF_Rev,0,COLUMN())</f>
        <v>0.0407255552496994</v>
      </c>
      <c r="BC53" s="234" t="n">
        <f aca="false">INDEX(SP_GF_SGA,0,COLUMN())/INDEX(SP_GF_Rev,0,COLUMN())</f>
        <v>0.0431290274239473</v>
      </c>
      <c r="BD53" s="234" t="n">
        <f aca="false">INDEX(SP_GF_SGA,0,COLUMN())/INDEX(SP_GF_Rev,0,COLUMN())</f>
        <v>0.0392427801575238</v>
      </c>
      <c r="BE53" s="233" t="n">
        <f aca="false">INDEX(SP_GF_SGA,0,COLUMN())/INDEX(SP_GF_Rev,0,COLUMN())</f>
        <v>0.0403940707948546</v>
      </c>
      <c r="BF53" s="234" t="n">
        <f aca="false">INDEX(SP_GF_SGA,0,COLUMN())/INDEX(SP_GF_Rev,0,COLUMN())</f>
        <v>0.0516635160680529</v>
      </c>
      <c r="BG53" s="234" t="n">
        <f aca="false">INDEX(SP_GF_SGA,0,COLUMN())/INDEX(SP_GF_Rev,0,COLUMN())</f>
        <v>0.0443711155250849</v>
      </c>
      <c r="BH53" s="234" t="n">
        <f aca="false">INDEX(SP_GF_SGA,0,COLUMN())/INDEX(SP_GF_Rev,0,COLUMN())</f>
        <v>0.0397734120766542</v>
      </c>
      <c r="BI53" s="234" t="n">
        <f aca="false">INDEX(SP_GF_SGA,0,COLUMN())/INDEX(SP_GF_Rev,0,COLUMN())</f>
        <v>0.0343740553612299</v>
      </c>
      <c r="BJ53" s="233" t="n">
        <f aca="false">INDEX(SP_GF_SGA,0,COLUMN())/INDEX(SP_GF_Rev,0,COLUMN())</f>
        <v>0.0412448828676463</v>
      </c>
      <c r="BK53" s="234" t="n">
        <f aca="false">INDEX(SP_GF_SGA,0,COLUMN())/INDEX(SP_GF_Rev,0,COLUMN())</f>
        <v>0.036259122908997</v>
      </c>
      <c r="BL53" s="234" t="n">
        <f aca="false">INDEX(SP_GF_SGA,0,COLUMN())/INDEX(SP_GF_Rev,0,COLUMN())</f>
        <v>0.0388340678913634</v>
      </c>
      <c r="BM53" s="234" t="n">
        <f aca="false">INDEX(SP_GF_SGA,0,COLUMN())/INDEX(SP_GF_Rev,0,COLUMN())</f>
        <v>0.0403406067056945</v>
      </c>
      <c r="BN53" s="234" t="n">
        <f aca="false">INDEX(SP_GF_SGA,0,COLUMN())/INDEX(SP_GF_Rev,0,COLUMN())</f>
        <v>0.0386083699488583</v>
      </c>
      <c r="BO53" s="235" t="n">
        <f aca="false">INDEX(SP_GF_SGA,0,COLUMN())/INDEX(SP_GF_Rev,0,COLUMN())</f>
        <v>0.0385033351394208</v>
      </c>
      <c r="BP53" s="234" t="n">
        <f aca="false">INDEX(SP_GF_SGA,0,COLUMN())/INDEX(SP_GF_Rev,0,COLUMN())</f>
        <v>0.035259122908997</v>
      </c>
      <c r="BQ53" s="234" t="n">
        <f aca="false">INDEX(SP_GF_SGA,0,COLUMN())/INDEX(SP_GF_Rev,0,COLUMN())</f>
        <v>0.0368340678913634</v>
      </c>
      <c r="BR53" s="234" t="n">
        <f aca="false">INDEX(SP_GF_SGA,0,COLUMN())/INDEX(SP_GF_Rev,0,COLUMN())</f>
        <v>0.0383406067056945</v>
      </c>
      <c r="BS53" s="234" t="n">
        <f aca="false">INDEX(SP_GF_SGA,0,COLUMN())/INDEX(SP_GF_Rev,0,COLUMN())</f>
        <v>0.0366083699488583</v>
      </c>
      <c r="BT53" s="359" t="n">
        <f aca="false">INDEX(SP_GF_SGA,0,COLUMN())/INDEX(SP_GF_Rev,0,COLUMN())</f>
        <v>0.0367887282854991</v>
      </c>
      <c r="BU53" s="234" t="n">
        <f aca="false">INDEX(SP_GF_SGA,0,COLUMN())/INDEX(SP_GF_Rev,0,COLUMN())</f>
        <v>0.033259122908997</v>
      </c>
      <c r="BV53" s="234" t="n">
        <f aca="false">INDEX(SP_GF_SGA,0,COLUMN())/INDEX(SP_GF_Rev,0,COLUMN())</f>
        <v>0.0348340678913634</v>
      </c>
      <c r="BW53" s="234" t="n">
        <f aca="false">INDEX(SP_GF_SGA,0,COLUMN())/INDEX(SP_GF_Rev,0,COLUMN())</f>
        <v>0.0363406067056945</v>
      </c>
      <c r="BX53" s="234" t="n">
        <f aca="false">INDEX(SP_GF_SGA,0,COLUMN())/INDEX(SP_GF_Rev,0,COLUMN())</f>
        <v>0.0346083699488583</v>
      </c>
      <c r="BY53" s="359" t="n">
        <f aca="false">INDEX(SP_GF_SGA,0,COLUMN())/INDEX(SP_GF_Rev,0,COLUMN())</f>
        <v>0.0347971248958579</v>
      </c>
      <c r="BZ53" s="359" t="n">
        <f aca="false">INDEX(SP_GF_SGA,0,COLUMN())/INDEX(SP_GF_Rev,0,COLUMN())</f>
        <v>0.0327971248958579</v>
      </c>
      <c r="CA53" s="359" t="n">
        <f aca="false">INDEX(SP_GF_SGA,0,COLUMN())/INDEX(SP_GF_Rev,0,COLUMN())</f>
        <v>0.0307971248958579</v>
      </c>
      <c r="CB53" s="359" t="n">
        <f aca="false">INDEX(SP_GF_SGA,0,COLUMN())/INDEX(SP_GF_Rev,0,COLUMN())</f>
        <v>0.0287971248958579</v>
      </c>
      <c r="CC53" s="625"/>
    </row>
    <row r="54" s="237" customFormat="true" ht="15" hidden="false" customHeight="true" outlineLevel="0" collapsed="false">
      <c r="A54" s="720" t="str">
        <f aca="false">INDEX(MO_MA_RD,0,COLUMN())</f>
        <v>R&amp;D Margin, %</v>
      </c>
      <c r="B54" s="719"/>
      <c r="C54" s="320" t="n">
        <f aca="false">INDEX(SP_GF_RD,0,COLUMN())/INDEX(SP_GF_Rev,0,COLUMN())</f>
        <v>0.292445223026911</v>
      </c>
      <c r="D54" s="320" t="n">
        <f aca="false">INDEX(SP_GF_RD,0,COLUMN())/INDEX(SP_GF_Rev,0,COLUMN())</f>
        <v>0.116112067202344</v>
      </c>
      <c r="E54" s="320" t="n">
        <f aca="false">INDEX(SP_GF_RD,0,COLUMN())/INDEX(SP_GF_Rev,0,COLUMN())</f>
        <v>0.104453431981929</v>
      </c>
      <c r="F54" s="320" t="n">
        <f aca="false">INDEX(SP_GF_RD,0,COLUMN())/INDEX(SP_GF_Rev,0,COLUMN())</f>
        <v>0.12452185380916</v>
      </c>
      <c r="G54" s="320" t="n">
        <f aca="false">INDEX(SP_GF_RD,0,COLUMN())/INDEX(SP_GF_Rev,0,COLUMN())</f>
        <v>0.168155230008583</v>
      </c>
      <c r="H54" s="323" t="n">
        <f aca="false">INDEX(SP_GF_RD,0,COLUMN())/INDEX(SP_GF_Rev,0,COLUMN())</f>
        <v>0.199856784819191</v>
      </c>
      <c r="I54" s="323" t="n">
        <f aca="false">INDEX(SP_GF_RD,0,COLUMN())/INDEX(SP_GF_Rev,0,COLUMN())</f>
        <v>0.162387442200049</v>
      </c>
      <c r="J54" s="323" t="n">
        <f aca="false">INDEX(SP_GF_RD,0,COLUMN())/INDEX(SP_GF_Rev,0,COLUMN())</f>
        <v>0.196717591892301</v>
      </c>
      <c r="K54" s="323" t="n">
        <f aca="false">INDEX(SP_GF_RD,0,COLUMN())/INDEX(SP_GF_Rev,0,COLUMN())</f>
        <v>0.179384203480589</v>
      </c>
      <c r="L54" s="320" t="n">
        <f aca="false">INDEX(SP_GF_RD,0,COLUMN())/INDEX(SP_GF_Rev,0,COLUMN())</f>
        <v>0.183398940999546</v>
      </c>
      <c r="M54" s="323" t="n">
        <f aca="false">INDEX(SP_GF_RD,0,COLUMN())/INDEX(SP_GF_Rev,0,COLUMN())</f>
        <v>0.158433844475423</v>
      </c>
      <c r="N54" s="323" t="n">
        <f aca="false">INDEX(SP_GF_RD,0,COLUMN())/INDEX(SP_GF_Rev,0,COLUMN())</f>
        <v>0.161658908167584</v>
      </c>
      <c r="O54" s="323" t="n">
        <f aca="false">INDEX(SP_GF_RD,0,COLUMN())/INDEX(SP_GF_Rev,0,COLUMN())</f>
        <v>0.171895171701523</v>
      </c>
      <c r="P54" s="323" t="n">
        <f aca="false">INDEX(SP_GF_RD,0,COLUMN())/INDEX(SP_GF_Rev,0,COLUMN())</f>
        <v>0.190350020917585</v>
      </c>
      <c r="Q54" s="320" t="n">
        <f aca="false">INDEX(SP_GF_RD,0,COLUMN())/INDEX(SP_GF_Rev,0,COLUMN())</f>
        <v>0.169876458776516</v>
      </c>
      <c r="R54" s="323" t="n">
        <f aca="false">INDEX(SP_GF_RD,0,COLUMN())/INDEX(SP_GF_Rev,0,COLUMN())</f>
        <v>0.206045604560456</v>
      </c>
      <c r="S54" s="323" t="n">
        <f aca="false">INDEX(SP_GF_RD,0,COLUMN())/INDEX(SP_GF_Rev,0,COLUMN())</f>
        <v>0.155380547252242</v>
      </c>
      <c r="T54" s="323" t="n">
        <f aca="false">INDEX(SP_GF_RD,0,COLUMN())/INDEX(SP_GF_Rev,0,COLUMN())</f>
        <v>0.150666813622837</v>
      </c>
      <c r="U54" s="323" t="n">
        <f aca="false">INDEX(SP_GF_RD,0,COLUMN())/INDEX(SP_GF_Rev,0,COLUMN())</f>
        <v>0.150676313306071</v>
      </c>
      <c r="V54" s="320" t="n">
        <f aca="false">INDEX(SP_GF_RD,0,COLUMN())/INDEX(SP_GF_Rev,0,COLUMN())</f>
        <v>0.162742096897628</v>
      </c>
      <c r="W54" s="323" t="n">
        <f aca="false">INDEX(SP_GF_RD,0,COLUMN())/INDEX(SP_GF_Rev,0,COLUMN())</f>
        <v>0.162121835768677</v>
      </c>
      <c r="X54" s="323" t="n">
        <f aca="false">INDEX(SP_GF_RD,0,COLUMN())/INDEX(SP_GF_Rev,0,COLUMN())</f>
        <v>0.148805558199296</v>
      </c>
      <c r="Y54" s="323" t="n">
        <f aca="false">INDEX(SP_GF_RD,0,COLUMN())/INDEX(SP_GF_Rev,0,COLUMN())</f>
        <v>0.128503718231593</v>
      </c>
      <c r="Z54" s="323" t="n">
        <f aca="false">INDEX(SP_GF_RD,0,COLUMN())/INDEX(SP_GF_Rev,0,COLUMN())</f>
        <v>0.123965005467896</v>
      </c>
      <c r="AA54" s="320" t="n">
        <f aca="false">INDEX(SP_GF_RD,0,COLUMN())/INDEX(SP_GF_Rev,0,COLUMN())</f>
        <v>0.139150318133616</v>
      </c>
      <c r="AB54" s="323" t="n">
        <f aca="false">INDEX(SP_GF_RD,0,COLUMN())/INDEX(SP_GF_Rev,0,COLUMN())</f>
        <v>0.156280087527352</v>
      </c>
      <c r="AC54" s="323" t="n">
        <f aca="false">INDEX(SP_GF_RD,0,COLUMN())/INDEX(SP_GF_Rev,0,COLUMN())</f>
        <v>0.138702379214713</v>
      </c>
      <c r="AD54" s="323" t="n">
        <f aca="false">INDEX(SP_GF_RD,0,COLUMN())/INDEX(SP_GF_Rev,0,COLUMN())</f>
        <v>0.142754223551025</v>
      </c>
      <c r="AE54" s="323" t="n">
        <f aca="false">INDEX(SP_GF_RD,0,COLUMN())/INDEX(SP_GF_Rev,0,COLUMN())</f>
        <v>0.140779634049324</v>
      </c>
      <c r="AF54" s="320" t="n">
        <f aca="false">INDEX(SP_GF_RD,0,COLUMN())/INDEX(SP_GF_Rev,0,COLUMN())</f>
        <v>0.143996710526316</v>
      </c>
      <c r="AG54" s="323" t="n">
        <f aca="false">INDEX(SP_GF_RD,0,COLUMN())/INDEX(SP_GF_Rev,0,COLUMN())</f>
        <v>0.212058678390382</v>
      </c>
      <c r="AH54" s="323" t="n">
        <f aca="false">INDEX(SP_GF_RD,0,COLUMN())/INDEX(SP_GF_Rev,0,COLUMN())</f>
        <v>0.189804898944663</v>
      </c>
      <c r="AI54" s="323" t="n">
        <f aca="false">INDEX(SP_GF_RD,0,COLUMN())/INDEX(SP_GF_Rev,0,COLUMN())</f>
        <v>0.164841788046208</v>
      </c>
      <c r="AJ54" s="323" t="n">
        <f aca="false">INDEX(SP_GF_RD,0,COLUMN())/INDEX(SP_GF_Rev,0,COLUMN())</f>
        <v>0.127858293075684</v>
      </c>
      <c r="AK54" s="320" t="n">
        <f aca="false">INDEX(SP_GF_RD,0,COLUMN())/INDEX(SP_GF_Rev,0,COLUMN())</f>
        <v>0.166539763113367</v>
      </c>
      <c r="AL54" s="323" t="n">
        <f aca="false">INDEX(SP_GF_RD,0,COLUMN())/INDEX(SP_GF_Rev,0,COLUMN())</f>
        <v>0.222896009178071</v>
      </c>
      <c r="AM54" s="323" t="n">
        <f aca="false">INDEX(SP_GF_RD,0,COLUMN())/INDEX(SP_GF_Rev,0,COLUMN())</f>
        <v>0.170460354211144</v>
      </c>
      <c r="AN54" s="323" t="n">
        <f aca="false">INDEX(SP_GF_RD,0,COLUMN())/INDEX(SP_GF_Rev,0,COLUMN())</f>
        <v>0.134916624557858</v>
      </c>
      <c r="AO54" s="323" t="n">
        <f aca="false">INDEX(SP_GF_RD,0,COLUMN())/INDEX(SP_GF_Rev,0,COLUMN())</f>
        <v>0.130670866437873</v>
      </c>
      <c r="AP54" s="320" t="n">
        <f aca="false">INDEX(SP_GF_RD,0,COLUMN())/INDEX(SP_GF_Rev,0,COLUMN())</f>
        <v>0.157441785599313</v>
      </c>
      <c r="AQ54" s="323" t="n">
        <f aca="false">INDEX(SP_GF_RD,0,COLUMN())/INDEX(SP_GF_Rev,0,COLUMN())</f>
        <v>0.1428538692454</v>
      </c>
      <c r="AR54" s="323" t="n">
        <f aca="false">INDEX(SP_GF_RD,0,COLUMN())/INDEX(SP_GF_Rev,0,COLUMN())</f>
        <v>0.15765384806726</v>
      </c>
      <c r="AS54" s="323" t="n">
        <f aca="false">INDEX(SP_GF_RD,0,COLUMN())/INDEX(SP_GF_Rev,0,COLUMN())</f>
        <v>0.116230706122527</v>
      </c>
      <c r="AT54" s="323" t="n">
        <f aca="false">INDEX(SP_GF_RD,0,COLUMN())/INDEX(SP_GF_Rev,0,COLUMN())</f>
        <v>0.136513157894737</v>
      </c>
      <c r="AU54" s="320" t="n">
        <f aca="false">INDEX(SP_GF_RD,0,COLUMN())/INDEX(SP_GF_Rev,0,COLUMN())</f>
        <v>0.136854548385363</v>
      </c>
      <c r="AV54" s="323" t="n">
        <f aca="false">INDEX(SP_GF_RD,0,COLUMN())/INDEX(SP_GF_Rev,0,COLUMN())</f>
        <v>0.209002942507922</v>
      </c>
      <c r="AW54" s="323" t="n">
        <f aca="false">INDEX(SP_GF_RD,0,COLUMN())/INDEX(SP_GF_Rev,0,COLUMN())</f>
        <v>0.145308903415892</v>
      </c>
      <c r="AX54" s="323" t="n">
        <f aca="false">INDEX(SP_GF_RD,0,COLUMN())/INDEX(SP_GF_Rev,0,COLUMN())</f>
        <v>0.141806413651074</v>
      </c>
      <c r="AY54" s="323" t="n">
        <f aca="false">INDEX(SP_GF_RD,0,COLUMN())/INDEX(SP_GF_Rev,0,COLUMN())</f>
        <v>0.140944294112158</v>
      </c>
      <c r="AZ54" s="320" t="n">
        <f aca="false">INDEX(SP_GF_RD,0,COLUMN())/INDEX(SP_GF_Rev,0,COLUMN())</f>
        <v>0.153659780668197</v>
      </c>
      <c r="BA54" s="323" t="n">
        <f aca="false">INDEX(SP_GF_RD,0,COLUMN())/INDEX(SP_GF_Rev,0,COLUMN())</f>
        <v>0.140508730841066</v>
      </c>
      <c r="BB54" s="323" t="n">
        <f aca="false">INDEX(SP_GF_RD,0,COLUMN())/INDEX(SP_GF_Rev,0,COLUMN())</f>
        <v>0.144864755226519</v>
      </c>
      <c r="BC54" s="323" t="n">
        <f aca="false">INDEX(SP_GF_RD,0,COLUMN())/INDEX(SP_GF_Rev,0,COLUMN())</f>
        <v>0.148568859583396</v>
      </c>
      <c r="BD54" s="323" t="n">
        <f aca="false">INDEX(SP_GF_RD,0,COLUMN())/INDEX(SP_GF_Rev,0,COLUMN())</f>
        <v>0.143899405831146</v>
      </c>
      <c r="BE54" s="320" t="n">
        <f aca="false">INDEX(SP_GF_RD,0,COLUMN())/INDEX(SP_GF_Rev,0,COLUMN())</f>
        <v>0.144441823756736</v>
      </c>
      <c r="BF54" s="323" t="n">
        <f aca="false">INDEX(SP_GF_RD,0,COLUMN())/INDEX(SP_GF_Rev,0,COLUMN())</f>
        <v>0.195066162570889</v>
      </c>
      <c r="BG54" s="323" t="n">
        <f aca="false">INDEX(SP_GF_RD,0,COLUMN())/INDEX(SP_GF_Rev,0,COLUMN())</f>
        <v>0.176299096559236</v>
      </c>
      <c r="BH54" s="323" t="n">
        <f aca="false">INDEX(SP_GF_RD,0,COLUMN())/INDEX(SP_GF_Rev,0,COLUMN())</f>
        <v>0.141309442502645</v>
      </c>
      <c r="BI54" s="323" t="n">
        <f aca="false">INDEX(SP_GF_RD,0,COLUMN())/INDEX(SP_GF_Rev,0,COLUMN())</f>
        <v>0.120481927710843</v>
      </c>
      <c r="BJ54" s="320" t="n">
        <f aca="false">INDEX(SP_GF_RD,0,COLUMN())/INDEX(SP_GF_Rev,0,COLUMN())</f>
        <v>0.152273828941828</v>
      </c>
      <c r="BK54" s="323" t="n">
        <f aca="false">INDEX(SP_GF_RD,0,COLUMN())/INDEX(SP_GF_Rev,0,COLUMN())</f>
        <v>0.149983853258412</v>
      </c>
      <c r="BL54" s="323" t="n">
        <f aca="false">INDEX(SP_GF_RD,0,COLUMN())/INDEX(SP_GF_Rev,0,COLUMN())</f>
        <v>0.151682982955654</v>
      </c>
      <c r="BM54" s="323" t="n">
        <f aca="false">INDEX(SP_GF_RD,0,COLUMN())/INDEX(SP_GF_Rev,0,COLUMN())</f>
        <v>0.147511974454497</v>
      </c>
      <c r="BN54" s="323" t="n">
        <f aca="false">INDEX(SP_GF_RD,0,COLUMN())/INDEX(SP_GF_Rev,0,COLUMN())</f>
        <v>0.129891645486258</v>
      </c>
      <c r="BO54" s="324" t="n">
        <f aca="false">INDEX(SP_GF_RD,0,COLUMN())/INDEX(SP_GF_Rev,0,COLUMN())</f>
        <v>0.143838027630077</v>
      </c>
      <c r="BP54" s="323" t="n">
        <f aca="false">INDEX(SP_GF_RD,0,COLUMN())/INDEX(SP_GF_Rev,0,COLUMN())</f>
        <v>0.139983853258412</v>
      </c>
      <c r="BQ54" s="323" t="n">
        <f aca="false">INDEX(SP_GF_RD,0,COLUMN())/INDEX(SP_GF_Rev,0,COLUMN())</f>
        <v>0.107682982955654</v>
      </c>
      <c r="BR54" s="323" t="n">
        <f aca="false">INDEX(SP_GF_RD,0,COLUMN())/INDEX(SP_GF_Rev,0,COLUMN())</f>
        <v>0.132511974454497</v>
      </c>
      <c r="BS54" s="323" t="n">
        <f aca="false">INDEX(SP_GF_RD,0,COLUMN())/INDEX(SP_GF_Rev,0,COLUMN())</f>
        <v>0.127891645486258</v>
      </c>
      <c r="BT54" s="724" t="n">
        <f aca="false">INDEX(SP_GF_RD,0,COLUMN())/INDEX(SP_GF_Rev,0,COLUMN())</f>
        <v>0.127027006406879</v>
      </c>
      <c r="BU54" s="323" t="n">
        <f aca="false">INDEX(SP_GF_RD,0,COLUMN())/INDEX(SP_GF_Rev,0,COLUMN())</f>
        <v>0.137983853258412</v>
      </c>
      <c r="BV54" s="323" t="n">
        <f aca="false">INDEX(SP_GF_RD,0,COLUMN())/INDEX(SP_GF_Rev,0,COLUMN())</f>
        <v>0.0636829829556535</v>
      </c>
      <c r="BW54" s="323" t="n">
        <f aca="false">INDEX(SP_GF_RD,0,COLUMN())/INDEX(SP_GF_Rev,0,COLUMN())</f>
        <v>0.117511974454497</v>
      </c>
      <c r="BX54" s="323" t="n">
        <f aca="false">INDEX(SP_GF_RD,0,COLUMN())/INDEX(SP_GF_Rev,0,COLUMN())</f>
        <v>0.125891645486258</v>
      </c>
      <c r="BY54" s="724" t="n">
        <f aca="false">INDEX(SP_GF_RD,0,COLUMN())/INDEX(SP_GF_Rev,0,COLUMN())</f>
        <v>0.111953703121996</v>
      </c>
      <c r="BZ54" s="724" t="n">
        <f aca="false">INDEX(SP_GF_RD,0,COLUMN())/INDEX(SP_GF_Rev,0,COLUMN())</f>
        <v>0.109953703121996</v>
      </c>
      <c r="CA54" s="724" t="n">
        <f aca="false">INDEX(SP_GF_RD,0,COLUMN())/INDEX(SP_GF_Rev,0,COLUMN())</f>
        <v>0.107953703121996</v>
      </c>
      <c r="CB54" s="724" t="n">
        <f aca="false">INDEX(SP_GF_RD,0,COLUMN())/INDEX(SP_GF_Rev,0,COLUMN())</f>
        <v>0.105953703121996</v>
      </c>
      <c r="CC54" s="625"/>
    </row>
    <row r="55" s="84" customFormat="true" ht="15" hidden="false" customHeight="true" outlineLevel="0" collapsed="false">
      <c r="A55" s="140" t="str">
        <f aca="false">INDEX(MO_MA_EBIT,0,COLUMN())</f>
        <v>EBIT Margin, %</v>
      </c>
      <c r="B55" s="374"/>
      <c r="C55" s="142" t="n">
        <f aca="false">INDEX(MO_MA_EBIT,0,COLUMN())</f>
        <v>-0.102204612223954</v>
      </c>
      <c r="D55" s="142" t="n">
        <f aca="false">INDEX(MO_MA_EBIT,0,COLUMN())</f>
        <v>0.277443700423564</v>
      </c>
      <c r="E55" s="142" t="n">
        <f aca="false">INDEX(MO_MA_EBIT,0,COLUMN())</f>
        <v>0.290427505757795</v>
      </c>
      <c r="F55" s="142" t="n">
        <f aca="false">INDEX(MO_MA_EBIT,0,COLUMN())</f>
        <v>0.244480725681092</v>
      </c>
      <c r="G55" s="142" t="n">
        <f aca="false">INDEX(MO_MA_EBIT,0,COLUMN())</f>
        <v>0.199787010378383</v>
      </c>
      <c r="H55" s="143" t="n">
        <f aca="false">INDEX(MO_MA_EBIT,0,COLUMN())</f>
        <v>0.190261367704977</v>
      </c>
      <c r="I55" s="143" t="n">
        <f aca="false">INDEX(MO_MA_EBIT,0,COLUMN())</f>
        <v>0.258822097834023</v>
      </c>
      <c r="J55" s="143" t="n">
        <f aca="false">INDEX(MO_MA_EBIT,0,COLUMN())</f>
        <v>0.197700801694146</v>
      </c>
      <c r="K55" s="143" t="n">
        <f aca="false">INDEX(MO_MA_EBIT,0,COLUMN())</f>
        <v>0.220682730923695</v>
      </c>
      <c r="L55" s="142" t="n">
        <f aca="false">INDEX(MO_MA_EBIT,0,COLUMN())</f>
        <v>0.218950538029536</v>
      </c>
      <c r="M55" s="143" t="n">
        <f aca="false">INDEX(MO_MA_EBIT,0,COLUMN())</f>
        <v>0.276198557488333</v>
      </c>
      <c r="N55" s="143" t="n">
        <f aca="false">INDEX(MO_MA_EBIT,0,COLUMN())</f>
        <v>0.253249501239345</v>
      </c>
      <c r="O55" s="143" t="n">
        <f aca="false">INDEX(MO_MA_EBIT,0,COLUMN())</f>
        <v>0.240382132713659</v>
      </c>
      <c r="P55" s="143" t="n">
        <f aca="false">INDEX(MO_MA_EBIT,0,COLUMN())</f>
        <v>0.221796123274299</v>
      </c>
      <c r="Q55" s="142" t="n">
        <f aca="false">INDEX(MO_MA_EBIT,0,COLUMN())</f>
        <v>0.248932980774966</v>
      </c>
      <c r="R55" s="143" t="n">
        <f aca="false">INDEX(MO_MA_EBIT,0,COLUMN())</f>
        <v>0.171017101710171</v>
      </c>
      <c r="S55" s="143" t="n">
        <f aca="false">INDEX(MO_MA_EBIT,0,COLUMN())</f>
        <v>0.23235226488848</v>
      </c>
      <c r="T55" s="143" t="n">
        <f aca="false">INDEX(MO_MA_EBIT,0,COLUMN())</f>
        <v>0.273118042543811</v>
      </c>
      <c r="U55" s="143" t="n">
        <f aca="false">INDEX(MO_MA_EBIT,0,COLUMN())</f>
        <v>0.277812729369823</v>
      </c>
      <c r="V55" s="142" t="n">
        <f aca="false">INDEX(MO_MA_EBIT,0,COLUMN())</f>
        <v>0.243965973980103</v>
      </c>
      <c r="W55" s="143" t="n">
        <f aca="false">INDEX(MO_MA_EBIT,0,COLUMN())</f>
        <v>0.275159497839062</v>
      </c>
      <c r="X55" s="143" t="n">
        <f aca="false">INDEX(MO_MA_EBIT,0,COLUMN())</f>
        <v>0.264490339773484</v>
      </c>
      <c r="Y55" s="143" t="n">
        <f aca="false">INDEX(MO_MA_EBIT,0,COLUMN())</f>
        <v>0.267876113426493</v>
      </c>
      <c r="Z55" s="143" t="n">
        <f aca="false">INDEX(MO_MA_EBIT,0,COLUMN())</f>
        <v>0.292922980784253</v>
      </c>
      <c r="AA55" s="142" t="n">
        <f aca="false">INDEX(MO_MA_EBIT,0,COLUMN())</f>
        <v>0.275737893248498</v>
      </c>
      <c r="AB55" s="143" t="n">
        <f aca="false">INDEX(MO_MA_EBIT,0,COLUMN())</f>
        <v>0.281050328227571</v>
      </c>
      <c r="AC55" s="143" t="n">
        <f aca="false">INDEX(MO_MA_EBIT,0,COLUMN())</f>
        <v>0.251569113997957</v>
      </c>
      <c r="AD55" s="143" t="n">
        <f aca="false">INDEX(MO_MA_EBIT,0,COLUMN())</f>
        <v>0.294585929901661</v>
      </c>
      <c r="AE55" s="143" t="n">
        <f aca="false">INDEX(MO_MA_EBIT,0,COLUMN())</f>
        <v>0.259634049323787</v>
      </c>
      <c r="AF55" s="142" t="n">
        <f aca="false">INDEX(MO_MA_EBIT,0,COLUMN())</f>
        <v>0.270952119883041</v>
      </c>
      <c r="AG55" s="143" t="n">
        <f aca="false">INDEX(MO_MA_EBIT,0,COLUMN())</f>
        <v>0.149970840249428</v>
      </c>
      <c r="AH55" s="143" t="n">
        <f aca="false">INDEX(MO_MA_EBIT,0,COLUMN())</f>
        <v>0.192491919467269</v>
      </c>
      <c r="AI55" s="143" t="n">
        <f aca="false">INDEX(MO_MA_EBIT,0,COLUMN())</f>
        <v>0.22956638205257</v>
      </c>
      <c r="AJ55" s="143" t="n">
        <f aca="false">INDEX(MO_MA_EBIT,0,COLUMN())</f>
        <v>0.316264090177134</v>
      </c>
      <c r="AK55" s="142" t="n">
        <f aca="false">INDEX(MO_MA_EBIT,0,COLUMN())</f>
        <v>0.236108291032149</v>
      </c>
      <c r="AL55" s="143" t="n">
        <f aca="false">INDEX(MO_MA_EBIT,0,COLUMN())</f>
        <v>0.174834057199049</v>
      </c>
      <c r="AM55" s="143" t="n">
        <f aca="false">INDEX(MO_MA_EBIT,0,COLUMN())</f>
        <v>0.272153230898758</v>
      </c>
      <c r="AN55" s="143" t="n">
        <f aca="false">INDEX(MO_MA_EBIT,0,COLUMN())</f>
        <v>0.307200606366852</v>
      </c>
      <c r="AO55" s="143" t="n">
        <f aca="false">INDEX(MO_MA_EBIT,0,COLUMN())</f>
        <v>0.353485966809271</v>
      </c>
      <c r="AP55" s="142" t="n">
        <f aca="false">INDEX(MO_MA_EBIT,0,COLUMN())</f>
        <v>0.289837965446936</v>
      </c>
      <c r="AQ55" s="143" t="n">
        <f aca="false">INDEX(MO_MA_EBIT,0,COLUMN())</f>
        <v>0.357615894039735</v>
      </c>
      <c r="AR55" s="143" t="n">
        <f aca="false">INDEX(MO_MA_EBIT,0,COLUMN())</f>
        <v>0.30819362220785</v>
      </c>
      <c r="AS55" s="143" t="n">
        <f aca="false">INDEX(MO_MA_EBIT,0,COLUMN())</f>
        <v>0.366187777841375</v>
      </c>
      <c r="AT55" s="143" t="n">
        <f aca="false">INDEX(MO_MA_EBIT,0,COLUMN())</f>
        <v>0.407413350449294</v>
      </c>
      <c r="AU55" s="142" t="n">
        <f aca="false">INDEX(MO_MA_EBIT,0,COLUMN())</f>
        <v>0.362694105636452</v>
      </c>
      <c r="AV55" s="143" t="n">
        <f aca="false">INDEX(MO_MA_EBIT,0,COLUMN())</f>
        <v>0.221989588048891</v>
      </c>
      <c r="AW55" s="143" t="n">
        <f aca="false">INDEX(MO_MA_EBIT,0,COLUMN())</f>
        <v>0.304465518828837</v>
      </c>
      <c r="AX55" s="143" t="n">
        <f aca="false">INDEX(MO_MA_EBIT,0,COLUMN())</f>
        <v>0.335479293217728</v>
      </c>
      <c r="AY55" s="143" t="n">
        <f aca="false">INDEX(MO_MA_EBIT,0,COLUMN())</f>
        <v>0.33034742309726</v>
      </c>
      <c r="AZ55" s="142" t="n">
        <f aca="false">INDEX(MO_MA_EBIT,0,COLUMN())</f>
        <v>0.307022018192638</v>
      </c>
      <c r="BA55" s="143" t="n">
        <f aca="false">INDEX(MO_MA_EBIT,0,COLUMN())</f>
        <v>0.326850671489135</v>
      </c>
      <c r="BB55" s="143" t="n">
        <f aca="false">INDEX(MO_MA_EBIT,0,COLUMN())</f>
        <v>0.327861727250337</v>
      </c>
      <c r="BC55" s="143" t="n">
        <f aca="false">INDEX(MO_MA_EBIT,0,COLUMN())</f>
        <v>0.327049303161996</v>
      </c>
      <c r="BD55" s="143" t="n">
        <f aca="false">INDEX(MO_MA_EBIT,0,COLUMN())</f>
        <v>0.330509879784441</v>
      </c>
      <c r="BE55" s="142" t="n">
        <f aca="false">INDEX(MO_MA_EBIT,0,COLUMN())</f>
        <v>0.328112923417457</v>
      </c>
      <c r="BF55" s="143" t="n">
        <f aca="false">INDEX(MO_MA_EBIT,0,COLUMN())</f>
        <v>0.263024574669187</v>
      </c>
      <c r="BG55" s="143" t="n">
        <f aca="false">INDEX(MO_MA_EBIT,0,COLUMN())</f>
        <v>0.293874543474082</v>
      </c>
      <c r="BH55" s="143" t="n">
        <f aca="false">INDEX(MO_MA_EBIT,0,COLUMN())</f>
        <v>0.326918698860365</v>
      </c>
      <c r="BI55" s="143" t="n">
        <f aca="false">INDEX(MO_MA_EBIT,0,COLUMN())</f>
        <v>0.362244677635272</v>
      </c>
      <c r="BJ55" s="142" t="n">
        <f aca="false">INDEX(MO_MA_EBIT,0,COLUMN())</f>
        <v>0.319238294725594</v>
      </c>
      <c r="BK55" s="143" t="n">
        <f aca="false">INDEX(MO_MA_EBIT,0,COLUMN())</f>
        <v>0.353665310340373</v>
      </c>
      <c r="BL55" s="143" t="n">
        <f aca="false">INDEX(MO_MA_EBIT,0,COLUMN())</f>
        <v>0.346360362468635</v>
      </c>
      <c r="BM55" s="143" t="n">
        <f aca="false">INDEX(MO_MA_EBIT,0,COLUMN())</f>
        <v>0.328419372006386</v>
      </c>
      <c r="BN55" s="143" t="n">
        <f aca="false">INDEX(MO_MA_EBIT,0,COLUMN())</f>
        <v>0.353052551424661</v>
      </c>
      <c r="BO55" s="144" t="n">
        <f aca="false">INDEX(MO_MA_EBIT,0,COLUMN())</f>
        <v>0.34595451720834</v>
      </c>
      <c r="BP55" s="143" t="n">
        <f aca="false">INDEX(MO_MA_EBIT,0,COLUMN())</f>
        <v>0.344665310340373</v>
      </c>
      <c r="BQ55" s="143" t="n">
        <f aca="false">INDEX(MO_MA_EBIT,0,COLUMN())</f>
        <v>0.394360362468635</v>
      </c>
      <c r="BR55" s="143" t="n">
        <f aca="false">INDEX(MO_MA_EBIT,0,COLUMN())</f>
        <v>0.347419372006386</v>
      </c>
      <c r="BS55" s="143" t="n">
        <f aca="false">INDEX(MO_MA_EBIT,0,COLUMN())</f>
        <v>0.359052551424661</v>
      </c>
      <c r="BT55" s="142" t="n">
        <f aca="false">INDEX(MO_MA_EBIT,0,COLUMN())</f>
        <v>0.361226789873822</v>
      </c>
      <c r="BU55" s="143" t="n">
        <f aca="false">INDEX(MO_MA_EBIT,0,COLUMN())</f>
        <v>0.350665310340373</v>
      </c>
      <c r="BV55" s="143" t="n">
        <f aca="false">INDEX(MO_MA_EBIT,0,COLUMN())</f>
        <v>0.465360362468635</v>
      </c>
      <c r="BW55" s="143" t="n">
        <f aca="false">INDEX(MO_MA_EBIT,0,COLUMN())</f>
        <v>0.389419372006386</v>
      </c>
      <c r="BX55" s="143" t="n">
        <f aca="false">INDEX(MO_MA_EBIT,0,COLUMN())</f>
        <v>0.365052551424661</v>
      </c>
      <c r="BY55" s="142" t="n">
        <f aca="false">INDEX(MO_MA_EBIT,0,COLUMN())</f>
        <v>0.39150337803434</v>
      </c>
      <c r="BZ55" s="142" t="n">
        <f aca="false">INDEX(MO_MA_EBIT,0,COLUMN())</f>
        <v>0.39750337803434</v>
      </c>
      <c r="CA55" s="142" t="n">
        <f aca="false">INDEX(MO_MA_EBIT,0,COLUMN())</f>
        <v>0.40350337803434</v>
      </c>
      <c r="CB55" s="142" t="n">
        <f aca="false">INDEX(MO_MA_EBIT,0,COLUMN())</f>
        <v>0.40950337803434</v>
      </c>
      <c r="CC55" s="374"/>
    </row>
    <row r="56" s="84" customFormat="true" ht="15" hidden="false" customHeight="true" outlineLevel="0" collapsed="false">
      <c r="A56" s="140" t="str">
        <f aca="false">INDEX(MO_MA_EBIT_Adj,0,COLUMN())</f>
        <v>Adjusted EBIT Margin (No Adjustments), %</v>
      </c>
      <c r="B56" s="374"/>
      <c r="C56" s="142" t="n">
        <f aca="false">INDEX(MO_MA_EBIT_Adj,0,COLUMN())</f>
        <v>-0.102204612223954</v>
      </c>
      <c r="D56" s="142" t="n">
        <f aca="false">INDEX(MO_MA_EBIT_Adj,0,COLUMN())</f>
        <v>0.277443700423564</v>
      </c>
      <c r="E56" s="142" t="n">
        <f aca="false">INDEX(MO_MA_EBIT_Adj,0,COLUMN())</f>
        <v>0.290427505757795</v>
      </c>
      <c r="F56" s="142" t="n">
        <f aca="false">INDEX(MO_MA_EBIT_Adj,0,COLUMN())</f>
        <v>0.244480725681092</v>
      </c>
      <c r="G56" s="142" t="n">
        <f aca="false">INDEX(MO_MA_EBIT_Adj,0,COLUMN())</f>
        <v>0.199787010378383</v>
      </c>
      <c r="H56" s="143" t="n">
        <f aca="false">INDEX(MO_MA_EBIT_Adj,0,COLUMN())</f>
        <v>0.190261367704977</v>
      </c>
      <c r="I56" s="143" t="n">
        <f aca="false">INDEX(MO_MA_EBIT_Adj,0,COLUMN())</f>
        <v>0.258822097834023</v>
      </c>
      <c r="J56" s="143" t="n">
        <f aca="false">INDEX(MO_MA_EBIT_Adj,0,COLUMN())</f>
        <v>0.197700801694146</v>
      </c>
      <c r="K56" s="143" t="n">
        <f aca="false">INDEX(MO_MA_EBIT_Adj,0,COLUMN())</f>
        <v>0.220682730923695</v>
      </c>
      <c r="L56" s="142" t="n">
        <f aca="false">INDEX(MO_MA_EBIT_Adj,0,COLUMN())</f>
        <v>0.218950538029536</v>
      </c>
      <c r="M56" s="143" t="n">
        <f aca="false">INDEX(MO_MA_EBIT_Adj,0,COLUMN())</f>
        <v>0.276198557488333</v>
      </c>
      <c r="N56" s="143" t="n">
        <f aca="false">INDEX(MO_MA_EBIT_Adj,0,COLUMN())</f>
        <v>0.253249501239345</v>
      </c>
      <c r="O56" s="143" t="n">
        <f aca="false">INDEX(MO_MA_EBIT_Adj,0,COLUMN())</f>
        <v>0.240382132713659</v>
      </c>
      <c r="P56" s="143" t="n">
        <f aca="false">INDEX(MO_MA_EBIT_Adj,0,COLUMN())</f>
        <v>0.221796123274299</v>
      </c>
      <c r="Q56" s="142" t="n">
        <f aca="false">INDEX(MO_MA_EBIT_Adj,0,COLUMN())</f>
        <v>0.248932980774966</v>
      </c>
      <c r="R56" s="143" t="n">
        <f aca="false">INDEX(MO_MA_EBIT_Adj,0,COLUMN())</f>
        <v>0.171017101710171</v>
      </c>
      <c r="S56" s="143" t="n">
        <f aca="false">INDEX(MO_MA_EBIT_Adj,0,COLUMN())</f>
        <v>0.23235226488848</v>
      </c>
      <c r="T56" s="143" t="n">
        <f aca="false">INDEX(MO_MA_EBIT_Adj,0,COLUMN())</f>
        <v>0.273118042543811</v>
      </c>
      <c r="U56" s="143" t="n">
        <f aca="false">INDEX(MO_MA_EBIT_Adj,0,COLUMN())</f>
        <v>0.277812729369823</v>
      </c>
      <c r="V56" s="142" t="n">
        <f aca="false">INDEX(MO_MA_EBIT_Adj,0,COLUMN())</f>
        <v>0.243965973980103</v>
      </c>
      <c r="W56" s="143" t="n">
        <f aca="false">INDEX(MO_MA_EBIT_Adj,0,COLUMN())</f>
        <v>0.275159497839062</v>
      </c>
      <c r="X56" s="143" t="n">
        <f aca="false">INDEX(MO_MA_EBIT_Adj,0,COLUMN())</f>
        <v>0.264490339773484</v>
      </c>
      <c r="Y56" s="143" t="n">
        <f aca="false">INDEX(MO_MA_EBIT_Adj,0,COLUMN())</f>
        <v>0.267876113426493</v>
      </c>
      <c r="Z56" s="143" t="n">
        <f aca="false">INDEX(MO_MA_EBIT_Adj,0,COLUMN())</f>
        <v>0.292922980784253</v>
      </c>
      <c r="AA56" s="142" t="n">
        <f aca="false">INDEX(MO_MA_EBIT_Adj,0,COLUMN())</f>
        <v>0.275737893248498</v>
      </c>
      <c r="AB56" s="143" t="n">
        <f aca="false">INDEX(MO_MA_EBIT_Adj,0,COLUMN())</f>
        <v>0.281050328227571</v>
      </c>
      <c r="AC56" s="143" t="n">
        <f aca="false">INDEX(MO_MA_EBIT_Adj,0,COLUMN())</f>
        <v>0.251569113997957</v>
      </c>
      <c r="AD56" s="143" t="n">
        <f aca="false">INDEX(MO_MA_EBIT_Adj,0,COLUMN())</f>
        <v>0.294585929901661</v>
      </c>
      <c r="AE56" s="143" t="n">
        <f aca="false">INDEX(MO_MA_EBIT_Adj,0,COLUMN())</f>
        <v>0.259634049323787</v>
      </c>
      <c r="AF56" s="142" t="n">
        <f aca="false">INDEX(MO_MA_EBIT_Adj,0,COLUMN())</f>
        <v>0.270952119883041</v>
      </c>
      <c r="AG56" s="143" t="n">
        <f aca="false">INDEX(MO_MA_EBIT_Adj,0,COLUMN())</f>
        <v>0.149970840249428</v>
      </c>
      <c r="AH56" s="143" t="n">
        <f aca="false">INDEX(MO_MA_EBIT_Adj,0,COLUMN())</f>
        <v>0.192491919467269</v>
      </c>
      <c r="AI56" s="143" t="n">
        <f aca="false">INDEX(MO_MA_EBIT_Adj,0,COLUMN())</f>
        <v>0.22956638205257</v>
      </c>
      <c r="AJ56" s="143" t="n">
        <f aca="false">INDEX(MO_MA_EBIT_Adj,0,COLUMN())</f>
        <v>0.316264090177134</v>
      </c>
      <c r="AK56" s="142" t="n">
        <f aca="false">INDEX(MO_MA_EBIT_Adj,0,COLUMN())</f>
        <v>0.236108291032149</v>
      </c>
      <c r="AL56" s="143" t="n">
        <f aca="false">INDEX(MO_MA_EBIT_Adj,0,COLUMN())</f>
        <v>0.174834057199049</v>
      </c>
      <c r="AM56" s="143" t="n">
        <f aca="false">INDEX(MO_MA_EBIT_Adj,0,COLUMN())</f>
        <v>0.272153230898758</v>
      </c>
      <c r="AN56" s="143" t="n">
        <f aca="false">INDEX(MO_MA_EBIT_Adj,0,COLUMN())</f>
        <v>0.307200606366852</v>
      </c>
      <c r="AO56" s="143" t="n">
        <f aca="false">INDEX(MO_MA_EBIT_Adj,0,COLUMN())</f>
        <v>0.353485966809271</v>
      </c>
      <c r="AP56" s="142" t="n">
        <f aca="false">INDEX(MO_MA_EBIT_Adj,0,COLUMN())</f>
        <v>0.289837965446936</v>
      </c>
      <c r="AQ56" s="143" t="n">
        <f aca="false">INDEX(MO_MA_EBIT_Adj,0,COLUMN())</f>
        <v>0.357615894039735</v>
      </c>
      <c r="AR56" s="143" t="n">
        <f aca="false">INDEX(MO_MA_EBIT_Adj,0,COLUMN())</f>
        <v>0.30819362220785</v>
      </c>
      <c r="AS56" s="143" t="n">
        <f aca="false">INDEX(MO_MA_EBIT_Adj,0,COLUMN())</f>
        <v>0.366187777841375</v>
      </c>
      <c r="AT56" s="143" t="n">
        <f aca="false">INDEX(MO_MA_EBIT_Adj,0,COLUMN())</f>
        <v>0.407413350449294</v>
      </c>
      <c r="AU56" s="142" t="n">
        <f aca="false">INDEX(MO_MA_EBIT_Adj,0,COLUMN())</f>
        <v>0.362694105636452</v>
      </c>
      <c r="AV56" s="143" t="n">
        <f aca="false">INDEX(MO_MA_EBIT_Adj,0,COLUMN())</f>
        <v>0.221989588048891</v>
      </c>
      <c r="AW56" s="143" t="n">
        <f aca="false">INDEX(MO_MA_EBIT_Adj,0,COLUMN())</f>
        <v>0.304465518828837</v>
      </c>
      <c r="AX56" s="143" t="n">
        <f aca="false">INDEX(MO_MA_EBIT_Adj,0,COLUMN())</f>
        <v>0.335479293217728</v>
      </c>
      <c r="AY56" s="143" t="n">
        <f aca="false">INDEX(MO_MA_EBIT_Adj,0,COLUMN())</f>
        <v>0.33034742309726</v>
      </c>
      <c r="AZ56" s="142" t="n">
        <f aca="false">INDEX(MO_MA_EBIT_Adj,0,COLUMN())</f>
        <v>0.307022018192638</v>
      </c>
      <c r="BA56" s="143" t="n">
        <f aca="false">INDEX(MO_MA_EBIT_Adj,0,COLUMN())</f>
        <v>0.326850671489135</v>
      </c>
      <c r="BB56" s="143" t="n">
        <f aca="false">INDEX(MO_MA_EBIT_Adj,0,COLUMN())</f>
        <v>0.327861727250337</v>
      </c>
      <c r="BC56" s="143" t="n">
        <f aca="false">INDEX(MO_MA_EBIT_Adj,0,COLUMN())</f>
        <v>0.327049303161996</v>
      </c>
      <c r="BD56" s="143" t="n">
        <f aca="false">INDEX(MO_MA_EBIT_Adj,0,COLUMN())</f>
        <v>0.330509879784441</v>
      </c>
      <c r="BE56" s="142" t="n">
        <f aca="false">INDEX(MO_MA_EBIT_Adj,0,COLUMN())</f>
        <v>0.328112923417457</v>
      </c>
      <c r="BF56" s="143" t="n">
        <f aca="false">INDEX(MO_MA_EBIT_Adj,0,COLUMN())</f>
        <v>0.263024574669187</v>
      </c>
      <c r="BG56" s="143" t="n">
        <f aca="false">INDEX(MO_MA_EBIT_Adj,0,COLUMN())</f>
        <v>0.293874543474082</v>
      </c>
      <c r="BH56" s="143" t="n">
        <f aca="false">INDEX(MO_MA_EBIT_Adj,0,COLUMN())</f>
        <v>0.326918698860365</v>
      </c>
      <c r="BI56" s="143" t="n">
        <f aca="false">INDEX(MO_MA_EBIT_Adj,0,COLUMN())</f>
        <v>0.362244677635272</v>
      </c>
      <c r="BJ56" s="142" t="n">
        <f aca="false">INDEX(MO_MA_EBIT_Adj,0,COLUMN())</f>
        <v>0.319238294725594</v>
      </c>
      <c r="BK56" s="143" t="n">
        <f aca="false">INDEX(MO_MA_EBIT_Adj,0,COLUMN())</f>
        <v>0.353665310340373</v>
      </c>
      <c r="BL56" s="143" t="n">
        <f aca="false">INDEX(MO_MA_EBIT_Adj,0,COLUMN())</f>
        <v>0.346360362468635</v>
      </c>
      <c r="BM56" s="143" t="n">
        <f aca="false">INDEX(MO_MA_EBIT_Adj,0,COLUMN())</f>
        <v>0.328419372006386</v>
      </c>
      <c r="BN56" s="143" t="n">
        <f aca="false">INDEX(MO_MA_EBIT_Adj,0,COLUMN())</f>
        <v>0.353052551424661</v>
      </c>
      <c r="BO56" s="144" t="n">
        <f aca="false">INDEX(MO_MA_EBIT_Adj,0,COLUMN())</f>
        <v>0.34595451720834</v>
      </c>
      <c r="BP56" s="143" t="n">
        <f aca="false">INDEX(MO_MA_EBIT_Adj,0,COLUMN())</f>
        <v>0.344665310340373</v>
      </c>
      <c r="BQ56" s="143" t="n">
        <f aca="false">INDEX(MO_MA_EBIT_Adj,0,COLUMN())</f>
        <v>0.394360362468635</v>
      </c>
      <c r="BR56" s="143" t="n">
        <f aca="false">INDEX(MO_MA_EBIT_Adj,0,COLUMN())</f>
        <v>0.347419372006386</v>
      </c>
      <c r="BS56" s="143" t="n">
        <f aca="false">INDEX(MO_MA_EBIT_Adj,0,COLUMN())</f>
        <v>0.359052551424661</v>
      </c>
      <c r="BT56" s="142" t="n">
        <f aca="false">INDEX(MO_MA_EBIT_Adj,0,COLUMN())</f>
        <v>0.361226789873822</v>
      </c>
      <c r="BU56" s="143" t="n">
        <f aca="false">INDEX(MO_MA_EBIT_Adj,0,COLUMN())</f>
        <v>0.350665310340373</v>
      </c>
      <c r="BV56" s="143" t="n">
        <f aca="false">INDEX(MO_MA_EBIT_Adj,0,COLUMN())</f>
        <v>0.465360362468635</v>
      </c>
      <c r="BW56" s="143" t="n">
        <f aca="false">INDEX(MO_MA_EBIT_Adj,0,COLUMN())</f>
        <v>0.389419372006386</v>
      </c>
      <c r="BX56" s="143" t="n">
        <f aca="false">INDEX(MO_MA_EBIT_Adj,0,COLUMN())</f>
        <v>0.365052551424661</v>
      </c>
      <c r="BY56" s="142" t="n">
        <f aca="false">INDEX(MO_MA_EBIT_Adj,0,COLUMN())</f>
        <v>0.39150337803434</v>
      </c>
      <c r="BZ56" s="142" t="n">
        <f aca="false">INDEX(MO_MA_EBIT_Adj,0,COLUMN())</f>
        <v>0.39750337803434</v>
      </c>
      <c r="CA56" s="142" t="n">
        <f aca="false">INDEX(MO_MA_EBIT_Adj,0,COLUMN())</f>
        <v>0.40350337803434</v>
      </c>
      <c r="CB56" s="142" t="n">
        <f aca="false">INDEX(MO_MA_EBIT_Adj,0,COLUMN())</f>
        <v>0.40950337803434</v>
      </c>
      <c r="CC56" s="374"/>
    </row>
    <row r="57" s="84" customFormat="true" ht="15" hidden="false" customHeight="true" outlineLevel="0" collapsed="false">
      <c r="A57" s="140" t="str">
        <f aca="false">INDEX(MO_MA_EBITDA,0,COLUMN())</f>
        <v>EBITDA Margin, %</v>
      </c>
      <c r="B57" s="374"/>
      <c r="C57" s="142" t="n">
        <f aca="false">INDEX(MO_MA_EBITDA,0,COLUMN())</f>
        <v>-0.00507498764146542</v>
      </c>
      <c r="D57" s="142" t="n">
        <f aca="false">INDEX(MO_MA_EBITDA,0,COLUMN())</f>
        <v>0.313724811654464</v>
      </c>
      <c r="E57" s="142" t="n">
        <f aca="false">INDEX(MO_MA_EBITDA,0,COLUMN())</f>
        <v>0.321858031316387</v>
      </c>
      <c r="F57" s="142" t="n">
        <f aca="false">INDEX(MO_MA_EBITDA,0,COLUMN())</f>
        <v>0.287877452549955</v>
      </c>
      <c r="G57" s="142" t="n">
        <f aca="false">INDEX(MO_MA_EBITDA,0,COLUMN())</f>
        <v>0.253386348150715</v>
      </c>
      <c r="H57" s="143" t="n">
        <f aca="false">INDEX(MO_MA_EBITDA,0,COLUMN())</f>
        <v>0.253132832080201</v>
      </c>
      <c r="I57" s="143" t="n">
        <f aca="false">INDEX(MO_MA_EBITDA,0,COLUMN())</f>
        <v>0.307799951326357</v>
      </c>
      <c r="J57" s="143" t="n">
        <f aca="false">INDEX(MO_MA_EBITDA,0,COLUMN())</f>
        <v>0.253743760399334</v>
      </c>
      <c r="K57" s="143" t="n">
        <f aca="false">INDEX(MO_MA_EBITDA,0,COLUMN())</f>
        <v>0.271301204819277</v>
      </c>
      <c r="L57" s="142" t="n">
        <f aca="false">INDEX(MO_MA_EBITDA,0,COLUMN())</f>
        <v>0.273255346357421</v>
      </c>
      <c r="M57" s="143" t="n">
        <f aca="false">INDEX(MO_MA_EBITDA,0,COLUMN())</f>
        <v>0.32511061276441</v>
      </c>
      <c r="N57" s="143" t="n">
        <f aca="false">INDEX(MO_MA_EBITDA,0,COLUMN())</f>
        <v>0.306329726135058</v>
      </c>
      <c r="O57" s="143" t="n">
        <f aca="false">INDEX(MO_MA_EBITDA,0,COLUMN())</f>
        <v>0.299961270333075</v>
      </c>
      <c r="P57" s="143" t="n">
        <f aca="false">INDEX(MO_MA_EBITDA,0,COLUMN())</f>
        <v>0.2881425184772</v>
      </c>
      <c r="Q57" s="142" t="n">
        <f aca="false">INDEX(MO_MA_EBITDA,0,COLUMN())</f>
        <v>0.305547068530189</v>
      </c>
      <c r="R57" s="143" t="n">
        <f aca="false">INDEX(MO_MA_EBITDA,0,COLUMN())</f>
        <v>0.242424242424242</v>
      </c>
      <c r="S57" s="143" t="n">
        <f aca="false">INDEX(MO_MA_EBITDA,0,COLUMN())</f>
        <v>0.286962520119568</v>
      </c>
      <c r="T57" s="143" t="n">
        <f aca="false">INDEX(MO_MA_EBITDA,0,COLUMN())</f>
        <v>0.327840846467541</v>
      </c>
      <c r="U57" s="143" t="n">
        <f aca="false">INDEX(MO_MA_EBITDA,0,COLUMN())</f>
        <v>0.338156653035546</v>
      </c>
      <c r="V57" s="142" t="n">
        <f aca="false">INDEX(MO_MA_EBITDA,0,COLUMN())</f>
        <v>0.303511508800848</v>
      </c>
      <c r="W57" s="143" t="n">
        <f aca="false">INDEX(MO_MA_EBITDA,0,COLUMN())</f>
        <v>0.33875282980037</v>
      </c>
      <c r="X57" s="143" t="n">
        <f aca="false">INDEX(MO_MA_EBITDA,0,COLUMN())</f>
        <v>0.318739887693918</v>
      </c>
      <c r="Y57" s="143" t="n">
        <f aca="false">INDEX(MO_MA_EBITDA,0,COLUMN())</f>
        <v>0.315273351311596</v>
      </c>
      <c r="Z57" s="143" t="n">
        <f aca="false">INDEX(MO_MA_EBITDA,0,COLUMN())</f>
        <v>0.338618965786596</v>
      </c>
      <c r="AA57" s="142" t="n">
        <f aca="false">INDEX(MO_MA_EBITDA,0,COLUMN())</f>
        <v>0.327721809826794</v>
      </c>
      <c r="AB57" s="143" t="n">
        <f aca="false">INDEX(MO_MA_EBITDA,0,COLUMN())</f>
        <v>0.33129102844639</v>
      </c>
      <c r="AC57" s="143" t="n">
        <f aca="false">INDEX(MO_MA_EBITDA,0,COLUMN())</f>
        <v>0.291307838271785</v>
      </c>
      <c r="AD57" s="143" t="n">
        <f aca="false">INDEX(MO_MA_EBITDA,0,COLUMN())</f>
        <v>0.340189474442563</v>
      </c>
      <c r="AE57" s="143" t="n">
        <f aca="false">INDEX(MO_MA_EBITDA,0,COLUMN())</f>
        <v>0.297406523468576</v>
      </c>
      <c r="AF57" s="142" t="n">
        <f aca="false">INDEX(MO_MA_EBITDA,0,COLUMN())</f>
        <v>0.313806652046784</v>
      </c>
      <c r="AG57" s="143" t="n">
        <f aca="false">INDEX(MO_MA_EBITDA,0,COLUMN())</f>
        <v>0.203669642456597</v>
      </c>
      <c r="AH57" s="143" t="n">
        <f aca="false">INDEX(MO_MA_EBITDA,0,COLUMN())</f>
        <v>0.239573192102496</v>
      </c>
      <c r="AI57" s="143" t="n">
        <f aca="false">INDEX(MO_MA_EBITDA,0,COLUMN())</f>
        <v>0.273229532898041</v>
      </c>
      <c r="AJ57" s="143" t="n">
        <f aca="false">INDEX(MO_MA_EBITDA,0,COLUMN())</f>
        <v>0.353945249597424</v>
      </c>
      <c r="AK57" s="142" t="n">
        <f aca="false">INDEX(MO_MA_EBITDA,0,COLUMN())</f>
        <v>0.280363790186125</v>
      </c>
      <c r="AL57" s="143" t="n">
        <f aca="false">INDEX(MO_MA_EBITDA,0,COLUMN())</f>
        <v>0.229410800622798</v>
      </c>
      <c r="AM57" s="143" t="n">
        <f aca="false">INDEX(MO_MA_EBITDA,0,COLUMN())</f>
        <v>0.312866464203025</v>
      </c>
      <c r="AN57" s="143" t="n">
        <f aca="false">INDEX(MO_MA_EBITDA,0,COLUMN())</f>
        <v>0.343708943911066</v>
      </c>
      <c r="AO57" s="143" t="n">
        <f aca="false">INDEX(MO_MA_EBITDA,0,COLUMN())</f>
        <v>0.384420102486954</v>
      </c>
      <c r="AP57" s="142" t="n">
        <f aca="false">INDEX(MO_MA_EBITDA,0,COLUMN())</f>
        <v>0.328804950459634</v>
      </c>
      <c r="AQ57" s="143" t="n">
        <f aca="false">INDEX(MO_MA_EBITDA,0,COLUMN())</f>
        <v>0.389445221017897</v>
      </c>
      <c r="AR57" s="143" t="n">
        <f aca="false">INDEX(MO_MA_EBITDA,0,COLUMN())</f>
        <v>0.343440624844535</v>
      </c>
      <c r="AS57" s="143" t="n">
        <f aca="false">INDEX(MO_MA_EBITDA,0,COLUMN())</f>
        <v>0.394844790414592</v>
      </c>
      <c r="AT57" s="143" t="n">
        <f aca="false">INDEX(MO_MA_EBITDA,0,COLUMN())</f>
        <v>0.43904444801027</v>
      </c>
      <c r="AU57" s="142" t="n">
        <f aca="false">INDEX(MO_MA_EBITDA,0,COLUMN())</f>
        <v>0.394315189941433</v>
      </c>
      <c r="AV57" s="143" t="n">
        <f aca="false">INDEX(MO_MA_EBITDA,0,COLUMN())</f>
        <v>0.262307605251245</v>
      </c>
      <c r="AW57" s="143" t="n">
        <f aca="false">INDEX(MO_MA_EBITDA,0,COLUMN())</f>
        <v>0.331240217291226</v>
      </c>
      <c r="AX57" s="143" t="n">
        <f aca="false">INDEX(MO_MA_EBITDA,0,COLUMN())</f>
        <v>0.363238322690064</v>
      </c>
      <c r="AY57" s="143" t="n">
        <f aca="false">INDEX(MO_MA_EBITDA,0,COLUMN())</f>
        <v>0.362103822587167</v>
      </c>
      <c r="AZ57" s="142" t="n">
        <f aca="false">INDEX(MO_MA_EBITDA,0,COLUMN())</f>
        <v>0.337838986653065</v>
      </c>
      <c r="BA57" s="143" t="n">
        <f aca="false">INDEX(MO_MA_EBITDA,0,COLUMN())</f>
        <v>0.354807150692242</v>
      </c>
      <c r="BB57" s="143" t="n">
        <f aca="false">INDEX(MO_MA_EBITDA,0,COLUMN())</f>
        <v>0.358952812830506</v>
      </c>
      <c r="BC57" s="143" t="n">
        <f aca="false">INDEX(MO_MA_EBITDA,0,COLUMN())</f>
        <v>0.359673310355163</v>
      </c>
      <c r="BD57" s="143" t="n">
        <f aca="false">INDEX(MO_MA_EBITDA,0,COLUMN())</f>
        <v>0.365565842199807</v>
      </c>
      <c r="BE57" s="142" t="n">
        <f aca="false">INDEX(MO_MA_EBITDA,0,COLUMN())</f>
        <v>0.359849048387975</v>
      </c>
      <c r="BF57" s="143" t="n">
        <f aca="false">INDEX(MO_MA_EBITDA,0,COLUMN())</f>
        <v>0.307296786389414</v>
      </c>
      <c r="BG57" s="143" t="n">
        <f aca="false">INDEX(MO_MA_EBITDA,0,COLUMN())</f>
        <v>0.337765105401422</v>
      </c>
      <c r="BH57" s="143" t="n">
        <f aca="false">INDEX(MO_MA_EBITDA,0,COLUMN())</f>
        <v>0.365620773237984</v>
      </c>
      <c r="BI57" s="143" t="n">
        <f aca="false">INDEX(MO_MA_EBITDA,0,COLUMN())</f>
        <v>0.393984540311785</v>
      </c>
      <c r="BJ57" s="142" t="n">
        <f aca="false">INDEX(MO_MA_EBITDA,0,COLUMN())</f>
        <v>0.357847213130995</v>
      </c>
      <c r="BK57" s="143" t="n">
        <f aca="false">INDEX(MO_MA_EBITDA,0,COLUMN())</f>
        <v>0.390001937608991</v>
      </c>
      <c r="BL57" s="143" t="n">
        <f aca="false">INDEX(MO_MA_EBITDA,0,COLUMN())</f>
        <v>0.385870483768218</v>
      </c>
      <c r="BM57" s="143" t="n">
        <f aca="false">INDEX(MO_MA_EBITDA,0,COLUMN())</f>
        <v>0.372631718999468</v>
      </c>
      <c r="BN57" s="143" t="n">
        <f aca="false">INDEX(MO_MA_EBITDA,0,COLUMN())</f>
        <v>0.3850238215289</v>
      </c>
      <c r="BO57" s="144" t="n">
        <f aca="false">INDEX(MO_MA_EBITDA,0,COLUMN())</f>
        <v>0.383551747466121</v>
      </c>
      <c r="BP57" s="143" t="n">
        <f aca="false">INDEX(MO_MA_EBITDA,0,COLUMN())</f>
        <v>0.381890070035276</v>
      </c>
      <c r="BQ57" s="143" t="n">
        <f aca="false">INDEX(MO_MA_EBITDA,0,COLUMN())</f>
        <v>0.430246384810387</v>
      </c>
      <c r="BR57" s="143" t="n">
        <f aca="false">INDEX(MO_MA_EBITDA,0,COLUMN())</f>
        <v>0.381227924505687</v>
      </c>
      <c r="BS57" s="143" t="n">
        <f aca="false">INDEX(MO_MA_EBITDA,0,COLUMN())</f>
        <v>0.390153836615987</v>
      </c>
      <c r="BT57" s="142" t="n">
        <f aca="false">INDEX(MO_MA_EBITDA,0,COLUMN())</f>
        <v>0.395589625417328</v>
      </c>
      <c r="BU57" s="143" t="n">
        <f aca="false">INDEX(MO_MA_EBITDA,0,COLUMN())</f>
        <v>0.384240809377819</v>
      </c>
      <c r="BV57" s="143" t="n">
        <f aca="false">INDEX(MO_MA_EBITDA,0,COLUMN())</f>
        <v>0.498231298250336</v>
      </c>
      <c r="BW57" s="143" t="n">
        <f aca="false">INDEX(MO_MA_EBITDA,0,COLUMN())</f>
        <v>0.419332754400865</v>
      </c>
      <c r="BX57" s="143" t="n">
        <f aca="false">INDEX(MO_MA_EBITDA,0,COLUMN())</f>
        <v>0.392594384187153</v>
      </c>
      <c r="BY57" s="142" t="n">
        <f aca="false">INDEX(MO_MA_EBITDA,0,COLUMN())</f>
        <v>0.422294188140038</v>
      </c>
      <c r="BZ57" s="142" t="n">
        <f aca="false">INDEX(MO_MA_EBITDA,0,COLUMN())</f>
        <v>0.422526978739319</v>
      </c>
      <c r="CA57" s="142" t="n">
        <f aca="false">INDEX(MO_MA_EBITDA,0,COLUMN())</f>
        <v>0.426234948779077</v>
      </c>
      <c r="CB57" s="142" t="n">
        <f aca="false">INDEX(MO_MA_EBITDA,0,COLUMN())</f>
        <v>0.430269723564576</v>
      </c>
      <c r="CC57" s="374"/>
    </row>
    <row r="58" s="84" customFormat="true" ht="15" hidden="false" customHeight="true" outlineLevel="0" collapsed="false">
      <c r="A58" s="140" t="str">
        <f aca="false">INDEX(MO_MA_EBITDA_Adj,0,COLUMN())</f>
        <v>Adjusted EBITDA Margin (No Adjustments), %</v>
      </c>
      <c r="B58" s="374"/>
      <c r="C58" s="142" t="n">
        <f aca="false">INDEX(SP_NGF_EBITDA,0,COLUMN())/INDEX(SP_GF_Rev,0,COLUMN())</f>
        <v>-0.00507498764146542</v>
      </c>
      <c r="D58" s="142" t="n">
        <f aca="false">INDEX(SP_NGF_EBITDA,0,COLUMN())/INDEX(SP_GF_Rev,0,COLUMN())</f>
        <v>0.313724811654464</v>
      </c>
      <c r="E58" s="142" t="n">
        <f aca="false">INDEX(SP_NGF_EBITDA,0,COLUMN())/INDEX(SP_GF_Rev,0,COLUMN())</f>
        <v>0.321858031316387</v>
      </c>
      <c r="F58" s="142" t="n">
        <f aca="false">INDEX(SP_NGF_EBITDA,0,COLUMN())/INDEX(SP_GF_Rev,0,COLUMN())</f>
        <v>0.287877452549955</v>
      </c>
      <c r="G58" s="142" t="n">
        <f aca="false">INDEX(SP_NGF_EBITDA,0,COLUMN())/INDEX(SP_GF_Rev,0,COLUMN())</f>
        <v>0.253386348150715</v>
      </c>
      <c r="H58" s="143" t="n">
        <f aca="false">INDEX(SP_NGF_EBITDA,0,COLUMN())/INDEX(SP_GF_Rev,0,COLUMN())</f>
        <v>0.253132832080201</v>
      </c>
      <c r="I58" s="143" t="n">
        <f aca="false">INDEX(SP_NGF_EBITDA,0,COLUMN())/INDEX(SP_GF_Rev,0,COLUMN())</f>
        <v>0.307799951326357</v>
      </c>
      <c r="J58" s="143" t="n">
        <f aca="false">INDEX(SP_NGF_EBITDA,0,COLUMN())/INDEX(SP_GF_Rev,0,COLUMN())</f>
        <v>0.253743760399334</v>
      </c>
      <c r="K58" s="143" t="n">
        <f aca="false">INDEX(SP_NGF_EBITDA,0,COLUMN())/INDEX(SP_GF_Rev,0,COLUMN())</f>
        <v>0.271301204819277</v>
      </c>
      <c r="L58" s="142" t="n">
        <f aca="false">INDEX(SP_NGF_EBITDA,0,COLUMN())/INDEX(SP_GF_Rev,0,COLUMN())</f>
        <v>0.273255346357421</v>
      </c>
      <c r="M58" s="143" t="n">
        <f aca="false">INDEX(SP_NGF_EBITDA,0,COLUMN())/INDEX(SP_GF_Rev,0,COLUMN())</f>
        <v>0.32511061276441</v>
      </c>
      <c r="N58" s="143" t="n">
        <f aca="false">INDEX(SP_NGF_EBITDA,0,COLUMN())/INDEX(SP_GF_Rev,0,COLUMN())</f>
        <v>0.306329726135058</v>
      </c>
      <c r="O58" s="143" t="n">
        <f aca="false">INDEX(SP_NGF_EBITDA,0,COLUMN())/INDEX(SP_GF_Rev,0,COLUMN())</f>
        <v>0.299961270333075</v>
      </c>
      <c r="P58" s="143" t="n">
        <f aca="false">INDEX(SP_NGF_EBITDA,0,COLUMN())/INDEX(SP_GF_Rev,0,COLUMN())</f>
        <v>0.2881425184772</v>
      </c>
      <c r="Q58" s="142" t="n">
        <f aca="false">INDEX(SP_NGF_EBITDA,0,COLUMN())/INDEX(SP_GF_Rev,0,COLUMN())</f>
        <v>0.305547068530189</v>
      </c>
      <c r="R58" s="143" t="n">
        <f aca="false">INDEX(SP_NGF_EBITDA,0,COLUMN())/INDEX(SP_GF_Rev,0,COLUMN())</f>
        <v>0.242424242424242</v>
      </c>
      <c r="S58" s="143" t="n">
        <f aca="false">INDEX(SP_NGF_EBITDA,0,COLUMN())/INDEX(SP_GF_Rev,0,COLUMN())</f>
        <v>0.286962520119568</v>
      </c>
      <c r="T58" s="143" t="n">
        <f aca="false">INDEX(SP_NGF_EBITDA,0,COLUMN())/INDEX(SP_GF_Rev,0,COLUMN())</f>
        <v>0.327840846467541</v>
      </c>
      <c r="U58" s="143" t="n">
        <f aca="false">INDEX(SP_NGF_EBITDA,0,COLUMN())/INDEX(SP_GF_Rev,0,COLUMN())</f>
        <v>0.338156653035546</v>
      </c>
      <c r="V58" s="142" t="n">
        <f aca="false">INDEX(SP_NGF_EBITDA,0,COLUMN())/INDEX(SP_GF_Rev,0,COLUMN())</f>
        <v>0.303511508800848</v>
      </c>
      <c r="W58" s="143" t="n">
        <f aca="false">INDEX(SP_NGF_EBITDA,0,COLUMN())/INDEX(SP_GF_Rev,0,COLUMN())</f>
        <v>0.33875282980037</v>
      </c>
      <c r="X58" s="143" t="n">
        <f aca="false">INDEX(SP_NGF_EBITDA,0,COLUMN())/INDEX(SP_GF_Rev,0,COLUMN())</f>
        <v>0.318739887693918</v>
      </c>
      <c r="Y58" s="143" t="n">
        <f aca="false">INDEX(SP_NGF_EBITDA,0,COLUMN())/INDEX(SP_GF_Rev,0,COLUMN())</f>
        <v>0.315273351311596</v>
      </c>
      <c r="Z58" s="143" t="n">
        <f aca="false">INDEX(SP_NGF_EBITDA,0,COLUMN())/INDEX(SP_GF_Rev,0,COLUMN())</f>
        <v>0.338618965786596</v>
      </c>
      <c r="AA58" s="142" t="n">
        <f aca="false">INDEX(SP_NGF_EBITDA,0,COLUMN())/INDEX(SP_GF_Rev,0,COLUMN())</f>
        <v>0.327721809826794</v>
      </c>
      <c r="AB58" s="143" t="n">
        <f aca="false">INDEX(SP_NGF_EBITDA,0,COLUMN())/INDEX(SP_GF_Rev,0,COLUMN())</f>
        <v>0.33129102844639</v>
      </c>
      <c r="AC58" s="143" t="n">
        <f aca="false">INDEX(SP_NGF_EBITDA,0,COLUMN())/INDEX(SP_GF_Rev,0,COLUMN())</f>
        <v>0.291307838271785</v>
      </c>
      <c r="AD58" s="143" t="n">
        <f aca="false">INDEX(SP_NGF_EBITDA,0,COLUMN())/INDEX(SP_GF_Rev,0,COLUMN())</f>
        <v>0.340189474442563</v>
      </c>
      <c r="AE58" s="143" t="n">
        <f aca="false">INDEX(SP_NGF_EBITDA,0,COLUMN())/INDEX(SP_GF_Rev,0,COLUMN())</f>
        <v>0.297406523468576</v>
      </c>
      <c r="AF58" s="142" t="n">
        <f aca="false">INDEX(SP_NGF_EBITDA,0,COLUMN())/INDEX(SP_GF_Rev,0,COLUMN())</f>
        <v>0.313806652046784</v>
      </c>
      <c r="AG58" s="143" t="n">
        <f aca="false">INDEX(SP_NGF_EBITDA,0,COLUMN())/INDEX(SP_GF_Rev,0,COLUMN())</f>
        <v>0.203669642456597</v>
      </c>
      <c r="AH58" s="143" t="n">
        <f aca="false">INDEX(SP_NGF_EBITDA,0,COLUMN())/INDEX(SP_GF_Rev,0,COLUMN())</f>
        <v>0.239573192102496</v>
      </c>
      <c r="AI58" s="143" t="n">
        <f aca="false">INDEX(SP_NGF_EBITDA,0,COLUMN())/INDEX(SP_GF_Rev,0,COLUMN())</f>
        <v>0.273229532898041</v>
      </c>
      <c r="AJ58" s="143" t="n">
        <f aca="false">INDEX(SP_NGF_EBITDA,0,COLUMN())/INDEX(SP_GF_Rev,0,COLUMN())</f>
        <v>0.353945249597424</v>
      </c>
      <c r="AK58" s="142" t="n">
        <f aca="false">INDEX(SP_NGF_EBITDA,0,COLUMN())/INDEX(SP_GF_Rev,0,COLUMN())</f>
        <v>0.280363790186125</v>
      </c>
      <c r="AL58" s="143" t="n">
        <f aca="false">INDEX(SP_NGF_EBITDA,0,COLUMN())/INDEX(SP_GF_Rev,0,COLUMN())</f>
        <v>0.229410800622798</v>
      </c>
      <c r="AM58" s="143" t="n">
        <f aca="false">INDEX(SP_NGF_EBITDA,0,COLUMN())/INDEX(SP_GF_Rev,0,COLUMN())</f>
        <v>0.312866464203025</v>
      </c>
      <c r="AN58" s="143" t="n">
        <f aca="false">INDEX(SP_NGF_EBITDA,0,COLUMN())/INDEX(SP_GF_Rev,0,COLUMN())</f>
        <v>0.343708943911066</v>
      </c>
      <c r="AO58" s="143" t="n">
        <f aca="false">INDEX(SP_NGF_EBITDA,0,COLUMN())/INDEX(SP_GF_Rev,0,COLUMN())</f>
        <v>0.384420102486954</v>
      </c>
      <c r="AP58" s="142" t="n">
        <f aca="false">INDEX(SP_NGF_EBITDA,0,COLUMN())/INDEX(SP_GF_Rev,0,COLUMN())</f>
        <v>0.328804950459634</v>
      </c>
      <c r="AQ58" s="143" t="n">
        <f aca="false">INDEX(SP_NGF_EBITDA,0,COLUMN())/INDEX(SP_GF_Rev,0,COLUMN())</f>
        <v>0.389445221017897</v>
      </c>
      <c r="AR58" s="143" t="n">
        <f aca="false">INDEX(SP_NGF_EBITDA,0,COLUMN())/INDEX(SP_GF_Rev,0,COLUMN())</f>
        <v>0.343440624844535</v>
      </c>
      <c r="AS58" s="143" t="n">
        <f aca="false">INDEX(SP_NGF_EBITDA,0,COLUMN())/INDEX(SP_GF_Rev,0,COLUMN())</f>
        <v>0.394844790414592</v>
      </c>
      <c r="AT58" s="143" t="n">
        <f aca="false">INDEX(SP_NGF_EBITDA,0,COLUMN())/INDEX(SP_GF_Rev,0,COLUMN())</f>
        <v>0.43904444801027</v>
      </c>
      <c r="AU58" s="142" t="n">
        <f aca="false">INDEX(SP_NGF_EBITDA,0,COLUMN())/INDEX(SP_GF_Rev,0,COLUMN())</f>
        <v>0.394315189941433</v>
      </c>
      <c r="AV58" s="143" t="n">
        <f aca="false">INDEX(SP_NGF_EBITDA,0,COLUMN())/INDEX(SP_GF_Rev,0,COLUMN())</f>
        <v>0.262307605251245</v>
      </c>
      <c r="AW58" s="143" t="n">
        <f aca="false">INDEX(SP_NGF_EBITDA,0,COLUMN())/INDEX(SP_GF_Rev,0,COLUMN())</f>
        <v>0.331240217291226</v>
      </c>
      <c r="AX58" s="143" t="n">
        <f aca="false">INDEX(SP_NGF_EBITDA,0,COLUMN())/INDEX(SP_GF_Rev,0,COLUMN())</f>
        <v>0.363238322690064</v>
      </c>
      <c r="AY58" s="143" t="n">
        <f aca="false">INDEX(SP_NGF_EBITDA,0,COLUMN())/INDEX(SP_GF_Rev,0,COLUMN())</f>
        <v>0.362103822587167</v>
      </c>
      <c r="AZ58" s="142" t="n">
        <f aca="false">INDEX(SP_NGF_EBITDA,0,COLUMN())/INDEX(SP_GF_Rev,0,COLUMN())</f>
        <v>0.337838986653065</v>
      </c>
      <c r="BA58" s="143" t="n">
        <f aca="false">INDEX(SP_NGF_EBITDA,0,COLUMN())/INDEX(SP_GF_Rev,0,COLUMN())</f>
        <v>0.354807150692242</v>
      </c>
      <c r="BB58" s="143" t="n">
        <f aca="false">INDEX(SP_NGF_EBITDA,0,COLUMN())/INDEX(SP_GF_Rev,0,COLUMN())</f>
        <v>0.358952812830506</v>
      </c>
      <c r="BC58" s="143" t="n">
        <f aca="false">INDEX(SP_NGF_EBITDA,0,COLUMN())/INDEX(SP_GF_Rev,0,COLUMN())</f>
        <v>0.359673310355163</v>
      </c>
      <c r="BD58" s="143" t="n">
        <f aca="false">INDEX(SP_NGF_EBITDA,0,COLUMN())/INDEX(SP_GF_Rev,0,COLUMN())</f>
        <v>0.365565842199807</v>
      </c>
      <c r="BE58" s="142" t="n">
        <f aca="false">INDEX(SP_NGF_EBITDA,0,COLUMN())/INDEX(SP_GF_Rev,0,COLUMN())</f>
        <v>0.359849048387975</v>
      </c>
      <c r="BF58" s="143" t="n">
        <f aca="false">INDEX(SP_NGF_EBITDA,0,COLUMN())/INDEX(SP_GF_Rev,0,COLUMN())</f>
        <v>0.307296786389414</v>
      </c>
      <c r="BG58" s="143" t="n">
        <f aca="false">INDEX(SP_NGF_EBITDA,0,COLUMN())/INDEX(SP_GF_Rev,0,COLUMN())</f>
        <v>0.337765105401422</v>
      </c>
      <c r="BH58" s="143" t="n">
        <f aca="false">INDEX(SP_NGF_EBITDA,0,COLUMN())/INDEX(SP_GF_Rev,0,COLUMN())</f>
        <v>0.365620773237984</v>
      </c>
      <c r="BI58" s="143" t="n">
        <f aca="false">INDEX(SP_NGF_EBITDA,0,COLUMN())/INDEX(SP_GF_Rev,0,COLUMN())</f>
        <v>0.393984540311785</v>
      </c>
      <c r="BJ58" s="142" t="n">
        <f aca="false">INDEX(SP_NGF_EBITDA,0,COLUMN())/INDEX(SP_GF_Rev,0,COLUMN())</f>
        <v>0.357847213130995</v>
      </c>
      <c r="BK58" s="143" t="n">
        <f aca="false">INDEX(SP_NGF_EBITDA,0,COLUMN())/INDEX(SP_GF_Rev,0,COLUMN())</f>
        <v>0.390001937608991</v>
      </c>
      <c r="BL58" s="143" t="n">
        <f aca="false">INDEX(SP_NGF_EBITDA,0,COLUMN())/INDEX(SP_GF_Rev,0,COLUMN())</f>
        <v>0.385870483768218</v>
      </c>
      <c r="BM58" s="143" t="n">
        <f aca="false">INDEX(SP_NGF_EBITDA,0,COLUMN())/INDEX(SP_GF_Rev,0,COLUMN())</f>
        <v>0.372631718999468</v>
      </c>
      <c r="BN58" s="143" t="n">
        <f aca="false">INDEX(SP_NGF_EBITDA,0,COLUMN())/INDEX(SP_GF_Rev,0,COLUMN())</f>
        <v>0.3850238215289</v>
      </c>
      <c r="BO58" s="144" t="n">
        <f aca="false">INDEX(SP_NGF_EBITDA,0,COLUMN())/INDEX(SP_GF_Rev,0,COLUMN())</f>
        <v>0.383551747466121</v>
      </c>
      <c r="BP58" s="143" t="n">
        <f aca="false">INDEX(SP_NGF_EBITDA,0,COLUMN())/INDEX(SP_GF_Rev,0,COLUMN())</f>
        <v>0.381890070035276</v>
      </c>
      <c r="BQ58" s="143" t="n">
        <f aca="false">INDEX(SP_NGF_EBITDA,0,COLUMN())/INDEX(SP_GF_Rev,0,COLUMN())</f>
        <v>0.430246384810387</v>
      </c>
      <c r="BR58" s="143" t="n">
        <f aca="false">INDEX(SP_NGF_EBITDA,0,COLUMN())/INDEX(SP_GF_Rev,0,COLUMN())</f>
        <v>0.381227924505687</v>
      </c>
      <c r="BS58" s="143" t="n">
        <f aca="false">INDEX(SP_NGF_EBITDA,0,COLUMN())/INDEX(SP_GF_Rev,0,COLUMN())</f>
        <v>0.390153836615987</v>
      </c>
      <c r="BT58" s="142" t="n">
        <f aca="false">INDEX(SP_NGF_EBITDA,0,COLUMN())/INDEX(SP_GF_Rev,0,COLUMN())</f>
        <v>0.395589625417328</v>
      </c>
      <c r="BU58" s="143" t="n">
        <f aca="false">INDEX(SP_NGF_EBITDA,0,COLUMN())/INDEX(SP_GF_Rev,0,COLUMN())</f>
        <v>0.384240809377819</v>
      </c>
      <c r="BV58" s="143" t="n">
        <f aca="false">INDEX(SP_NGF_EBITDA,0,COLUMN())/INDEX(SP_GF_Rev,0,COLUMN())</f>
        <v>0.498231298250336</v>
      </c>
      <c r="BW58" s="143" t="n">
        <f aca="false">INDEX(SP_NGF_EBITDA,0,COLUMN())/INDEX(SP_GF_Rev,0,COLUMN())</f>
        <v>0.419332754400865</v>
      </c>
      <c r="BX58" s="143" t="n">
        <f aca="false">INDEX(SP_NGF_EBITDA,0,COLUMN())/INDEX(SP_GF_Rev,0,COLUMN())</f>
        <v>0.392594384187153</v>
      </c>
      <c r="BY58" s="142" t="n">
        <f aca="false">INDEX(SP_NGF_EBITDA,0,COLUMN())/INDEX(SP_GF_Rev,0,COLUMN())</f>
        <v>0.422294188140038</v>
      </c>
      <c r="BZ58" s="142" t="n">
        <f aca="false">INDEX(SP_NGF_EBITDA,0,COLUMN())/INDEX(SP_GF_Rev,0,COLUMN())</f>
        <v>0.422526978739319</v>
      </c>
      <c r="CA58" s="142" t="n">
        <f aca="false">INDEX(SP_NGF_EBITDA,0,COLUMN())/INDEX(SP_GF_Rev,0,COLUMN())</f>
        <v>0.426234948779077</v>
      </c>
      <c r="CB58" s="142" t="n">
        <f aca="false">INDEX(SP_NGF_EBITDA,0,COLUMN())/INDEX(SP_GF_Rev,0,COLUMN())</f>
        <v>0.430269723564576</v>
      </c>
      <c r="CC58" s="374"/>
    </row>
    <row r="59" customFormat="false" ht="15" hidden="false" customHeight="true" outlineLevel="0" collapsed="false">
      <c r="A59" s="725"/>
      <c r="B59" s="266"/>
      <c r="C59" s="267"/>
      <c r="D59" s="267"/>
      <c r="E59" s="267"/>
      <c r="F59" s="267"/>
      <c r="G59" s="267"/>
      <c r="H59" s="268"/>
      <c r="I59" s="268"/>
      <c r="J59" s="268"/>
      <c r="K59" s="268"/>
      <c r="L59" s="267"/>
      <c r="M59" s="268"/>
      <c r="N59" s="268"/>
      <c r="O59" s="268"/>
      <c r="P59" s="268"/>
      <c r="Q59" s="267"/>
      <c r="R59" s="268"/>
      <c r="S59" s="268"/>
      <c r="T59" s="268"/>
      <c r="U59" s="268"/>
      <c r="V59" s="267"/>
      <c r="W59" s="268"/>
      <c r="X59" s="268"/>
      <c r="Y59" s="268"/>
      <c r="Z59" s="268"/>
      <c r="AA59" s="267"/>
      <c r="AB59" s="268"/>
      <c r="AC59" s="268"/>
      <c r="AD59" s="268"/>
      <c r="AE59" s="268"/>
      <c r="AF59" s="267"/>
      <c r="AG59" s="268"/>
      <c r="AH59" s="268"/>
      <c r="AI59" s="268"/>
      <c r="AJ59" s="268"/>
      <c r="AK59" s="267"/>
      <c r="AL59" s="268"/>
      <c r="AM59" s="268"/>
      <c r="AN59" s="268"/>
      <c r="AO59" s="268"/>
      <c r="AP59" s="267"/>
      <c r="AQ59" s="268"/>
      <c r="AR59" s="268"/>
      <c r="AS59" s="268"/>
      <c r="AT59" s="268"/>
      <c r="AU59" s="267"/>
      <c r="AV59" s="268"/>
      <c r="AW59" s="268"/>
      <c r="AX59" s="268"/>
      <c r="AY59" s="268"/>
      <c r="AZ59" s="267"/>
      <c r="BA59" s="268"/>
      <c r="BB59" s="268"/>
      <c r="BC59" s="268"/>
      <c r="BD59" s="268"/>
      <c r="BE59" s="267"/>
      <c r="BF59" s="268"/>
      <c r="BG59" s="268"/>
      <c r="BH59" s="268"/>
      <c r="BI59" s="268"/>
      <c r="BJ59" s="267"/>
      <c r="BK59" s="268"/>
      <c r="BL59" s="268"/>
      <c r="BM59" s="268"/>
      <c r="BN59" s="268"/>
      <c r="BO59" s="269"/>
      <c r="BP59" s="268"/>
      <c r="BQ59" s="268"/>
      <c r="BR59" s="268"/>
      <c r="BS59" s="268"/>
      <c r="BT59" s="267"/>
      <c r="BU59" s="268"/>
      <c r="BV59" s="268"/>
      <c r="BW59" s="268"/>
      <c r="BX59" s="268"/>
      <c r="BY59" s="267"/>
      <c r="BZ59" s="267"/>
      <c r="CA59" s="267"/>
      <c r="CB59" s="267"/>
      <c r="CC59" s="268"/>
    </row>
    <row r="60" customFormat="false" ht="15" hidden="false" customHeight="true" outlineLevel="0" collapsed="false">
      <c r="A60" s="219" t="s">
        <v>803</v>
      </c>
      <c r="B60" s="716"/>
      <c r="C60" s="716"/>
      <c r="D60" s="716"/>
      <c r="E60" s="716"/>
      <c r="F60" s="716"/>
      <c r="G60" s="716"/>
      <c r="H60" s="716"/>
      <c r="I60" s="716"/>
      <c r="J60" s="716"/>
      <c r="K60" s="716"/>
      <c r="L60" s="716"/>
      <c r="M60" s="716"/>
      <c r="N60" s="716"/>
      <c r="O60" s="716"/>
      <c r="P60" s="716"/>
      <c r="Q60" s="716"/>
      <c r="R60" s="716"/>
      <c r="S60" s="716"/>
      <c r="T60" s="716"/>
      <c r="U60" s="716"/>
      <c r="V60" s="716"/>
      <c r="W60" s="716"/>
      <c r="X60" s="716"/>
      <c r="Y60" s="716"/>
      <c r="Z60" s="716"/>
      <c r="AA60" s="716"/>
      <c r="AB60" s="716"/>
      <c r="AC60" s="716"/>
      <c r="AD60" s="716"/>
      <c r="AE60" s="716"/>
      <c r="AF60" s="716"/>
      <c r="AG60" s="716"/>
      <c r="AH60" s="716"/>
      <c r="AI60" s="716"/>
      <c r="AJ60" s="716"/>
      <c r="AK60" s="716"/>
      <c r="AL60" s="716"/>
      <c r="AM60" s="716"/>
      <c r="AN60" s="716"/>
      <c r="AO60" s="716"/>
      <c r="AP60" s="716"/>
      <c r="AQ60" s="716"/>
      <c r="AR60" s="716"/>
      <c r="AS60" s="716"/>
      <c r="AT60" s="716"/>
      <c r="AU60" s="716"/>
      <c r="AV60" s="716"/>
      <c r="AW60" s="716"/>
      <c r="AX60" s="716"/>
      <c r="AY60" s="716"/>
      <c r="AZ60" s="716"/>
      <c r="BA60" s="716"/>
      <c r="BB60" s="716"/>
      <c r="BC60" s="716"/>
      <c r="BD60" s="716"/>
      <c r="BE60" s="716"/>
      <c r="BF60" s="716"/>
      <c r="BG60" s="716"/>
      <c r="BH60" s="716"/>
      <c r="BI60" s="716"/>
      <c r="BJ60" s="716"/>
      <c r="BK60" s="716"/>
      <c r="BL60" s="716"/>
      <c r="BM60" s="716"/>
      <c r="BN60" s="716"/>
      <c r="BO60" s="717"/>
      <c r="BP60" s="716"/>
      <c r="BQ60" s="716"/>
      <c r="BR60" s="716"/>
      <c r="BS60" s="716"/>
      <c r="BT60" s="716"/>
      <c r="BU60" s="716"/>
      <c r="BV60" s="716"/>
      <c r="BW60" s="716"/>
      <c r="BX60" s="716"/>
      <c r="BY60" s="716"/>
      <c r="BZ60" s="716"/>
      <c r="CA60" s="716"/>
      <c r="CB60" s="716"/>
      <c r="CC60" s="48"/>
    </row>
    <row r="61" s="157" customFormat="true" ht="15" hidden="true" customHeight="true" outlineLevel="1" collapsed="false">
      <c r="A61" s="252" t="str">
        <f aca="false">INDEX(MO_CFSum_CFO_BeforeWC,0,COLUMN())</f>
        <v>Operating Cash Flow before WC</v>
      </c>
      <c r="B61" s="266"/>
      <c r="C61" s="267" t="n">
        <f aca="false">INDEX(MO_CFSum_CFO_BeforeWC,0,COLUMN())</f>
        <v>63.151</v>
      </c>
      <c r="D61" s="267" t="n">
        <f aca="false">INDEX(MO_CFSum_CFO_BeforeWC,0,COLUMN())</f>
        <v>1279.337</v>
      </c>
      <c r="E61" s="267" t="n">
        <f aca="false">INDEX(MO_CFSum_CFO_BeforeWC,0,COLUMN())</f>
        <v>1784.614</v>
      </c>
      <c r="F61" s="267" t="n">
        <f aca="false">INDEX(MO_CFSum_CFO_BeforeWC,0,COLUMN())</f>
        <v>1416.151</v>
      </c>
      <c r="G61" s="267" t="n">
        <f aca="false">INDEX(MO_CFSum_CFO_BeforeWC,0,COLUMN())</f>
        <v>1455.772</v>
      </c>
      <c r="H61" s="268" t="n">
        <f aca="false">INDEX(MO_CFSum_CFO_BeforeWC,0,COLUMN())</f>
        <v>353.2</v>
      </c>
      <c r="I61" s="268" t="n">
        <f aca="false">INDEX(MO_CFSum_CFO_BeforeWC,0,COLUMN())</f>
        <v>538.5</v>
      </c>
      <c r="J61" s="268" t="n">
        <f aca="false">INDEX(MO_CFSum_CFO_BeforeWC,0,COLUMN())</f>
        <v>319.5</v>
      </c>
      <c r="K61" s="268" t="n">
        <f aca="false">INDEX(MO_CFSum_CFO_BeforeWC,0,COLUMN())</f>
        <v>421.398</v>
      </c>
      <c r="L61" s="267" t="n">
        <f aca="false">INDEX(MO_CFSum_CFO_BeforeWC,0,COLUMN())</f>
        <v>1632.598</v>
      </c>
      <c r="M61" s="268" t="n">
        <f aca="false">INDEX(MO_CFSum_CFO_BeforeWC,0,COLUMN())</f>
        <v>538.2</v>
      </c>
      <c r="N61" s="268" t="n">
        <f aca="false">INDEX(MO_CFSum_CFO_BeforeWC,0,COLUMN())</f>
        <v>511.1</v>
      </c>
      <c r="O61" s="268" t="n">
        <f aca="false">INDEX(MO_CFSum_CFO_BeforeWC,0,COLUMN())</f>
        <v>513.1</v>
      </c>
      <c r="P61" s="268" t="n">
        <f aca="false">INDEX(MO_CFSum_CFO_BeforeWC,0,COLUMN())</f>
        <v>445.665</v>
      </c>
      <c r="Q61" s="267" t="n">
        <f aca="false">INDEX(MO_CFSum_CFO_BeforeWC,0,COLUMN())</f>
        <v>2008.065</v>
      </c>
      <c r="R61" s="268" t="n">
        <f aca="false">INDEX(MO_CFSum_CFO_BeforeWC,0,COLUMN())</f>
        <v>327.9</v>
      </c>
      <c r="S61" s="268" t="n">
        <f aca="false">INDEX(MO_CFSum_CFO_BeforeWC,0,COLUMN())</f>
        <v>466.8</v>
      </c>
      <c r="T61" s="268" t="n">
        <f aca="false">INDEX(MO_CFSum_CFO_BeforeWC,0,COLUMN())</f>
        <v>539.1</v>
      </c>
      <c r="U61" s="268" t="n">
        <f aca="false">INDEX(MO_CFSum_CFO_BeforeWC,0,COLUMN())</f>
        <v>627</v>
      </c>
      <c r="V61" s="267" t="n">
        <f aca="false">INDEX(MO_CFSum_CFO_BeforeWC,0,COLUMN())</f>
        <v>1960.8</v>
      </c>
      <c r="W61" s="268" t="n">
        <f aca="false">INDEX(MO_CFSum_CFO_BeforeWC,0,COLUMN())</f>
        <v>623</v>
      </c>
      <c r="X61" s="268" t="n">
        <f aca="false">INDEX(MO_CFSum_CFO_BeforeWC,0,COLUMN())</f>
        <v>619.8</v>
      </c>
      <c r="Y61" s="268" t="n">
        <f aca="false">INDEX(MO_CFSum_CFO_BeforeWC,0,COLUMN())</f>
        <v>710.4</v>
      </c>
      <c r="Z61" s="268" t="n">
        <f aca="false">INDEX(MO_CFSum_CFO_BeforeWC,0,COLUMN())</f>
        <v>784.7</v>
      </c>
      <c r="AA61" s="267" t="n">
        <f aca="false">INDEX(MO_CFSum_CFO_BeforeWC,0,COLUMN())</f>
        <v>2737.9</v>
      </c>
      <c r="AB61" s="268" t="n">
        <f aca="false">INDEX(MO_CFSum_CFO_BeforeWC,0,COLUMN())</f>
        <v>744.5</v>
      </c>
      <c r="AC61" s="268" t="n">
        <f aca="false">INDEX(MO_CFSum_CFO_BeforeWC,0,COLUMN())</f>
        <v>768.8</v>
      </c>
      <c r="AD61" s="268" t="n">
        <f aca="false">INDEX(MO_CFSum_CFO_BeforeWC,0,COLUMN())</f>
        <v>816</v>
      </c>
      <c r="AE61" s="268" t="n">
        <f aca="false">INDEX(MO_CFSum_CFO_BeforeWC,0,COLUMN())</f>
        <v>802.8</v>
      </c>
      <c r="AF61" s="267" t="n">
        <f aca="false">INDEX(MO_CFSum_CFO_BeforeWC,0,COLUMN())</f>
        <v>3132.1</v>
      </c>
      <c r="AG61" s="268" t="n">
        <f aca="false">INDEX(MO_CFSum_CFO_BeforeWC,0,COLUMN())</f>
        <v>457.6</v>
      </c>
      <c r="AH61" s="268" t="n">
        <f aca="false">INDEX(MO_CFSum_CFO_BeforeWC,0,COLUMN())</f>
        <v>566.4</v>
      </c>
      <c r="AI61" s="268" t="n">
        <f aca="false">INDEX(MO_CFSum_CFO_BeforeWC,0,COLUMN())</f>
        <v>809.5</v>
      </c>
      <c r="AJ61" s="268" t="n">
        <f aca="false">INDEX(MO_CFSum_CFO_BeforeWC,0,COLUMN())</f>
        <v>1331.3</v>
      </c>
      <c r="AK61" s="267" t="n">
        <f aca="false">INDEX(MO_CFSum_CFO_BeforeWC,0,COLUMN())</f>
        <v>3164.8</v>
      </c>
      <c r="AL61" s="268" t="n">
        <f aca="false">INDEX(MO_CFSum_CFO_BeforeWC,0,COLUMN())</f>
        <v>509.9</v>
      </c>
      <c r="AM61" s="268" t="n">
        <f aca="false">INDEX(MO_CFSum_CFO_BeforeWC,0,COLUMN())</f>
        <v>884</v>
      </c>
      <c r="AN61" s="268" t="n">
        <f aca="false">INDEX(MO_CFSum_CFO_BeforeWC,0,COLUMN())</f>
        <v>1106.4</v>
      </c>
      <c r="AO61" s="268" t="n">
        <f aca="false">INDEX(MO_CFSum_CFO_BeforeWC,0,COLUMN())</f>
        <v>1595.7</v>
      </c>
      <c r="AP61" s="267" t="n">
        <f aca="false">INDEX(MO_CFSum_CFO_BeforeWC,0,COLUMN())</f>
        <v>4096</v>
      </c>
      <c r="AQ61" s="268" t="n">
        <f aca="false">INDEX(MO_CFSum_CFO_BeforeWC,0,COLUMN())</f>
        <v>1453.6</v>
      </c>
      <c r="AR61" s="268" t="n">
        <f aca="false">INDEX(MO_CFSum_CFO_BeforeWC,0,COLUMN())</f>
        <v>1194.1</v>
      </c>
      <c r="AS61" s="268" t="n">
        <f aca="false">INDEX(MO_CFSum_CFO_BeforeWC,0,COLUMN())</f>
        <v>1536.2</v>
      </c>
      <c r="AT61" s="268" t="n">
        <f aca="false">INDEX(MO_CFSum_CFO_BeforeWC,0,COLUMN())</f>
        <v>1769.5</v>
      </c>
      <c r="AU61" s="267" t="n">
        <f aca="false">INDEX(MO_CFSum_CFO_BeforeWC,0,COLUMN())</f>
        <v>5953.4</v>
      </c>
      <c r="AV61" s="268" t="n">
        <f aca="false">INDEX(MO_CFSum_CFO_BeforeWC,0,COLUMN())</f>
        <v>812.9</v>
      </c>
      <c r="AW61" s="268" t="n">
        <f aca="false">INDEX(MO_CFSum_CFO_BeforeWC,0,COLUMN())</f>
        <v>1516</v>
      </c>
      <c r="AX61" s="268" t="n">
        <f aca="false">INDEX(MO_CFSum_CFO_BeforeWC,0,COLUMN())</f>
        <v>1579.2</v>
      </c>
      <c r="AY61" s="268" t="n">
        <f aca="false">INDEX(MO_CFSum_CFO_BeforeWC,0,COLUMN())</f>
        <v>2137.5</v>
      </c>
      <c r="AZ61" s="267" t="n">
        <f aca="false">INDEX(MO_CFSum_CFO_BeforeWC,0,COLUMN())</f>
        <v>6045.6</v>
      </c>
      <c r="BA61" s="268" t="n">
        <f aca="false">INDEX(MO_CFSum_CFO_BeforeWC,0,COLUMN())</f>
        <v>2195.2</v>
      </c>
      <c r="BB61" s="268" t="n">
        <f aca="false">INDEX(MO_CFSum_CFO_BeforeWC,0,COLUMN())</f>
        <v>2221.4</v>
      </c>
      <c r="BC61" s="268" t="n">
        <f aca="false">INDEX(MO_CFSum_CFO_BeforeWC,0,COLUMN())</f>
        <v>2041.1</v>
      </c>
      <c r="BD61" s="268" t="n">
        <f aca="false">INDEX(MO_CFSum_CFO_BeforeWC,0,COLUMN())</f>
        <v>2649.3</v>
      </c>
      <c r="BE61" s="267" t="n">
        <f aca="false">INDEX(MO_CFSum_CFO_BeforeWC,0,COLUMN())</f>
        <v>9107</v>
      </c>
      <c r="BF61" s="268" t="n">
        <f aca="false">INDEX(MO_CFSum_CFO_BeforeWC,0,COLUMN())</f>
        <v>1547.1</v>
      </c>
      <c r="BG61" s="268" t="n">
        <f aca="false">INDEX(MO_CFSum_CFO_BeforeWC,0,COLUMN())</f>
        <v>1926.5</v>
      </c>
      <c r="BH61" s="268" t="n">
        <f aca="false">INDEX(MO_CFSum_CFO_BeforeWC,0,COLUMN())</f>
        <v>2331.5</v>
      </c>
      <c r="BI61" s="268" t="n">
        <f aca="false">INDEX(MO_CFSum_CFO_BeforeWC,0,COLUMN())</f>
        <v>3307.8</v>
      </c>
      <c r="BJ61" s="267" t="n">
        <f aca="false">INDEX(MO_CFSum_CFO_BeforeWC,0,COLUMN())</f>
        <v>9112.9</v>
      </c>
      <c r="BK61" s="268" t="n">
        <f aca="false">INDEX(MO_CFSum_CFO_BeforeWC,0,COLUMN())</f>
        <v>2742.2</v>
      </c>
      <c r="BL61" s="268" t="n">
        <f aca="false">INDEX(MO_CFSum_CFO_BeforeWC,0,COLUMN())</f>
        <v>2657.8</v>
      </c>
      <c r="BM61" s="268" t="n">
        <f aca="false">INDEX(MO_CFSum_CFO_BeforeWC,0,COLUMN())</f>
        <v>2462.4</v>
      </c>
      <c r="BN61" s="268" t="n">
        <f aca="false">INDEX(MO_CFSum_CFO_BeforeWC,0,COLUMN())</f>
        <v>3769.6</v>
      </c>
      <c r="BO61" s="269" t="n">
        <f aca="false">INDEX(MO_CFSum_CFO_BeforeWC,0,COLUMN())</f>
        <v>11632</v>
      </c>
      <c r="BP61" s="268" t="n">
        <f aca="false">INDEX(MO_CFSum_CFO_BeforeWC,0,COLUMN())</f>
        <v>2646.536893444</v>
      </c>
      <c r="BQ61" s="268" t="n">
        <f aca="false">INDEX(MO_CFSum_CFO_BeforeWC,0,COLUMN())</f>
        <v>3067.11632898182</v>
      </c>
      <c r="BR61" s="268" t="n">
        <f aca="false">INDEX(MO_CFSum_CFO_BeforeWC,0,COLUMN())</f>
        <v>2911.08265263297</v>
      </c>
      <c r="BS61" s="268" t="n">
        <f aca="false">INDEX(MO_CFSum_CFO_BeforeWC,0,COLUMN())</f>
        <v>3196.91072239172</v>
      </c>
      <c r="BT61" s="267" t="n">
        <f aca="false">INDEX(MO_CFSum_CFO_BeforeWC,0,COLUMN())</f>
        <v>11821.6465974505</v>
      </c>
      <c r="BU61" s="268" t="n">
        <f aca="false">INDEX(MO_CFSum_CFO_BeforeWC,0,COLUMN())</f>
        <v>2750.06720878154</v>
      </c>
      <c r="BV61" s="268" t="n">
        <f aca="false">INDEX(MO_CFSum_CFO_BeforeWC,0,COLUMN())</f>
        <v>3606.98671767299</v>
      </c>
      <c r="BW61" s="268" t="n">
        <f aca="false">INDEX(MO_CFSum_CFO_BeforeWC,0,COLUMN())</f>
        <v>3386.56114633628</v>
      </c>
      <c r="BX61" s="268" t="n">
        <f aca="false">INDEX(MO_CFSum_CFO_BeforeWC,0,COLUMN())</f>
        <v>3529.73844192984</v>
      </c>
      <c r="BY61" s="267" t="n">
        <f aca="false">INDEX(MO_CFSum_CFO_BeforeWC,0,COLUMN())</f>
        <v>13273.3535147207</v>
      </c>
      <c r="BZ61" s="267" t="n">
        <f aca="false">INDEX(MO_CFSum_CFO_BeforeWC,0,COLUMN())</f>
        <v>15731.1960103748</v>
      </c>
      <c r="CA61" s="267" t="n">
        <f aca="false">INDEX(MO_CFSum_CFO_BeforeWC,0,COLUMN())</f>
        <v>16652.8065619229</v>
      </c>
      <c r="CB61" s="267" t="n">
        <f aca="false">INDEX(MO_CFSum_CFO_BeforeWC,0,COLUMN())</f>
        <v>17652.4099338402</v>
      </c>
      <c r="CC61" s="268"/>
    </row>
    <row r="62" s="51" customFormat="true" ht="15" hidden="true" customHeight="true" outlineLevel="1" collapsed="false">
      <c r="A62" s="251" t="s">
        <v>804</v>
      </c>
      <c r="B62" s="257"/>
      <c r="C62" s="261" t="n">
        <f aca="false">Model!C545</f>
        <v>36.043</v>
      </c>
      <c r="D62" s="261" t="n">
        <f aca="false">Model!D545</f>
        <v>-339.289</v>
      </c>
      <c r="E62" s="261" t="n">
        <f aca="false">Model!E545</f>
        <v>285.826</v>
      </c>
      <c r="F62" s="261" t="n">
        <f aca="false">Model!F545</f>
        <v>-712.673</v>
      </c>
      <c r="G62" s="261" t="n">
        <f aca="false">Model!G545</f>
        <v>-401.599</v>
      </c>
      <c r="H62" s="259" t="n">
        <f aca="false">Model!H545</f>
        <v>-149.8</v>
      </c>
      <c r="I62" s="259" t="n">
        <f aca="false">Model!I545</f>
        <v>-340.1</v>
      </c>
      <c r="J62" s="259" t="n">
        <f aca="false">Model!J545</f>
        <v>-105.3</v>
      </c>
      <c r="K62" s="259" t="n">
        <f aca="false">Model!K545</f>
        <v>-12.192</v>
      </c>
      <c r="L62" s="261" t="n">
        <f aca="false">Model!L545</f>
        <v>-607.392</v>
      </c>
      <c r="M62" s="259" t="n">
        <f aca="false">Model!M545</f>
        <v>-201</v>
      </c>
      <c r="N62" s="259" t="n">
        <f aca="false">Model!N545</f>
        <v>-227.3</v>
      </c>
      <c r="O62" s="259" t="n">
        <f aca="false">Model!O545</f>
        <v>-93.3</v>
      </c>
      <c r="P62" s="259" t="n">
        <f aca="false">Model!P545</f>
        <v>539.115</v>
      </c>
      <c r="Q62" s="261" t="n">
        <f aca="false">Model!Q545</f>
        <v>17.515</v>
      </c>
      <c r="R62" s="259" t="n">
        <f aca="false">Model!R545</f>
        <v>-333.7</v>
      </c>
      <c r="S62" s="259" t="n">
        <f aca="false">Model!S545</f>
        <v>14.3</v>
      </c>
      <c r="T62" s="259" t="n">
        <f aca="false">Model!T545</f>
        <v>-541.8</v>
      </c>
      <c r="U62" s="259" t="n">
        <f aca="false">Model!U545</f>
        <v>566.3</v>
      </c>
      <c r="V62" s="261" t="n">
        <f aca="false">Model!V545</f>
        <v>-294.9</v>
      </c>
      <c r="W62" s="259" t="n">
        <f aca="false">Model!W545</f>
        <v>-791.4</v>
      </c>
      <c r="X62" s="259" t="n">
        <f aca="false">Model!X545</f>
        <v>-89.5</v>
      </c>
      <c r="Y62" s="259" t="n">
        <f aca="false">Model!Y545</f>
        <v>-310.4</v>
      </c>
      <c r="Z62" s="259" t="n">
        <f aca="false">Model!Z545</f>
        <v>252</v>
      </c>
      <c r="AA62" s="261" t="n">
        <f aca="false">Model!AA545</f>
        <v>-939.3</v>
      </c>
      <c r="AB62" s="259" t="n">
        <f aca="false">Model!AB545</f>
        <v>-553.5</v>
      </c>
      <c r="AC62" s="259" t="n">
        <f aca="false">Model!AC545</f>
        <v>-9.70000000000005</v>
      </c>
      <c r="AD62" s="259" t="n">
        <f aca="false">Model!AD545</f>
        <v>-323.8</v>
      </c>
      <c r="AE62" s="259" t="n">
        <f aca="false">Model!AE545</f>
        <v>827.6</v>
      </c>
      <c r="AF62" s="261" t="n">
        <f aca="false">Model!AF545</f>
        <v>-59.4</v>
      </c>
      <c r="AG62" s="259" t="n">
        <f aca="false">Model!AG545</f>
        <v>-938.4</v>
      </c>
      <c r="AH62" s="259" t="n">
        <f aca="false">Model!AH545</f>
        <v>-466.9</v>
      </c>
      <c r="AI62" s="259" t="n">
        <f aca="false">Model!AI545</f>
        <v>-740.1</v>
      </c>
      <c r="AJ62" s="259" t="n">
        <f aca="false">Model!AJ545</f>
        <v>2257</v>
      </c>
      <c r="AK62" s="261" t="n">
        <f aca="false">Model!AK545</f>
        <v>111.6</v>
      </c>
      <c r="AL62" s="259" t="n">
        <f aca="false">Model!AL545</f>
        <v>-1115.7</v>
      </c>
      <c r="AM62" s="259" t="n">
        <f aca="false">Model!AM545</f>
        <v>-512.1</v>
      </c>
      <c r="AN62" s="259" t="n">
        <f aca="false">Model!AN545</f>
        <v>-915.3</v>
      </c>
      <c r="AO62" s="259" t="n">
        <f aca="false">Model!AO545</f>
        <v>3074.7</v>
      </c>
      <c r="AP62" s="261" t="n">
        <f aca="false">Model!AP545</f>
        <v>531.6</v>
      </c>
      <c r="AQ62" s="259" t="n">
        <f aca="false">Model!AQ545</f>
        <v>-2395.3</v>
      </c>
      <c r="AR62" s="259" t="n">
        <f aca="false">Model!AR545</f>
        <v>2374.8</v>
      </c>
      <c r="AS62" s="259" t="n">
        <f aca="false">Model!AS545</f>
        <v>265.4</v>
      </c>
      <c r="AT62" s="259" t="n">
        <f aca="false">Model!AT545</f>
        <v>4647.5</v>
      </c>
      <c r="AU62" s="261" t="n">
        <f aca="false">Model!AU545</f>
        <v>4892.4</v>
      </c>
      <c r="AV62" s="259" t="n">
        <f aca="false">Model!AV545</f>
        <v>-1399</v>
      </c>
      <c r="AW62" s="259" t="n">
        <f aca="false">Model!AW545</f>
        <v>1036.9</v>
      </c>
      <c r="AX62" s="259" t="n">
        <f aca="false">Model!AX545</f>
        <v>-409.7</v>
      </c>
      <c r="AY62" s="259" t="n">
        <f aca="false">Model!AY545</f>
        <v>3213</v>
      </c>
      <c r="AZ62" s="261" t="n">
        <f aca="false">Model!AZ545</f>
        <v>2441.2</v>
      </c>
      <c r="BA62" s="259" t="n">
        <f aca="false">Model!BA545</f>
        <v>-1461.6</v>
      </c>
      <c r="BB62" s="259" t="n">
        <f aca="false">Model!BB545</f>
        <v>-1836.7</v>
      </c>
      <c r="BC62" s="259" t="n">
        <f aca="false">Model!BC545</f>
        <v>-913</v>
      </c>
      <c r="BD62" s="259" t="n">
        <f aca="false">Model!BD545</f>
        <v>547.7</v>
      </c>
      <c r="BE62" s="261" t="n">
        <f aca="false">Model!BE545</f>
        <v>-3663.6</v>
      </c>
      <c r="BF62" s="259" t="n">
        <f aca="false">Model!BF545</f>
        <v>-1799</v>
      </c>
      <c r="BG62" s="259" t="n">
        <f aca="false">Model!BG545</f>
        <v>-1003.1</v>
      </c>
      <c r="BH62" s="259" t="n">
        <f aca="false">Model!BH545</f>
        <v>-1381.6</v>
      </c>
      <c r="BI62" s="259" t="n">
        <f aca="false">Model!BI545</f>
        <v>6237</v>
      </c>
      <c r="BJ62" s="261" t="n">
        <f aca="false">Model!BJ545</f>
        <v>2053.3</v>
      </c>
      <c r="BK62" s="259" t="n">
        <f aca="false">Model!BK545</f>
        <v>-2800.8</v>
      </c>
      <c r="BL62" s="259" t="n">
        <f aca="false">Model!BL545</f>
        <v>-1910.1</v>
      </c>
      <c r="BM62" s="259" t="n">
        <f aca="false">Model!BM545</f>
        <v>-1903.3</v>
      </c>
      <c r="BN62" s="259" t="n">
        <f aca="false">Model!BN545</f>
        <v>7640.7</v>
      </c>
      <c r="BO62" s="260" t="n">
        <f aca="false">Model!BO545</f>
        <v>1026.5</v>
      </c>
      <c r="BP62" s="259" t="n">
        <f aca="false">Model!BP545</f>
        <v>2085.79641738469</v>
      </c>
      <c r="BQ62" s="259" t="n">
        <f aca="false">Model!BQ545</f>
        <v>-132.054789945865</v>
      </c>
      <c r="BR62" s="259" t="n">
        <f aca="false">Model!BR545</f>
        <v>106.08122910836</v>
      </c>
      <c r="BS62" s="259" t="n">
        <f aca="false">Model!BS545</f>
        <v>-1316.75911396737</v>
      </c>
      <c r="BT62" s="261" t="n">
        <f aca="false">Model!BT545</f>
        <v>743.063742579811</v>
      </c>
      <c r="BU62" s="259" t="n">
        <f aca="false">Model!BU545</f>
        <v>2204.49714637191</v>
      </c>
      <c r="BV62" s="259" t="n">
        <f aca="false">Model!BV545</f>
        <v>-395.988327862619</v>
      </c>
      <c r="BW62" s="259" t="n">
        <f aca="false">Model!BW545</f>
        <v>-190.20825030936</v>
      </c>
      <c r="BX62" s="259" t="n">
        <f aca="false">Model!BX545</f>
        <v>-1322.70126049014</v>
      </c>
      <c r="BY62" s="261" t="n">
        <f aca="false">Model!BY545</f>
        <v>295.599307709786</v>
      </c>
      <c r="BZ62" s="261" t="n">
        <f aca="false">Model!BZ545</f>
        <v>1389.06644360208</v>
      </c>
      <c r="CA62" s="261" t="n">
        <f aca="false">Model!CA545</f>
        <v>413.771835529659</v>
      </c>
      <c r="CB62" s="261" t="n">
        <f aca="false">Model!CB545</f>
        <v>439.006118232008</v>
      </c>
      <c r="CC62" s="48"/>
    </row>
    <row r="63" s="51" customFormat="true" ht="15" hidden="false" customHeight="true" outlineLevel="0" collapsed="false">
      <c r="A63" s="252" t="s">
        <v>460</v>
      </c>
      <c r="B63" s="266"/>
      <c r="C63" s="267" t="n">
        <f aca="false">SUM(C61:C62)</f>
        <v>99.194</v>
      </c>
      <c r="D63" s="267" t="n">
        <f aca="false">SUM(D61:D62)</f>
        <v>940.048</v>
      </c>
      <c r="E63" s="267" t="n">
        <f aca="false">SUM(E61:E62)</f>
        <v>2070.44</v>
      </c>
      <c r="F63" s="267" t="n">
        <f aca="false">SUM(F61:F62)</f>
        <v>703.478</v>
      </c>
      <c r="G63" s="267" t="n">
        <f aca="false">SUM(G61:G62)</f>
        <v>1054.173</v>
      </c>
      <c r="H63" s="268" t="n">
        <f aca="false">SUM(H61:H62)</f>
        <v>203.4</v>
      </c>
      <c r="I63" s="268" t="n">
        <f aca="false">SUM(I61:I62)</f>
        <v>198.4</v>
      </c>
      <c r="J63" s="268" t="n">
        <f aca="false">SUM(J61:J62)</f>
        <v>214.2</v>
      </c>
      <c r="K63" s="268" t="n">
        <f aca="false">SUM(K61:K62)</f>
        <v>409.206</v>
      </c>
      <c r="L63" s="267" t="n">
        <f aca="false">SUM(L61:L62)</f>
        <v>1025.206</v>
      </c>
      <c r="M63" s="268" t="n">
        <f aca="false">SUM(M61:M62)</f>
        <v>337.2</v>
      </c>
      <c r="N63" s="268" t="n">
        <f aca="false">SUM(N61:N62)</f>
        <v>283.8</v>
      </c>
      <c r="O63" s="268" t="n">
        <f aca="false">SUM(O61:O62)</f>
        <v>419.8</v>
      </c>
      <c r="P63" s="268" t="n">
        <f aca="false">SUM(P61:P62)</f>
        <v>984.78</v>
      </c>
      <c r="Q63" s="267" t="n">
        <f aca="false">SUM(Q61:Q62)</f>
        <v>2025.58</v>
      </c>
      <c r="R63" s="268" t="n">
        <f aca="false">SUM(R61:R62)</f>
        <v>-5.80000000000001</v>
      </c>
      <c r="S63" s="268" t="n">
        <f aca="false">SUM(S61:S62)</f>
        <v>481.1</v>
      </c>
      <c r="T63" s="268" t="n">
        <f aca="false">SUM(T61:T62)</f>
        <v>-2.69999999999993</v>
      </c>
      <c r="U63" s="268" t="n">
        <f aca="false">SUM(U61:U62)</f>
        <v>1193.3</v>
      </c>
      <c r="V63" s="267" t="n">
        <f aca="false">SUM(V61:V62)</f>
        <v>1665.9</v>
      </c>
      <c r="W63" s="268" t="n">
        <f aca="false">SUM(W61:W62)</f>
        <v>-168.4</v>
      </c>
      <c r="X63" s="268" t="n">
        <f aca="false">SUM(X61:X62)</f>
        <v>530.3</v>
      </c>
      <c r="Y63" s="268" t="n">
        <f aca="false">SUM(Y61:Y62)</f>
        <v>400</v>
      </c>
      <c r="Z63" s="268" t="n">
        <f aca="false">SUM(Z61:Z62)</f>
        <v>1036.7</v>
      </c>
      <c r="AA63" s="267" t="n">
        <f aca="false">SUM(AA61:AA62)</f>
        <v>1798.6</v>
      </c>
      <c r="AB63" s="268" t="n">
        <f aca="false">SUM(AB61:AB62)</f>
        <v>191</v>
      </c>
      <c r="AC63" s="268" t="n">
        <f aca="false">SUM(AC61:AC62)</f>
        <v>759.1</v>
      </c>
      <c r="AD63" s="268" t="n">
        <f aca="false">SUM(AD61:AD62)</f>
        <v>492.2</v>
      </c>
      <c r="AE63" s="268" t="n">
        <f aca="false">SUM(AE61:AE62)</f>
        <v>1630.4</v>
      </c>
      <c r="AF63" s="267" t="n">
        <f aca="false">SUM(AF61:AF62)</f>
        <v>3072.7</v>
      </c>
      <c r="AG63" s="268" t="n">
        <f aca="false">SUM(AG61:AG62)</f>
        <v>-480.8</v>
      </c>
      <c r="AH63" s="268" t="n">
        <f aca="false">SUM(AH61:AH62)</f>
        <v>99.5</v>
      </c>
      <c r="AI63" s="268" t="n">
        <f aca="false">SUM(AI61:AI62)</f>
        <v>69.4</v>
      </c>
      <c r="AJ63" s="268" t="n">
        <f aca="false">SUM(AJ61:AJ62)</f>
        <v>3588.3</v>
      </c>
      <c r="AK63" s="267" t="n">
        <f aca="false">SUM(AK61:AK62)</f>
        <v>3276.4</v>
      </c>
      <c r="AL63" s="268" t="n">
        <f aca="false">SUM(AL61:AL62)</f>
        <v>-605.8</v>
      </c>
      <c r="AM63" s="268" t="n">
        <f aca="false">SUM(AM61:AM62)</f>
        <v>371.9</v>
      </c>
      <c r="AN63" s="268" t="n">
        <f aca="false">SUM(AN61:AN62)</f>
        <v>191.1</v>
      </c>
      <c r="AO63" s="268" t="n">
        <f aca="false">SUM(AO61:AO62)</f>
        <v>4670.4</v>
      </c>
      <c r="AP63" s="267" t="n">
        <f aca="false">SUM(AP61:AP62)</f>
        <v>4627.6</v>
      </c>
      <c r="AQ63" s="268" t="n">
        <f aca="false">SUM(AQ61:AQ62)</f>
        <v>-941.7</v>
      </c>
      <c r="AR63" s="268" t="n">
        <f aca="false">SUM(AR61:AR62)</f>
        <v>3568.9</v>
      </c>
      <c r="AS63" s="268" t="n">
        <f aca="false">SUM(AS61:AS62)</f>
        <v>1801.6</v>
      </c>
      <c r="AT63" s="268" t="n">
        <f aca="false">SUM(AT61:AT62)</f>
        <v>6417</v>
      </c>
      <c r="AU63" s="267" t="n">
        <f aca="false">SUM(AU61:AU62)</f>
        <v>10845.8</v>
      </c>
      <c r="AV63" s="268" t="n">
        <f aca="false">SUM(AV61:AV62)</f>
        <v>-586.1</v>
      </c>
      <c r="AW63" s="268" t="n">
        <f aca="false">SUM(AW61:AW62)</f>
        <v>2552.9</v>
      </c>
      <c r="AX63" s="268" t="n">
        <f aca="false">SUM(AX61:AX62)</f>
        <v>1169.5</v>
      </c>
      <c r="AY63" s="268" t="n">
        <f aca="false">SUM(AY61:AY62)</f>
        <v>5350.5</v>
      </c>
      <c r="AZ63" s="267" t="n">
        <f aca="false">SUM(AZ61:AZ62)</f>
        <v>8486.8</v>
      </c>
      <c r="BA63" s="268" t="n">
        <f aca="false">SUM(BA61:BA62)</f>
        <v>733.6</v>
      </c>
      <c r="BB63" s="268" t="n">
        <f aca="false">SUM(BB61:BB62)</f>
        <v>384.7</v>
      </c>
      <c r="BC63" s="268" t="n">
        <f aca="false">SUM(BC61:BC62)</f>
        <v>1128.1</v>
      </c>
      <c r="BD63" s="268" t="n">
        <f aca="false">SUM(BD61:BD62)</f>
        <v>3197</v>
      </c>
      <c r="BE63" s="267" t="n">
        <f aca="false">SUM(BE61:BE62)</f>
        <v>5443.4</v>
      </c>
      <c r="BF63" s="268" t="n">
        <f aca="false">SUM(BF61:BF62)</f>
        <v>-251.9</v>
      </c>
      <c r="BG63" s="268" t="n">
        <f aca="false">SUM(BG61:BG62)</f>
        <v>923.4</v>
      </c>
      <c r="BH63" s="268" t="n">
        <f aca="false">SUM(BH61:BH62)</f>
        <v>949.9</v>
      </c>
      <c r="BI63" s="268" t="n">
        <f aca="false">SUM(BI61:BI62)</f>
        <v>9544.8</v>
      </c>
      <c r="BJ63" s="267" t="n">
        <f aca="false">SUM(BJ61:BJ62)</f>
        <v>11166.2</v>
      </c>
      <c r="BK63" s="268" t="n">
        <f aca="false">SUM(BK61:BK62)</f>
        <v>-58.6000000000004</v>
      </c>
      <c r="BL63" s="268" t="n">
        <f aca="false">SUM(BL61:BL62)</f>
        <v>747.700000000001</v>
      </c>
      <c r="BM63" s="268" t="n">
        <f aca="false">SUM(BM61:BM62)</f>
        <v>559.1</v>
      </c>
      <c r="BN63" s="268" t="n">
        <f aca="false">SUM(BN61:BN62)</f>
        <v>11410.3</v>
      </c>
      <c r="BO63" s="269" t="n">
        <f aca="false">SUM(BO61:BO62)</f>
        <v>12658.5</v>
      </c>
      <c r="BP63" s="268" t="n">
        <f aca="false">SUM(BP61:BP62)</f>
        <v>4732.33331082869</v>
      </c>
      <c r="BQ63" s="268" t="n">
        <f aca="false">SUM(BQ61:BQ62)</f>
        <v>2935.06153903595</v>
      </c>
      <c r="BR63" s="268" t="n">
        <f aca="false">SUM(BR61:BR62)</f>
        <v>3017.16388174133</v>
      </c>
      <c r="BS63" s="268" t="n">
        <f aca="false">SUM(BS61:BS62)</f>
        <v>1880.15160842435</v>
      </c>
      <c r="BT63" s="267" t="n">
        <f aca="false">SUM(BT61:BT62)</f>
        <v>12564.7103400303</v>
      </c>
      <c r="BU63" s="268" t="n">
        <f aca="false">SUM(BU61:BU62)</f>
        <v>4954.56435515345</v>
      </c>
      <c r="BV63" s="268" t="n">
        <f aca="false">SUM(BV61:BV62)</f>
        <v>3210.99838981037</v>
      </c>
      <c r="BW63" s="268" t="n">
        <f aca="false">SUM(BW61:BW62)</f>
        <v>3196.35289602693</v>
      </c>
      <c r="BX63" s="268" t="n">
        <f aca="false">SUM(BX61:BX62)</f>
        <v>2207.0371814397</v>
      </c>
      <c r="BY63" s="267" t="n">
        <f aca="false">SUM(BY61:BY62)</f>
        <v>13568.9528224304</v>
      </c>
      <c r="BZ63" s="267" t="n">
        <f aca="false">SUM(BZ61:BZ62)</f>
        <v>17120.2624539768</v>
      </c>
      <c r="CA63" s="267" t="n">
        <f aca="false">SUM(CA61:CA62)</f>
        <v>17066.5783974526</v>
      </c>
      <c r="CB63" s="267" t="n">
        <f aca="false">SUM(CB61:CB62)</f>
        <v>18091.4160520722</v>
      </c>
      <c r="CC63" s="48"/>
    </row>
    <row r="64" s="51" customFormat="true" ht="15" hidden="false" customHeight="true" outlineLevel="0" collapsed="false">
      <c r="A64" s="251" t="str">
        <f aca="false">INDEX(MO_CFSum_Capex,0,COLUMN())</f>
        <v>Capex</v>
      </c>
      <c r="B64" s="257"/>
      <c r="C64" s="261" t="n">
        <f aca="false">INDEX(MO_CFSum_Capex,0,COLUMN())</f>
        <v>-104.959</v>
      </c>
      <c r="D64" s="261" t="n">
        <f aca="false">INDEX(MO_CFSum_Capex,0,COLUMN())</f>
        <v>-128.728</v>
      </c>
      <c r="E64" s="261" t="n">
        <f aca="false">INDEX(MO_CFSum_Capex,0,COLUMN())</f>
        <v>-300.898</v>
      </c>
      <c r="F64" s="261" t="n">
        <f aca="false">INDEX(MO_CFSum_Capex,0,COLUMN())</f>
        <v>-179.536</v>
      </c>
      <c r="G64" s="261" t="n">
        <f aca="false">INDEX(MO_CFSum_Capex,0,COLUMN())</f>
        <v>-214.804</v>
      </c>
      <c r="H64" s="259" t="n">
        <f aca="false">INDEX(MO_CFSum_Capex,0,COLUMN())</f>
        <v>-75.5</v>
      </c>
      <c r="I64" s="259" t="n">
        <f aca="false">INDEX(MO_CFSum_Capex,0,COLUMN())</f>
        <v>-73.7</v>
      </c>
      <c r="J64" s="259" t="n">
        <f aca="false">INDEX(MO_CFSum_Capex,0,COLUMN())</f>
        <v>-84.2</v>
      </c>
      <c r="K64" s="259" t="n">
        <f aca="false">INDEX(MO_CFSum_Capex,0,COLUMN())</f>
        <v>-127.832</v>
      </c>
      <c r="L64" s="261" t="n">
        <f aca="false">INDEX(MO_CFSum_Capex,0,COLUMN())</f>
        <v>-361.232</v>
      </c>
      <c r="M64" s="259" t="n">
        <f aca="false">INDEX(MO_CFSum_Capex,0,COLUMN())</f>
        <v>-86.7</v>
      </c>
      <c r="N64" s="259" t="n">
        <f aca="false">INDEX(MO_CFSum_Capex,0,COLUMN())</f>
        <v>-79.2</v>
      </c>
      <c r="O64" s="259" t="n">
        <f aca="false">INDEX(MO_CFSum_Capex,0,COLUMN())</f>
        <v>-86.5</v>
      </c>
      <c r="P64" s="259" t="n">
        <f aca="false">INDEX(MO_CFSum_Capex,0,COLUMN())</f>
        <v>-120.478</v>
      </c>
      <c r="Q64" s="261" t="n">
        <f aca="false">INDEX(MO_CFSum_Capex,0,COLUMN())</f>
        <v>-372.878</v>
      </c>
      <c r="R64" s="259" t="n">
        <f aca="false">INDEX(MO_CFSum_Capex,0,COLUMN())</f>
        <v>-58.8</v>
      </c>
      <c r="S64" s="259" t="n">
        <f aca="false">INDEX(MO_CFSum_Capex,0,COLUMN())</f>
        <v>-100.2</v>
      </c>
      <c r="T64" s="259" t="n">
        <f aca="false">INDEX(MO_CFSum_Capex,0,COLUMN())</f>
        <v>-68.9</v>
      </c>
      <c r="U64" s="259" t="n">
        <f aca="false">INDEX(MO_CFSum_Capex,0,COLUMN())</f>
        <v>-96.8</v>
      </c>
      <c r="V64" s="261" t="n">
        <f aca="false">INDEX(MO_CFSum_Capex,0,COLUMN())</f>
        <v>-324.7</v>
      </c>
      <c r="W64" s="259" t="n">
        <f aca="false">INDEX(MO_CFSum_Capex,0,COLUMN())</f>
        <v>-43.8</v>
      </c>
      <c r="X64" s="259" t="n">
        <f aca="false">INDEX(MO_CFSum_Capex,0,COLUMN())</f>
        <v>-61.3</v>
      </c>
      <c r="Y64" s="259" t="n">
        <f aca="false">INDEX(MO_CFSum_Capex,0,COLUMN())</f>
        <v>-97.8</v>
      </c>
      <c r="Z64" s="259" t="n">
        <f aca="false">INDEX(MO_CFSum_Capex,0,COLUMN())</f>
        <v>-155.1</v>
      </c>
      <c r="AA64" s="261" t="n">
        <f aca="false">INDEX(MO_CFSum_Capex,0,COLUMN())</f>
        <v>-358</v>
      </c>
      <c r="AB64" s="259" t="n">
        <f aca="false">INDEX(MO_CFSum_Capex,0,COLUMN())</f>
        <v>-135.3</v>
      </c>
      <c r="AC64" s="259" t="n">
        <f aca="false">INDEX(MO_CFSum_Capex,0,COLUMN())</f>
        <v>-135.4</v>
      </c>
      <c r="AD64" s="259" t="n">
        <f aca="false">INDEX(MO_CFSum_Capex,0,COLUMN())</f>
        <v>-134.3</v>
      </c>
      <c r="AE64" s="259" t="n">
        <f aca="false">INDEX(MO_CFSum_Capex,0,COLUMN())</f>
        <v>-204.5</v>
      </c>
      <c r="AF64" s="261" t="n">
        <f aca="false">INDEX(MO_CFSum_Capex,0,COLUMN())</f>
        <v>-609.5</v>
      </c>
      <c r="AG64" s="259" t="n">
        <f aca="false">INDEX(MO_CFSum_Capex,0,COLUMN())</f>
        <v>-233.7</v>
      </c>
      <c r="AH64" s="259" t="n">
        <f aca="false">INDEX(MO_CFSum_Capex,0,COLUMN())</f>
        <v>-140</v>
      </c>
      <c r="AI64" s="259" t="n">
        <f aca="false">INDEX(MO_CFSum_Capex,0,COLUMN())</f>
        <v>-197</v>
      </c>
      <c r="AJ64" s="259" t="n">
        <f aca="false">INDEX(MO_CFSum_Capex,0,COLUMN())</f>
        <v>-315.2</v>
      </c>
      <c r="AK64" s="261" t="n">
        <f aca="false">INDEX(MO_CFSum_Capex,0,COLUMN())</f>
        <v>-885.9</v>
      </c>
      <c r="AL64" s="259" t="n">
        <f aca="false">INDEX(MO_CFSum_Capex,0,COLUMN())</f>
        <v>-242.3</v>
      </c>
      <c r="AM64" s="259" t="n">
        <f aca="false">INDEX(MO_CFSum_Capex,0,COLUMN())</f>
        <v>-231.8</v>
      </c>
      <c r="AN64" s="259" t="n">
        <f aca="false">INDEX(MO_CFSum_Capex,0,COLUMN())</f>
        <v>-221.6</v>
      </c>
      <c r="AO64" s="259" t="n">
        <f aca="false">INDEX(MO_CFSum_Capex,0,COLUMN())</f>
        <v>-305.1</v>
      </c>
      <c r="AP64" s="261" t="n">
        <f aca="false">INDEX(MO_CFSum_Capex,0,COLUMN())</f>
        <v>-1000.8</v>
      </c>
      <c r="AQ64" s="259" t="n">
        <f aca="false">INDEX(MO_CFSum_Capex,0,COLUMN())</f>
        <v>-197.3</v>
      </c>
      <c r="AR64" s="259" t="n">
        <f aca="false">INDEX(MO_CFSum_Capex,0,COLUMN())</f>
        <v>-247.4</v>
      </c>
      <c r="AS64" s="259" t="n">
        <f aca="false">INDEX(MO_CFSum_Capex,0,COLUMN())</f>
        <v>-205</v>
      </c>
      <c r="AT64" s="259" t="n">
        <f aca="false">INDEX(MO_CFSum_Capex,0,COLUMN())</f>
        <v>-290.6</v>
      </c>
      <c r="AU64" s="261" t="n">
        <f aca="false">INDEX(MO_CFSum_Capex,0,COLUMN())</f>
        <v>-940.3</v>
      </c>
      <c r="AV64" s="259" t="n">
        <f aca="false">INDEX(MO_CFSum_Capex,0,COLUMN())</f>
        <v>-251.6</v>
      </c>
      <c r="AW64" s="259" t="n">
        <f aca="false">INDEX(MO_CFSum_Capex,0,COLUMN())</f>
        <v>-237.5</v>
      </c>
      <c r="AX64" s="259" t="n">
        <f aca="false">INDEX(MO_CFSum_Capex,0,COLUMN())</f>
        <v>-364.3</v>
      </c>
      <c r="AY64" s="259" t="n">
        <f aca="false">INDEX(MO_CFSum_Capex,0,COLUMN())</f>
        <v>-465.9</v>
      </c>
      <c r="AZ64" s="261" t="n">
        <f aca="false">INDEX(MO_CFSum_Capex,0,COLUMN())</f>
        <v>-1319.3</v>
      </c>
      <c r="BA64" s="259" t="n">
        <f aca="false">INDEX(MO_CFSum_Capex,0,COLUMN())</f>
        <v>-539.4</v>
      </c>
      <c r="BB64" s="259" t="n">
        <f aca="false">INDEX(MO_CFSum_Capex,0,COLUMN())</f>
        <v>-544.4</v>
      </c>
      <c r="BC64" s="259" t="n">
        <f aca="false">INDEX(MO_CFSum_Capex,0,COLUMN())</f>
        <v>-510.1</v>
      </c>
      <c r="BD64" s="259" t="n">
        <f aca="false">INDEX(MO_CFSum_Capex,0,COLUMN())</f>
        <v>-602.3</v>
      </c>
      <c r="BE64" s="261" t="n">
        <f aca="false">INDEX(MO_CFSum_Capex,0,COLUMN())</f>
        <v>-2196.2</v>
      </c>
      <c r="BF64" s="259" t="n">
        <f aca="false">INDEX(MO_CFSum_Capex,0,COLUMN())</f>
        <v>-423.8</v>
      </c>
      <c r="BG64" s="259" t="n">
        <f aca="false">INDEX(MO_CFSum_Capex,0,COLUMN())</f>
        <v>-538</v>
      </c>
      <c r="BH64" s="259" t="n">
        <f aca="false">INDEX(MO_CFSum_Capex,0,COLUMN())</f>
        <v>-415.8</v>
      </c>
      <c r="BI64" s="259" t="n">
        <f aca="false">INDEX(MO_CFSum_Capex,0,COLUMN())</f>
        <v>-705.5</v>
      </c>
      <c r="BJ64" s="261" t="n">
        <f aca="false">INDEX(MO_CFSum_Capex,0,COLUMN())</f>
        <v>-2083.1</v>
      </c>
      <c r="BK64" s="259" t="n">
        <f aca="false">INDEX(MO_CFSum_Capex,0,COLUMN())</f>
        <v>-416.5</v>
      </c>
      <c r="BL64" s="259" t="n">
        <f aca="false">INDEX(MO_CFSum_Capex,0,COLUMN())</f>
        <v>-428.9</v>
      </c>
      <c r="BM64" s="259" t="n">
        <f aca="false">INDEX(MO_CFSum_Capex,0,COLUMN())</f>
        <v>-315.4</v>
      </c>
      <c r="BN64" s="259" t="n">
        <f aca="false">INDEX(MO_CFSum_Capex,0,COLUMN())</f>
        <v>-470.4</v>
      </c>
      <c r="BO64" s="260" t="n">
        <f aca="false">INDEX(MO_CFSum_Capex,0,COLUMN())</f>
        <v>-1631.2</v>
      </c>
      <c r="BP64" s="259" t="n">
        <f aca="false">INDEX(MO_CFSum_Capex,0,COLUMN())</f>
        <v>-130.75</v>
      </c>
      <c r="BQ64" s="259" t="n">
        <f aca="false">INDEX(MO_CFSum_Capex,0,COLUMN())</f>
        <v>-130.75</v>
      </c>
      <c r="BR64" s="259" t="n">
        <f aca="false">INDEX(MO_CFSum_Capex,0,COLUMN())</f>
        <v>-130.75</v>
      </c>
      <c r="BS64" s="259" t="n">
        <f aca="false">INDEX(MO_CFSum_Capex,0,COLUMN())</f>
        <v>-130.75</v>
      </c>
      <c r="BT64" s="261" t="n">
        <f aca="false">INDEX(MO_CFSum_Capex,0,COLUMN())</f>
        <v>-523</v>
      </c>
      <c r="BU64" s="259" t="n">
        <f aca="false">INDEX(MO_CFSum_Capex,0,COLUMN())</f>
        <v>-130.75</v>
      </c>
      <c r="BV64" s="259" t="n">
        <f aca="false">INDEX(MO_CFSum_Capex,0,COLUMN())</f>
        <v>-130.75</v>
      </c>
      <c r="BW64" s="259" t="n">
        <f aca="false">INDEX(MO_CFSum_Capex,0,COLUMN())</f>
        <v>-130.75</v>
      </c>
      <c r="BX64" s="259" t="n">
        <f aca="false">INDEX(MO_CFSum_Capex,0,COLUMN())</f>
        <v>-130.75</v>
      </c>
      <c r="BY64" s="261" t="n">
        <f aca="false">INDEX(MO_CFSum_Capex,0,COLUMN())</f>
        <v>-523</v>
      </c>
      <c r="BZ64" s="261" t="n">
        <f aca="false">INDEX(MO_CFSum_Capex,0,COLUMN())</f>
        <v>-600</v>
      </c>
      <c r="CA64" s="261" t="n">
        <f aca="false">INDEX(MO_CFSum_Capex,0,COLUMN())</f>
        <v>-600</v>
      </c>
      <c r="CB64" s="261" t="n">
        <f aca="false">INDEX(MO_CFSum_Capex,0,COLUMN())</f>
        <v>-600</v>
      </c>
      <c r="CC64" s="48"/>
    </row>
    <row r="65" s="157" customFormat="true" ht="15" hidden="false" customHeight="true" outlineLevel="0" collapsed="false">
      <c r="A65" s="151" t="s">
        <v>805</v>
      </c>
      <c r="B65" s="393"/>
      <c r="C65" s="162" t="n">
        <f aca="false">SUM(C63:C64)</f>
        <v>-5.76500000000004</v>
      </c>
      <c r="D65" s="162" t="n">
        <f aca="false">SUM(D63:D64)</f>
        <v>811.32</v>
      </c>
      <c r="E65" s="162" t="n">
        <f aca="false">SUM(E63:E64)</f>
        <v>1769.542</v>
      </c>
      <c r="F65" s="162" t="n">
        <f aca="false">SUM(F63:F64)</f>
        <v>523.942</v>
      </c>
      <c r="G65" s="162" t="n">
        <f aca="false">SUM(G63:G64)</f>
        <v>839.369</v>
      </c>
      <c r="H65" s="163" t="n">
        <f aca="false">SUM(H63:H64)</f>
        <v>127.9</v>
      </c>
      <c r="I65" s="163" t="n">
        <f aca="false">SUM(I63:I64)</f>
        <v>124.7</v>
      </c>
      <c r="J65" s="163" t="n">
        <f aca="false">SUM(J63:J64)</f>
        <v>130</v>
      </c>
      <c r="K65" s="163" t="n">
        <f aca="false">SUM(K63:K64)</f>
        <v>281.374</v>
      </c>
      <c r="L65" s="162" t="n">
        <f aca="false">SUM(L63:L64)</f>
        <v>663.974</v>
      </c>
      <c r="M65" s="163" t="n">
        <f aca="false">SUM(M63:M64)</f>
        <v>250.5</v>
      </c>
      <c r="N65" s="163" t="n">
        <f aca="false">SUM(N63:N64)</f>
        <v>204.6</v>
      </c>
      <c r="O65" s="163" t="n">
        <f aca="false">SUM(O63:O64)</f>
        <v>333.3</v>
      </c>
      <c r="P65" s="163" t="n">
        <f aca="false">SUM(P63:P64)</f>
        <v>864.302</v>
      </c>
      <c r="Q65" s="162" t="n">
        <f aca="false">SUM(Q63:Q64)</f>
        <v>1652.702</v>
      </c>
      <c r="R65" s="163" t="n">
        <f aca="false">SUM(R63:R64)</f>
        <v>-64.6</v>
      </c>
      <c r="S65" s="163" t="n">
        <f aca="false">SUM(S63:S64)</f>
        <v>380.9</v>
      </c>
      <c r="T65" s="163" t="n">
        <f aca="false">SUM(T63:T64)</f>
        <v>-71.5999999999999</v>
      </c>
      <c r="U65" s="163" t="n">
        <f aca="false">SUM(U63:U64)</f>
        <v>1096.5</v>
      </c>
      <c r="V65" s="162" t="n">
        <f aca="false">SUM(V63:V64)</f>
        <v>1341.2</v>
      </c>
      <c r="W65" s="163" t="n">
        <f aca="false">SUM(W63:W64)</f>
        <v>-212.2</v>
      </c>
      <c r="X65" s="163" t="n">
        <f aca="false">SUM(X63:X64)</f>
        <v>469</v>
      </c>
      <c r="Y65" s="163" t="n">
        <f aca="false">SUM(Y63:Y64)</f>
        <v>302.2</v>
      </c>
      <c r="Z65" s="163" t="n">
        <f aca="false">SUM(Z63:Z64)</f>
        <v>881.6</v>
      </c>
      <c r="AA65" s="162" t="n">
        <f aca="false">SUM(AA63:AA64)</f>
        <v>1440.6</v>
      </c>
      <c r="AB65" s="163" t="n">
        <f aca="false">SUM(AB63:AB64)</f>
        <v>55.7</v>
      </c>
      <c r="AC65" s="163" t="n">
        <f aca="false">SUM(AC63:AC64)</f>
        <v>623.7</v>
      </c>
      <c r="AD65" s="163" t="n">
        <f aca="false">SUM(AD63:AD64)</f>
        <v>357.9</v>
      </c>
      <c r="AE65" s="163" t="n">
        <f aca="false">SUM(AE63:AE64)</f>
        <v>1425.9</v>
      </c>
      <c r="AF65" s="162" t="n">
        <f aca="false">SUM(AF63:AF64)</f>
        <v>2463.2</v>
      </c>
      <c r="AG65" s="163" t="n">
        <f aca="false">SUM(AG63:AG64)</f>
        <v>-714.5</v>
      </c>
      <c r="AH65" s="163" t="n">
        <f aca="false">SUM(AH63:AH64)</f>
        <v>-40.5</v>
      </c>
      <c r="AI65" s="163" t="n">
        <f aca="false">SUM(AI63:AI64)</f>
        <v>-127.6</v>
      </c>
      <c r="AJ65" s="163" t="n">
        <f aca="false">SUM(AJ63:AJ64)</f>
        <v>3273.1</v>
      </c>
      <c r="AK65" s="162" t="n">
        <f aca="false">SUM(AK63:AK64)</f>
        <v>2390.5</v>
      </c>
      <c r="AL65" s="163" t="n">
        <f aca="false">SUM(AL63:AL64)</f>
        <v>-848.1</v>
      </c>
      <c r="AM65" s="163" t="n">
        <f aca="false">SUM(AM63:AM64)</f>
        <v>140.1</v>
      </c>
      <c r="AN65" s="163" t="n">
        <f aca="false">SUM(AN63:AN64)</f>
        <v>-30.4999999999999</v>
      </c>
      <c r="AO65" s="163" t="n">
        <f aca="false">SUM(AO63:AO64)</f>
        <v>4365.3</v>
      </c>
      <c r="AP65" s="162" t="n">
        <f aca="false">SUM(AP63:AP64)</f>
        <v>3626.8</v>
      </c>
      <c r="AQ65" s="163" t="n">
        <f aca="false">SUM(AQ63:AQ64)</f>
        <v>-1139</v>
      </c>
      <c r="AR65" s="163" t="n">
        <f aca="false">SUM(AR63:AR64)</f>
        <v>3321.5</v>
      </c>
      <c r="AS65" s="163" t="n">
        <f aca="false">SUM(AS63:AS64)</f>
        <v>1596.6</v>
      </c>
      <c r="AT65" s="163" t="n">
        <f aca="false">SUM(AT63:AT64)</f>
        <v>6126.4</v>
      </c>
      <c r="AU65" s="162" t="n">
        <f aca="false">SUM(AU63:AU64)</f>
        <v>9905.5</v>
      </c>
      <c r="AV65" s="163" t="n">
        <f aca="false">SUM(AV63:AV64)</f>
        <v>-837.7</v>
      </c>
      <c r="AW65" s="163" t="n">
        <f aca="false">SUM(AW63:AW64)</f>
        <v>2315.4</v>
      </c>
      <c r="AX65" s="163" t="n">
        <f aca="false">SUM(AX63:AX64)</f>
        <v>805.2</v>
      </c>
      <c r="AY65" s="163" t="n">
        <f aca="false">SUM(AY63:AY64)</f>
        <v>4884.6</v>
      </c>
      <c r="AZ65" s="162" t="n">
        <f aca="false">SUM(AZ63:AZ64)</f>
        <v>7167.5</v>
      </c>
      <c r="BA65" s="163" t="n">
        <f aca="false">SUM(BA63:BA64)</f>
        <v>194.2</v>
      </c>
      <c r="BB65" s="163" t="n">
        <f aca="false">SUM(BB63:BB64)</f>
        <v>-159.7</v>
      </c>
      <c r="BC65" s="163" t="n">
        <f aca="false">SUM(BC63:BC64)</f>
        <v>618</v>
      </c>
      <c r="BD65" s="163" t="n">
        <f aca="false">SUM(BD63:BD64)</f>
        <v>2594.7</v>
      </c>
      <c r="BE65" s="162" t="n">
        <f aca="false">SUM(BE63:BE64)</f>
        <v>3247.2</v>
      </c>
      <c r="BF65" s="163" t="n">
        <f aca="false">SUM(BF63:BF64)</f>
        <v>-675.7</v>
      </c>
      <c r="BG65" s="163" t="n">
        <f aca="false">SUM(BG63:BG64)</f>
        <v>385.4</v>
      </c>
      <c r="BH65" s="163" t="n">
        <f aca="false">SUM(BH63:BH64)</f>
        <v>534.1</v>
      </c>
      <c r="BI65" s="163" t="n">
        <f aca="false">SUM(BI63:BI64)</f>
        <v>8839.3</v>
      </c>
      <c r="BJ65" s="162" t="n">
        <f aca="false">SUM(BJ63:BJ64)</f>
        <v>9083.1</v>
      </c>
      <c r="BK65" s="163" t="n">
        <f aca="false">SUM(BK63:BK64)</f>
        <v>-475.1</v>
      </c>
      <c r="BL65" s="163" t="n">
        <f aca="false">SUM(BL63:BL64)</f>
        <v>318.800000000001</v>
      </c>
      <c r="BM65" s="163" t="n">
        <f aca="false">SUM(BM63:BM64)</f>
        <v>243.7</v>
      </c>
      <c r="BN65" s="163" t="n">
        <f aca="false">SUM(BN63:BN64)</f>
        <v>10939.9</v>
      </c>
      <c r="BO65" s="164" t="n">
        <f aca="false">SUM(BO63:BO64)</f>
        <v>11027.3</v>
      </c>
      <c r="BP65" s="163" t="n">
        <f aca="false">SUM(BP63:BP64)</f>
        <v>4601.58331082869</v>
      </c>
      <c r="BQ65" s="163" t="n">
        <f aca="false">SUM(BQ63:BQ64)</f>
        <v>2804.31153903595</v>
      </c>
      <c r="BR65" s="163" t="n">
        <f aca="false">SUM(BR63:BR64)</f>
        <v>2886.41388174133</v>
      </c>
      <c r="BS65" s="163" t="n">
        <f aca="false">SUM(BS63:BS64)</f>
        <v>1749.40160842435</v>
      </c>
      <c r="BT65" s="162" t="n">
        <f aca="false">SUM(BT63:BT64)</f>
        <v>12041.7103400303</v>
      </c>
      <c r="BU65" s="163" t="n">
        <f aca="false">SUM(BU63:BU64)</f>
        <v>4823.81435515345</v>
      </c>
      <c r="BV65" s="163" t="n">
        <f aca="false">SUM(BV63:BV64)</f>
        <v>3080.24838981037</v>
      </c>
      <c r="BW65" s="163" t="n">
        <f aca="false">SUM(BW63:BW64)</f>
        <v>3065.60289602693</v>
      </c>
      <c r="BX65" s="163" t="n">
        <f aca="false">SUM(BX63:BX64)</f>
        <v>2076.2871814397</v>
      </c>
      <c r="BY65" s="162" t="n">
        <f aca="false">SUM(BY63:BY64)</f>
        <v>13045.9528224304</v>
      </c>
      <c r="BZ65" s="162" t="n">
        <f aca="false">SUM(BZ63:BZ64)</f>
        <v>16520.2624539768</v>
      </c>
      <c r="CA65" s="162" t="n">
        <f aca="false">SUM(CA63:CA64)</f>
        <v>16466.5783974526</v>
      </c>
      <c r="CB65" s="162" t="n">
        <f aca="false">SUM(CB63:CB64)</f>
        <v>17491.4160520722</v>
      </c>
      <c r="CC65" s="268"/>
    </row>
    <row r="66" s="51" customFormat="true" ht="15" hidden="false" customHeight="true" outlineLevel="0" collapsed="false">
      <c r="A66" s="251" t="str">
        <f aca="false">INDEX(MO_CFSum_Dividend,0,COLUMN())</f>
        <v>Dividend Paid</v>
      </c>
      <c r="B66" s="257"/>
      <c r="C66" s="261" t="n">
        <f aca="false">INDEX(MO_CFSum_Dividend,0,COLUMN())</f>
        <v>-86.486</v>
      </c>
      <c r="D66" s="261" t="n">
        <f aca="false">INDEX(MO_CFSum_Dividend,0,COLUMN())</f>
        <v>-86.96</v>
      </c>
      <c r="E66" s="261" t="n">
        <f aca="false">INDEX(MO_CFSum_Dividend,0,COLUMN())</f>
        <v>-172.645</v>
      </c>
      <c r="F66" s="261" t="n">
        <f aca="false">INDEX(MO_CFSum_Dividend,0,COLUMN())</f>
        <v>-188.892</v>
      </c>
      <c r="G66" s="261" t="n">
        <f aca="false">INDEX(MO_CFSum_Dividend,0,COLUMN())</f>
        <v>-216.085</v>
      </c>
      <c r="H66" s="259" t="n">
        <f aca="false">INDEX(MO_CFSum_Dividend,0,COLUMN())</f>
        <v>0</v>
      </c>
      <c r="I66" s="259" t="n">
        <f aca="false">INDEX(MO_CFSum_Dividend,0,COLUMN())</f>
        <v>-268</v>
      </c>
      <c r="J66" s="259" t="n">
        <f aca="false">INDEX(MO_CFSum_Dividend,0,COLUMN())</f>
        <v>0</v>
      </c>
      <c r="K66" s="259" t="n">
        <f aca="false">INDEX(MO_CFSum_Dividend,0,COLUMN())</f>
        <v>0.0380000000000109</v>
      </c>
      <c r="L66" s="261" t="n">
        <f aca="false">INDEX(MO_CFSum_Dividend,0,COLUMN())</f>
        <v>-267.962</v>
      </c>
      <c r="M66" s="259" t="n">
        <f aca="false">INDEX(MO_CFSum_Dividend,0,COLUMN())</f>
        <v>0</v>
      </c>
      <c r="N66" s="259" t="n">
        <f aca="false">INDEX(MO_CFSum_Dividend,0,COLUMN())</f>
        <v>-302.3</v>
      </c>
      <c r="O66" s="259" t="n">
        <f aca="false">INDEX(MO_CFSum_Dividend,0,COLUMN())</f>
        <v>0</v>
      </c>
      <c r="P66" s="259" t="n">
        <f aca="false">INDEX(MO_CFSum_Dividend,0,COLUMN())</f>
        <v>-0.00999999999999091</v>
      </c>
      <c r="Q66" s="261" t="n">
        <f aca="false">INDEX(MO_CFSum_Dividend,0,COLUMN())</f>
        <v>-302.31</v>
      </c>
      <c r="R66" s="259" t="n">
        <f aca="false">INDEX(MO_CFSum_Dividend,0,COLUMN())</f>
        <v>0</v>
      </c>
      <c r="S66" s="259" t="n">
        <f aca="false">INDEX(MO_CFSum_Dividend,0,COLUMN())</f>
        <v>-445.9</v>
      </c>
      <c r="T66" s="259" t="n">
        <f aca="false">INDEX(MO_CFSum_Dividend,0,COLUMN())</f>
        <v>0</v>
      </c>
      <c r="U66" s="259" t="n">
        <f aca="false">INDEX(MO_CFSum_Dividend,0,COLUMN())</f>
        <v>0</v>
      </c>
      <c r="V66" s="261" t="n">
        <f aca="false">INDEX(MO_CFSum_Dividend,0,COLUMN())</f>
        <v>-445.9</v>
      </c>
      <c r="W66" s="259" t="n">
        <f aca="false">INDEX(MO_CFSum_Dividend,0,COLUMN())</f>
        <v>0</v>
      </c>
      <c r="X66" s="259" t="n">
        <f aca="false">INDEX(MO_CFSum_Dividend,0,COLUMN())</f>
        <v>-516.7</v>
      </c>
      <c r="Y66" s="259" t="n">
        <f aca="false">INDEX(MO_CFSum_Dividend,0,COLUMN())</f>
        <v>0</v>
      </c>
      <c r="Z66" s="259" t="n">
        <f aca="false">INDEX(MO_CFSum_Dividend,0,COLUMN())</f>
        <v>0</v>
      </c>
      <c r="AA66" s="261" t="n">
        <f aca="false">INDEX(MO_CFSum_Dividend,0,COLUMN())</f>
        <v>-516.7</v>
      </c>
      <c r="AB66" s="259" t="n">
        <f aca="false">INDEX(MO_CFSum_Dividend,0,COLUMN())</f>
        <v>0</v>
      </c>
      <c r="AC66" s="259" t="n">
        <f aca="false">INDEX(MO_CFSum_Dividend,0,COLUMN())</f>
        <v>-597.1</v>
      </c>
      <c r="AD66" s="259" t="n">
        <f aca="false">INDEX(MO_CFSum_Dividend,0,COLUMN())</f>
        <v>0</v>
      </c>
      <c r="AE66" s="259" t="n">
        <f aca="false">INDEX(MO_CFSum_Dividend,0,COLUMN())</f>
        <v>0</v>
      </c>
      <c r="AF66" s="261" t="n">
        <f aca="false">INDEX(MO_CFSum_Dividend,0,COLUMN())</f>
        <v>-597.1</v>
      </c>
      <c r="AG66" s="259" t="n">
        <f aca="false">INDEX(MO_CFSum_Dividend,0,COLUMN())</f>
        <v>0</v>
      </c>
      <c r="AH66" s="259" t="n">
        <f aca="false">INDEX(MO_CFSum_Dividend,0,COLUMN())</f>
        <v>-884.4</v>
      </c>
      <c r="AI66" s="259" t="n">
        <f aca="false">INDEX(MO_CFSum_Dividend,0,COLUMN())</f>
        <v>0</v>
      </c>
      <c r="AJ66" s="259" t="n">
        <f aca="false">INDEX(MO_CFSum_Dividend,0,COLUMN())</f>
        <v>-441.3</v>
      </c>
      <c r="AK66" s="261" t="n">
        <f aca="false">INDEX(MO_CFSum_Dividend,0,COLUMN())</f>
        <v>-1325.7</v>
      </c>
      <c r="AL66" s="259" t="n">
        <f aca="false">INDEX(MO_CFSum_Dividend,0,COLUMN())</f>
        <v>0</v>
      </c>
      <c r="AM66" s="259" t="n">
        <f aca="false">INDEX(MO_CFSum_Dividend,0,COLUMN())</f>
        <v>-564.8</v>
      </c>
      <c r="AN66" s="259" t="n">
        <f aca="false">INDEX(MO_CFSum_Dividend,0,COLUMN())</f>
        <v>0</v>
      </c>
      <c r="AO66" s="259" t="n">
        <f aca="false">INDEX(MO_CFSum_Dividend,0,COLUMN())</f>
        <v>-501.6</v>
      </c>
      <c r="AP66" s="261" t="n">
        <f aca="false">INDEX(MO_CFSum_Dividend,0,COLUMN())</f>
        <v>-1066.4</v>
      </c>
      <c r="AQ66" s="259" t="n">
        <f aca="false">INDEX(MO_CFSum_Dividend,0,COLUMN())</f>
        <v>0</v>
      </c>
      <c r="AR66" s="259" t="n">
        <f aca="false">INDEX(MO_CFSum_Dividend,0,COLUMN())</f>
        <v>-639.1</v>
      </c>
      <c r="AS66" s="259" t="n">
        <f aca="false">INDEX(MO_CFSum_Dividend,0,COLUMN())</f>
        <v>0</v>
      </c>
      <c r="AT66" s="259" t="n">
        <f aca="false">INDEX(MO_CFSum_Dividend,0,COLUMN())</f>
        <v>-729.2</v>
      </c>
      <c r="AU66" s="261" t="n">
        <f aca="false">INDEX(MO_CFSum_Dividend,0,COLUMN())</f>
        <v>-1368.3</v>
      </c>
      <c r="AV66" s="259" t="n">
        <f aca="false">INDEX(MO_CFSum_Dividend,0,COLUMN())</f>
        <v>0</v>
      </c>
      <c r="AW66" s="259" t="n">
        <f aca="false">INDEX(MO_CFSum_Dividend,0,COLUMN())</f>
        <v>-1475.3</v>
      </c>
      <c r="AX66" s="259" t="n">
        <f aca="false">INDEX(MO_CFSum_Dividend,0,COLUMN())</f>
        <v>-543.4</v>
      </c>
      <c r="AY66" s="259" t="n">
        <f aca="false">INDEX(MO_CFSum_Dividend,0,COLUMN())</f>
        <v>-541.1</v>
      </c>
      <c r="AZ66" s="261" t="n">
        <f aca="false">INDEX(MO_CFSum_Dividend,0,COLUMN())</f>
        <v>-2559.8</v>
      </c>
      <c r="BA66" s="259" t="n">
        <f aca="false">INDEX(MO_CFSum_Dividend,0,COLUMN())</f>
        <v>-541.1</v>
      </c>
      <c r="BB66" s="259" t="n">
        <f aca="false">INDEX(MO_CFSum_Dividend,0,COLUMN())</f>
        <v>-666</v>
      </c>
      <c r="BC66" s="259" t="n">
        <f aca="false">INDEX(MO_CFSum_Dividend,0,COLUMN())</f>
        <v>-570.4</v>
      </c>
      <c r="BD66" s="259" t="n">
        <f aca="false">INDEX(MO_CFSum_Dividend,0,COLUMN())</f>
        <v>-570.8</v>
      </c>
      <c r="BE66" s="261" t="n">
        <f aca="false">INDEX(MO_CFSum_Dividend,0,COLUMN())</f>
        <v>-2348.3</v>
      </c>
      <c r="BF66" s="259" t="n">
        <f aca="false">INDEX(MO_CFSum_Dividend,0,COLUMN())</f>
        <v>-571</v>
      </c>
      <c r="BG66" s="259" t="n">
        <f aca="false">INDEX(MO_CFSum_Dividend,0,COLUMN())</f>
        <v>-688.3</v>
      </c>
      <c r="BH66" s="259" t="n">
        <f aca="false">INDEX(MO_CFSum_Dividend,0,COLUMN())</f>
        <v>-595.8</v>
      </c>
      <c r="BI66" s="259" t="n">
        <f aca="false">INDEX(MO_CFSum_Dividend,0,COLUMN())</f>
        <v>-597.8</v>
      </c>
      <c r="BJ66" s="261" t="n">
        <f aca="false">INDEX(MO_CFSum_Dividend,0,COLUMN())</f>
        <v>-2452.9</v>
      </c>
      <c r="BK66" s="259" t="n">
        <f aca="false">INDEX(MO_CFSum_Dividend,0,COLUMN())</f>
        <v>-597.2</v>
      </c>
      <c r="BL66" s="259" t="n">
        <f aca="false">INDEX(MO_CFSum_Dividend,0,COLUMN())</f>
        <v>-714.4</v>
      </c>
      <c r="BM66" s="259" t="n">
        <f aca="false">INDEX(MO_CFSum_Dividend,0,COLUMN())</f>
        <v>-619.6</v>
      </c>
      <c r="BN66" s="259" t="n">
        <f aca="false">INDEX(MO_CFSum_Dividend,0,COLUMN())</f>
        <v>-619.1</v>
      </c>
      <c r="BO66" s="260" t="n">
        <f aca="false">INDEX(MO_CFSum_Dividend,0,COLUMN())</f>
        <v>-2550.3</v>
      </c>
      <c r="BP66" s="259" t="n">
        <f aca="false">INDEX(MO_CFSum_Dividend,0,COLUMN())</f>
        <v>-621.63108</v>
      </c>
      <c r="BQ66" s="259" t="n">
        <f aca="false">INDEX(MO_CFSum_Dividend,0,COLUMN())</f>
        <v>-714.9472295742</v>
      </c>
      <c r="BR66" s="259" t="n">
        <f aca="false">INDEX(MO_CFSum_Dividend,0,COLUMN())</f>
        <v>-621.755412432311</v>
      </c>
      <c r="BS66" s="259" t="n">
        <f aca="false">INDEX(MO_CFSum_Dividend,0,COLUMN())</f>
        <v>-621.817587973554</v>
      </c>
      <c r="BT66" s="261" t="n">
        <f aca="false">INDEX(MO_CFSum_Dividend,0,COLUMN())</f>
        <v>-2580.15130998007</v>
      </c>
      <c r="BU66" s="259" t="n">
        <f aca="false">INDEX(MO_CFSum_Dividend,0,COLUMN())</f>
        <v>-621.879769732351</v>
      </c>
      <c r="BV66" s="259" t="n">
        <f aca="false">INDEX(MO_CFSum_Dividend,0,COLUMN())</f>
        <v>-715.233251365723</v>
      </c>
      <c r="BW66" s="259" t="n">
        <f aca="false">INDEX(MO_CFSum_Dividend,0,COLUMN())</f>
        <v>-622.004151905096</v>
      </c>
      <c r="BX66" s="259" t="n">
        <f aca="false">INDEX(MO_CFSum_Dividend,0,COLUMN())</f>
        <v>-622.066352320286</v>
      </c>
      <c r="BY66" s="261" t="n">
        <f aca="false">INDEX(MO_CFSum_Dividend,0,COLUMN())</f>
        <v>-2581.18352532346</v>
      </c>
      <c r="BZ66" s="261" t="n">
        <f aca="false">INDEX(MO_CFSum_Dividend,0,COLUMN())</f>
        <v>-2582.22077533057</v>
      </c>
      <c r="CA66" s="261" t="n">
        <f aca="false">INDEX(MO_CFSum_Dividend,0,COLUMN())</f>
        <v>-2583.2536636407</v>
      </c>
      <c r="CB66" s="261" t="n">
        <f aca="false">INDEX(MO_CFSum_Dividend,0,COLUMN())</f>
        <v>-2584.28696510615</v>
      </c>
      <c r="CC66" s="48"/>
    </row>
    <row r="67" s="157" customFormat="true" ht="15" hidden="false" customHeight="true" outlineLevel="0" collapsed="false">
      <c r="A67" s="151" t="s">
        <v>806</v>
      </c>
      <c r="B67" s="393"/>
      <c r="C67" s="162" t="n">
        <f aca="false">SUM(C65:C66)</f>
        <v>-92.2510000000001</v>
      </c>
      <c r="D67" s="162" t="n">
        <f aca="false">SUM(D65:D66)</f>
        <v>724.36</v>
      </c>
      <c r="E67" s="162" t="n">
        <f aca="false">SUM(E65:E66)</f>
        <v>1596.897</v>
      </c>
      <c r="F67" s="162" t="n">
        <f aca="false">SUM(F65:F66)</f>
        <v>335.05</v>
      </c>
      <c r="G67" s="162" t="n">
        <f aca="false">SUM(G65:G66)</f>
        <v>623.284</v>
      </c>
      <c r="H67" s="163" t="n">
        <f aca="false">SUM(H65:H66)</f>
        <v>127.9</v>
      </c>
      <c r="I67" s="163" t="n">
        <f aca="false">SUM(I65:I66)</f>
        <v>-143.3</v>
      </c>
      <c r="J67" s="163" t="n">
        <f aca="false">SUM(J65:J66)</f>
        <v>130</v>
      </c>
      <c r="K67" s="163" t="n">
        <f aca="false">SUM(K65:K66)</f>
        <v>281.412</v>
      </c>
      <c r="L67" s="162" t="n">
        <f aca="false">SUM(L65:L66)</f>
        <v>396.012</v>
      </c>
      <c r="M67" s="163" t="n">
        <f aca="false">SUM(M65:M66)</f>
        <v>250.5</v>
      </c>
      <c r="N67" s="163" t="n">
        <f aca="false">SUM(N65:N66)</f>
        <v>-97.7</v>
      </c>
      <c r="O67" s="163" t="n">
        <f aca="false">SUM(O65:O66)</f>
        <v>333.3</v>
      </c>
      <c r="P67" s="163" t="n">
        <f aca="false">SUM(P65:P66)</f>
        <v>864.292</v>
      </c>
      <c r="Q67" s="162" t="n">
        <f aca="false">SUM(Q65:Q66)</f>
        <v>1350.392</v>
      </c>
      <c r="R67" s="163" t="n">
        <f aca="false">SUM(R65:R66)</f>
        <v>-64.6</v>
      </c>
      <c r="S67" s="163" t="n">
        <f aca="false">SUM(S65:S66)</f>
        <v>-65</v>
      </c>
      <c r="T67" s="163" t="n">
        <f aca="false">SUM(T65:T66)</f>
        <v>-71.5999999999999</v>
      </c>
      <c r="U67" s="163" t="n">
        <f aca="false">SUM(U65:U66)</f>
        <v>1096.5</v>
      </c>
      <c r="V67" s="162" t="n">
        <f aca="false">SUM(V65:V66)</f>
        <v>895.3</v>
      </c>
      <c r="W67" s="163" t="n">
        <f aca="false">SUM(W65:W66)</f>
        <v>-212.2</v>
      </c>
      <c r="X67" s="163" t="n">
        <f aca="false">SUM(X65:X66)</f>
        <v>-47.7000000000001</v>
      </c>
      <c r="Y67" s="163" t="n">
        <f aca="false">SUM(Y65:Y66)</f>
        <v>302.2</v>
      </c>
      <c r="Z67" s="163" t="n">
        <f aca="false">SUM(Z65:Z66)</f>
        <v>881.6</v>
      </c>
      <c r="AA67" s="162" t="n">
        <f aca="false">SUM(AA65:AA66)</f>
        <v>923.9</v>
      </c>
      <c r="AB67" s="163" t="n">
        <f aca="false">SUM(AB65:AB66)</f>
        <v>55.7</v>
      </c>
      <c r="AC67" s="163" t="n">
        <f aca="false">SUM(AC65:AC66)</f>
        <v>26.6</v>
      </c>
      <c r="AD67" s="163" t="n">
        <f aca="false">SUM(AD65:AD66)</f>
        <v>357.9</v>
      </c>
      <c r="AE67" s="163" t="n">
        <f aca="false">SUM(AE65:AE66)</f>
        <v>1425.9</v>
      </c>
      <c r="AF67" s="162" t="n">
        <f aca="false">SUM(AF65:AF66)</f>
        <v>1866.1</v>
      </c>
      <c r="AG67" s="163" t="n">
        <f aca="false">SUM(AG65:AG66)</f>
        <v>-714.5</v>
      </c>
      <c r="AH67" s="163" t="n">
        <f aca="false">SUM(AH65:AH66)</f>
        <v>-924.9</v>
      </c>
      <c r="AI67" s="163" t="n">
        <f aca="false">SUM(AI65:AI66)</f>
        <v>-127.6</v>
      </c>
      <c r="AJ67" s="163" t="n">
        <f aca="false">SUM(AJ65:AJ66)</f>
        <v>2831.8</v>
      </c>
      <c r="AK67" s="162" t="n">
        <f aca="false">SUM(AK65:AK66)</f>
        <v>1064.8</v>
      </c>
      <c r="AL67" s="163" t="n">
        <f aca="false">SUM(AL65:AL66)</f>
        <v>-848.1</v>
      </c>
      <c r="AM67" s="163" t="n">
        <f aca="false">SUM(AM65:AM66)</f>
        <v>-424.7</v>
      </c>
      <c r="AN67" s="163" t="n">
        <f aca="false">SUM(AN65:AN66)</f>
        <v>-30.4999999999999</v>
      </c>
      <c r="AO67" s="163" t="n">
        <f aca="false">SUM(AO65:AO66)</f>
        <v>3863.7</v>
      </c>
      <c r="AP67" s="162" t="n">
        <f aca="false">SUM(AP65:AP66)</f>
        <v>2560.4</v>
      </c>
      <c r="AQ67" s="163" t="n">
        <f aca="false">SUM(AQ65:AQ66)</f>
        <v>-1139</v>
      </c>
      <c r="AR67" s="163" t="n">
        <f aca="false">SUM(AR65:AR66)</f>
        <v>2682.4</v>
      </c>
      <c r="AS67" s="163" t="n">
        <f aca="false">SUM(AS65:AS66)</f>
        <v>1596.6</v>
      </c>
      <c r="AT67" s="163" t="n">
        <f aca="false">SUM(AT65:AT66)</f>
        <v>5397.2</v>
      </c>
      <c r="AU67" s="162" t="n">
        <f aca="false">SUM(AU65:AU66)</f>
        <v>8537.2</v>
      </c>
      <c r="AV67" s="163" t="n">
        <f aca="false">SUM(AV65:AV66)</f>
        <v>-837.7</v>
      </c>
      <c r="AW67" s="163" t="n">
        <f aca="false">SUM(AW65:AW66)</f>
        <v>840.1</v>
      </c>
      <c r="AX67" s="163" t="n">
        <f aca="false">SUM(AX65:AX66)</f>
        <v>261.8</v>
      </c>
      <c r="AY67" s="163" t="n">
        <f aca="false">SUM(AY65:AY66)</f>
        <v>4343.5</v>
      </c>
      <c r="AZ67" s="162" t="n">
        <f aca="false">SUM(AZ65:AZ66)</f>
        <v>4607.7</v>
      </c>
      <c r="BA67" s="163" t="n">
        <f aca="false">SUM(BA65:BA66)</f>
        <v>-346.9</v>
      </c>
      <c r="BB67" s="163" t="n">
        <f aca="false">SUM(BB65:BB66)</f>
        <v>-825.7</v>
      </c>
      <c r="BC67" s="163" t="n">
        <f aca="false">SUM(BC65:BC66)</f>
        <v>47.5999999999997</v>
      </c>
      <c r="BD67" s="163" t="n">
        <f aca="false">SUM(BD65:BD66)</f>
        <v>2023.9</v>
      </c>
      <c r="BE67" s="162" t="n">
        <f aca="false">SUM(BE65:BE66)</f>
        <v>898.9</v>
      </c>
      <c r="BF67" s="163" t="n">
        <f aca="false">SUM(BF65:BF66)</f>
        <v>-1246.7</v>
      </c>
      <c r="BG67" s="163" t="n">
        <f aca="false">SUM(BG65:BG66)</f>
        <v>-302.9</v>
      </c>
      <c r="BH67" s="163" t="n">
        <f aca="false">SUM(BH65:BH66)</f>
        <v>-61.6999999999999</v>
      </c>
      <c r="BI67" s="163" t="n">
        <f aca="false">SUM(BI65:BI66)</f>
        <v>8241.5</v>
      </c>
      <c r="BJ67" s="162" t="n">
        <f aca="false">SUM(BJ65:BJ66)</f>
        <v>6630.2</v>
      </c>
      <c r="BK67" s="163" t="n">
        <f aca="false">SUM(BK65:BK66)</f>
        <v>-1072.3</v>
      </c>
      <c r="BL67" s="163" t="n">
        <f aca="false">SUM(BL65:BL66)</f>
        <v>-395.599999999999</v>
      </c>
      <c r="BM67" s="163" t="n">
        <f aca="false">SUM(BM65:BM66)</f>
        <v>-375.9</v>
      </c>
      <c r="BN67" s="163" t="n">
        <f aca="false">SUM(BN65:BN66)</f>
        <v>10320.8</v>
      </c>
      <c r="BO67" s="164" t="n">
        <f aca="false">SUM(BO65:BO66)</f>
        <v>8477</v>
      </c>
      <c r="BP67" s="163" t="n">
        <f aca="false">SUM(BP65:BP66)</f>
        <v>3979.95223082869</v>
      </c>
      <c r="BQ67" s="163" t="n">
        <f aca="false">SUM(BQ65:BQ66)</f>
        <v>2089.36430946175</v>
      </c>
      <c r="BR67" s="163" t="n">
        <f aca="false">SUM(BR65:BR66)</f>
        <v>2264.65846930902</v>
      </c>
      <c r="BS67" s="163" t="n">
        <f aca="false">SUM(BS65:BS66)</f>
        <v>1127.5840204508</v>
      </c>
      <c r="BT67" s="162" t="n">
        <f aca="false">SUM(BT65:BT66)</f>
        <v>9461.55903005026</v>
      </c>
      <c r="BU67" s="163" t="n">
        <f aca="false">SUM(BU65:BU66)</f>
        <v>4201.9345854211</v>
      </c>
      <c r="BV67" s="163" t="n">
        <f aca="false">SUM(BV65:BV66)</f>
        <v>2365.01513844464</v>
      </c>
      <c r="BW67" s="163" t="n">
        <f aca="false">SUM(BW65:BW66)</f>
        <v>2443.59874412183</v>
      </c>
      <c r="BX67" s="163" t="n">
        <f aca="false">SUM(BX65:BX66)</f>
        <v>1454.22082911941</v>
      </c>
      <c r="BY67" s="162" t="n">
        <f aca="false">SUM(BY65:BY66)</f>
        <v>10464.769297107</v>
      </c>
      <c r="BZ67" s="162" t="n">
        <f aca="false">SUM(BZ65:BZ66)</f>
        <v>13938.0416786463</v>
      </c>
      <c r="CA67" s="162" t="n">
        <f aca="false">SUM(CA65:CA66)</f>
        <v>13883.3247338119</v>
      </c>
      <c r="CB67" s="162" t="n">
        <f aca="false">SUM(CB65:CB66)</f>
        <v>14907.129086966</v>
      </c>
      <c r="CC67" s="268"/>
    </row>
    <row r="68" s="51" customFormat="true" ht="15" hidden="false" customHeight="true" outlineLevel="0" collapsed="false">
      <c r="A68" s="145" t="str">
        <f aca="false">INDEX(MO_CFSum_Acquisition,0,COLUMN())</f>
        <v>Acquisitions</v>
      </c>
      <c r="B68" s="254"/>
      <c r="C68" s="159" t="n">
        <f aca="false">INDEX(MO_CFSum_Acquisition,0,COLUMN())</f>
        <v>0</v>
      </c>
      <c r="D68" s="159" t="n">
        <f aca="false">INDEX(MO_CFSum_Acquisition,0,COLUMN())</f>
        <v>0</v>
      </c>
      <c r="E68" s="159" t="n">
        <f aca="false">INDEX(MO_CFSum_Acquisition,0,COLUMN())</f>
        <v>0</v>
      </c>
      <c r="F68" s="159" t="n">
        <f aca="false">INDEX(MO_CFSum_Acquisition,0,COLUMN())</f>
        <v>-10.292</v>
      </c>
      <c r="G68" s="159" t="n">
        <f aca="false">INDEX(MO_CFSum_Acquisition,0,COLUMN())</f>
        <v>-443.712</v>
      </c>
      <c r="H68" s="48" t="n">
        <f aca="false">INDEX(MO_CFSum_Acquisition,0,COLUMN())</f>
        <v>0</v>
      </c>
      <c r="I68" s="48" t="n">
        <f aca="false">INDEX(MO_CFSum_Acquisition,0,COLUMN())</f>
        <v>0</v>
      </c>
      <c r="J68" s="48" t="n">
        <f aca="false">INDEX(MO_CFSum_Acquisition,0,COLUMN())</f>
        <v>0</v>
      </c>
      <c r="K68" s="48" t="n">
        <f aca="false">INDEX(MO_CFSum_Acquisition,0,COLUMN())</f>
        <v>0</v>
      </c>
      <c r="L68" s="159" t="n">
        <f aca="false">INDEX(MO_CFSum_Acquisition,0,COLUMN())</f>
        <v>0</v>
      </c>
      <c r="M68" s="48" t="n">
        <f aca="false">INDEX(MO_CFSum_Acquisition,0,COLUMN())</f>
        <v>0</v>
      </c>
      <c r="N68" s="48" t="n">
        <f aca="false">INDEX(MO_CFSum_Acquisition,0,COLUMN())</f>
        <v>0</v>
      </c>
      <c r="O68" s="48" t="n">
        <f aca="false">INDEX(MO_CFSum_Acquisition,0,COLUMN())</f>
        <v>0</v>
      </c>
      <c r="P68" s="48" t="n">
        <f aca="false">INDEX(MO_CFSum_Acquisition,0,COLUMN())</f>
        <v>0</v>
      </c>
      <c r="Q68" s="159" t="n">
        <f aca="false">INDEX(MO_CFSum_Acquisition,0,COLUMN())</f>
        <v>0</v>
      </c>
      <c r="R68" s="48" t="n">
        <f aca="false">INDEX(MO_CFSum_Acquisition,0,COLUMN())</f>
        <v>0</v>
      </c>
      <c r="S68" s="48" t="n">
        <f aca="false">INDEX(MO_CFSum_Acquisition,0,COLUMN())</f>
        <v>0</v>
      </c>
      <c r="T68" s="48" t="n">
        <f aca="false">INDEX(MO_CFSum_Acquisition,0,COLUMN())</f>
        <v>0</v>
      </c>
      <c r="U68" s="48" t="n">
        <f aca="false">INDEX(MO_CFSum_Acquisition,0,COLUMN())</f>
        <v>-2641.3</v>
      </c>
      <c r="V68" s="159" t="n">
        <f aca="false">INDEX(MO_CFSum_Acquisition,0,COLUMN())</f>
        <v>-2641.3</v>
      </c>
      <c r="W68" s="48" t="n">
        <f aca="false">INDEX(MO_CFSum_Acquisition,0,COLUMN())</f>
        <v>0</v>
      </c>
      <c r="X68" s="48" t="n">
        <f aca="false">INDEX(MO_CFSum_Acquisition,0,COLUMN())</f>
        <v>0</v>
      </c>
      <c r="Y68" s="48" t="n">
        <f aca="false">INDEX(MO_CFSum_Acquisition,0,COLUMN())</f>
        <v>0</v>
      </c>
      <c r="Z68" s="48" t="n">
        <f aca="false">INDEX(MO_CFSum_Acquisition,0,COLUMN())</f>
        <v>0</v>
      </c>
      <c r="AA68" s="159" t="n">
        <f aca="false">INDEX(MO_CFSum_Acquisition,0,COLUMN())</f>
        <v>0</v>
      </c>
      <c r="AB68" s="48" t="n">
        <f aca="false">INDEX(MO_CFSum_Acquisition,0,COLUMN())</f>
        <v>0</v>
      </c>
      <c r="AC68" s="48" t="n">
        <f aca="false">INDEX(MO_CFSum_Acquisition,0,COLUMN())</f>
        <v>0</v>
      </c>
      <c r="AD68" s="48" t="n">
        <f aca="false">INDEX(MO_CFSum_Acquisition,0,COLUMN())</f>
        <v>0</v>
      </c>
      <c r="AE68" s="48" t="n">
        <f aca="false">INDEX(MO_CFSum_Acquisition,0,COLUMN())</f>
        <v>0</v>
      </c>
      <c r="AF68" s="159" t="n">
        <f aca="false">INDEX(MO_CFSum_Acquisition,0,COLUMN())</f>
        <v>0</v>
      </c>
      <c r="AG68" s="48" t="n">
        <f aca="false">INDEX(MO_CFSum_Acquisition,0,COLUMN())</f>
        <v>0</v>
      </c>
      <c r="AH68" s="48" t="n">
        <f aca="false">INDEX(MO_CFSum_Acquisition,0,COLUMN())</f>
        <v>0</v>
      </c>
      <c r="AI68" s="48" t="n">
        <f aca="false">INDEX(MO_CFSum_Acquisition,0,COLUMN())</f>
        <v>0</v>
      </c>
      <c r="AJ68" s="48" t="n">
        <f aca="false">INDEX(MO_CFSum_Acquisition,0,COLUMN())</f>
        <v>0</v>
      </c>
      <c r="AK68" s="159" t="n">
        <f aca="false">INDEX(MO_CFSum_Acquisition,0,COLUMN())</f>
        <v>0</v>
      </c>
      <c r="AL68" s="48" t="n">
        <f aca="false">INDEX(MO_CFSum_Acquisition,0,COLUMN())</f>
        <v>0</v>
      </c>
      <c r="AM68" s="48" t="n">
        <f aca="false">INDEX(MO_CFSum_Acquisition,0,COLUMN())</f>
        <v>0</v>
      </c>
      <c r="AN68" s="48" t="n">
        <f aca="false">INDEX(MO_CFSum_Acquisition,0,COLUMN())</f>
        <v>0</v>
      </c>
      <c r="AO68" s="48" t="n">
        <f aca="false">INDEX(MO_CFSum_Acquisition,0,COLUMN())</f>
        <v>-222.8</v>
      </c>
      <c r="AP68" s="159" t="n">
        <f aca="false">INDEX(MO_CFSum_Acquisition,0,COLUMN())</f>
        <v>-222.8</v>
      </c>
      <c r="AQ68" s="48" t="n">
        <f aca="false">INDEX(MO_CFSum_Acquisition,0,COLUMN())</f>
        <v>0</v>
      </c>
      <c r="AR68" s="48" t="n">
        <f aca="false">INDEX(MO_CFSum_Acquisition,0,COLUMN())</f>
        <v>0</v>
      </c>
      <c r="AS68" s="48" t="n">
        <f aca="false">INDEX(MO_CFSum_Acquisition,0,COLUMN())</f>
        <v>0</v>
      </c>
      <c r="AT68" s="48" t="n">
        <f aca="false">INDEX(MO_CFSum_Acquisition,0,COLUMN())</f>
        <v>0</v>
      </c>
      <c r="AU68" s="159" t="n">
        <f aca="false">INDEX(MO_CFSum_Acquisition,0,COLUMN())</f>
        <v>0</v>
      </c>
      <c r="AV68" s="48" t="n">
        <f aca="false">INDEX(MO_CFSum_Acquisition,0,COLUMN())</f>
        <v>0</v>
      </c>
      <c r="AW68" s="48" t="n">
        <f aca="false">INDEX(MO_CFSum_Acquisition,0,COLUMN())</f>
        <v>0</v>
      </c>
      <c r="AX68" s="48" t="n">
        <f aca="false">INDEX(MO_CFSum_Acquisition,0,COLUMN())</f>
        <v>0</v>
      </c>
      <c r="AY68" s="48" t="n">
        <f aca="false">INDEX(MO_CFSum_Acquisition,0,COLUMN())</f>
        <v>0</v>
      </c>
      <c r="AZ68" s="159" t="n">
        <f aca="false">INDEX(MO_CFSum_Acquisition,0,COLUMN())</f>
        <v>0</v>
      </c>
      <c r="BA68" s="48" t="n">
        <f aca="false">INDEX(MO_CFSum_Acquisition,0,COLUMN())</f>
        <v>0</v>
      </c>
      <c r="BB68" s="48" t="n">
        <f aca="false">INDEX(MO_CFSum_Acquisition,0,COLUMN())</f>
        <v>0</v>
      </c>
      <c r="BC68" s="48" t="n">
        <f aca="false">INDEX(MO_CFSum_Acquisition,0,COLUMN())</f>
        <v>-27.6</v>
      </c>
      <c r="BD68" s="48" t="n">
        <f aca="false">INDEX(MO_CFSum_Acquisition,0,COLUMN())</f>
        <v>-6</v>
      </c>
      <c r="BE68" s="159" t="n">
        <f aca="false">INDEX(MO_CFSum_Acquisition,0,COLUMN())</f>
        <v>-33.6</v>
      </c>
      <c r="BF68" s="48" t="n">
        <f aca="false">INDEX(MO_CFSum_Acquisition,0,COLUMN())</f>
        <v>0</v>
      </c>
      <c r="BG68" s="48" t="n">
        <f aca="false">INDEX(MO_CFSum_Acquisition,0,COLUMN())</f>
        <v>0</v>
      </c>
      <c r="BH68" s="48" t="n">
        <f aca="false">INDEX(MO_CFSum_Acquisition,0,COLUMN())</f>
        <v>0</v>
      </c>
      <c r="BI68" s="48" t="n">
        <f aca="false">INDEX(MO_CFSum_Acquisition,0,COLUMN())</f>
        <v>0</v>
      </c>
      <c r="BJ68" s="159" t="n">
        <f aca="false">INDEX(MO_CFSum_Acquisition,0,COLUMN())</f>
        <v>0</v>
      </c>
      <c r="BK68" s="48" t="n">
        <f aca="false">INDEX(MO_CFSum_Acquisition,0,COLUMN())</f>
        <v>0</v>
      </c>
      <c r="BL68" s="48" t="n">
        <f aca="false">INDEX(MO_CFSum_Acquisition,0,COLUMN())</f>
        <v>0</v>
      </c>
      <c r="BM68" s="48" t="n">
        <f aca="false">INDEX(MO_CFSum_Acquisition,0,COLUMN())</f>
        <v>0</v>
      </c>
      <c r="BN68" s="48" t="n">
        <f aca="false">INDEX(MO_CFSum_Acquisition,0,COLUMN())</f>
        <v>0</v>
      </c>
      <c r="BO68" s="160" t="n">
        <f aca="false">INDEX(MO_CFSum_Acquisition,0,COLUMN())</f>
        <v>0</v>
      </c>
      <c r="BP68" s="48" t="n">
        <f aca="false">INDEX(MO_CFSum_Acquisition,0,COLUMN())</f>
        <v>0</v>
      </c>
      <c r="BQ68" s="48" t="n">
        <f aca="false">INDEX(MO_CFSum_Acquisition,0,COLUMN())</f>
        <v>0</v>
      </c>
      <c r="BR68" s="48" t="n">
        <f aca="false">INDEX(MO_CFSum_Acquisition,0,COLUMN())</f>
        <v>0</v>
      </c>
      <c r="BS68" s="48" t="n">
        <f aca="false">INDEX(MO_CFSum_Acquisition,0,COLUMN())</f>
        <v>0</v>
      </c>
      <c r="BT68" s="159" t="n">
        <f aca="false">INDEX(MO_CFSum_Acquisition,0,COLUMN())</f>
        <v>0</v>
      </c>
      <c r="BU68" s="48" t="n">
        <f aca="false">INDEX(MO_CFSum_Acquisition,0,COLUMN())</f>
        <v>0</v>
      </c>
      <c r="BV68" s="48" t="n">
        <f aca="false">INDEX(MO_CFSum_Acquisition,0,COLUMN())</f>
        <v>0</v>
      </c>
      <c r="BW68" s="48" t="n">
        <f aca="false">INDEX(MO_CFSum_Acquisition,0,COLUMN())</f>
        <v>0</v>
      </c>
      <c r="BX68" s="48" t="n">
        <f aca="false">INDEX(MO_CFSum_Acquisition,0,COLUMN())</f>
        <v>0</v>
      </c>
      <c r="BY68" s="159" t="n">
        <f aca="false">INDEX(MO_CFSum_Acquisition,0,COLUMN())</f>
        <v>0</v>
      </c>
      <c r="BZ68" s="159" t="n">
        <f aca="false">INDEX(MO_CFSum_Acquisition,0,COLUMN())</f>
        <v>0</v>
      </c>
      <c r="CA68" s="159" t="n">
        <f aca="false">INDEX(MO_CFSum_Acquisition,0,COLUMN())</f>
        <v>0</v>
      </c>
      <c r="CB68" s="159" t="n">
        <f aca="false">INDEX(MO_CFSum_Acquisition,0,COLUMN())</f>
        <v>0</v>
      </c>
      <c r="CC68" s="48"/>
    </row>
    <row r="69" s="51" customFormat="true" ht="15" hidden="false" customHeight="true" outlineLevel="0" collapsed="false">
      <c r="A69" s="145" t="str">
        <f aca="false">INDEX(MO_CFSum_Divestiture,0,COLUMN())</f>
        <v>Divestiture</v>
      </c>
      <c r="B69" s="254"/>
      <c r="C69" s="159" t="n">
        <f aca="false">INDEX(MO_CFSum_Divestiture,0,COLUMN())</f>
        <v>6.877</v>
      </c>
      <c r="D69" s="159" t="n">
        <f aca="false">INDEX(MO_CFSum_Divestiture,0,COLUMN())</f>
        <v>3.825</v>
      </c>
      <c r="E69" s="159" t="n">
        <f aca="false">INDEX(MO_CFSum_Divestiture,0,COLUMN())</f>
        <v>0</v>
      </c>
      <c r="F69" s="159" t="n">
        <f aca="false">INDEX(MO_CFSum_Divestiture,0,COLUMN())</f>
        <v>0</v>
      </c>
      <c r="G69" s="159" t="n">
        <f aca="false">INDEX(MO_CFSum_Divestiture,0,COLUMN())</f>
        <v>0</v>
      </c>
      <c r="H69" s="48" t="n">
        <f aca="false">INDEX(MO_CFSum_Divestiture,0,COLUMN())</f>
        <v>0</v>
      </c>
      <c r="I69" s="48" t="n">
        <f aca="false">INDEX(MO_CFSum_Divestiture,0,COLUMN())</f>
        <v>0</v>
      </c>
      <c r="J69" s="48" t="n">
        <f aca="false">INDEX(MO_CFSum_Divestiture,0,COLUMN())</f>
        <v>0</v>
      </c>
      <c r="K69" s="48" t="n">
        <f aca="false">INDEX(MO_CFSum_Divestiture,0,COLUMN())</f>
        <v>0</v>
      </c>
      <c r="L69" s="159" t="n">
        <f aca="false">INDEX(MO_CFSum_Divestiture,0,COLUMN())</f>
        <v>0</v>
      </c>
      <c r="M69" s="48" t="n">
        <f aca="false">INDEX(MO_CFSum_Divestiture,0,COLUMN())</f>
        <v>0</v>
      </c>
      <c r="N69" s="48" t="n">
        <f aca="false">INDEX(MO_CFSum_Divestiture,0,COLUMN())</f>
        <v>0</v>
      </c>
      <c r="O69" s="48" t="n">
        <f aca="false">INDEX(MO_CFSum_Divestiture,0,COLUMN())</f>
        <v>0</v>
      </c>
      <c r="P69" s="48" t="n">
        <f aca="false">INDEX(MO_CFSum_Divestiture,0,COLUMN())</f>
        <v>0</v>
      </c>
      <c r="Q69" s="159" t="n">
        <f aca="false">INDEX(MO_CFSum_Divestiture,0,COLUMN())</f>
        <v>0</v>
      </c>
      <c r="R69" s="48" t="n">
        <f aca="false">INDEX(MO_CFSum_Divestiture,0,COLUMN())</f>
        <v>0</v>
      </c>
      <c r="S69" s="48" t="n">
        <f aca="false">INDEX(MO_CFSum_Divestiture,0,COLUMN())</f>
        <v>0</v>
      </c>
      <c r="T69" s="48" t="n">
        <f aca="false">INDEX(MO_CFSum_Divestiture,0,COLUMN())</f>
        <v>0</v>
      </c>
      <c r="U69" s="48" t="n">
        <f aca="false">INDEX(MO_CFSum_Divestiture,0,COLUMN())</f>
        <v>0</v>
      </c>
      <c r="V69" s="159" t="n">
        <f aca="false">INDEX(MO_CFSum_Divestiture,0,COLUMN())</f>
        <v>0</v>
      </c>
      <c r="W69" s="48" t="n">
        <f aca="false">INDEX(MO_CFSum_Divestiture,0,COLUMN())</f>
        <v>0</v>
      </c>
      <c r="X69" s="48" t="n">
        <f aca="false">INDEX(MO_CFSum_Divestiture,0,COLUMN())</f>
        <v>0</v>
      </c>
      <c r="Y69" s="48" t="n">
        <f aca="false">INDEX(MO_CFSum_Divestiture,0,COLUMN())</f>
        <v>0</v>
      </c>
      <c r="Z69" s="48" t="n">
        <f aca="false">INDEX(MO_CFSum_Divestiture,0,COLUMN())</f>
        <v>0</v>
      </c>
      <c r="AA69" s="159" t="n">
        <f aca="false">INDEX(MO_CFSum_Divestiture,0,COLUMN())</f>
        <v>0</v>
      </c>
      <c r="AB69" s="48" t="n">
        <f aca="false">INDEX(MO_CFSum_Divestiture,0,COLUMN())</f>
        <v>0</v>
      </c>
      <c r="AC69" s="48" t="n">
        <f aca="false">INDEX(MO_CFSum_Divestiture,0,COLUMN())</f>
        <v>0</v>
      </c>
      <c r="AD69" s="48" t="n">
        <f aca="false">INDEX(MO_CFSum_Divestiture,0,COLUMN())</f>
        <v>0</v>
      </c>
      <c r="AE69" s="48" t="n">
        <f aca="false">INDEX(MO_CFSum_Divestiture,0,COLUMN())</f>
        <v>0</v>
      </c>
      <c r="AF69" s="159" t="n">
        <f aca="false">INDEX(MO_CFSum_Divestiture,0,COLUMN())</f>
        <v>0</v>
      </c>
      <c r="AG69" s="48" t="n">
        <f aca="false">INDEX(MO_CFSum_Divestiture,0,COLUMN())</f>
        <v>0</v>
      </c>
      <c r="AH69" s="48" t="n">
        <f aca="false">INDEX(MO_CFSum_Divestiture,0,COLUMN())</f>
        <v>0</v>
      </c>
      <c r="AI69" s="48" t="n">
        <f aca="false">INDEX(MO_CFSum_Divestiture,0,COLUMN())</f>
        <v>0</v>
      </c>
      <c r="AJ69" s="48" t="n">
        <f aca="false">INDEX(MO_CFSum_Divestiture,0,COLUMN())</f>
        <v>0</v>
      </c>
      <c r="AK69" s="159" t="n">
        <f aca="false">INDEX(MO_CFSum_Divestiture,0,COLUMN())</f>
        <v>0</v>
      </c>
      <c r="AL69" s="48" t="n">
        <f aca="false">INDEX(MO_CFSum_Divestiture,0,COLUMN())</f>
        <v>0</v>
      </c>
      <c r="AM69" s="48" t="n">
        <f aca="false">INDEX(MO_CFSum_Divestiture,0,COLUMN())</f>
        <v>0</v>
      </c>
      <c r="AN69" s="48" t="n">
        <f aca="false">INDEX(MO_CFSum_Divestiture,0,COLUMN())</f>
        <v>0</v>
      </c>
      <c r="AO69" s="48" t="n">
        <f aca="false">INDEX(MO_CFSum_Divestiture,0,COLUMN())</f>
        <v>0</v>
      </c>
      <c r="AP69" s="159" t="n">
        <f aca="false">INDEX(MO_CFSum_Divestiture,0,COLUMN())</f>
        <v>0</v>
      </c>
      <c r="AQ69" s="48" t="n">
        <f aca="false">INDEX(MO_CFSum_Divestiture,0,COLUMN())</f>
        <v>0</v>
      </c>
      <c r="AR69" s="48" t="n">
        <f aca="false">INDEX(MO_CFSum_Divestiture,0,COLUMN())</f>
        <v>12.9</v>
      </c>
      <c r="AS69" s="48" t="n">
        <f aca="false">INDEX(MO_CFSum_Divestiture,0,COLUMN())</f>
        <v>0</v>
      </c>
      <c r="AT69" s="48" t="n">
        <f aca="false">INDEX(MO_CFSum_Divestiture,0,COLUMN())</f>
        <v>316.1</v>
      </c>
      <c r="AU69" s="159" t="n">
        <f aca="false">INDEX(MO_CFSum_Divestiture,0,COLUMN())</f>
        <v>329</v>
      </c>
      <c r="AV69" s="48" t="n">
        <f aca="false">INDEX(MO_CFSum_Divestiture,0,COLUMN())</f>
        <v>0</v>
      </c>
      <c r="AW69" s="48" t="n">
        <f aca="false">INDEX(MO_CFSum_Divestiture,0,COLUMN())</f>
        <v>0</v>
      </c>
      <c r="AX69" s="48" t="n">
        <f aca="false">INDEX(MO_CFSum_Divestiture,0,COLUMN())</f>
        <v>0</v>
      </c>
      <c r="AY69" s="48" t="n">
        <f aca="false">INDEX(MO_CFSum_Divestiture,0,COLUMN())</f>
        <v>0</v>
      </c>
      <c r="AZ69" s="159" t="n">
        <f aca="false">INDEX(MO_CFSum_Divestiture,0,COLUMN())</f>
        <v>0</v>
      </c>
      <c r="BA69" s="48" t="n">
        <f aca="false">INDEX(MO_CFSum_Divestiture,0,COLUMN())</f>
        <v>0</v>
      </c>
      <c r="BB69" s="48" t="n">
        <f aca="false">INDEX(MO_CFSum_Divestiture,0,COLUMN())</f>
        <v>0</v>
      </c>
      <c r="BC69" s="48" t="n">
        <f aca="false">INDEX(MO_CFSum_Divestiture,0,COLUMN())</f>
        <v>0</v>
      </c>
      <c r="BD69" s="48" t="n">
        <f aca="false">INDEX(MO_CFSum_Divestiture,0,COLUMN())</f>
        <v>0</v>
      </c>
      <c r="BE69" s="159" t="n">
        <f aca="false">INDEX(MO_CFSum_Divestiture,0,COLUMN())</f>
        <v>0</v>
      </c>
      <c r="BF69" s="48" t="n">
        <f aca="false">INDEX(MO_CFSum_Divestiture,0,COLUMN())</f>
        <v>0</v>
      </c>
      <c r="BG69" s="48" t="n">
        <f aca="false">INDEX(MO_CFSum_Divestiture,0,COLUMN())</f>
        <v>0</v>
      </c>
      <c r="BH69" s="48" t="n">
        <f aca="false">INDEX(MO_CFSum_Divestiture,0,COLUMN())</f>
        <v>0</v>
      </c>
      <c r="BI69" s="48" t="n">
        <f aca="false">INDEX(MO_CFSum_Divestiture,0,COLUMN())</f>
        <v>0</v>
      </c>
      <c r="BJ69" s="159" t="n">
        <f aca="false">INDEX(MO_CFSum_Divestiture,0,COLUMN())</f>
        <v>0</v>
      </c>
      <c r="BK69" s="48" t="n">
        <f aca="false">INDEX(MO_CFSum_Divestiture,0,COLUMN())</f>
        <v>0</v>
      </c>
      <c r="BL69" s="48" t="n">
        <f aca="false">INDEX(MO_CFSum_Divestiture,0,COLUMN())</f>
        <v>0</v>
      </c>
      <c r="BM69" s="48" t="n">
        <f aca="false">INDEX(MO_CFSum_Divestiture,0,COLUMN())</f>
        <v>0</v>
      </c>
      <c r="BN69" s="48" t="n">
        <f aca="false">INDEX(MO_CFSum_Divestiture,0,COLUMN())</f>
        <v>0</v>
      </c>
      <c r="BO69" s="160" t="n">
        <f aca="false">INDEX(MO_CFSum_Divestiture,0,COLUMN())</f>
        <v>0</v>
      </c>
      <c r="BP69" s="48" t="n">
        <f aca="false">INDEX(MO_CFSum_Divestiture,0,COLUMN())</f>
        <v>0</v>
      </c>
      <c r="BQ69" s="48" t="n">
        <f aca="false">INDEX(MO_CFSum_Divestiture,0,COLUMN())</f>
        <v>0</v>
      </c>
      <c r="BR69" s="48" t="n">
        <f aca="false">INDEX(MO_CFSum_Divestiture,0,COLUMN())</f>
        <v>0</v>
      </c>
      <c r="BS69" s="48" t="n">
        <f aca="false">INDEX(MO_CFSum_Divestiture,0,COLUMN())</f>
        <v>0</v>
      </c>
      <c r="BT69" s="159" t="n">
        <f aca="false">INDEX(MO_CFSum_Divestiture,0,COLUMN())</f>
        <v>0</v>
      </c>
      <c r="BU69" s="48" t="n">
        <f aca="false">INDEX(MO_CFSum_Divestiture,0,COLUMN())</f>
        <v>0</v>
      </c>
      <c r="BV69" s="48" t="n">
        <f aca="false">INDEX(MO_CFSum_Divestiture,0,COLUMN())</f>
        <v>0</v>
      </c>
      <c r="BW69" s="48" t="n">
        <f aca="false">INDEX(MO_CFSum_Divestiture,0,COLUMN())</f>
        <v>0</v>
      </c>
      <c r="BX69" s="48" t="n">
        <f aca="false">INDEX(MO_CFSum_Divestiture,0,COLUMN())</f>
        <v>0</v>
      </c>
      <c r="BY69" s="159" t="n">
        <f aca="false">INDEX(MO_CFSum_Divestiture,0,COLUMN())</f>
        <v>0</v>
      </c>
      <c r="BZ69" s="159" t="n">
        <f aca="false">INDEX(MO_CFSum_Divestiture,0,COLUMN())</f>
        <v>0</v>
      </c>
      <c r="CA69" s="159" t="n">
        <f aca="false">INDEX(MO_CFSum_Divestiture,0,COLUMN())</f>
        <v>0</v>
      </c>
      <c r="CB69" s="159" t="n">
        <f aca="false">INDEX(MO_CFSum_Divestiture,0,COLUMN())</f>
        <v>0</v>
      </c>
      <c r="CC69" s="48"/>
    </row>
    <row r="70" s="51" customFormat="true" ht="15" hidden="false" customHeight="true" outlineLevel="0" collapsed="false">
      <c r="A70" s="145" t="s">
        <v>807</v>
      </c>
      <c r="B70" s="254"/>
      <c r="C70" s="159" t="n">
        <f aca="false">INDEX(MO_CFSum_NetShares,0,COLUMN())</f>
        <v>11.073</v>
      </c>
      <c r="D70" s="159" t="n">
        <f aca="false">INDEX(MO_CFSum_NetShares,0,COLUMN())</f>
        <v>31</v>
      </c>
      <c r="E70" s="159" t="n">
        <f aca="false">INDEX(MO_CFSum_NetShares,0,COLUMN())</f>
        <v>-666.368</v>
      </c>
      <c r="F70" s="159" t="n">
        <f aca="false">INDEX(MO_CFSum_NetShares,0,COLUMN())</f>
        <v>3372.293</v>
      </c>
      <c r="G70" s="159" t="n">
        <f aca="false">INDEX(MO_CFSum_NetShares,0,COLUMN())</f>
        <v>-268.178</v>
      </c>
      <c r="H70" s="48" t="n">
        <f aca="false">INDEX(MO_CFSum_NetShares,0,COLUMN())</f>
        <v>-139.5</v>
      </c>
      <c r="I70" s="48" t="n">
        <f aca="false">INDEX(MO_CFSum_NetShares,0,COLUMN())</f>
        <v>-146.8</v>
      </c>
      <c r="J70" s="48" t="n">
        <f aca="false">INDEX(MO_CFSum_NetShares,0,COLUMN())</f>
        <v>-160.5</v>
      </c>
      <c r="K70" s="48" t="n">
        <f aca="false">INDEX(MO_CFSum_NetShares,0,COLUMN())</f>
        <v>-213.521</v>
      </c>
      <c r="L70" s="159" t="n">
        <f aca="false">INDEX(MO_CFSum_NetShares,0,COLUMN())</f>
        <v>-660.321</v>
      </c>
      <c r="M70" s="48" t="n">
        <f aca="false">INDEX(MO_CFSum_NetShares,0,COLUMN())</f>
        <v>-112.7</v>
      </c>
      <c r="N70" s="48" t="n">
        <f aca="false">INDEX(MO_CFSum_NetShares,0,COLUMN())</f>
        <v>-155.5</v>
      </c>
      <c r="O70" s="48" t="n">
        <f aca="false">INDEX(MO_CFSum_NetShares,0,COLUMN())</f>
        <v>-132.5</v>
      </c>
      <c r="P70" s="48" t="n">
        <f aca="false">INDEX(MO_CFSum_NetShares,0,COLUMN())</f>
        <v>-130.957</v>
      </c>
      <c r="Q70" s="159" t="n">
        <f aca="false">INDEX(MO_CFSum_NetShares,0,COLUMN())</f>
        <v>-531.657</v>
      </c>
      <c r="R70" s="48" t="n">
        <f aca="false">INDEX(MO_CFSum_NetShares,0,COLUMN())</f>
        <v>-202.9</v>
      </c>
      <c r="S70" s="48" t="n">
        <f aca="false">INDEX(MO_CFSum_NetShares,0,COLUMN())</f>
        <v>-159.8</v>
      </c>
      <c r="T70" s="48" t="n">
        <f aca="false">INDEX(MO_CFSum_NetShares,0,COLUMN())</f>
        <v>-2.90000000000002</v>
      </c>
      <c r="U70" s="48" t="n">
        <f aca="false">INDEX(MO_CFSum_NetShares,0,COLUMN())</f>
        <v>548.3</v>
      </c>
      <c r="V70" s="159" t="n">
        <f aca="false">INDEX(MO_CFSum_NetShares,0,COLUMN())</f>
        <v>182.7</v>
      </c>
      <c r="W70" s="48" t="n">
        <f aca="false">INDEX(MO_CFSum_NetShares,0,COLUMN())</f>
        <v>13</v>
      </c>
      <c r="X70" s="48" t="n">
        <f aca="false">INDEX(MO_CFSum_NetShares,0,COLUMN())</f>
        <v>11.9</v>
      </c>
      <c r="Y70" s="48" t="n">
        <f aca="false">INDEX(MO_CFSum_NetShares,0,COLUMN())</f>
        <v>-152.8</v>
      </c>
      <c r="Z70" s="48" t="n">
        <f aca="false">INDEX(MO_CFSum_NetShares,0,COLUMN())</f>
        <v>-321.5</v>
      </c>
      <c r="AA70" s="159" t="n">
        <f aca="false">INDEX(MO_CFSum_NetShares,0,COLUMN())</f>
        <v>-449.4</v>
      </c>
      <c r="AB70" s="48" t="n">
        <f aca="false">INDEX(MO_CFSum_NetShares,0,COLUMN())</f>
        <v>-159.9</v>
      </c>
      <c r="AC70" s="48" t="n">
        <f aca="false">INDEX(MO_CFSum_NetShares,0,COLUMN())</f>
        <v>-246.8</v>
      </c>
      <c r="AD70" s="48" t="n">
        <f aca="false">INDEX(MO_CFSum_NetShares,0,COLUMN())</f>
        <v>-365.7</v>
      </c>
      <c r="AE70" s="48" t="n">
        <f aca="false">INDEX(MO_CFSum_NetShares,0,COLUMN())</f>
        <v>-352</v>
      </c>
      <c r="AF70" s="159" t="n">
        <f aca="false">INDEX(MO_CFSum_NetShares,0,COLUMN())</f>
        <v>-1124.4</v>
      </c>
      <c r="AG70" s="48" t="n">
        <f aca="false">INDEX(MO_CFSum_NetShares,0,COLUMN())</f>
        <v>-47.4</v>
      </c>
      <c r="AH70" s="48" t="n">
        <f aca="false">INDEX(MO_CFSum_NetShares,0,COLUMN())</f>
        <v>-10</v>
      </c>
      <c r="AI70" s="48" t="n">
        <f aca="false">INDEX(MO_CFSum_NetShares,0,COLUMN())</f>
        <v>-141</v>
      </c>
      <c r="AJ70" s="48" t="n">
        <f aca="false">INDEX(MO_CFSum_NetShares,0,COLUMN())</f>
        <v>-184.4</v>
      </c>
      <c r="AK70" s="159" t="n">
        <f aca="false">INDEX(MO_CFSum_NetShares,0,COLUMN())</f>
        <v>-382.8</v>
      </c>
      <c r="AL70" s="48" t="n">
        <f aca="false">INDEX(MO_CFSum_NetShares,0,COLUMN())</f>
        <v>-498.9</v>
      </c>
      <c r="AM70" s="48" t="n">
        <f aca="false">INDEX(MO_CFSum_NetShares,0,COLUMN())</f>
        <v>11</v>
      </c>
      <c r="AN70" s="48" t="n">
        <f aca="false">INDEX(MO_CFSum_NetShares,0,COLUMN())</f>
        <v>10.4</v>
      </c>
      <c r="AO70" s="48" t="n">
        <f aca="false">INDEX(MO_CFSum_NetShares,0,COLUMN())</f>
        <v>-692.1</v>
      </c>
      <c r="AP70" s="159" t="n">
        <f aca="false">INDEX(MO_CFSum_NetShares,0,COLUMN())</f>
        <v>-1169.6</v>
      </c>
      <c r="AQ70" s="48" t="n">
        <f aca="false">INDEX(MO_CFSum_NetShares,0,COLUMN())</f>
        <v>-1556.6</v>
      </c>
      <c r="AR70" s="48" t="n">
        <f aca="false">INDEX(MO_CFSum_NetShares,0,COLUMN())</f>
        <v>-1970.3</v>
      </c>
      <c r="AS70" s="48" t="n">
        <f aca="false">INDEX(MO_CFSum_NetShares,0,COLUMN())</f>
        <v>-2389.3</v>
      </c>
      <c r="AT70" s="48" t="n">
        <f aca="false">INDEX(MO_CFSum_NetShares,0,COLUMN())</f>
        <v>-2595.2</v>
      </c>
      <c r="AU70" s="159" t="n">
        <f aca="false">INDEX(MO_CFSum_NetShares,0,COLUMN())</f>
        <v>-8511.4</v>
      </c>
      <c r="AV70" s="48" t="n">
        <f aca="false">INDEX(MO_CFSum_NetShares,0,COLUMN())</f>
        <v>-2016.7</v>
      </c>
      <c r="AW70" s="48" t="n">
        <f aca="false">INDEX(MO_CFSum_NetShares,0,COLUMN())</f>
        <v>-1157</v>
      </c>
      <c r="AX70" s="48" t="n">
        <f aca="false">INDEX(MO_CFSum_NetShares,0,COLUMN())</f>
        <v>-1068.1</v>
      </c>
      <c r="AY70" s="48" t="n">
        <f aca="false">INDEX(MO_CFSum_NetShares,0,COLUMN())</f>
        <v>-316.1</v>
      </c>
      <c r="AZ70" s="159" t="n">
        <f aca="false">INDEX(MO_CFSum_NetShares,0,COLUMN())</f>
        <v>-4557.9</v>
      </c>
      <c r="BA70" s="48" t="n">
        <f aca="false">INDEX(MO_CFSum_NetShares,0,COLUMN())</f>
        <v>-373.5</v>
      </c>
      <c r="BB70" s="48" t="n">
        <f aca="false">INDEX(MO_CFSum_NetShares,0,COLUMN())</f>
        <v>-467.6</v>
      </c>
      <c r="BC70" s="48" t="n">
        <f aca="false">INDEX(MO_CFSum_NetShares,0,COLUMN())</f>
        <v>-85.4</v>
      </c>
      <c r="BD70" s="48" t="n">
        <f aca="false">INDEX(MO_CFSum_NetShares,0,COLUMN())</f>
        <v>25.9</v>
      </c>
      <c r="BE70" s="159" t="n">
        <f aca="false">INDEX(MO_CFSum_NetShares,0,COLUMN())</f>
        <v>-900.6</v>
      </c>
      <c r="BF70" s="48" t="n">
        <f aca="false">INDEX(MO_CFSum_NetShares,0,COLUMN())</f>
        <v>-355.8</v>
      </c>
      <c r="BG70" s="48" t="n">
        <f aca="false">INDEX(MO_CFSum_NetShares,0,COLUMN())</f>
        <v>-83.7</v>
      </c>
      <c r="BH70" s="48" t="n">
        <f aca="false">INDEX(MO_CFSum_NetShares,0,COLUMN())</f>
        <v>31.5</v>
      </c>
      <c r="BI70" s="48" t="n">
        <f aca="false">INDEX(MO_CFSum_NetShares,0,COLUMN())</f>
        <v>32</v>
      </c>
      <c r="BJ70" s="159" t="n">
        <f aca="false">INDEX(MO_CFSum_NetShares,0,COLUMN())</f>
        <v>-376</v>
      </c>
      <c r="BK70" s="48" t="n">
        <f aca="false">INDEX(MO_CFSum_NetShares,0,COLUMN())</f>
        <v>-2554.6</v>
      </c>
      <c r="BL70" s="48" t="n">
        <f aca="false">INDEX(MO_CFSum_NetShares,0,COLUMN())</f>
        <v>-1448.8</v>
      </c>
      <c r="BM70" s="48" t="n">
        <f aca="false">INDEX(MO_CFSum_NetShares,0,COLUMN())</f>
        <v>-136.9</v>
      </c>
      <c r="BN70" s="48" t="n">
        <f aca="false">INDEX(MO_CFSum_NetShares,0,COLUMN())</f>
        <v>-1667.4</v>
      </c>
      <c r="BO70" s="160" t="n">
        <f aca="false">INDEX(MO_CFSum_NetShares,0,COLUMN())</f>
        <v>-5807.7</v>
      </c>
      <c r="BP70" s="48" t="n">
        <f aca="false">INDEX(MO_CFSum_NetShares,0,COLUMN())</f>
        <v>0</v>
      </c>
      <c r="BQ70" s="48" t="n">
        <f aca="false">INDEX(MO_CFSum_NetShares,0,COLUMN())</f>
        <v>0</v>
      </c>
      <c r="BR70" s="48" t="n">
        <f aca="false">INDEX(MO_CFSum_NetShares,0,COLUMN())</f>
        <v>0</v>
      </c>
      <c r="BS70" s="48" t="n">
        <f aca="false">INDEX(MO_CFSum_NetShares,0,COLUMN())</f>
        <v>0</v>
      </c>
      <c r="BT70" s="159" t="n">
        <f aca="false">INDEX(MO_CFSum_NetShares,0,COLUMN())</f>
        <v>0</v>
      </c>
      <c r="BU70" s="48" t="n">
        <f aca="false">INDEX(MO_CFSum_NetShares,0,COLUMN())</f>
        <v>0</v>
      </c>
      <c r="BV70" s="48" t="n">
        <f aca="false">INDEX(MO_CFSum_NetShares,0,COLUMN())</f>
        <v>0</v>
      </c>
      <c r="BW70" s="48" t="n">
        <f aca="false">INDEX(MO_CFSum_NetShares,0,COLUMN())</f>
        <v>0</v>
      </c>
      <c r="BX70" s="48" t="n">
        <f aca="false">INDEX(MO_CFSum_NetShares,0,COLUMN())</f>
        <v>0</v>
      </c>
      <c r="BY70" s="159" t="n">
        <f aca="false">INDEX(MO_CFSum_NetShares,0,COLUMN())</f>
        <v>0</v>
      </c>
      <c r="BZ70" s="159" t="n">
        <f aca="false">INDEX(MO_CFSum_NetShares,0,COLUMN())</f>
        <v>0</v>
      </c>
      <c r="CA70" s="159" t="n">
        <f aca="false">INDEX(MO_CFSum_NetShares,0,COLUMN())</f>
        <v>0</v>
      </c>
      <c r="CB70" s="159" t="n">
        <f aca="false">INDEX(MO_CFSum_NetShares,0,COLUMN())</f>
        <v>0</v>
      </c>
      <c r="CC70" s="48"/>
    </row>
    <row r="71" s="51" customFormat="true" ht="15" hidden="false" customHeight="true" outlineLevel="0" collapsed="false">
      <c r="A71" s="145" t="s">
        <v>808</v>
      </c>
      <c r="B71" s="254"/>
      <c r="C71" s="159" t="n">
        <f aca="false">INDEX(MO_CFSum_NetDebtIssuance,0,COLUMN())</f>
        <v>-1.415</v>
      </c>
      <c r="D71" s="159" t="n">
        <f aca="false">INDEX(MO_CFSum_NetDebtIssuance,0,COLUMN())</f>
        <v>-1.444</v>
      </c>
      <c r="E71" s="159" t="n">
        <f aca="false">INDEX(MO_CFSum_NetDebtIssuance,0,COLUMN())</f>
        <v>-2.537</v>
      </c>
      <c r="F71" s="159" t="n">
        <f aca="false">INDEX(MO_CFSum_NetDebtIssuance,0,COLUMN())</f>
        <v>-2.776</v>
      </c>
      <c r="G71" s="159" t="n">
        <f aca="false">INDEX(MO_CFSum_NetDebtIssuance,0,COLUMN())</f>
        <v>368.042</v>
      </c>
      <c r="H71" s="48" t="n">
        <f aca="false">INDEX(MO_CFSum_NetDebtIssuance,0,COLUMN())</f>
        <v>-1.1</v>
      </c>
      <c r="I71" s="48" t="n">
        <f aca="false">INDEX(MO_CFSum_NetDebtIssuance,0,COLUMN())</f>
        <v>-1</v>
      </c>
      <c r="J71" s="48" t="n">
        <f aca="false">INDEX(MO_CFSum_NetDebtIssuance,0,COLUMN())</f>
        <v>-1.2</v>
      </c>
      <c r="K71" s="48" t="n">
        <f aca="false">INDEX(MO_CFSum_NetDebtIssuance,0,COLUMN())</f>
        <v>-0.828</v>
      </c>
      <c r="L71" s="159" t="n">
        <f aca="false">INDEX(MO_CFSum_NetDebtIssuance,0,COLUMN())</f>
        <v>-4.128</v>
      </c>
      <c r="M71" s="48" t="n">
        <f aca="false">INDEX(MO_CFSum_NetDebtIssuance,0,COLUMN())</f>
        <v>-0.8</v>
      </c>
      <c r="N71" s="48" t="n">
        <f aca="false">INDEX(MO_CFSum_NetDebtIssuance,0,COLUMN())</f>
        <v>-0.7</v>
      </c>
      <c r="O71" s="48" t="n">
        <f aca="false">INDEX(MO_CFSum_NetDebtIssuance,0,COLUMN())</f>
        <v>-1</v>
      </c>
      <c r="P71" s="48" t="n">
        <f aca="false">INDEX(MO_CFSum_NetDebtIssuance,0,COLUMN())</f>
        <v>-1.139</v>
      </c>
      <c r="Q71" s="159" t="n">
        <f aca="false">INDEX(MO_CFSum_NetDebtIssuance,0,COLUMN())</f>
        <v>-3.639</v>
      </c>
      <c r="R71" s="48" t="n">
        <f aca="false">INDEX(MO_CFSum_NetDebtIssuance,0,COLUMN())</f>
        <v>-1.2</v>
      </c>
      <c r="S71" s="48" t="n">
        <f aca="false">INDEX(MO_CFSum_NetDebtIssuance,0,COLUMN())</f>
        <v>-1.2</v>
      </c>
      <c r="T71" s="48" t="n">
        <f aca="false">INDEX(MO_CFSum_NetDebtIssuance,0,COLUMN())</f>
        <v>1483.6</v>
      </c>
      <c r="U71" s="48" t="n">
        <f aca="false">INDEX(MO_CFSum_NetDebtIssuance,0,COLUMN())</f>
        <v>744.7</v>
      </c>
      <c r="V71" s="159" t="n">
        <f aca="false">INDEX(MO_CFSum_NetDebtIssuance,0,COLUMN())</f>
        <v>2225.9</v>
      </c>
      <c r="W71" s="48" t="n">
        <f aca="false">INDEX(MO_CFSum_NetDebtIssuance,0,COLUMN())</f>
        <v>-1.2</v>
      </c>
      <c r="X71" s="48" t="n">
        <f aca="false">INDEX(MO_CFSum_NetDebtIssuance,0,COLUMN())</f>
        <v>-239.5</v>
      </c>
      <c r="Y71" s="48" t="n">
        <f aca="false">INDEX(MO_CFSum_NetDebtIssuance,0,COLUMN())</f>
        <v>-1.20000000000002</v>
      </c>
      <c r="Z71" s="48" t="n">
        <f aca="false">INDEX(MO_CFSum_NetDebtIssuance,0,COLUMN())</f>
        <v>-1.09999999999999</v>
      </c>
      <c r="AA71" s="159" t="n">
        <f aca="false">INDEX(MO_CFSum_NetDebtIssuance,0,COLUMN())</f>
        <v>-243</v>
      </c>
      <c r="AB71" s="48" t="n">
        <f aca="false">INDEX(MO_CFSum_NetDebtIssuance,0,COLUMN())</f>
        <v>-0.3</v>
      </c>
      <c r="AC71" s="48" t="n">
        <f aca="false">INDEX(MO_CFSum_NetDebtIssuance,0,COLUMN())</f>
        <v>-1.3</v>
      </c>
      <c r="AD71" s="48" t="n">
        <f aca="false">INDEX(MO_CFSum_NetDebtIssuance,0,COLUMN())</f>
        <v>-0.2</v>
      </c>
      <c r="AE71" s="48" t="n">
        <f aca="false">INDEX(MO_CFSum_NetDebtIssuance,0,COLUMN())</f>
        <v>-1</v>
      </c>
      <c r="AF71" s="159" t="n">
        <f aca="false">INDEX(MO_CFSum_NetDebtIssuance,0,COLUMN())</f>
        <v>-2.8</v>
      </c>
      <c r="AG71" s="48" t="n">
        <f aca="false">INDEX(MO_CFSum_NetDebtIssuance,0,COLUMN())</f>
        <v>-0.7</v>
      </c>
      <c r="AH71" s="48" t="n">
        <f aca="false">INDEX(MO_CFSum_NetDebtIssuance,0,COLUMN())</f>
        <v>-1.2</v>
      </c>
      <c r="AI71" s="48" t="n">
        <f aca="false">INDEX(MO_CFSum_NetDebtIssuance,0,COLUMN())</f>
        <v>-1</v>
      </c>
      <c r="AJ71" s="48" t="n">
        <f aca="false">INDEX(MO_CFSum_NetDebtIssuance,0,COLUMN())</f>
        <v>-0.9</v>
      </c>
      <c r="AK71" s="159" t="n">
        <f aca="false">INDEX(MO_CFSum_NetDebtIssuance,0,COLUMN())</f>
        <v>-3.8</v>
      </c>
      <c r="AL71" s="48" t="n">
        <f aca="false">INDEX(MO_CFSum_NetDebtIssuance,0,COLUMN())</f>
        <v>738.9</v>
      </c>
      <c r="AM71" s="48" t="n">
        <f aca="false">INDEX(MO_CFSum_NetDebtIssuance,0,COLUMN())</f>
        <v>745.7</v>
      </c>
      <c r="AN71" s="48" t="n">
        <f aca="false">INDEX(MO_CFSum_NetDebtIssuance,0,COLUMN())</f>
        <v>-0.9</v>
      </c>
      <c r="AO71" s="48" t="n">
        <f aca="false">INDEX(MO_CFSum_NetDebtIssuance,0,COLUMN())</f>
        <v>-0.7</v>
      </c>
      <c r="AP71" s="159" t="n">
        <f aca="false">INDEX(MO_CFSum_NetDebtIssuance,0,COLUMN())</f>
        <v>1483</v>
      </c>
      <c r="AQ71" s="48" t="n">
        <f aca="false">INDEX(MO_CFSum_NetDebtIssuance,0,COLUMN())</f>
        <v>-3.6</v>
      </c>
      <c r="AR71" s="48" t="n">
        <f aca="false">INDEX(MO_CFSum_NetDebtIssuance,0,COLUMN())</f>
        <v>-3.2</v>
      </c>
      <c r="AS71" s="48" t="n">
        <f aca="false">INDEX(MO_CFSum_NetDebtIssuance,0,COLUMN())</f>
        <v>-2.6</v>
      </c>
      <c r="AT71" s="48" t="n">
        <f aca="false">INDEX(MO_CFSum_NetDebtIssuance,0,COLUMN())</f>
        <v>-2.6</v>
      </c>
      <c r="AU71" s="159" t="n">
        <f aca="false">INDEX(MO_CFSum_NetDebtIssuance,0,COLUMN())</f>
        <v>-12</v>
      </c>
      <c r="AV71" s="48" t="n">
        <f aca="false">INDEX(MO_CFSum_NetDebtIssuance,0,COLUMN())</f>
        <v>-13.5</v>
      </c>
      <c r="AW71" s="48" t="n">
        <f aca="false">INDEX(MO_CFSum_NetDebtIssuance,0,COLUMN())</f>
        <v>-5.10000000000002</v>
      </c>
      <c r="AX71" s="48" t="n">
        <f aca="false">INDEX(MO_CFSum_NetDebtIssuance,0,COLUMN())</f>
        <v>-1.19999999999993</v>
      </c>
      <c r="AY71" s="48" t="n">
        <f aca="false">INDEX(MO_CFSum_NetDebtIssuance,0,COLUMN())</f>
        <v>-0.800000000000068</v>
      </c>
      <c r="AZ71" s="159" t="n">
        <f aca="false">INDEX(MO_CFSum_NetDebtIssuance,0,COLUMN())</f>
        <v>-20.6</v>
      </c>
      <c r="BA71" s="48" t="n">
        <f aca="false">INDEX(MO_CFSum_NetDebtIssuance,0,COLUMN())</f>
        <v>-1.5</v>
      </c>
      <c r="BB71" s="48" t="n">
        <f aca="false">INDEX(MO_CFSum_NetDebtIssuance,0,COLUMN())</f>
        <v>997.1</v>
      </c>
      <c r="BC71" s="48" t="n">
        <f aca="false">INDEX(MO_CFSum_NetDebtIssuance,0,COLUMN())</f>
        <v>-750.4</v>
      </c>
      <c r="BD71" s="48" t="n">
        <f aca="false">INDEX(MO_CFSum_NetDebtIssuance,0,COLUMN())</f>
        <v>-0.199999999999932</v>
      </c>
      <c r="BE71" s="159" t="n">
        <f aca="false">INDEX(MO_CFSum_NetDebtIssuance,0,COLUMN())</f>
        <v>245</v>
      </c>
      <c r="BF71" s="48" t="n">
        <f aca="false">INDEX(MO_CFSum_NetDebtIssuance,0,COLUMN())</f>
        <v>-0.6</v>
      </c>
      <c r="BG71" s="48" t="n">
        <f aca="false">INDEX(MO_CFSum_NetDebtIssuance,0,COLUMN())</f>
        <v>-0.3</v>
      </c>
      <c r="BH71" s="48" t="n">
        <f aca="false">INDEX(MO_CFSum_NetDebtIssuance,0,COLUMN())</f>
        <v>-0.7</v>
      </c>
      <c r="BI71" s="48" t="n">
        <f aca="false">INDEX(MO_CFSum_NetDebtIssuance,0,COLUMN())</f>
        <v>-1.6</v>
      </c>
      <c r="BJ71" s="159" t="n">
        <f aca="false">INDEX(MO_CFSum_NetDebtIssuance,0,COLUMN())</f>
        <v>-3.2</v>
      </c>
      <c r="BK71" s="48" t="n">
        <f aca="false">INDEX(MO_CFSum_NetDebtIssuance,0,COLUMN())</f>
        <v>0.4</v>
      </c>
      <c r="BL71" s="48" t="n">
        <f aca="false">INDEX(MO_CFSum_NetDebtIssuance,0,COLUMN())</f>
        <v>-0.6</v>
      </c>
      <c r="BM71" s="48" t="n">
        <f aca="false">INDEX(MO_CFSum_NetDebtIssuance,0,COLUMN())</f>
        <v>14.5</v>
      </c>
      <c r="BN71" s="48" t="n">
        <f aca="false">INDEX(MO_CFSum_NetDebtIssuance,0,COLUMN())</f>
        <v>-326.8</v>
      </c>
      <c r="BO71" s="160" t="n">
        <f aca="false">INDEX(MO_CFSum_NetDebtIssuance,0,COLUMN())</f>
        <v>-312.5</v>
      </c>
      <c r="BP71" s="48" t="n">
        <f aca="false">INDEX(MO_CFSum_NetDebtIssuance,0,COLUMN())</f>
        <v>0</v>
      </c>
      <c r="BQ71" s="48" t="n">
        <f aca="false">INDEX(MO_CFSum_NetDebtIssuance,0,COLUMN())</f>
        <v>0</v>
      </c>
      <c r="BR71" s="48" t="n">
        <f aca="false">INDEX(MO_CFSum_NetDebtIssuance,0,COLUMN())</f>
        <v>0</v>
      </c>
      <c r="BS71" s="48" t="n">
        <f aca="false">INDEX(MO_CFSum_NetDebtIssuance,0,COLUMN())</f>
        <v>0</v>
      </c>
      <c r="BT71" s="159" t="n">
        <f aca="false">INDEX(MO_CFSum_NetDebtIssuance,0,COLUMN())</f>
        <v>0</v>
      </c>
      <c r="BU71" s="48" t="n">
        <f aca="false">INDEX(MO_CFSum_NetDebtIssuance,0,COLUMN())</f>
        <v>0</v>
      </c>
      <c r="BV71" s="48" t="n">
        <f aca="false">INDEX(MO_CFSum_NetDebtIssuance,0,COLUMN())</f>
        <v>0</v>
      </c>
      <c r="BW71" s="48" t="n">
        <f aca="false">INDEX(MO_CFSum_NetDebtIssuance,0,COLUMN())</f>
        <v>0</v>
      </c>
      <c r="BX71" s="48" t="n">
        <f aca="false">INDEX(MO_CFSum_NetDebtIssuance,0,COLUMN())</f>
        <v>0</v>
      </c>
      <c r="BY71" s="159" t="n">
        <f aca="false">INDEX(MO_CFSum_NetDebtIssuance,0,COLUMN())</f>
        <v>0</v>
      </c>
      <c r="BZ71" s="159" t="n">
        <f aca="false">INDEX(MO_CFSum_NetDebtIssuance,0,COLUMN())</f>
        <v>0</v>
      </c>
      <c r="CA71" s="159" t="n">
        <f aca="false">INDEX(MO_CFSum_NetDebtIssuance,0,COLUMN())</f>
        <v>0</v>
      </c>
      <c r="CB71" s="159" t="n">
        <f aca="false">INDEX(MO_CFSum_NetDebtIssuance,0,COLUMN())</f>
        <v>0</v>
      </c>
      <c r="CC71" s="48"/>
    </row>
    <row r="72" s="51" customFormat="true" ht="15" hidden="false" customHeight="true" outlineLevel="0" collapsed="false">
      <c r="A72" s="251" t="s">
        <v>809</v>
      </c>
      <c r="B72" s="257"/>
      <c r="C72" s="261" t="n">
        <f aca="false">Model!C571+Model!C569+Model!C567+Model!C557+Model!C553+Model!C552+Model!C551+Model!C574+Model!C556+Model!C555+Model!C554</f>
        <v>3.606</v>
      </c>
      <c r="D72" s="261" t="n">
        <f aca="false">Model!D571+Model!D569+Model!D567+Model!D557+Model!D553+Model!D552+Model!D551+Model!D574+Model!D556+Model!D555+Model!D554</f>
        <v>155.019</v>
      </c>
      <c r="E72" s="261" t="n">
        <f aca="false">Model!E571+Model!E569+Model!E567+Model!E557+Model!E553+Model!E552+Model!E551+Model!E574+Model!E556+Model!E555+Model!E554</f>
        <v>-146.044</v>
      </c>
      <c r="F72" s="261" t="n">
        <f aca="false">Model!F571+Model!F569+Model!F567+Model!F557+Model!F553+Model!F552+Model!F551+Model!F574+Model!F556+Model!F555+Model!F554</f>
        <v>-4658.461</v>
      </c>
      <c r="G72" s="261" t="n">
        <f aca="false">Model!G571+Model!G569+Model!G567+Model!G557+Model!G553+Model!G552+Model!G551+Model!G574+Model!G556+Model!G555+Model!G554</f>
        <v>283.662</v>
      </c>
      <c r="H72" s="259" t="n">
        <f aca="false">Model!H571+Model!H569+Model!H567+Model!H557+Model!H553+Model!H552+Model!H551+Model!H574+Model!H556+Model!H555+Model!H554</f>
        <v>80.1</v>
      </c>
      <c r="I72" s="259" t="n">
        <f aca="false">Model!I571+Model!I569+Model!I567+Model!I557+Model!I553+Model!I552+Model!I551+Model!I574+Model!I556+Model!I555+Model!I554</f>
        <v>4.00000000000003</v>
      </c>
      <c r="J72" s="259" t="n">
        <f aca="false">Model!J571+Model!J569+Model!J567+Model!J557+Model!J553+Model!J552+Model!J551+Model!J574+Model!J556+Model!J555+Model!J554</f>
        <v>65.5</v>
      </c>
      <c r="K72" s="259" t="n">
        <f aca="false">Model!K571+Model!K569+Model!K567+Model!K557+Model!K553+Model!K552+Model!K551+Model!K574+Model!K556+Model!K555+Model!K554</f>
        <v>207.63</v>
      </c>
      <c r="L72" s="261" t="n">
        <f aca="false">Model!L571+Model!L569+Model!L567+Model!L557+Model!L553+Model!L552+Model!L551+Model!L574+Model!L556+Model!L555+Model!L554</f>
        <v>357.23</v>
      </c>
      <c r="M72" s="259" t="n">
        <f aca="false">Model!M571+Model!M569+Model!M567+Model!M557+Model!M553+Model!M552+Model!M551+Model!M574+Model!M556+Model!M555+Model!M554</f>
        <v>222</v>
      </c>
      <c r="N72" s="259" t="n">
        <f aca="false">Model!N571+Model!N569+Model!N567+Model!N557+Model!N553+Model!N552+Model!N551+Model!N574+Model!N556+Model!N555+Model!N554</f>
        <v>-29.6</v>
      </c>
      <c r="O72" s="259" t="n">
        <f aca="false">Model!O571+Model!O569+Model!O567+Model!O557+Model!O553+Model!O552+Model!O551+Model!O574+Model!O556+Model!O555+Model!O554</f>
        <v>-13.9</v>
      </c>
      <c r="P72" s="259" t="n">
        <f aca="false">Model!P571+Model!P569+Model!P567+Model!P557+Model!P553+Model!P552+Model!P551+Model!P574+Model!P556+Model!P555+Model!P554</f>
        <v>-954.366</v>
      </c>
      <c r="Q72" s="261" t="n">
        <f aca="false">Model!Q571+Model!Q569+Model!Q567+Model!Q557+Model!Q553+Model!Q552+Model!Q551+Model!Q574+Model!Q556+Model!Q555+Model!Q554</f>
        <v>-775.866</v>
      </c>
      <c r="R72" s="259" t="n">
        <f aca="false">Model!R571+Model!R569+Model!R567+Model!R557+Model!R553+Model!R552+Model!R551+Model!R574+Model!R556+Model!R555+Model!R554</f>
        <v>-126.6</v>
      </c>
      <c r="S72" s="259" t="n">
        <f aca="false">Model!S571+Model!S569+Model!S567+Model!S557+Model!S553+Model!S552+Model!S551+Model!S574+Model!S556+Model!S555+Model!S554</f>
        <v>88.7</v>
      </c>
      <c r="T72" s="259" t="n">
        <f aca="false">Model!T571+Model!T569+Model!T567+Model!T557+Model!T553+Model!T552+Model!T551+Model!T574+Model!T556+Model!T555+Model!T554</f>
        <v>-422.2</v>
      </c>
      <c r="U72" s="259" t="n">
        <f aca="false">Model!U571+Model!U569+Model!U567+Model!U557+Model!U553+Model!U552+Model!U551+Model!U574+Model!U556+Model!U555+Model!U554</f>
        <v>245.7</v>
      </c>
      <c r="V72" s="261" t="n">
        <f aca="false">Model!V571+Model!V569+Model!V567+Model!V557+Model!V553+Model!V552+Model!V551+Model!V574+Model!V556+Model!V555+Model!V554</f>
        <v>-214.4</v>
      </c>
      <c r="W72" s="259" t="n">
        <f aca="false">Model!W571+Model!W569+Model!W567+Model!W557+Model!W553+Model!W552+Model!W551+Model!W574+Model!W556+Model!W555+Model!W554</f>
        <v>204.1</v>
      </c>
      <c r="X72" s="259" t="n">
        <f aca="false">Model!X571+Model!X569+Model!X567+Model!X557+Model!X553+Model!X552+Model!X551+Model!X574+Model!X556+Model!X555+Model!X554</f>
        <v>-721.1</v>
      </c>
      <c r="Y72" s="259" t="n">
        <f aca="false">Model!Y571+Model!Y569+Model!Y567+Model!Y557+Model!Y553+Model!Y552+Model!Y551+Model!Y574+Model!Y556+Model!Y555+Model!Y554</f>
        <v>15.2</v>
      </c>
      <c r="Z72" s="259" t="n">
        <f aca="false">Model!Z571+Model!Z569+Model!Z567+Model!Z557+Model!Z553+Model!Z552+Model!Z551+Model!Z574+Model!Z556+Model!Z555+Model!Z554</f>
        <v>-377.6</v>
      </c>
      <c r="AA72" s="261" t="n">
        <f aca="false">Model!AA571+Model!AA569+Model!AA567+Model!AA557+Model!AA553+Model!AA552+Model!AA551+Model!AA574+Model!AA556+Model!AA555+Model!AA554</f>
        <v>-879.4</v>
      </c>
      <c r="AB72" s="259" t="n">
        <f aca="false">Model!AB571+Model!AB569+Model!AB567+Model!AB557+Model!AB553+Model!AB552+Model!AB551+Model!AB574+Model!AB556+Model!AB555+Model!AB554</f>
        <v>310.3</v>
      </c>
      <c r="AC72" s="259" t="n">
        <f aca="false">Model!AC571+Model!AC569+Model!AC567+Model!AC557+Model!AC553+Model!AC552+Model!AC551+Model!AC574+Model!AC556+Model!AC555+Model!AC554</f>
        <v>82.3999999999999</v>
      </c>
      <c r="AD72" s="259" t="n">
        <f aca="false">Model!AD571+Model!AD569+Model!AD567+Model!AD557+Model!AD553+Model!AD552+Model!AD551+Model!AD574+Model!AD556+Model!AD555+Model!AD554</f>
        <v>-114.5</v>
      </c>
      <c r="AE72" s="259" t="n">
        <f aca="false">Model!AE571+Model!AE569+Model!AE567+Model!AE557+Model!AE553+Model!AE552+Model!AE551+Model!AE574+Model!AE556+Model!AE555+Model!AE554</f>
        <v>-155</v>
      </c>
      <c r="AF72" s="261" t="n">
        <f aca="false">Model!AF571+Model!AF569+Model!AF567+Model!AF557+Model!AF553+Model!AF552+Model!AF551+Model!AF574+Model!AF556+Model!AF555+Model!AF554</f>
        <v>123.2</v>
      </c>
      <c r="AG72" s="259" t="n">
        <f aca="false">Model!AG571+Model!AG569+Model!AG567+Model!AG557+Model!AG553+Model!AG552+Model!AG551+Model!AG574+Model!AG556+Model!AG555+Model!AG554</f>
        <v>-105.5</v>
      </c>
      <c r="AH72" s="259" t="n">
        <f aca="false">Model!AH571+Model!AH569+Model!AH567+Model!AH557+Model!AH553+Model!AH552+Model!AH551+Model!AH574+Model!AH556+Model!AH555+Model!AH554</f>
        <v>344.2</v>
      </c>
      <c r="AI72" s="259" t="n">
        <f aca="false">Model!AI571+Model!AI569+Model!AI567+Model!AI557+Model!AI553+Model!AI552+Model!AI551+Model!AI574+Model!AI556+Model!AI555+Model!AI554</f>
        <v>194.6</v>
      </c>
      <c r="AJ72" s="259" t="n">
        <f aca="false">Model!AJ571+Model!AJ569+Model!AJ567+Model!AJ557+Model!AJ553+Model!AJ552+Model!AJ551+Model!AJ574+Model!AJ556+Model!AJ555+Model!AJ554</f>
        <v>-700.3</v>
      </c>
      <c r="AK72" s="261" t="n">
        <f aca="false">Model!AK571+Model!AK569+Model!AK567+Model!AK557+Model!AK553+Model!AK552+Model!AK551+Model!AK574+Model!AK556+Model!AK555+Model!AK554</f>
        <v>-267</v>
      </c>
      <c r="AL72" s="259" t="n">
        <f aca="false">Model!AL571+Model!AL569+Model!AL567+Model!AL557+Model!AL553+Model!AL552+Model!AL551+Model!AL574+Model!AL556+Model!AL555+Model!AL554</f>
        <v>-200.5</v>
      </c>
      <c r="AM72" s="259" t="n">
        <f aca="false">Model!AM571+Model!AM569+Model!AM567+Model!AM557+Model!AM553+Model!AM552+Model!AM551+Model!AM574+Model!AM556+Model!AM555+Model!AM554</f>
        <v>443.4</v>
      </c>
      <c r="AN72" s="259" t="n">
        <f aca="false">Model!AN571+Model!AN569+Model!AN567+Model!AN557+Model!AN553+Model!AN552+Model!AN551+Model!AN574+Model!AN556+Model!AN555+Model!AN554</f>
        <v>53.3999999999999</v>
      </c>
      <c r="AO72" s="259" t="n">
        <f aca="false">Model!AO571+Model!AO569+Model!AO567+Model!AO557+Model!AO553+Model!AO552+Model!AO551+Model!AO574+Model!AO556+Model!AO555+Model!AO554</f>
        <v>-430.2</v>
      </c>
      <c r="AP72" s="261" t="n">
        <f aca="false">Model!AP571+Model!AP569+Model!AP567+Model!AP557+Model!AP553+Model!AP552+Model!AP551+Model!AP574+Model!AP556+Model!AP555+Model!AP554</f>
        <v>-133.9</v>
      </c>
      <c r="AQ72" s="259" t="n">
        <f aca="false">Model!AQ571+Model!AQ569+Model!AQ567+Model!AQ557+Model!AQ553+Model!AQ552+Model!AQ551+Model!AQ574+Model!AQ556+Model!AQ555+Model!AQ554</f>
        <v>-106.4</v>
      </c>
      <c r="AR72" s="259" t="n">
        <f aca="false">Model!AR571+Model!AR569+Model!AR567+Model!AR557+Model!AR553+Model!AR552+Model!AR551+Model!AR574+Model!AR556+Model!AR555+Model!AR554</f>
        <v>1221</v>
      </c>
      <c r="AS72" s="259" t="n">
        <f aca="false">Model!AS571+Model!AS569+Model!AS567+Model!AS557+Model!AS553+Model!AS552+Model!AS551+Model!AS574+Model!AS556+Model!AS555+Model!AS554</f>
        <v>-72.6</v>
      </c>
      <c r="AT72" s="259" t="n">
        <f aca="false">Model!AT571+Model!AT569+Model!AT567+Model!AT557+Model!AT553+Model!AT552+Model!AT551+Model!AT574+Model!AT556+Model!AT555+Model!AT554</f>
        <v>-482.4</v>
      </c>
      <c r="AU72" s="261" t="n">
        <f aca="false">Model!AU571+Model!AU569+Model!AU567+Model!AU557+Model!AU553+Model!AU552+Model!AU551+Model!AU574+Model!AU556+Model!AU555+Model!AU554</f>
        <v>559.6</v>
      </c>
      <c r="AV72" s="259" t="n">
        <f aca="false">Model!AV571+Model!AV569+Model!AV567+Model!AV557+Model!AV553+Model!AV552+Model!AV551+Model!AV574+Model!AV556+Model!AV555+Model!AV554</f>
        <v>240.2</v>
      </c>
      <c r="AW72" s="259" t="n">
        <f aca="false">Model!AW571+Model!AW569+Model!AW567+Model!AW557+Model!AW553+Model!AW552+Model!AW551+Model!AW574+Model!AW556+Model!AW555+Model!AW554</f>
        <v>94.4</v>
      </c>
      <c r="AX72" s="259" t="n">
        <f aca="false">Model!AX571+Model!AX569+Model!AX567+Model!AX557+Model!AX553+Model!AX552+Model!AX551+Model!AX574+Model!AX556+Model!AX555+Model!AX554</f>
        <v>-136.2</v>
      </c>
      <c r="AY72" s="259" t="n">
        <f aca="false">Model!AY571+Model!AY569+Model!AY567+Model!AY557+Model!AY553+Model!AY552+Model!AY551+Model!AY574+Model!AY556+Model!AY555+Model!AY554</f>
        <v>88.9</v>
      </c>
      <c r="AZ72" s="261" t="n">
        <f aca="false">Model!AZ571+Model!AZ569+Model!AZ567+Model!AZ557+Model!AZ553+Model!AZ552+Model!AZ551+Model!AZ574+Model!AZ556+Model!AZ555+Model!AZ554</f>
        <v>287.3</v>
      </c>
      <c r="BA72" s="259" t="n">
        <f aca="false">Model!BA571+Model!BA569+Model!BA567+Model!BA557+Model!BA553+Model!BA552+Model!BA551+Model!BA574+Model!BA556+Model!BA555+Model!BA554</f>
        <v>101.3</v>
      </c>
      <c r="BB72" s="259" t="n">
        <f aca="false">Model!BB571+Model!BB569+Model!BB567+Model!BB557+Model!BB553+Model!BB552+Model!BB551+Model!BB574+Model!BB556+Model!BB555+Model!BB554</f>
        <v>-10.2</v>
      </c>
      <c r="BC72" s="259" t="n">
        <f aca="false">Model!BC571+Model!BC569+Model!BC567+Model!BC557+Model!BC553+Model!BC552+Model!BC551+Model!BC574+Model!BC556+Model!BC555+Model!BC554</f>
        <v>-550</v>
      </c>
      <c r="BD72" s="259" t="n">
        <f aca="false">Model!BD571+Model!BD569+Model!BD567+Model!BD557+Model!BD553+Model!BD552+Model!BD551+Model!BD574+Model!BD556+Model!BD555+Model!BD554</f>
        <v>-14.4</v>
      </c>
      <c r="BE72" s="261" t="n">
        <f aca="false">Model!BE571+Model!BE569+Model!BE567+Model!BE557+Model!BE553+Model!BE552+Model!BE551+Model!BE574+Model!BE556+Model!BE555+Model!BE554</f>
        <v>-473.3</v>
      </c>
      <c r="BF72" s="259" t="n">
        <f aca="false">Model!BF571+Model!BF569+Model!BF567+Model!BF557+Model!BF553+Model!BF552+Model!BF551+Model!BF574+Model!BF556+Model!BF555+Model!BF554</f>
        <v>-300.8</v>
      </c>
      <c r="BG72" s="259" t="n">
        <f aca="false">Model!BG571+Model!BG569+Model!BG567+Model!BG557+Model!BG553+Model!BG552+Model!BG551+Model!BG574+Model!BG556+Model!BG555+Model!BG554</f>
        <v>99.7</v>
      </c>
      <c r="BH72" s="259" t="n">
        <f aca="false">Model!BH571+Model!BH569+Model!BH567+Model!BH557+Model!BH553+Model!BH552+Model!BH551+Model!BH574+Model!BH556+Model!BH555+Model!BH554</f>
        <v>196.6</v>
      </c>
      <c r="BI72" s="259" t="n">
        <f aca="false">Model!BI571+Model!BI569+Model!BI567+Model!BI557+Model!BI553+Model!BI552+Model!BI551+Model!BI574+Model!BI556+Model!BI555+Model!BI554</f>
        <v>-515.3</v>
      </c>
      <c r="BJ72" s="261" t="n">
        <f aca="false">Model!BJ571+Model!BJ569+Model!BJ567+Model!BJ557+Model!BJ553+Model!BJ552+Model!BJ551+Model!BJ574+Model!BJ556+Model!BJ555+Model!BJ554</f>
        <v>-519.8</v>
      </c>
      <c r="BK72" s="259" t="n">
        <f aca="false">Model!BK571+Model!BK569+Model!BK567+Model!BK557+Model!BK553+Model!BK552+Model!BK551+Model!BK574+Model!BK556+Model!BK555+Model!BK554</f>
        <v>-11</v>
      </c>
      <c r="BL72" s="259" t="n">
        <f aca="false">Model!BL571+Model!BL569+Model!BL567+Model!BL557+Model!BL553+Model!BL552+Model!BL551+Model!BL574+Model!BL556+Model!BL555+Model!BL554</f>
        <v>-9.9</v>
      </c>
      <c r="BM72" s="259" t="n">
        <f aca="false">Model!BM571+Model!BM569+Model!BM567+Model!BM557+Model!BM553+Model!BM552+Model!BM551+Model!BM574+Model!BM556+Model!BM555+Model!BM554</f>
        <v>-1618.7</v>
      </c>
      <c r="BN72" s="259" t="n">
        <f aca="false">Model!BN571+Model!BN569+Model!BN567+Model!BN557+Model!BN553+Model!BN552+Model!BN551+Model!BN574+Model!BN556+Model!BN555+Model!BN554</f>
        <v>-537.1</v>
      </c>
      <c r="BO72" s="260" t="n">
        <f aca="false">Model!BO571+Model!BO569+Model!BO567+Model!BO557+Model!BO553+Model!BO552+Model!BO551+Model!BO574+Model!BO556+Model!BO555+Model!BO554</f>
        <v>-2176.7</v>
      </c>
      <c r="BP72" s="259" t="n">
        <f aca="false">Model!BP571+Model!BP569+Model!BP567+Model!BP557+Model!BP553+Model!BP552+Model!BP551+Model!BP574+Model!BP556+Model!BP555+Model!BP554</f>
        <v>0</v>
      </c>
      <c r="BQ72" s="259" t="n">
        <f aca="false">Model!BQ571+Model!BQ569+Model!BQ567+Model!BQ557+Model!BQ553+Model!BQ552+Model!BQ551+Model!BQ574+Model!BQ556+Model!BQ555+Model!BQ554</f>
        <v>0</v>
      </c>
      <c r="BR72" s="259" t="n">
        <f aca="false">Model!BR571+Model!BR569+Model!BR567+Model!BR557+Model!BR553+Model!BR552+Model!BR551+Model!BR574+Model!BR556+Model!BR555+Model!BR554</f>
        <v>0</v>
      </c>
      <c r="BS72" s="259" t="n">
        <f aca="false">Model!BS571+Model!BS569+Model!BS567+Model!BS557+Model!BS553+Model!BS552+Model!BS551+Model!BS574+Model!BS556+Model!BS555+Model!BS554</f>
        <v>0</v>
      </c>
      <c r="BT72" s="261" t="n">
        <f aca="false">Model!BT571+Model!BT569+Model!BT567+Model!BT557+Model!BT553+Model!BT552+Model!BT551+Model!BT574+Model!BT556+Model!BT555+Model!BT554</f>
        <v>0</v>
      </c>
      <c r="BU72" s="259" t="n">
        <f aca="false">Model!BU571+Model!BU569+Model!BU567+Model!BU557+Model!BU553+Model!BU552+Model!BU551+Model!BU574+Model!BU556+Model!BU555+Model!BU554</f>
        <v>0</v>
      </c>
      <c r="BV72" s="259" t="n">
        <f aca="false">Model!BV571+Model!BV569+Model!BV567+Model!BV557+Model!BV553+Model!BV552+Model!BV551+Model!BV574+Model!BV556+Model!BV555+Model!BV554</f>
        <v>0</v>
      </c>
      <c r="BW72" s="259" t="n">
        <f aca="false">Model!BW571+Model!BW569+Model!BW567+Model!BW557+Model!BW553+Model!BW552+Model!BW551+Model!BW574+Model!BW556+Model!BW555+Model!BW554</f>
        <v>0</v>
      </c>
      <c r="BX72" s="259" t="n">
        <f aca="false">Model!BX571+Model!BX569+Model!BX567+Model!BX557+Model!BX553+Model!BX552+Model!BX551+Model!BX574+Model!BX556+Model!BX555+Model!BX554</f>
        <v>0</v>
      </c>
      <c r="BY72" s="261" t="n">
        <f aca="false">Model!BY571+Model!BY569+Model!BY567+Model!BY557+Model!BY553+Model!BY552+Model!BY551+Model!BY574+Model!BY556+Model!BY555+Model!BY554</f>
        <v>0</v>
      </c>
      <c r="BZ72" s="261" t="n">
        <f aca="false">Model!BZ571+Model!BZ569+Model!BZ567+Model!BZ557+Model!BZ553+Model!BZ552+Model!BZ551+Model!BZ574+Model!BZ556+Model!BZ555+Model!BZ554</f>
        <v>0</v>
      </c>
      <c r="CA72" s="261" t="n">
        <f aca="false">Model!CA571+Model!CA569+Model!CA567+Model!CA557+Model!CA553+Model!CA552+Model!CA551+Model!CA574+Model!CA556+Model!CA555+Model!CA554</f>
        <v>0</v>
      </c>
      <c r="CB72" s="261" t="n">
        <f aca="false">Model!CB571+Model!CB569+Model!CB567+Model!CB557+Model!CB553+Model!CB552+Model!CB551+Model!CB574+Model!CB556+Model!CB555+Model!CB554</f>
        <v>0</v>
      </c>
      <c r="CC72" s="48"/>
    </row>
    <row r="73" s="157" customFormat="true" ht="15" hidden="false" customHeight="true" outlineLevel="0" collapsed="false">
      <c r="A73" s="151" t="s">
        <v>810</v>
      </c>
      <c r="B73" s="393"/>
      <c r="C73" s="162" t="n">
        <f aca="false">SUM(C67:C72)</f>
        <v>-72.11</v>
      </c>
      <c r="D73" s="162" t="n">
        <f aca="false">SUM(D67:D72)</f>
        <v>912.76</v>
      </c>
      <c r="E73" s="162" t="n">
        <f aca="false">SUM(E67:E72)</f>
        <v>781.948</v>
      </c>
      <c r="F73" s="162" t="n">
        <f aca="false">SUM(F67:F72)</f>
        <v>-964.185999999999</v>
      </c>
      <c r="G73" s="162" t="n">
        <f aca="false">SUM(G67:G72)</f>
        <v>563.098</v>
      </c>
      <c r="H73" s="163" t="n">
        <f aca="false">SUM(H67:H72)</f>
        <v>67.4</v>
      </c>
      <c r="I73" s="163" t="n">
        <f aca="false">SUM(I67:I72)</f>
        <v>-287.1</v>
      </c>
      <c r="J73" s="163" t="n">
        <f aca="false">SUM(J67:J72)</f>
        <v>33.7999999999999</v>
      </c>
      <c r="K73" s="163" t="n">
        <f aca="false">SUM(K67:K72)</f>
        <v>274.693</v>
      </c>
      <c r="L73" s="162" t="n">
        <f aca="false">SUM(L67:L72)</f>
        <v>88.7930000000001</v>
      </c>
      <c r="M73" s="163" t="n">
        <f aca="false">SUM(M67:M72)</f>
        <v>359</v>
      </c>
      <c r="N73" s="163" t="n">
        <f aca="false">SUM(N67:N72)</f>
        <v>-283.5</v>
      </c>
      <c r="O73" s="163" t="n">
        <f aca="false">SUM(O67:O72)</f>
        <v>185.9</v>
      </c>
      <c r="P73" s="163" t="n">
        <f aca="false">SUM(P67:P72)</f>
        <v>-222.17</v>
      </c>
      <c r="Q73" s="162" t="n">
        <f aca="false">SUM(Q67:Q72)</f>
        <v>39.2300000000004</v>
      </c>
      <c r="R73" s="163" t="n">
        <f aca="false">SUM(R67:R72)</f>
        <v>-395.3</v>
      </c>
      <c r="S73" s="163" t="n">
        <f aca="false">SUM(S67:S72)</f>
        <v>-137.3</v>
      </c>
      <c r="T73" s="163" t="n">
        <f aca="false">SUM(T67:T72)</f>
        <v>986.9</v>
      </c>
      <c r="U73" s="163" t="n">
        <f aca="false">SUM(U67:U72)</f>
        <v>-6.09999999999997</v>
      </c>
      <c r="V73" s="162" t="n">
        <f aca="false">SUM(V67:V72)</f>
        <v>448.2</v>
      </c>
      <c r="W73" s="163" t="n">
        <f aca="false">SUM(W67:W72)</f>
        <v>3.70000000000003</v>
      </c>
      <c r="X73" s="163" t="n">
        <f aca="false">SUM(X67:X72)</f>
        <v>-996.4</v>
      </c>
      <c r="Y73" s="163" t="n">
        <f aca="false">SUM(Y67:Y72)</f>
        <v>163.4</v>
      </c>
      <c r="Z73" s="163" t="n">
        <f aca="false">SUM(Z67:Z72)</f>
        <v>181.4</v>
      </c>
      <c r="AA73" s="162" t="n">
        <f aca="false">SUM(AA67:AA72)</f>
        <v>-647.9</v>
      </c>
      <c r="AB73" s="163" t="n">
        <f aca="false">SUM(AB67:AB72)</f>
        <v>205.8</v>
      </c>
      <c r="AC73" s="163" t="n">
        <f aca="false">SUM(AC67:AC72)</f>
        <v>-139.1</v>
      </c>
      <c r="AD73" s="163" t="n">
        <f aca="false">SUM(AD67:AD72)</f>
        <v>-122.5</v>
      </c>
      <c r="AE73" s="163" t="n">
        <f aca="false">SUM(AE67:AE72)</f>
        <v>917.9</v>
      </c>
      <c r="AF73" s="162" t="n">
        <f aca="false">SUM(AF67:AF72)</f>
        <v>862.1</v>
      </c>
      <c r="AG73" s="163" t="n">
        <f aca="false">SUM(AG67:AG72)</f>
        <v>-868.1</v>
      </c>
      <c r="AH73" s="163" t="n">
        <f aca="false">SUM(AH67:AH72)</f>
        <v>-591.9</v>
      </c>
      <c r="AI73" s="163" t="n">
        <f aca="false">SUM(AI67:AI72)</f>
        <v>-75</v>
      </c>
      <c r="AJ73" s="163" t="n">
        <f aca="false">SUM(AJ67:AJ72)</f>
        <v>1946.2</v>
      </c>
      <c r="AK73" s="162" t="n">
        <f aca="false">SUM(AK67:AK72)</f>
        <v>411.2</v>
      </c>
      <c r="AL73" s="163" t="n">
        <f aca="false">SUM(AL67:AL72)</f>
        <v>-808.6</v>
      </c>
      <c r="AM73" s="163" t="n">
        <f aca="false">SUM(AM67:AM72)</f>
        <v>775.4</v>
      </c>
      <c r="AN73" s="163" t="n">
        <f aca="false">SUM(AN67:AN72)</f>
        <v>32.4</v>
      </c>
      <c r="AO73" s="163" t="n">
        <f aca="false">SUM(AO67:AO72)</f>
        <v>2517.9</v>
      </c>
      <c r="AP73" s="162" t="n">
        <f aca="false">SUM(AP67:AP72)</f>
        <v>2517.1</v>
      </c>
      <c r="AQ73" s="163" t="n">
        <f aca="false">SUM(AQ67:AQ72)</f>
        <v>-2805.6</v>
      </c>
      <c r="AR73" s="163" t="n">
        <f aca="false">SUM(AR67:AR72)</f>
        <v>1942.8</v>
      </c>
      <c r="AS73" s="163" t="n">
        <f aca="false">SUM(AS67:AS72)</f>
        <v>-867.9</v>
      </c>
      <c r="AT73" s="163" t="n">
        <f aca="false">SUM(AT67:AT72)</f>
        <v>2633.1</v>
      </c>
      <c r="AU73" s="162" t="n">
        <f aca="false">SUM(AU67:AU72)</f>
        <v>902.400000000001</v>
      </c>
      <c r="AV73" s="163" t="n">
        <f aca="false">SUM(AV67:AV72)</f>
        <v>-2627.7</v>
      </c>
      <c r="AW73" s="163" t="n">
        <f aca="false">SUM(AW67:AW72)</f>
        <v>-227.6</v>
      </c>
      <c r="AX73" s="163" t="n">
        <f aca="false">SUM(AX67:AX72)</f>
        <v>-943.7</v>
      </c>
      <c r="AY73" s="163" t="n">
        <f aca="false">SUM(AY67:AY72)</f>
        <v>4115.5</v>
      </c>
      <c r="AZ73" s="162" t="n">
        <f aca="false">SUM(AZ67:AZ72)</f>
        <v>316.499999999999</v>
      </c>
      <c r="BA73" s="163" t="n">
        <f aca="false">SUM(BA67:BA72)</f>
        <v>-620.6</v>
      </c>
      <c r="BB73" s="163" t="n">
        <f aca="false">SUM(BB67:BB72)</f>
        <v>-306.4</v>
      </c>
      <c r="BC73" s="163" t="n">
        <f aca="false">SUM(BC67:BC72)</f>
        <v>-1365.8</v>
      </c>
      <c r="BD73" s="163" t="n">
        <f aca="false">SUM(BD67:BD72)</f>
        <v>2029.2</v>
      </c>
      <c r="BE73" s="162" t="n">
        <f aca="false">SUM(BE67:BE72)</f>
        <v>-263.6</v>
      </c>
      <c r="BF73" s="163" t="n">
        <f aca="false">SUM(BF67:BF72)</f>
        <v>-1903.9</v>
      </c>
      <c r="BG73" s="163" t="n">
        <f aca="false">SUM(BG67:BG72)</f>
        <v>-287.2</v>
      </c>
      <c r="BH73" s="163" t="n">
        <f aca="false">SUM(BH67:BH72)</f>
        <v>165.7</v>
      </c>
      <c r="BI73" s="163" t="n">
        <f aca="false">SUM(BI67:BI72)</f>
        <v>7756.6</v>
      </c>
      <c r="BJ73" s="162" t="n">
        <f aca="false">SUM(BJ67:BJ72)</f>
        <v>5731.2</v>
      </c>
      <c r="BK73" s="163" t="n">
        <f aca="false">SUM(BK67:BK72)</f>
        <v>-3637.5</v>
      </c>
      <c r="BL73" s="163" t="n">
        <f aca="false">SUM(BL67:BL72)</f>
        <v>-1854.9</v>
      </c>
      <c r="BM73" s="163" t="n">
        <f aca="false">SUM(BM67:BM72)</f>
        <v>-2117</v>
      </c>
      <c r="BN73" s="163" t="n">
        <f aca="false">SUM(BN67:BN72)</f>
        <v>7789.5</v>
      </c>
      <c r="BO73" s="164" t="n">
        <f aca="false">SUM(BO67:BO72)</f>
        <v>180.1</v>
      </c>
      <c r="BP73" s="163" t="n">
        <f aca="false">SUM(BP67:BP72)</f>
        <v>3979.95223082869</v>
      </c>
      <c r="BQ73" s="163" t="n">
        <f aca="false">SUM(BQ67:BQ72)</f>
        <v>2089.36430946175</v>
      </c>
      <c r="BR73" s="163" t="n">
        <f aca="false">SUM(BR67:BR72)</f>
        <v>2264.65846930902</v>
      </c>
      <c r="BS73" s="163" t="n">
        <f aca="false">SUM(BS67:BS72)</f>
        <v>1127.5840204508</v>
      </c>
      <c r="BT73" s="162" t="n">
        <f aca="false">SUM(BT67:BT72)</f>
        <v>9461.55903005026</v>
      </c>
      <c r="BU73" s="163" t="n">
        <f aca="false">SUM(BU67:BU72)</f>
        <v>4201.9345854211</v>
      </c>
      <c r="BV73" s="163" t="n">
        <f aca="false">SUM(BV67:BV72)</f>
        <v>2365.01513844464</v>
      </c>
      <c r="BW73" s="163" t="n">
        <f aca="false">SUM(BW67:BW72)</f>
        <v>2443.59874412183</v>
      </c>
      <c r="BX73" s="163" t="n">
        <f aca="false">SUM(BX67:BX72)</f>
        <v>1454.22082911941</v>
      </c>
      <c r="BY73" s="162" t="n">
        <f aca="false">SUM(BY67:BY72)</f>
        <v>10464.769297107</v>
      </c>
      <c r="BZ73" s="162" t="n">
        <f aca="false">SUM(BZ67:BZ72)</f>
        <v>13938.0416786463</v>
      </c>
      <c r="CA73" s="162" t="n">
        <f aca="false">SUM(CA67:CA72)</f>
        <v>13883.3247338119</v>
      </c>
      <c r="CB73" s="162" t="n">
        <f aca="false">SUM(CB67:CB72)</f>
        <v>14907.129086966</v>
      </c>
      <c r="CC73" s="268"/>
    </row>
    <row r="74" s="157" customFormat="true" ht="15" hidden="false" customHeight="true" outlineLevel="0" collapsed="false">
      <c r="A74" s="252"/>
      <c r="B74" s="266"/>
      <c r="C74" s="267"/>
      <c r="D74" s="267"/>
      <c r="E74" s="267"/>
      <c r="F74" s="267"/>
      <c r="G74" s="267"/>
      <c r="H74" s="268"/>
      <c r="I74" s="268"/>
      <c r="J74" s="268"/>
      <c r="K74" s="268"/>
      <c r="L74" s="267"/>
      <c r="M74" s="268"/>
      <c r="N74" s="268"/>
      <c r="O74" s="268"/>
      <c r="P74" s="268"/>
      <c r="Q74" s="267"/>
      <c r="R74" s="268"/>
      <c r="S74" s="268"/>
      <c r="T74" s="268"/>
      <c r="U74" s="268"/>
      <c r="V74" s="267"/>
      <c r="W74" s="268"/>
      <c r="X74" s="268"/>
      <c r="Y74" s="268"/>
      <c r="Z74" s="268"/>
      <c r="AA74" s="267"/>
      <c r="AB74" s="268"/>
      <c r="AC74" s="268"/>
      <c r="AD74" s="268"/>
      <c r="AE74" s="268"/>
      <c r="AF74" s="267"/>
      <c r="AG74" s="268"/>
      <c r="AH74" s="268"/>
      <c r="AI74" s="268"/>
      <c r="AJ74" s="268"/>
      <c r="AK74" s="267"/>
      <c r="AL74" s="268"/>
      <c r="AM74" s="268"/>
      <c r="AN74" s="268"/>
      <c r="AO74" s="268"/>
      <c r="AP74" s="267"/>
      <c r="AQ74" s="268"/>
      <c r="AR74" s="268"/>
      <c r="AS74" s="268"/>
      <c r="AT74" s="268"/>
      <c r="AU74" s="267"/>
      <c r="AV74" s="268"/>
      <c r="AW74" s="268"/>
      <c r="AX74" s="268"/>
      <c r="AY74" s="268"/>
      <c r="AZ74" s="267"/>
      <c r="BA74" s="268"/>
      <c r="BB74" s="268"/>
      <c r="BC74" s="268"/>
      <c r="BD74" s="268"/>
      <c r="BE74" s="267"/>
      <c r="BF74" s="268"/>
      <c r="BG74" s="268"/>
      <c r="BH74" s="268"/>
      <c r="BI74" s="268"/>
      <c r="BJ74" s="267"/>
      <c r="BK74" s="268"/>
      <c r="BL74" s="268"/>
      <c r="BM74" s="268"/>
      <c r="BN74" s="268"/>
      <c r="BO74" s="269"/>
      <c r="BP74" s="268"/>
      <c r="BQ74" s="268"/>
      <c r="BR74" s="268"/>
      <c r="BS74" s="268"/>
      <c r="BT74" s="267"/>
      <c r="BU74" s="268"/>
      <c r="BV74" s="268"/>
      <c r="BW74" s="268"/>
      <c r="BX74" s="268"/>
      <c r="BY74" s="267"/>
      <c r="BZ74" s="267"/>
      <c r="CA74" s="267"/>
      <c r="CB74" s="267"/>
      <c r="CC74" s="268"/>
    </row>
    <row r="75" s="445" customFormat="true" ht="15" hidden="false" customHeight="true" outlineLevel="0" collapsed="false">
      <c r="A75" s="443" t="s">
        <v>811</v>
      </c>
      <c r="B75" s="439"/>
      <c r="C75" s="713" t="n">
        <f aca="false">INDEX(SP_CFA_CFO,0,COLUMN())/INDEX(SP_GF_ShareCount,0,COLUMN())</f>
        <v>0.229289321914404</v>
      </c>
      <c r="D75" s="713" t="n">
        <f aca="false">INDEX(SP_CFA_CFO,0,COLUMN())/INDEX(SP_GF_ShareCount,0,COLUMN())</f>
        <v>2.14146623718033</v>
      </c>
      <c r="E75" s="713" t="n">
        <f aca="false">INDEX(SP_CFA_CFO,0,COLUMN())/INDEX(SP_GF_ShareCount,0,COLUMN())</f>
        <v>4.82560429597276</v>
      </c>
      <c r="F75" s="713" t="n">
        <f aca="false">INDEX(SP_CFA_CFO,0,COLUMN())/INDEX(SP_GF_ShareCount,0,COLUMN())</f>
        <v>1.6475434791773</v>
      </c>
      <c r="G75" s="713" t="n">
        <f aca="false">INDEX(SP_CFA_CFO,0,COLUMN())/INDEX(SP_GF_ShareCount,0,COLUMN())</f>
        <v>2.43207458368516</v>
      </c>
      <c r="H75" s="443" t="n">
        <f aca="false">INDEX(SP_CFA_CFO,0,COLUMN())/INDEX(SP_GF_ShareCount,0,COLUMN())</f>
        <v>0.458624577226607</v>
      </c>
      <c r="I75" s="443" t="n">
        <f aca="false">INDEX(SP_CFA_CFO,0,COLUMN())/INDEX(SP_GF_ShareCount,0,COLUMN())</f>
        <v>0.44927536231884</v>
      </c>
      <c r="J75" s="443" t="n">
        <f aca="false">INDEX(SP_CFA_CFO,0,COLUMN())/INDEX(SP_GF_ShareCount,0,COLUMN())</f>
        <v>0.487927107061503</v>
      </c>
      <c r="K75" s="443" t="n">
        <f aca="false">INDEX(SP_CFA_CFO,0,COLUMN())/INDEX(SP_GF_ShareCount,0,COLUMN())</f>
        <v>0.93704144721777</v>
      </c>
      <c r="L75" s="713" t="n">
        <f aca="false">INDEX(SP_CFA_CFO,0,COLUMN())/INDEX(SP_GF_ShareCount,0,COLUMN())</f>
        <v>2.33164048552058</v>
      </c>
      <c r="M75" s="443" t="n">
        <f aca="false">INDEX(SP_CFA_CFO,0,COLUMN())/INDEX(SP_GF_ShareCount,0,COLUMN())</f>
        <v>0.774638180565127</v>
      </c>
      <c r="N75" s="443" t="n">
        <f aca="false">INDEX(SP_CFA_CFO,0,COLUMN())/INDEX(SP_GF_ShareCount,0,COLUMN())</f>
        <v>0.654218533886584</v>
      </c>
      <c r="O75" s="443" t="n">
        <f aca="false">INDEX(SP_CFA_CFO,0,COLUMN())/INDEX(SP_GF_ShareCount,0,COLUMN())</f>
        <v>0.971084894749017</v>
      </c>
      <c r="P75" s="443" t="n">
        <f aca="false">INDEX(SP_CFA_CFO,0,COLUMN())/INDEX(SP_GF_ShareCount,0,COLUMN())</f>
        <v>2.28593314763231</v>
      </c>
      <c r="Q75" s="713" t="n">
        <f aca="false">INDEX(SP_CFA_CFO,0,COLUMN())/INDEX(SP_GF_ShareCount,0,COLUMN())</f>
        <v>4.68186314845462</v>
      </c>
      <c r="R75" s="443" t="n">
        <f aca="false">INDEX(SP_CFA_CFO,0,COLUMN())/INDEX(SP_GF_ShareCount,0,COLUMN())</f>
        <v>-0.0135166627825682</v>
      </c>
      <c r="S75" s="443" t="n">
        <f aca="false">INDEX(SP_CFA_CFO,0,COLUMN())/INDEX(SP_GF_ShareCount,0,COLUMN())</f>
        <v>1.12801875732708</v>
      </c>
      <c r="T75" s="443" t="n">
        <f aca="false">INDEX(SP_CFA_CFO,0,COLUMN())/INDEX(SP_GF_ShareCount,0,COLUMN())</f>
        <v>-0.00634100516674479</v>
      </c>
      <c r="U75" s="443" t="n">
        <f aca="false">INDEX(SP_CFA_CFO,0,COLUMN())/INDEX(SP_GF_ShareCount,0,COLUMN())</f>
        <v>2.78028890959926</v>
      </c>
      <c r="V75" s="713" t="n">
        <f aca="false">INDEX(SP_CFA_CFO,0,COLUMN())/INDEX(SP_GF_ShareCount,0,COLUMN())</f>
        <v>3.89501987374328</v>
      </c>
      <c r="W75" s="443" t="n">
        <f aca="false">INDEX(SP_CFA_CFO,0,COLUMN())/INDEX(SP_GF_ShareCount,0,COLUMN())</f>
        <v>-0.389544297941244</v>
      </c>
      <c r="X75" s="443" t="n">
        <f aca="false">INDEX(SP_CFA_CFO,0,COLUMN())/INDEX(SP_GF_ShareCount,0,COLUMN())</f>
        <v>1.22641073080481</v>
      </c>
      <c r="Y75" s="443" t="n">
        <f aca="false">INDEX(SP_CFA_CFO,0,COLUMN())/INDEX(SP_GF_ShareCount,0,COLUMN())</f>
        <v>0.925925925925926</v>
      </c>
      <c r="Z75" s="443" t="n">
        <f aca="false">INDEX(SP_CFA_CFO,0,COLUMN())/INDEX(SP_GF_ShareCount,0,COLUMN())</f>
        <v>2.40924936091099</v>
      </c>
      <c r="AA75" s="713" t="n">
        <f aca="false">INDEX(SP_CFA_CFO,0,COLUMN())/INDEX(SP_GF_ShareCount,0,COLUMN())</f>
        <v>4.16728452270621</v>
      </c>
      <c r="AB75" s="443" t="n">
        <f aca="false">INDEX(SP_CFA_CFO,0,COLUMN())/INDEX(SP_GF_ShareCount,0,COLUMN())</f>
        <v>0.445325250641175</v>
      </c>
      <c r="AC75" s="443" t="n">
        <f aca="false">INDEX(SP_CFA_CFO,0,COLUMN())/INDEX(SP_GF_ShareCount,0,COLUMN())</f>
        <v>1.77525724976614</v>
      </c>
      <c r="AD75" s="443" t="n">
        <f aca="false">INDEX(SP_CFA_CFO,0,COLUMN())/INDEX(SP_GF_ShareCount,0,COLUMN())</f>
        <v>1.15567034515144</v>
      </c>
      <c r="AE75" s="443" t="n">
        <f aca="false">INDEX(SP_CFA_CFO,0,COLUMN())/INDEX(SP_GF_ShareCount,0,COLUMN())</f>
        <v>3.84891406987724</v>
      </c>
      <c r="AF75" s="713" t="n">
        <f aca="false">INDEX(SP_CFA_CFO,0,COLUMN())/INDEX(SP_GF_ShareCount,0,COLUMN())</f>
        <v>7.20614446529081</v>
      </c>
      <c r="AG75" s="443" t="n">
        <f aca="false">INDEX(SP_CFA_CFO,0,COLUMN())/INDEX(SP_GF_ShareCount,0,COLUMN())</f>
        <v>-1.13798816568047</v>
      </c>
      <c r="AH75" s="443" t="n">
        <f aca="false">INDEX(SP_CFA_CFO,0,COLUMN())/INDEX(SP_GF_ShareCount,0,COLUMN())</f>
        <v>0.235893788525367</v>
      </c>
      <c r="AI75" s="443" t="n">
        <f aca="false">INDEX(SP_CFA_CFO,0,COLUMN())/INDEX(SP_GF_ShareCount,0,COLUMN())</f>
        <v>0.16457197059521</v>
      </c>
      <c r="AJ75" s="443" t="n">
        <f aca="false">INDEX(SP_CFA_CFO,0,COLUMN())/INDEX(SP_GF_ShareCount,0,COLUMN())</f>
        <v>8.52125385894087</v>
      </c>
      <c r="AK75" s="713" t="n">
        <f aca="false">INDEX(SP_CFA_CFO,0,COLUMN())/INDEX(SP_GF_ShareCount,0,COLUMN())</f>
        <v>7.77134724857685</v>
      </c>
      <c r="AL75" s="443" t="n">
        <f aca="false">INDEX(SP_CFA_CFO,0,COLUMN())/INDEX(SP_GF_ShareCount,0,COLUMN())</f>
        <v>-1.44341196092447</v>
      </c>
      <c r="AM75" s="443" t="n">
        <f aca="false">INDEX(SP_CFA_CFO,0,COLUMN())/INDEX(SP_GF_ShareCount,0,COLUMN())</f>
        <v>0.887589498806683</v>
      </c>
      <c r="AN75" s="443" t="n">
        <f aca="false">INDEX(SP_CFA_CFO,0,COLUMN())/INDEX(SP_GF_ShareCount,0,COLUMN())</f>
        <v>0.455868320610687</v>
      </c>
      <c r="AO75" s="443" t="n">
        <f aca="false">INDEX(SP_CFA_CFO,0,COLUMN())/INDEX(SP_GF_ShareCount,0,COLUMN())</f>
        <v>11.1625239005736</v>
      </c>
      <c r="AP75" s="713" t="n">
        <f aca="false">INDEX(SP_CFA_CFO,0,COLUMN())/INDEX(SP_GF_ShareCount,0,COLUMN())</f>
        <v>11.0417561441183</v>
      </c>
      <c r="AQ75" s="443" t="n">
        <f aca="false">INDEX(SP_CFA_CFO,0,COLUMN())/INDEX(SP_GF_ShareCount,0,COLUMN())</f>
        <v>-2.26479076479077</v>
      </c>
      <c r="AR75" s="443" t="n">
        <f aca="false">INDEX(SP_CFA_CFO,0,COLUMN())/INDEX(SP_GF_ShareCount,0,COLUMN())</f>
        <v>8.6623786407767</v>
      </c>
      <c r="AS75" s="443" t="n">
        <f aca="false">INDEX(SP_CFA_CFO,0,COLUMN())/INDEX(SP_GF_ShareCount,0,COLUMN())</f>
        <v>4.40920215369555</v>
      </c>
      <c r="AT75" s="443" t="n">
        <f aca="false">INDEX(SP_CFA_CFO,0,COLUMN())/INDEX(SP_GF_ShareCount,0,COLUMN())</f>
        <v>15.8444444444444</v>
      </c>
      <c r="AU75" s="713" t="n">
        <f aca="false">INDEX(SP_CFA_CFO,0,COLUMN())/INDEX(SP_GF_ShareCount,0,COLUMN())</f>
        <v>26.42738791423</v>
      </c>
      <c r="AV75" s="443" t="n">
        <f aca="false">INDEX(SP_CFA_CFO,0,COLUMN())/INDEX(SP_GF_ShareCount,0,COLUMN())</f>
        <v>-1.45977584059776</v>
      </c>
      <c r="AW75" s="443" t="n">
        <f aca="false">INDEX(SP_CFA_CFO,0,COLUMN())/INDEX(SP_GF_ShareCount,0,COLUMN())</f>
        <v>6.40466633216257</v>
      </c>
      <c r="AX75" s="443" t="n">
        <f aca="false">INDEX(SP_CFA_CFO,0,COLUMN())/INDEX(SP_GF_ShareCount,0,COLUMN())</f>
        <v>2.94881492687847</v>
      </c>
      <c r="AY75" s="443" t="n">
        <f aca="false">INDEX(SP_CFA_CFO,0,COLUMN())/INDEX(SP_GF_ShareCount,0,COLUMN())</f>
        <v>13.5387145748988</v>
      </c>
      <c r="AZ75" s="713" t="n">
        <f aca="false">INDEX(SP_CFA_CFO,0,COLUMN())/INDEX(SP_GF_ShareCount,0,COLUMN())</f>
        <v>21.3182617432806</v>
      </c>
      <c r="BA75" s="443" t="n">
        <f aca="false">INDEX(SP_CFA_CFO,0,COLUMN())/INDEX(SP_GF_ShareCount,0,COLUMN())</f>
        <v>1.85815602836879</v>
      </c>
      <c r="BB75" s="443" t="n">
        <f aca="false">INDEX(SP_CFA_CFO,0,COLUMN())/INDEX(SP_GF_ShareCount,0,COLUMN())</f>
        <v>0.976395939086294</v>
      </c>
      <c r="BC75" s="443" t="n">
        <f aca="false">INDEX(SP_CFA_CFO,0,COLUMN())/INDEX(SP_GF_ShareCount,0,COLUMN())</f>
        <v>2.86537973075946</v>
      </c>
      <c r="BD75" s="443" t="n">
        <f aca="false">INDEX(SP_CFA_CFO,0,COLUMN())/INDEX(SP_GF_ShareCount,0,COLUMN())</f>
        <v>8.1183341797867</v>
      </c>
      <c r="BE75" s="713" t="n">
        <f aca="false">INDEX(SP_CFA_CFO,0,COLUMN())/INDEX(SP_GF_ShareCount,0,COLUMN())</f>
        <v>13.812230398376</v>
      </c>
      <c r="BF75" s="443" t="n">
        <f aca="false">INDEX(SP_CFA_CFO,0,COLUMN())/INDEX(SP_GF_ShareCount,0,COLUMN())</f>
        <v>-0.63982727965456</v>
      </c>
      <c r="BG75" s="443" t="n">
        <f aca="false">INDEX(SP_CFA_CFO,0,COLUMN())/INDEX(SP_GF_ShareCount,0,COLUMN())</f>
        <v>2.34663278271919</v>
      </c>
      <c r="BH75" s="443" t="n">
        <f aca="false">INDEX(SP_CFA_CFO,0,COLUMN())/INDEX(SP_GF_ShareCount,0,COLUMN())</f>
        <v>2.41336382113821</v>
      </c>
      <c r="BI75" s="443" t="n">
        <f aca="false">INDEX(SP_CFA_CFO,0,COLUMN())/INDEX(SP_GF_ShareCount,0,COLUMN())</f>
        <v>24.25</v>
      </c>
      <c r="BJ75" s="713" t="n">
        <f aca="false">INDEX(SP_CFA_CFO,0,COLUMN())/INDEX(SP_GF_ShareCount,0,COLUMN())</f>
        <v>28.3694105691057</v>
      </c>
      <c r="BK75" s="443" t="n">
        <f aca="false">INDEX(SP_CFA_CFO,0,COLUMN())/INDEX(SP_GF_ShareCount,0,COLUMN())</f>
        <v>-0.149299363057326</v>
      </c>
      <c r="BL75" s="443" t="n">
        <f aca="false">INDEX(SP_CFA_CFO,0,COLUMN())/INDEX(SP_GF_ShareCount,0,COLUMN())</f>
        <v>1.92507723995881</v>
      </c>
      <c r="BM75" s="443" t="n">
        <f aca="false">INDEX(SP_CFA_CFO,0,COLUMN())/INDEX(SP_GF_ShareCount,0,COLUMN())</f>
        <v>1.44246646026832</v>
      </c>
      <c r="BN75" s="443" t="n">
        <f aca="false">INDEX(SP_CFA_CFO,0,COLUMN())/INDEX(SP_GF_ShareCount,0,COLUMN())</f>
        <v>29.4839793281654</v>
      </c>
      <c r="BO75" s="714" t="n">
        <f aca="false">INDEX(SP_CFA_CFO,0,COLUMN())/INDEX(SP_GF_ShareCount,0,COLUMN())</f>
        <v>32.5494985857547</v>
      </c>
      <c r="BP75" s="443" t="n">
        <f aca="false">INDEX(SP_CFA_CFO,0,COLUMN())/INDEX(SP_GF_ShareCount,0,COLUMN())</f>
        <v>12.1679596340941</v>
      </c>
      <c r="BQ75" s="443" t="n">
        <f aca="false">INDEX(SP_CFA_CFO,0,COLUMN())/INDEX(SP_GF_ShareCount,0,COLUMN())</f>
        <v>7.54796691180552</v>
      </c>
      <c r="BR75" s="443" t="n">
        <f aca="false">INDEX(SP_CFA_CFO,0,COLUMN())/INDEX(SP_GF_ShareCount,0,COLUMN())</f>
        <v>7.75833001333073</v>
      </c>
      <c r="BS75" s="443" t="n">
        <f aca="false">INDEX(SP_CFA_CFO,0,COLUMN())/INDEX(SP_GF_ShareCount,0,COLUMN())</f>
        <v>4.83413519686618</v>
      </c>
      <c r="BT75" s="713" t="n">
        <f aca="false">INDEX(SP_CFA_CFO,0,COLUMN())/INDEX(SP_GF_ShareCount,0,COLUMN())</f>
        <v>32.3083719008958</v>
      </c>
      <c r="BU75" s="443" t="n">
        <f aca="false">INDEX(SP_CFA_CFO,0,COLUMN())/INDEX(SP_GF_ShareCount,0,COLUMN())</f>
        <v>12.7376106071301</v>
      </c>
      <c r="BV75" s="443" t="n">
        <f aca="false">INDEX(SP_CFA_CFO,0,COLUMN())/INDEX(SP_GF_ShareCount,0,COLUMN())</f>
        <v>8.25427920241605</v>
      </c>
      <c r="BW75" s="443" t="n">
        <f aca="false">INDEX(SP_CFA_CFO,0,COLUMN())/INDEX(SP_GF_ShareCount,0,COLUMN())</f>
        <v>8.21580951951257</v>
      </c>
      <c r="BX75" s="443" t="n">
        <f aca="false">INDEX(SP_CFA_CFO,0,COLUMN())/INDEX(SP_GF_ShareCount,0,COLUMN())</f>
        <v>5.67233487557847</v>
      </c>
      <c r="BY75" s="713" t="n">
        <f aca="false">INDEX(SP_CFA_CFO,0,COLUMN())/INDEX(SP_GF_ShareCount,0,COLUMN())</f>
        <v>34.8789391091685</v>
      </c>
      <c r="BZ75" s="713" t="n">
        <f aca="false">INDEX(SP_CFA_CFO,0,COLUMN())/INDEX(SP_GF_ShareCount,0,COLUMN())</f>
        <v>43.9900106748559</v>
      </c>
      <c r="CA75" s="713" t="n">
        <f aca="false">INDEX(SP_CFA_CFO,0,COLUMN())/INDEX(SP_GF_ShareCount,0,COLUMN())</f>
        <v>43.8345372561699</v>
      </c>
      <c r="CB75" s="713" t="n">
        <f aca="false">INDEX(SP_CFA_CFO,0,COLUMN())/INDEX(SP_GF_ShareCount,0,COLUMN())</f>
        <v>46.4481952846068</v>
      </c>
      <c r="CC75" s="443"/>
    </row>
    <row r="76" s="445" customFormat="true" ht="15" hidden="false" customHeight="true" outlineLevel="0" collapsed="false">
      <c r="A76" s="443" t="s">
        <v>812</v>
      </c>
      <c r="B76" s="439"/>
      <c r="C76" s="713" t="n">
        <f aca="false">INDEX(SP_CFA_FCF_PreDiv,0,COLUMN())/INDEX(SP_GF_ShareCount,0,COLUMN())</f>
        <v>-0.0133259364562025</v>
      </c>
      <c r="D76" s="713" t="n">
        <f aca="false">INDEX(SP_CFA_FCF_PreDiv,0,COLUMN())/INDEX(SP_GF_ShareCount,0,COLUMN())</f>
        <v>1.84821880111351</v>
      </c>
      <c r="E76" s="713" t="n">
        <f aca="false">INDEX(SP_CFA_FCF_PreDiv,0,COLUMN())/INDEX(SP_GF_ShareCount,0,COLUMN())</f>
        <v>4.12429699827294</v>
      </c>
      <c r="F76" s="713" t="n">
        <f aca="false">INDEX(SP_CFA_FCF_PreDiv,0,COLUMN())/INDEX(SP_GF_ShareCount,0,COLUMN())</f>
        <v>1.22707067679034</v>
      </c>
      <c r="G76" s="713" t="n">
        <f aca="false">INDEX(SP_CFA_FCF_PreDiv,0,COLUMN())/INDEX(SP_GF_ShareCount,0,COLUMN())</f>
        <v>1.93650189412291</v>
      </c>
      <c r="H76" s="443" t="n">
        <f aca="false">INDEX(SP_CFA_FCF_PreDiv,0,COLUMN())/INDEX(SP_GF_ShareCount,0,COLUMN())</f>
        <v>0.288387824126268</v>
      </c>
      <c r="I76" s="443" t="n">
        <f aca="false">INDEX(SP_CFA_FCF_PreDiv,0,COLUMN())/INDEX(SP_GF_ShareCount,0,COLUMN())</f>
        <v>0.282382246376811</v>
      </c>
      <c r="J76" s="443" t="n">
        <f aca="false">INDEX(SP_CFA_FCF_PreDiv,0,COLUMN())/INDEX(SP_GF_ShareCount,0,COLUMN())</f>
        <v>0.296127562642369</v>
      </c>
      <c r="K76" s="443" t="n">
        <f aca="false">INDEX(SP_CFA_FCF_PreDiv,0,COLUMN())/INDEX(SP_GF_ShareCount,0,COLUMN())</f>
        <v>0.644318754293566</v>
      </c>
      <c r="L76" s="713" t="n">
        <f aca="false">INDEX(SP_CFA_FCF_PreDiv,0,COLUMN())/INDEX(SP_GF_ShareCount,0,COLUMN())</f>
        <v>1.51008544598163</v>
      </c>
      <c r="M76" s="443" t="n">
        <f aca="false">INDEX(SP_CFA_FCF_PreDiv,0,COLUMN())/INDEX(SP_GF_ShareCount,0,COLUMN())</f>
        <v>0.575465196416265</v>
      </c>
      <c r="N76" s="443" t="n">
        <f aca="false">INDEX(SP_CFA_FCF_PreDiv,0,COLUMN())/INDEX(SP_GF_ShareCount,0,COLUMN())</f>
        <v>0.4716459197787</v>
      </c>
      <c r="O76" s="443" t="n">
        <f aca="false">INDEX(SP_CFA_FCF_PreDiv,0,COLUMN())/INDEX(SP_GF_ShareCount,0,COLUMN())</f>
        <v>0.770992366412214</v>
      </c>
      <c r="P76" s="443" t="n">
        <f aca="false">INDEX(SP_CFA_FCF_PreDiv,0,COLUMN())/INDEX(SP_GF_ShareCount,0,COLUMN())</f>
        <v>2.00627205199629</v>
      </c>
      <c r="Q76" s="713" t="n">
        <f aca="false">INDEX(SP_CFA_FCF_PreDiv,0,COLUMN())/INDEX(SP_GF_ShareCount,0,COLUMN())</f>
        <v>3.82000443782879</v>
      </c>
      <c r="R76" s="443" t="n">
        <f aca="false">INDEX(SP_CFA_FCF_PreDiv,0,COLUMN())/INDEX(SP_GF_ShareCount,0,COLUMN())</f>
        <v>-0.150547657888604</v>
      </c>
      <c r="S76" s="443" t="n">
        <f aca="false">INDEX(SP_CFA_FCF_PreDiv,0,COLUMN())/INDEX(SP_GF_ShareCount,0,COLUMN())</f>
        <v>0.893083235638921</v>
      </c>
      <c r="T76" s="443" t="n">
        <f aca="false">INDEX(SP_CFA_FCF_PreDiv,0,COLUMN())/INDEX(SP_GF_ShareCount,0,COLUMN())</f>
        <v>-0.168154062940347</v>
      </c>
      <c r="U76" s="443" t="n">
        <f aca="false">INDEX(SP_CFA_FCF_PreDiv,0,COLUMN())/INDEX(SP_GF_ShareCount,0,COLUMN())</f>
        <v>2.55475302889096</v>
      </c>
      <c r="V76" s="713" t="n">
        <f aca="false">INDEX(SP_CFA_FCF_PreDiv,0,COLUMN())/INDEX(SP_GF_ShareCount,0,COLUMN())</f>
        <v>3.13584288052373</v>
      </c>
      <c r="W76" s="443" t="n">
        <f aca="false">INDEX(SP_CFA_FCF_PreDiv,0,COLUMN())/INDEX(SP_GF_ShareCount,0,COLUMN())</f>
        <v>-0.490862826740689</v>
      </c>
      <c r="X76" s="443" t="n">
        <f aca="false">INDEX(SP_CFA_FCF_PreDiv,0,COLUMN())/INDEX(SP_GF_ShareCount,0,COLUMN())</f>
        <v>1.08464384828862</v>
      </c>
      <c r="Y76" s="443" t="n">
        <f aca="false">INDEX(SP_CFA_FCF_PreDiv,0,COLUMN())/INDEX(SP_GF_ShareCount,0,COLUMN())</f>
        <v>0.699537037037037</v>
      </c>
      <c r="Z76" s="443" t="n">
        <f aca="false">INDEX(SP_CFA_FCF_PreDiv,0,COLUMN())/INDEX(SP_GF_ShareCount,0,COLUMN())</f>
        <v>2.04880316058564</v>
      </c>
      <c r="AA76" s="713" t="n">
        <f aca="false">INDEX(SP_CFA_FCF_PreDiv,0,COLUMN())/INDEX(SP_GF_ShareCount,0,COLUMN())</f>
        <v>3.33781278962002</v>
      </c>
      <c r="AB76" s="443" t="n">
        <f aca="false">INDEX(SP_CFA_FCF_PreDiv,0,COLUMN())/INDEX(SP_GF_ShareCount,0,COLUMN())</f>
        <v>0.129867101888552</v>
      </c>
      <c r="AC76" s="443" t="n">
        <f aca="false">INDEX(SP_CFA_FCF_PreDiv,0,COLUMN())/INDEX(SP_GF_ShareCount,0,COLUMN())</f>
        <v>1.45860617399439</v>
      </c>
      <c r="AD76" s="443" t="n">
        <f aca="false">INDEX(SP_CFA_FCF_PreDiv,0,COLUMN())/INDEX(SP_GF_ShareCount,0,COLUMN())</f>
        <v>0.840338107536981</v>
      </c>
      <c r="AE76" s="443" t="n">
        <f aca="false">INDEX(SP_CFA_FCF_PreDiv,0,COLUMN())/INDEX(SP_GF_ShareCount,0,COLUMN())</f>
        <v>3.36614730878187</v>
      </c>
      <c r="AF76" s="713" t="n">
        <f aca="false">INDEX(SP_CFA_FCF_PreDiv,0,COLUMN())/INDEX(SP_GF_ShareCount,0,COLUMN())</f>
        <v>5.77673545966229</v>
      </c>
      <c r="AG76" s="443" t="n">
        <f aca="false">INDEX(SP_CFA_FCF_PreDiv,0,COLUMN())/INDEX(SP_GF_ShareCount,0,COLUMN())</f>
        <v>-1.69112426035503</v>
      </c>
      <c r="AH76" s="443" t="n">
        <f aca="false">INDEX(SP_CFA_FCF_PreDiv,0,COLUMN())/INDEX(SP_GF_ShareCount,0,COLUMN())</f>
        <v>-0.0960170697012802</v>
      </c>
      <c r="AI76" s="443" t="n">
        <f aca="false">INDEX(SP_CFA_FCF_PreDiv,0,COLUMN())/INDEX(SP_GF_ShareCount,0,COLUMN())</f>
        <v>-0.302584775907043</v>
      </c>
      <c r="AJ76" s="443" t="n">
        <f aca="false">INDEX(SP_CFA_FCF_PreDiv,0,COLUMN())/INDEX(SP_GF_ShareCount,0,COLUMN())</f>
        <v>7.77273806696747</v>
      </c>
      <c r="AK76" s="713" t="n">
        <f aca="false">INDEX(SP_CFA_FCF_PreDiv,0,COLUMN())/INDEX(SP_GF_ShareCount,0,COLUMN())</f>
        <v>5.67006641366224</v>
      </c>
      <c r="AL76" s="443" t="n">
        <f aca="false">INDEX(SP_CFA_FCF_PreDiv,0,COLUMN())/INDEX(SP_GF_ShareCount,0,COLUMN())</f>
        <v>-2.02072909220872</v>
      </c>
      <c r="AM76" s="443" t="n">
        <f aca="false">INDEX(SP_CFA_FCF_PreDiv,0,COLUMN())/INDEX(SP_GF_ShareCount,0,COLUMN())</f>
        <v>0.33436754176611</v>
      </c>
      <c r="AN76" s="443" t="n">
        <f aca="false">INDEX(SP_CFA_FCF_PreDiv,0,COLUMN())/INDEX(SP_GF_ShareCount,0,COLUMN())</f>
        <v>-0.0727576335877859</v>
      </c>
      <c r="AO76" s="443" t="n">
        <f aca="false">INDEX(SP_CFA_FCF_PreDiv,0,COLUMN())/INDEX(SP_GF_ShareCount,0,COLUMN())</f>
        <v>10.4333173996176</v>
      </c>
      <c r="AP76" s="713" t="n">
        <f aca="false">INDEX(SP_CFA_FCF_PreDiv,0,COLUMN())/INDEX(SP_GF_ShareCount,0,COLUMN())</f>
        <v>8.65378191362443</v>
      </c>
      <c r="AQ76" s="443" t="n">
        <f aca="false">INDEX(SP_CFA_FCF_PreDiv,0,COLUMN())/INDEX(SP_GF_ShareCount,0,COLUMN())</f>
        <v>-2.73929773929774</v>
      </c>
      <c r="AR76" s="443" t="n">
        <f aca="false">INDEX(SP_CFA_FCF_PreDiv,0,COLUMN())/INDEX(SP_GF_ShareCount,0,COLUMN())</f>
        <v>8.0618932038835</v>
      </c>
      <c r="AS76" s="443" t="n">
        <f aca="false">INDEX(SP_CFA_FCF_PreDiv,0,COLUMN())/INDEX(SP_GF_ShareCount,0,COLUMN())</f>
        <v>3.90748898678414</v>
      </c>
      <c r="AT76" s="443" t="n">
        <f aca="false">INDEX(SP_CFA_FCF_PreDiv,0,COLUMN())/INDEX(SP_GF_ShareCount,0,COLUMN())</f>
        <v>15.1269135802469</v>
      </c>
      <c r="AU76" s="713" t="n">
        <f aca="false">INDEX(SP_CFA_FCF_PreDiv,0,COLUMN())/INDEX(SP_GF_ShareCount,0,COLUMN())</f>
        <v>24.1362085769981</v>
      </c>
      <c r="AV76" s="443" t="n">
        <f aca="false">INDEX(SP_CFA_FCF_PreDiv,0,COLUMN())/INDEX(SP_GF_ShareCount,0,COLUMN())</f>
        <v>-2.08642590286426</v>
      </c>
      <c r="AW76" s="443" t="n">
        <f aca="false">INDEX(SP_CFA_FCF_PreDiv,0,COLUMN())/INDEX(SP_GF_ShareCount,0,COLUMN())</f>
        <v>5.80883090817862</v>
      </c>
      <c r="AX76" s="443" t="n">
        <f aca="false">INDEX(SP_CFA_FCF_PreDiv,0,COLUMN())/INDEX(SP_GF_ShareCount,0,COLUMN())</f>
        <v>2.03025718608169</v>
      </c>
      <c r="AY76" s="443" t="n">
        <f aca="false">INDEX(SP_CFA_FCF_PreDiv,0,COLUMN())/INDEX(SP_GF_ShareCount,0,COLUMN())</f>
        <v>12.3598178137652</v>
      </c>
      <c r="AZ76" s="713" t="n">
        <f aca="false">INDEX(SP_CFA_FCF_PreDiv,0,COLUMN())/INDEX(SP_GF_ShareCount,0,COLUMN())</f>
        <v>18.0042702838483</v>
      </c>
      <c r="BA76" s="443" t="n">
        <f aca="false">INDEX(SP_CFA_FCF_PreDiv,0,COLUMN())/INDEX(SP_GF_ShareCount,0,COLUMN())</f>
        <v>0.491894630192502</v>
      </c>
      <c r="BB76" s="443" t="n">
        <f aca="false">INDEX(SP_CFA_FCF_PreDiv,0,COLUMN())/INDEX(SP_GF_ShareCount,0,COLUMN())</f>
        <v>-0.405329949238579</v>
      </c>
      <c r="BC76" s="443" t="n">
        <f aca="false">INDEX(SP_CFA_FCF_PreDiv,0,COLUMN())/INDEX(SP_GF_ShareCount,0,COLUMN())</f>
        <v>1.56972313944628</v>
      </c>
      <c r="BD76" s="443" t="n">
        <f aca="false">INDEX(SP_CFA_FCF_PreDiv,0,COLUMN())/INDEX(SP_GF_ShareCount,0,COLUMN())</f>
        <v>6.58887760284409</v>
      </c>
      <c r="BE76" s="713" t="n">
        <f aca="false">INDEX(SP_CFA_FCF_PreDiv,0,COLUMN())/INDEX(SP_GF_ShareCount,0,COLUMN())</f>
        <v>8.23953311342299</v>
      </c>
      <c r="BF76" s="443" t="n">
        <f aca="false">INDEX(SP_CFA_FCF_PreDiv,0,COLUMN())/INDEX(SP_GF_ShareCount,0,COLUMN())</f>
        <v>-1.71628143256287</v>
      </c>
      <c r="BG76" s="443" t="n">
        <f aca="false">INDEX(SP_CFA_FCF_PreDiv,0,COLUMN())/INDEX(SP_GF_ShareCount,0,COLUMN())</f>
        <v>0.979415501905972</v>
      </c>
      <c r="BH76" s="443" t="n">
        <f aca="false">INDEX(SP_CFA_FCF_PreDiv,0,COLUMN())/INDEX(SP_GF_ShareCount,0,COLUMN())</f>
        <v>1.35696138211382</v>
      </c>
      <c r="BI76" s="443" t="n">
        <f aca="false">INDEX(SP_CFA_FCF_PreDiv,0,COLUMN())/INDEX(SP_GF_ShareCount,0,COLUMN())</f>
        <v>22.4575711382114</v>
      </c>
      <c r="BJ76" s="713" t="n">
        <f aca="false">INDEX(SP_CFA_FCF_PreDiv,0,COLUMN())/INDEX(SP_GF_ShareCount,0,COLUMN())</f>
        <v>23.0769817073171</v>
      </c>
      <c r="BK76" s="443" t="n">
        <f aca="false">INDEX(SP_CFA_FCF_PreDiv,0,COLUMN())/INDEX(SP_GF_ShareCount,0,COLUMN())</f>
        <v>-1.21044585987261</v>
      </c>
      <c r="BL76" s="443" t="n">
        <f aca="false">INDEX(SP_CFA_FCF_PreDiv,0,COLUMN())/INDEX(SP_GF_ShareCount,0,COLUMN())</f>
        <v>0.820803295571578</v>
      </c>
      <c r="BM76" s="443" t="n">
        <f aca="false">INDEX(SP_CFA_FCF_PreDiv,0,COLUMN())/INDEX(SP_GF_ShareCount,0,COLUMN())</f>
        <v>0.628740970072239</v>
      </c>
      <c r="BN76" s="443" t="n">
        <f aca="false">INDEX(SP_CFA_FCF_PreDiv,0,COLUMN())/INDEX(SP_GF_ShareCount,0,COLUMN())</f>
        <v>28.2684754521964</v>
      </c>
      <c r="BO76" s="714" t="n">
        <f aca="false">INDEX(SP_CFA_FCF_PreDiv,0,COLUMN())/INDEX(SP_GF_ShareCount,0,COLUMN())</f>
        <v>28.3551041398817</v>
      </c>
      <c r="BP76" s="443" t="n">
        <f aca="false">INDEX(SP_CFA_FCF_PreDiv,0,COLUMN())/INDEX(SP_GF_ShareCount,0,COLUMN())</f>
        <v>11.8317701441194</v>
      </c>
      <c r="BQ76" s="443" t="n">
        <f aca="false">INDEX(SP_CFA_FCF_PreDiv,0,COLUMN())/INDEX(SP_GF_ShareCount,0,COLUMN())</f>
        <v>7.21172296577817</v>
      </c>
      <c r="BR76" s="443" t="n">
        <f aca="false">INDEX(SP_CFA_FCF_PreDiv,0,COLUMN())/INDEX(SP_GF_ShareCount,0,COLUMN())</f>
        <v>7.42211968833588</v>
      </c>
      <c r="BS76" s="443" t="n">
        <f aca="false">INDEX(SP_CFA_FCF_PreDiv,0,COLUMN())/INDEX(SP_GF_ShareCount,0,COLUMN())</f>
        <v>4.49795848954205</v>
      </c>
      <c r="BT76" s="713" t="n">
        <f aca="false">INDEX(SP_CFA_FCF_PreDiv,0,COLUMN())/INDEX(SP_GF_ShareCount,0,COLUMN())</f>
        <v>30.9635515232756</v>
      </c>
      <c r="BU76" s="443" t="n">
        <f aca="false">INDEX(SP_CFA_FCF_PreDiv,0,COLUMN())/INDEX(SP_GF_ShareCount,0,COLUMN())</f>
        <v>12.4014675141153</v>
      </c>
      <c r="BV76" s="443" t="n">
        <f aca="false">INDEX(SP_CFA_FCF_PreDiv,0,COLUMN())/INDEX(SP_GF_ShareCount,0,COLUMN())</f>
        <v>7.91816972034943</v>
      </c>
      <c r="BW76" s="443" t="n">
        <f aca="false">INDEX(SP_CFA_FCF_PreDiv,0,COLUMN())/INDEX(SP_GF_ShareCount,0,COLUMN())</f>
        <v>7.8797336450334</v>
      </c>
      <c r="BX76" s="443" t="n">
        <f aca="false">INDEX(SP_CFA_FCF_PreDiv,0,COLUMN())/INDEX(SP_GF_ShareCount,0,COLUMN())</f>
        <v>5.33629260532633</v>
      </c>
      <c r="BY76" s="713" t="n">
        <f aca="false">INDEX(SP_CFA_FCF_PreDiv,0,COLUMN())/INDEX(SP_GF_ShareCount,0,COLUMN())</f>
        <v>33.5345696951972</v>
      </c>
      <c r="BZ76" s="713" t="n">
        <f aca="false">INDEX(SP_CFA_FCF_PreDiv,0,COLUMN())/INDEX(SP_GF_ShareCount,0,COLUMN())</f>
        <v>42.448328327645</v>
      </c>
      <c r="CA76" s="713" t="n">
        <f aca="false">INDEX(SP_CFA_FCF_PreDiv,0,COLUMN())/INDEX(SP_GF_ShareCount,0,COLUMN())</f>
        <v>42.2934713353273</v>
      </c>
      <c r="CB76" s="713" t="n">
        <f aca="false">INDEX(SP_CFA_FCF_PreDiv,0,COLUMN())/INDEX(SP_GF_ShareCount,0,COLUMN())</f>
        <v>44.9077455436607</v>
      </c>
      <c r="CC76" s="443"/>
    </row>
    <row r="77" s="445" customFormat="true" ht="15" hidden="false" customHeight="true" outlineLevel="0" collapsed="false">
      <c r="A77" s="443" t="s">
        <v>468</v>
      </c>
      <c r="B77" s="439"/>
      <c r="C77" s="713" t="n">
        <f aca="false">INDEX(MO_CFSum_DPS,0,COLUMN())</f>
        <v>0.2</v>
      </c>
      <c r="D77" s="713" t="n">
        <f aca="false">INDEX(MO_CFSum_DPS,0,COLUMN())</f>
        <v>0.4</v>
      </c>
      <c r="E77" s="713" t="n">
        <f aca="false">INDEX(MO_CFSum_DPS,0,COLUMN())</f>
        <v>0.46</v>
      </c>
      <c r="F77" s="713" t="n">
        <f aca="false">INDEX(MO_CFSum_DPS,0,COLUMN())</f>
        <v>0.53</v>
      </c>
      <c r="G77" s="713" t="n">
        <f aca="false">INDEX(MO_CFSum_DPS,0,COLUMN())</f>
        <v>0.61</v>
      </c>
      <c r="H77" s="443" t="n">
        <f aca="false">INDEX(MO_CFSum_DPS,0,COLUMN())</f>
        <v>0</v>
      </c>
      <c r="I77" s="443" t="n">
        <f aca="false">INDEX(MO_CFSum_DPS,0,COLUMN())</f>
        <v>0.7</v>
      </c>
      <c r="J77" s="443" t="n">
        <f aca="false">INDEX(MO_CFSum_DPS,0,COLUMN())</f>
        <v>0</v>
      </c>
      <c r="K77" s="443" t="n">
        <f aca="false">INDEX(MO_CFSum_DPS,0,COLUMN())</f>
        <v>0</v>
      </c>
      <c r="L77" s="713" t="n">
        <f aca="false">INDEX(MO_CFSum_DPS,0,COLUMN())</f>
        <v>0.7</v>
      </c>
      <c r="M77" s="443" t="n">
        <f aca="false">INDEX(MO_CFSum_DPS,0,COLUMN())</f>
        <v>0</v>
      </c>
      <c r="N77" s="443" t="n">
        <f aca="false">INDEX(MO_CFSum_DPS,0,COLUMN())</f>
        <v>1.05</v>
      </c>
      <c r="O77" s="443" t="n">
        <f aca="false">INDEX(MO_CFSum_DPS,0,COLUMN())</f>
        <v>0</v>
      </c>
      <c r="P77" s="443" t="n">
        <f aca="false">INDEX(MO_CFSum_DPS,0,COLUMN())</f>
        <v>0</v>
      </c>
      <c r="Q77" s="713" t="n">
        <f aca="false">INDEX(MO_CFSum_DPS,0,COLUMN())</f>
        <v>1.05</v>
      </c>
      <c r="R77" s="443" t="n">
        <f aca="false">INDEX(MO_CFSum_DPS,0,COLUMN())</f>
        <v>0</v>
      </c>
      <c r="S77" s="443" t="n">
        <f aca="false">INDEX(MO_CFSum_DPS,0,COLUMN())</f>
        <v>1.2</v>
      </c>
      <c r="T77" s="443" t="n">
        <f aca="false">INDEX(MO_CFSum_DPS,0,COLUMN())</f>
        <v>0</v>
      </c>
      <c r="U77" s="443" t="n">
        <f aca="false">INDEX(MO_CFSum_DPS,0,COLUMN())</f>
        <v>0</v>
      </c>
      <c r="V77" s="713" t="n">
        <f aca="false">INDEX(MO_CFSum_DPS,0,COLUMN())</f>
        <v>1.2</v>
      </c>
      <c r="W77" s="443" t="n">
        <f aca="false">INDEX(MO_CFSum_DPS,0,COLUMN())</f>
        <v>0</v>
      </c>
      <c r="X77" s="443" t="n">
        <f aca="false">INDEX(MO_CFSum_DPS,0,COLUMN())</f>
        <v>1.4</v>
      </c>
      <c r="Y77" s="443" t="n">
        <f aca="false">INDEX(MO_CFSum_DPS,0,COLUMN())</f>
        <v>0</v>
      </c>
      <c r="Z77" s="443" t="n">
        <f aca="false">INDEX(MO_CFSum_DPS,0,COLUMN())</f>
        <v>0</v>
      </c>
      <c r="AA77" s="713" t="n">
        <f aca="false">INDEX(MO_CFSum_DPS,0,COLUMN())</f>
        <v>1.4</v>
      </c>
      <c r="AB77" s="443" t="n">
        <f aca="false">INDEX(MO_CFSum_DPS,0,COLUMN())</f>
        <v>0</v>
      </c>
      <c r="AC77" s="443" t="n">
        <f aca="false">INDEX(MO_CFSum_DPS,0,COLUMN())</f>
        <v>1.4</v>
      </c>
      <c r="AD77" s="443" t="n">
        <f aca="false">INDEX(MO_CFSum_DPS,0,COLUMN())</f>
        <v>0</v>
      </c>
      <c r="AE77" s="443" t="n">
        <f aca="false">INDEX(MO_CFSum_DPS,0,COLUMN())</f>
        <v>0</v>
      </c>
      <c r="AF77" s="713" t="n">
        <f aca="false">INDEX(MO_CFSum_DPS,0,COLUMN())</f>
        <v>1.4</v>
      </c>
      <c r="AG77" s="443" t="n">
        <f aca="false">INDEX(MO_CFSum_DPS,0,COLUMN())</f>
        <v>0</v>
      </c>
      <c r="AH77" s="443" t="n">
        <f aca="false">INDEX(MO_CFSum_DPS,0,COLUMN())</f>
        <v>2.1</v>
      </c>
      <c r="AI77" s="443" t="n">
        <f aca="false">INDEX(MO_CFSum_DPS,0,COLUMN())</f>
        <v>0</v>
      </c>
      <c r="AJ77" s="443" t="n">
        <f aca="false">INDEX(MO_CFSum_DPS,0,COLUMN())</f>
        <v>1.05</v>
      </c>
      <c r="AK77" s="713" t="n">
        <f aca="false">INDEX(MO_CFSum_DPS,0,COLUMN())</f>
        <v>3.15</v>
      </c>
      <c r="AL77" s="443" t="n">
        <f aca="false">INDEX(MO_CFSum_DPS,0,COLUMN())</f>
        <v>0</v>
      </c>
      <c r="AM77" s="443" t="n">
        <f aca="false">INDEX(MO_CFSum_DPS,0,COLUMN())</f>
        <v>1.35</v>
      </c>
      <c r="AN77" s="443" t="n">
        <f aca="false">INDEX(MO_CFSum_DPS,0,COLUMN())</f>
        <v>0</v>
      </c>
      <c r="AO77" s="443" t="n">
        <f aca="false">INDEX(MO_CFSum_DPS,0,COLUMN())</f>
        <v>1.2</v>
      </c>
      <c r="AP77" s="713" t="n">
        <f aca="false">INDEX(MO_CFSum_DPS,0,COLUMN())</f>
        <v>2.55</v>
      </c>
      <c r="AQ77" s="443" t="n">
        <f aca="false">INDEX(MO_CFSum_DPS,0,COLUMN())</f>
        <v>0</v>
      </c>
      <c r="AR77" s="443" t="n">
        <f aca="false">INDEX(MO_CFSum_DPS,0,COLUMN())</f>
        <v>1.55</v>
      </c>
      <c r="AS77" s="443" t="n">
        <f aca="false">INDEX(MO_CFSum_DPS,0,COLUMN())</f>
        <v>0</v>
      </c>
      <c r="AT77" s="443" t="n">
        <f aca="false">INDEX(MO_CFSum_DPS,0,COLUMN())</f>
        <v>1.8</v>
      </c>
      <c r="AU77" s="713" t="n">
        <f aca="false">INDEX(MO_CFSum_DPS,0,COLUMN())</f>
        <v>3.35</v>
      </c>
      <c r="AV77" s="443" t="n">
        <f aca="false">INDEX(MO_CFSum_DPS,0,COLUMN())</f>
        <v>0</v>
      </c>
      <c r="AW77" s="443" t="n">
        <f aca="false">INDEX(MO_CFSum_DPS,0,COLUMN())</f>
        <v>3.7</v>
      </c>
      <c r="AX77" s="443" t="n">
        <f aca="false">INDEX(MO_CFSum_DPS,0,COLUMN())</f>
        <v>1.37</v>
      </c>
      <c r="AY77" s="443" t="n">
        <f aca="false">INDEX(MO_CFSum_DPS,0,COLUMN())</f>
        <v>1.37</v>
      </c>
      <c r="AZ77" s="713" t="n">
        <f aca="false">INDEX(MO_CFSum_DPS,0,COLUMN())</f>
        <v>6.44</v>
      </c>
      <c r="BA77" s="443" t="n">
        <f aca="false">INDEX(MO_CFSum_DPS,0,COLUMN())</f>
        <v>1.37</v>
      </c>
      <c r="BB77" s="443" t="n">
        <f aca="false">INDEX(MO_CFSum_DPS,0,COLUMN())</f>
        <v>1.69</v>
      </c>
      <c r="BC77" s="443" t="n">
        <f aca="false">INDEX(MO_CFSum_DPS,0,COLUMN())</f>
        <v>1.45</v>
      </c>
      <c r="BD77" s="443" t="n">
        <f aca="false">INDEX(MO_CFSum_DPS,0,COLUMN())</f>
        <v>1.45</v>
      </c>
      <c r="BE77" s="713" t="n">
        <f aca="false">INDEX(MO_CFSum_DPS,0,COLUMN())</f>
        <v>5.96</v>
      </c>
      <c r="BF77" s="443" t="n">
        <f aca="false">INDEX(MO_CFSum_DPS,0,COLUMN())</f>
        <v>1.45</v>
      </c>
      <c r="BG77" s="443" t="n">
        <f aca="false">INDEX(MO_CFSum_DPS,0,COLUMN())</f>
        <v>1.75</v>
      </c>
      <c r="BH77" s="443" t="n">
        <f aca="false">INDEX(MO_CFSum_DPS,0,COLUMN())</f>
        <v>1.52</v>
      </c>
      <c r="BI77" s="443" t="n">
        <f aca="false">INDEX(MO_CFSum_DPS,0,COLUMN())</f>
        <v>1.52</v>
      </c>
      <c r="BJ77" s="713" t="n">
        <f aca="false">INDEX(MO_CFSum_DPS,0,COLUMN())</f>
        <v>6.24</v>
      </c>
      <c r="BK77" s="443" t="n">
        <f aca="false">INDEX(MO_CFSum_DPS,0,COLUMN())</f>
        <v>1.52</v>
      </c>
      <c r="BL77" s="443" t="n">
        <f aca="false">INDEX(MO_CFSum_DPS,0,COLUMN())</f>
        <v>1.84</v>
      </c>
      <c r="BM77" s="443" t="n">
        <f aca="false">INDEX(MO_CFSum_DPS,0,COLUMN())</f>
        <v>1.6</v>
      </c>
      <c r="BN77" s="443" t="n">
        <f aca="false">INDEX(MO_CFSum_DPS,0,COLUMN())</f>
        <v>1.6</v>
      </c>
      <c r="BO77" s="714" t="n">
        <f aca="false">INDEX(MO_CFSum_DPS,0,COLUMN())</f>
        <v>6.56</v>
      </c>
      <c r="BP77" s="443" t="n">
        <f aca="false">INDEX(MO_CFSum_DPS,0,COLUMN())</f>
        <v>1.6</v>
      </c>
      <c r="BQ77" s="443" t="n">
        <f aca="false">INDEX(MO_CFSum_DPS,0,COLUMN())</f>
        <v>1.84</v>
      </c>
      <c r="BR77" s="443" t="n">
        <f aca="false">INDEX(MO_CFSum_DPS,0,COLUMN())</f>
        <v>1.6</v>
      </c>
      <c r="BS77" s="443" t="n">
        <f aca="false">INDEX(MO_CFSum_DPS,0,COLUMN())</f>
        <v>1.6</v>
      </c>
      <c r="BT77" s="713" t="n">
        <f aca="false">INDEX(MO_CFSum_DPS,0,COLUMN())</f>
        <v>6.64</v>
      </c>
      <c r="BU77" s="443" t="n">
        <f aca="false">INDEX(MO_CFSum_DPS,0,COLUMN())</f>
        <v>1.6</v>
      </c>
      <c r="BV77" s="443" t="n">
        <f aca="false">INDEX(MO_CFSum_DPS,0,COLUMN())</f>
        <v>1.84</v>
      </c>
      <c r="BW77" s="443" t="n">
        <f aca="false">INDEX(MO_CFSum_DPS,0,COLUMN())</f>
        <v>1.6</v>
      </c>
      <c r="BX77" s="443" t="n">
        <f aca="false">INDEX(MO_CFSum_DPS,0,COLUMN())</f>
        <v>1.6</v>
      </c>
      <c r="BY77" s="713" t="n">
        <f aca="false">INDEX(MO_CFSum_DPS,0,COLUMN())</f>
        <v>6.64</v>
      </c>
      <c r="BZ77" s="713" t="n">
        <f aca="false">INDEX(MO_CFSum_DPS,0,COLUMN())</f>
        <v>6.64</v>
      </c>
      <c r="CA77" s="713" t="n">
        <f aca="false">INDEX(MO_CFSum_DPS,0,COLUMN())</f>
        <v>6.64</v>
      </c>
      <c r="CB77" s="713" t="n">
        <f aca="false">INDEX(MO_CFSum_DPS,0,COLUMN())</f>
        <v>6.64</v>
      </c>
      <c r="CC77" s="443"/>
    </row>
    <row r="78" s="731" customFormat="true" ht="15" hidden="false" customHeight="true" outlineLevel="0" collapsed="false">
      <c r="A78" s="726" t="s">
        <v>813</v>
      </c>
      <c r="B78" s="727"/>
      <c r="C78" s="728" t="n">
        <f aca="false">C77/C76</f>
        <v>-15.0083261058108</v>
      </c>
      <c r="D78" s="728" t="n">
        <f aca="false">D77/D76</f>
        <v>0.216424592022876</v>
      </c>
      <c r="E78" s="728" t="n">
        <f aca="false">E77/E76</f>
        <v>0.111534159686518</v>
      </c>
      <c r="F78" s="728" t="n">
        <f aca="false">F77/F76</f>
        <v>0.431922960938424</v>
      </c>
      <c r="G78" s="728" t="n">
        <f aca="false">G77/G76</f>
        <v>0.315000982881188</v>
      </c>
      <c r="H78" s="729" t="n">
        <f aca="false">H77/H76</f>
        <v>0</v>
      </c>
      <c r="I78" s="729" t="n">
        <f aca="false">I77/I76</f>
        <v>2.47890938251804</v>
      </c>
      <c r="J78" s="729" t="n">
        <f aca="false">J77/J76</f>
        <v>0</v>
      </c>
      <c r="K78" s="729" t="n">
        <f aca="false">K77/K76</f>
        <v>0</v>
      </c>
      <c r="L78" s="728" t="n">
        <f aca="false">L77/L76</f>
        <v>0.463549928159838</v>
      </c>
      <c r="M78" s="729" t="n">
        <f aca="false">M77/M76</f>
        <v>0</v>
      </c>
      <c r="N78" s="729" t="n">
        <f aca="false">N77/N76</f>
        <v>2.22624633431085</v>
      </c>
      <c r="O78" s="729" t="n">
        <f aca="false">O77/O76</f>
        <v>0</v>
      </c>
      <c r="P78" s="729" t="n">
        <f aca="false">P77/P76</f>
        <v>0</v>
      </c>
      <c r="Q78" s="728" t="n">
        <f aca="false">Q77/Q76</f>
        <v>0.274868790622871</v>
      </c>
      <c r="R78" s="729" t="n">
        <f aca="false">R77/R76</f>
        <v>-0</v>
      </c>
      <c r="S78" s="729" t="n">
        <f aca="false">S77/S76</f>
        <v>1.34365975321607</v>
      </c>
      <c r="T78" s="729" t="n">
        <f aca="false">T77/T76</f>
        <v>-0</v>
      </c>
      <c r="U78" s="729" t="n">
        <f aca="false">U77/U76</f>
        <v>0</v>
      </c>
      <c r="V78" s="728" t="n">
        <f aca="false">V77/V76</f>
        <v>0.382672233820459</v>
      </c>
      <c r="W78" s="729" t="n">
        <f aca="false">W77/W76</f>
        <v>-0</v>
      </c>
      <c r="X78" s="729" t="n">
        <f aca="false">X77/X76</f>
        <v>1.29074626865672</v>
      </c>
      <c r="Y78" s="729" t="n">
        <f aca="false">Y77/Y76</f>
        <v>0</v>
      </c>
      <c r="Z78" s="729" t="n">
        <f aca="false">Z77/Z76</f>
        <v>0</v>
      </c>
      <c r="AA78" s="728" t="n">
        <f aca="false">AA77/AA76</f>
        <v>0.419436345966958</v>
      </c>
      <c r="AB78" s="729" t="n">
        <f aca="false">AB77/AB76</f>
        <v>0</v>
      </c>
      <c r="AC78" s="729" t="n">
        <f aca="false">AC77/AC76</f>
        <v>0.959820426487093</v>
      </c>
      <c r="AD78" s="729" t="n">
        <f aca="false">AD77/AD76</f>
        <v>0</v>
      </c>
      <c r="AE78" s="729" t="n">
        <f aca="false">AE77/AE76</f>
        <v>0</v>
      </c>
      <c r="AF78" s="728" t="n">
        <f aca="false">AF77/AF76</f>
        <v>0.242351412796362</v>
      </c>
      <c r="AG78" s="729" t="n">
        <f aca="false">AG77/AG76</f>
        <v>-0</v>
      </c>
      <c r="AH78" s="729" t="n">
        <f aca="false">AH77/AH76</f>
        <v>-21.8711111111111</v>
      </c>
      <c r="AI78" s="729" t="n">
        <f aca="false">AI77/AI76</f>
        <v>-0</v>
      </c>
      <c r="AJ78" s="729" t="n">
        <f aca="false">AJ77/AJ76</f>
        <v>0.135087531697779</v>
      </c>
      <c r="AK78" s="728" t="n">
        <f aca="false">AK77/AK76</f>
        <v>0.555549048316252</v>
      </c>
      <c r="AL78" s="729" t="n">
        <f aca="false">AL77/AL76</f>
        <v>-0</v>
      </c>
      <c r="AM78" s="729" t="n">
        <f aca="false">AM77/AM76</f>
        <v>4.03747323340471</v>
      </c>
      <c r="AN78" s="729" t="n">
        <f aca="false">AN77/AN76</f>
        <v>-0</v>
      </c>
      <c r="AO78" s="729" t="n">
        <f aca="false">AO77/AO76</f>
        <v>0.115016150092777</v>
      </c>
      <c r="AP78" s="728" t="n">
        <f aca="false">AP77/AP76</f>
        <v>0.294668854086247</v>
      </c>
      <c r="AQ78" s="729" t="n">
        <f aca="false">AQ77/AQ76</f>
        <v>-0</v>
      </c>
      <c r="AR78" s="729" t="n">
        <f aca="false">AR77/AR76</f>
        <v>0.192262531988559</v>
      </c>
      <c r="AS78" s="729" t="n">
        <f aca="false">AS77/AS76</f>
        <v>0</v>
      </c>
      <c r="AT78" s="729" t="n">
        <f aca="false">AT77/AT76</f>
        <v>0.11899320971533</v>
      </c>
      <c r="AU78" s="728" t="n">
        <f aca="false">AU77/AU76</f>
        <v>0.13879561859573</v>
      </c>
      <c r="AV78" s="729" t="n">
        <f aca="false">AV77/AV76</f>
        <v>-0</v>
      </c>
      <c r="AW78" s="729" t="n">
        <f aca="false">AW77/AW76</f>
        <v>0.636961216204544</v>
      </c>
      <c r="AX78" s="729" t="n">
        <f aca="false">AX77/AX76</f>
        <v>0.674791356184799</v>
      </c>
      <c r="AY78" s="729" t="n">
        <f aca="false">AY77/AY76</f>
        <v>0.11084305777341</v>
      </c>
      <c r="AZ78" s="728" t="n">
        <f aca="false">AZ77/AZ76</f>
        <v>0.357692919427974</v>
      </c>
      <c r="BA78" s="729" t="n">
        <f aca="false">BA77/BA76</f>
        <v>2.78514933058703</v>
      </c>
      <c r="BB78" s="729" t="n">
        <f aca="false">BB77/BB76</f>
        <v>-4.16944270507201</v>
      </c>
      <c r="BC78" s="729" t="n">
        <f aca="false">BC77/BC76</f>
        <v>0.923729773462784</v>
      </c>
      <c r="BD78" s="729" t="n">
        <f aca="false">BD77/BD76</f>
        <v>0.220067830577716</v>
      </c>
      <c r="BE78" s="728" t="n">
        <f aca="false">BE77/BE76</f>
        <v>0.723341956146834</v>
      </c>
      <c r="BF78" s="729" t="n">
        <f aca="false">BF77/BF76</f>
        <v>-0.844849785407725</v>
      </c>
      <c r="BG78" s="729" t="n">
        <f aca="false">BG77/BG76</f>
        <v>1.78677996886352</v>
      </c>
      <c r="BH78" s="729" t="n">
        <f aca="false">BH77/BH76</f>
        <v>1.12014978468452</v>
      </c>
      <c r="BI78" s="729" t="n">
        <f aca="false">BI77/BI76</f>
        <v>0.0676831875827271</v>
      </c>
      <c r="BJ78" s="728" t="n">
        <f aca="false">BJ77/BJ76</f>
        <v>0.270399313009876</v>
      </c>
      <c r="BK78" s="729" t="n">
        <f aca="false">BK77/BK76</f>
        <v>-1.25573563460324</v>
      </c>
      <c r="BL78" s="729" t="n">
        <f aca="false">BL77/BL76</f>
        <v>2.24170639899623</v>
      </c>
      <c r="BM78" s="729" t="n">
        <f aca="false">BM77/BM76</f>
        <v>2.54476815757079</v>
      </c>
      <c r="BN78" s="729" t="n">
        <f aca="false">BN77/BN76</f>
        <v>0.0566001517381329</v>
      </c>
      <c r="BO78" s="730" t="n">
        <f aca="false">BO77/BO76</f>
        <v>0.231351645461718</v>
      </c>
      <c r="BP78" s="729" t="n">
        <f aca="false">BP77/BP76</f>
        <v>0.1352291314411</v>
      </c>
      <c r="BQ78" s="729" t="n">
        <f aca="false">BQ77/BQ76</f>
        <v>0.255140139011352</v>
      </c>
      <c r="BR78" s="729" t="n">
        <f aca="false">BR77/BR76</f>
        <v>0.215571840280945</v>
      </c>
      <c r="BS78" s="729" t="n">
        <f aca="false">BS77/BS76</f>
        <v>0.355716933297644</v>
      </c>
      <c r="BT78" s="728" t="n">
        <f aca="false">BT77/BT76</f>
        <v>0.214445684469001</v>
      </c>
      <c r="BU78" s="729" t="n">
        <f aca="false">BU77/BU76</f>
        <v>0.129016989173167</v>
      </c>
      <c r="BV78" s="729" t="n">
        <f aca="false">BV77/BV76</f>
        <v>0.232376933683457</v>
      </c>
      <c r="BW78" s="729" t="n">
        <f aca="false">BW77/BW76</f>
        <v>0.203052548737924</v>
      </c>
      <c r="BX78" s="729" t="n">
        <f aca="false">BX77/BX76</f>
        <v>0.299833633261225</v>
      </c>
      <c r="BY78" s="728" t="n">
        <f aca="false">BY77/BY76</f>
        <v>0.198004628070447</v>
      </c>
      <c r="BZ78" s="728" t="n">
        <f aca="false">BZ77/BZ76</f>
        <v>0.156425476846767</v>
      </c>
      <c r="CA78" s="728" t="n">
        <f aca="false">CA77/CA76</f>
        <v>0.156998226685017</v>
      </c>
      <c r="CB78" s="728" t="n">
        <f aca="false">CB77/CB76</f>
        <v>0.147858680492976</v>
      </c>
      <c r="CC78" s="727"/>
    </row>
    <row r="79" s="731" customFormat="true" ht="15" hidden="false" customHeight="true" outlineLevel="0" collapsed="false">
      <c r="A79" s="726" t="s">
        <v>814</v>
      </c>
      <c r="B79" s="727"/>
      <c r="C79" s="728" t="n">
        <f aca="false">C77/C49</f>
        <v>-0.573284744078184</v>
      </c>
      <c r="D79" s="728" t="n">
        <f aca="false">D77/D49</f>
        <v>0.171840050106672</v>
      </c>
      <c r="E79" s="728" t="n">
        <f aca="false">E77/E49</f>
        <v>0.134539714784316</v>
      </c>
      <c r="F79" s="728" t="n">
        <f aca="false">F77/F49</f>
        <v>0.197417274119876</v>
      </c>
      <c r="G79" s="728" t="n">
        <f aca="false">G77/G49</f>
        <v>0.26036894504131</v>
      </c>
      <c r="H79" s="729" t="n">
        <f aca="false">H77/H49</f>
        <v>0</v>
      </c>
      <c r="I79" s="729" t="n">
        <f aca="false">I77/I49</f>
        <v>0.775319789315275</v>
      </c>
      <c r="J79" s="729" t="n">
        <f aca="false">J77/J49</f>
        <v>0</v>
      </c>
      <c r="K79" s="729" t="n">
        <f aca="false">K77/K49</f>
        <v>0</v>
      </c>
      <c r="L79" s="728" t="n">
        <f aca="false">L77/L49</f>
        <v>0.257207765075545</v>
      </c>
      <c r="M79" s="729" t="n">
        <f aca="false">M77/M49</f>
        <v>0</v>
      </c>
      <c r="N79" s="729" t="n">
        <f aca="false">N77/N49</f>
        <v>1.23205301595889</v>
      </c>
      <c r="O79" s="729" t="n">
        <f aca="false">O77/O49</f>
        <v>0</v>
      </c>
      <c r="P79" s="729" t="n">
        <f aca="false">P77/P49</f>
        <v>0</v>
      </c>
      <c r="Q79" s="728" t="n">
        <f aca="false">Q77/Q49</f>
        <v>0.327483214074082</v>
      </c>
      <c r="R79" s="729" t="n">
        <f aca="false">R77/R49</f>
        <v>0</v>
      </c>
      <c r="S79" s="729" t="n">
        <f aca="false">S77/S49</f>
        <v>1.44657998869418</v>
      </c>
      <c r="T79" s="729" t="n">
        <f aca="false">T77/T49</f>
        <v>0</v>
      </c>
      <c r="U79" s="729" t="n">
        <f aca="false">U77/U49</f>
        <v>0</v>
      </c>
      <c r="V79" s="728" t="n">
        <f aca="false">V77/V49</f>
        <v>0.348692166587404</v>
      </c>
      <c r="W79" s="729" t="n">
        <f aca="false">W77/W49</f>
        <v>0</v>
      </c>
      <c r="X79" s="729" t="n">
        <f aca="false">X77/X49</f>
        <v>1.29822003002359</v>
      </c>
      <c r="Y79" s="729" t="n">
        <f aca="false">Y77/Y49</f>
        <v>0</v>
      </c>
      <c r="Z79" s="729" t="n">
        <f aca="false">Z77/Z49</f>
        <v>0</v>
      </c>
      <c r="AA79" s="728" t="n">
        <f aca="false">AA77/AA49</f>
        <v>0.285220675005901</v>
      </c>
      <c r="AB79" s="729" t="n">
        <f aca="false">AB77/AB49</f>
        <v>0</v>
      </c>
      <c r="AC79" s="729" t="n">
        <f aca="false">AC77/AC49</f>
        <v>1.02506849315068</v>
      </c>
      <c r="AD79" s="729" t="n">
        <f aca="false">AD77/AD49</f>
        <v>0</v>
      </c>
      <c r="AE79" s="729" t="n">
        <f aca="false">AE77/AE49</f>
        <v>0</v>
      </c>
      <c r="AF79" s="728" t="n">
        <f aca="false">AF77/AF49</f>
        <v>0.230344188918043</v>
      </c>
      <c r="AG79" s="729" t="n">
        <f aca="false">AG77/AG49</f>
        <v>0</v>
      </c>
      <c r="AH79" s="729" t="n">
        <f aca="false">AH77/AH49</f>
        <v>1.86088235294118</v>
      </c>
      <c r="AI79" s="729" t="n">
        <f aca="false">AI77/AI49</f>
        <v>0</v>
      </c>
      <c r="AJ79" s="729" t="n">
        <f aca="false">AJ77/AJ49</f>
        <v>0.389873027069923</v>
      </c>
      <c r="AK79" s="728" t="n">
        <f aca="false">AK77/AK49</f>
        <v>0.512301816919338</v>
      </c>
      <c r="AL79" s="729" t="n">
        <f aca="false">AL77/AL49</f>
        <v>0</v>
      </c>
      <c r="AM79" s="729" t="n">
        <f aca="false">AM77/AM49</f>
        <v>0.753195739014647</v>
      </c>
      <c r="AN79" s="729" t="n">
        <f aca="false">AN77/AN49</f>
        <v>0</v>
      </c>
      <c r="AO79" s="729" t="n">
        <f aca="false">AO77/AO49</f>
        <v>0.371745890715237</v>
      </c>
      <c r="AP79" s="728" t="n">
        <f aca="false">AP77/AP49</f>
        <v>0.300730224836086</v>
      </c>
      <c r="AQ79" s="729" t="n">
        <f aca="false">AQ77/AQ49</f>
        <v>0</v>
      </c>
      <c r="AR79" s="729" t="n">
        <f aca="false">AR77/AR49</f>
        <v>0.615103062993643</v>
      </c>
      <c r="AS79" s="729" t="n">
        <f aca="false">AS77/AS49</f>
        <v>0</v>
      </c>
      <c r="AT79" s="729" t="n">
        <f aca="false">AT77/AT49</f>
        <v>0.411074771625127</v>
      </c>
      <c r="AU79" s="728" t="n">
        <f aca="false">AU77/AU49</f>
        <v>0.233689148762578</v>
      </c>
      <c r="AV79" s="729" t="n">
        <f aca="false">AV77/AV49</f>
        <v>0</v>
      </c>
      <c r="AW79" s="729" t="n">
        <f aca="false">AW77/AW49</f>
        <v>1.04530441562123</v>
      </c>
      <c r="AX79" s="729" t="n">
        <f aca="false">AX77/AX49</f>
        <v>0.319331178372025</v>
      </c>
      <c r="AY79" s="729" t="n">
        <f aca="false">AY77/AY49</f>
        <v>0.29805890448665</v>
      </c>
      <c r="AZ79" s="728" t="n">
        <f aca="false">AZ77/AZ49</f>
        <v>0.455845097969489</v>
      </c>
      <c r="BA79" s="729" t="n">
        <f aca="false">BA77/BA49</f>
        <v>0.276549749463135</v>
      </c>
      <c r="BB79" s="729" t="n">
        <f aca="false">BB77/BB49</f>
        <v>0.342926301694392</v>
      </c>
      <c r="BC79" s="729" t="n">
        <f aca="false">BC77/BC49</f>
        <v>0.301502587937045</v>
      </c>
      <c r="BD79" s="729" t="n">
        <f aca="false">BD77/BD49</f>
        <v>0.278799863287926</v>
      </c>
      <c r="BE79" s="728" t="n">
        <f aca="false">BE77/BE49</f>
        <v>0.299634647276438</v>
      </c>
      <c r="BF79" s="729" t="n">
        <f aca="false">BF77/BF49</f>
        <v>0.466469194312796</v>
      </c>
      <c r="BG79" s="729" t="n">
        <f aca="false">BG77/BG49</f>
        <v>0.436418657709614</v>
      </c>
      <c r="BH79" s="729" t="n">
        <f aca="false">BH77/BH49</f>
        <v>0.288115579099446</v>
      </c>
      <c r="BI79" s="729" t="n">
        <f aca="false">BI77/BI49</f>
        <v>0.222125194920918</v>
      </c>
      <c r="BJ79" s="728" t="n">
        <f aca="false">BJ77/BJ49</f>
        <v>0.324378466902636</v>
      </c>
      <c r="BK79" s="729" t="n">
        <f aca="false">BK77/BK49</f>
        <v>0.253333333333333</v>
      </c>
      <c r="BL79" s="729" t="n">
        <f aca="false">BL77/BL49</f>
        <v>0.3120359778195</v>
      </c>
      <c r="BM79" s="729" t="n">
        <f aca="false">BM77/BM49</f>
        <v>0.291908684396329</v>
      </c>
      <c r="BN79" s="729" t="n">
        <f aca="false">BN77/BN49</f>
        <v>0.21805888153261</v>
      </c>
      <c r="BO79" s="730" t="n">
        <f aca="false">BO77/BO49</f>
        <v>0.265488375965201</v>
      </c>
      <c r="BP79" s="729" t="n">
        <f aca="false">BP77/BP49</f>
        <v>0.254547401201339</v>
      </c>
      <c r="BQ79" s="729" t="n">
        <f aca="false">BQ77/BQ49</f>
        <v>0.247726604327668</v>
      </c>
      <c r="BR79" s="729" t="n">
        <f aca="false">BR77/BR49</f>
        <v>0.228451025108138</v>
      </c>
      <c r="BS79" s="729" t="n">
        <f aca="false">BS77/BS49</f>
        <v>0.209283745434702</v>
      </c>
      <c r="BT79" s="728" t="n">
        <f aca="false">BT77/BT49</f>
        <v>0.234116138988233</v>
      </c>
      <c r="BU79" s="729" t="n">
        <f aca="false">BU77/BU49</f>
        <v>0.23875640693909</v>
      </c>
      <c r="BV79" s="729" t="n">
        <f aca="false">BV77/BV49</f>
        <v>0.20337933030364</v>
      </c>
      <c r="BW79" s="729" t="n">
        <f aca="false">BW77/BW49</f>
        <v>0.189675898064711</v>
      </c>
      <c r="BX79" s="729" t="n">
        <f aca="false">BX77/BX49</f>
        <v>0.181532194865704</v>
      </c>
      <c r="BY79" s="728" t="n">
        <f aca="false">BY77/BY49</f>
        <v>0.201223800833113</v>
      </c>
      <c r="BZ79" s="728" t="n">
        <f aca="false">BZ77/BZ49</f>
        <v>0.166846485545346</v>
      </c>
      <c r="CA79" s="728" t="n">
        <f aca="false">CA77/CA49</f>
        <v>0.156446622883954</v>
      </c>
      <c r="CB79" s="728" t="n">
        <f aca="false">CB77/CB49</f>
        <v>0.146660643416106</v>
      </c>
      <c r="CC79" s="727"/>
    </row>
    <row r="80" s="735" customFormat="true" ht="15" hidden="false" customHeight="true" outlineLevel="0" collapsed="false">
      <c r="A80" s="725"/>
      <c r="B80" s="732"/>
      <c r="C80" s="733"/>
      <c r="D80" s="733"/>
      <c r="E80" s="733"/>
      <c r="F80" s="733"/>
      <c r="G80" s="733"/>
      <c r="H80" s="725"/>
      <c r="I80" s="725"/>
      <c r="J80" s="725"/>
      <c r="K80" s="725"/>
      <c r="L80" s="733"/>
      <c r="M80" s="725"/>
      <c r="N80" s="725"/>
      <c r="O80" s="725"/>
      <c r="P80" s="725"/>
      <c r="Q80" s="733"/>
      <c r="R80" s="725"/>
      <c r="S80" s="725"/>
      <c r="T80" s="725"/>
      <c r="U80" s="725"/>
      <c r="V80" s="733"/>
      <c r="W80" s="725"/>
      <c r="X80" s="725"/>
      <c r="Y80" s="725"/>
      <c r="Z80" s="725"/>
      <c r="AA80" s="733"/>
      <c r="AB80" s="725"/>
      <c r="AC80" s="725"/>
      <c r="AD80" s="725"/>
      <c r="AE80" s="725"/>
      <c r="AF80" s="733"/>
      <c r="AG80" s="725"/>
      <c r="AH80" s="725"/>
      <c r="AI80" s="725"/>
      <c r="AJ80" s="725"/>
      <c r="AK80" s="733"/>
      <c r="AL80" s="725"/>
      <c r="AM80" s="725"/>
      <c r="AN80" s="725"/>
      <c r="AO80" s="725"/>
      <c r="AP80" s="733"/>
      <c r="AQ80" s="725"/>
      <c r="AR80" s="725"/>
      <c r="AS80" s="725"/>
      <c r="AT80" s="725"/>
      <c r="AU80" s="733"/>
      <c r="AV80" s="725"/>
      <c r="AW80" s="725"/>
      <c r="AX80" s="725"/>
      <c r="AY80" s="725"/>
      <c r="AZ80" s="733"/>
      <c r="BA80" s="725"/>
      <c r="BB80" s="725"/>
      <c r="BC80" s="725"/>
      <c r="BD80" s="725"/>
      <c r="BE80" s="733"/>
      <c r="BF80" s="725"/>
      <c r="BG80" s="725"/>
      <c r="BH80" s="725"/>
      <c r="BI80" s="725"/>
      <c r="BJ80" s="733"/>
      <c r="BK80" s="725"/>
      <c r="BL80" s="725"/>
      <c r="BM80" s="725"/>
      <c r="BN80" s="725"/>
      <c r="BO80" s="734"/>
      <c r="BP80" s="725"/>
      <c r="BQ80" s="725"/>
      <c r="BR80" s="725"/>
      <c r="BS80" s="725"/>
      <c r="BT80" s="733"/>
      <c r="BU80" s="725"/>
      <c r="BV80" s="725"/>
      <c r="BW80" s="725"/>
      <c r="BX80" s="725"/>
      <c r="BY80" s="733"/>
      <c r="BZ80" s="733"/>
      <c r="CA80" s="733"/>
      <c r="CB80" s="733"/>
      <c r="CC80" s="725"/>
    </row>
    <row r="81" customFormat="false" ht="15" hidden="false" customHeight="true" outlineLevel="0" collapsed="false">
      <c r="A81" s="219" t="s">
        <v>815</v>
      </c>
      <c r="B81" s="716"/>
      <c r="C81" s="716"/>
      <c r="D81" s="716"/>
      <c r="E81" s="716"/>
      <c r="F81" s="716"/>
      <c r="G81" s="716"/>
      <c r="H81" s="716"/>
      <c r="I81" s="716"/>
      <c r="J81" s="716"/>
      <c r="K81" s="716"/>
      <c r="L81" s="716"/>
      <c r="M81" s="716"/>
      <c r="N81" s="716"/>
      <c r="O81" s="716"/>
      <c r="P81" s="716"/>
      <c r="Q81" s="716"/>
      <c r="R81" s="716"/>
      <c r="S81" s="716"/>
      <c r="T81" s="716"/>
      <c r="U81" s="716"/>
      <c r="V81" s="716"/>
      <c r="W81" s="716"/>
      <c r="X81" s="716"/>
      <c r="Y81" s="716"/>
      <c r="Z81" s="716"/>
      <c r="AA81" s="716"/>
      <c r="AB81" s="716"/>
      <c r="AC81" s="716"/>
      <c r="AD81" s="716"/>
      <c r="AE81" s="716"/>
      <c r="AF81" s="716"/>
      <c r="AG81" s="716"/>
      <c r="AH81" s="716"/>
      <c r="AI81" s="716"/>
      <c r="AJ81" s="716"/>
      <c r="AK81" s="716"/>
      <c r="AL81" s="716"/>
      <c r="AM81" s="716"/>
      <c r="AN81" s="716"/>
      <c r="AO81" s="716"/>
      <c r="AP81" s="716"/>
      <c r="AQ81" s="716"/>
      <c r="AR81" s="716"/>
      <c r="AS81" s="716"/>
      <c r="AT81" s="716"/>
      <c r="AU81" s="716"/>
      <c r="AV81" s="716"/>
      <c r="AW81" s="716"/>
      <c r="AX81" s="716"/>
      <c r="AY81" s="716"/>
      <c r="AZ81" s="716"/>
      <c r="BA81" s="716"/>
      <c r="BB81" s="716"/>
      <c r="BC81" s="716"/>
      <c r="BD81" s="716"/>
      <c r="BE81" s="716"/>
      <c r="BF81" s="716"/>
      <c r="BG81" s="716"/>
      <c r="BH81" s="716"/>
      <c r="BI81" s="716"/>
      <c r="BJ81" s="716"/>
      <c r="BK81" s="716"/>
      <c r="BL81" s="716"/>
      <c r="BM81" s="716"/>
      <c r="BN81" s="716"/>
      <c r="BO81" s="717"/>
      <c r="BP81" s="716"/>
      <c r="BQ81" s="716"/>
      <c r="BR81" s="716"/>
      <c r="BS81" s="716"/>
      <c r="BT81" s="716"/>
      <c r="BU81" s="716"/>
      <c r="BV81" s="716"/>
      <c r="BW81" s="716"/>
      <c r="BX81" s="716"/>
      <c r="BY81" s="716"/>
      <c r="BZ81" s="716"/>
      <c r="CA81" s="716"/>
      <c r="CB81" s="716"/>
      <c r="CC81" s="48"/>
    </row>
    <row r="82" s="510" customFormat="true" ht="15" hidden="false" customHeight="true" outlineLevel="0" collapsed="false">
      <c r="A82" s="507" t="s">
        <v>495</v>
      </c>
      <c r="B82" s="505"/>
      <c r="C82" s="501" t="n">
        <f aca="false">INDEX(MO_BSS_Debt_Net,0,COLUMN())/INDEX(SP_BSR_EBITDA_LTM,0,COLUMN())</f>
        <v>41.6441975308631</v>
      </c>
      <c r="D82" s="501" t="n">
        <f aca="false">INDEX(MO_BSS_Debt_Net,0,COLUMN())/INDEX(SP_BSR_EBITDA_LTM,0,COLUMN())</f>
        <v>-0.87662877620113</v>
      </c>
      <c r="E82" s="501" t="n">
        <f aca="false">INDEX(MO_BSS_Debt_Net,0,COLUMN())/INDEX(SP_BSR_EBITDA_LTM,0,COLUMN())</f>
        <v>-1.0970859854489</v>
      </c>
      <c r="F82" s="501" t="n">
        <f aca="false">INDEX(MO_BSS_Debt_Net,0,COLUMN())/INDEX(SP_BSR_EBITDA_LTM,0,COLUMN())</f>
        <v>-1.42287615959968</v>
      </c>
      <c r="G82" s="501" t="n">
        <f aca="false">INDEX(MO_BSS_Debt_Net,0,COLUMN())/INDEX(SP_BSR_EBITDA_LTM,0,COLUMN())</f>
        <v>-1.45663737854508</v>
      </c>
      <c r="H82" s="502"/>
      <c r="I82" s="502"/>
      <c r="J82" s="502"/>
      <c r="K82" s="502" t="n">
        <f aca="false">INDEX(MO_BSS_Debt_Net,0,COLUMN())/INDEX(SP_BSR_EBITDA_LTM,0,COLUMN())</f>
        <v>-0.999993750874878</v>
      </c>
      <c r="L82" s="501" t="n">
        <f aca="false">INDEX(MO_BSS_Debt_Net,0,COLUMN())/INDEX(SP_BSR_EBITDA_LTM,0,COLUMN())</f>
        <v>-0.999971879551998</v>
      </c>
      <c r="M82" s="502" t="n">
        <f aca="false">INDEX(MO_BSS_Debt_Net,0,COLUMN())/INDEX(SP_BSR_EBITDA_LTM,0,COLUMN())</f>
        <v>-0.94145948346834</v>
      </c>
      <c r="N82" s="502" t="n">
        <f aca="false">INDEX(MO_BSS_Debt_Net,0,COLUMN())/INDEX(SP_BSR_EBITDA_LTM,0,COLUMN())</f>
        <v>-0.784752601568228</v>
      </c>
      <c r="O82" s="502" t="n">
        <f aca="false">INDEX(MO_BSS_Debt_Net,0,COLUMN())/INDEX(SP_BSR_EBITDA_LTM,0,COLUMN())</f>
        <v>-0.810893073318823</v>
      </c>
      <c r="P82" s="502" t="n">
        <f aca="false">INDEX(MO_BSS_Debt_Net,0,COLUMN())/INDEX(SP_BSR_EBITDA_LTM,0,COLUMN())</f>
        <v>-1.18634457959016</v>
      </c>
      <c r="Q82" s="501" t="n">
        <f aca="false">INDEX(MO_BSS_Debt_Net,0,COLUMN())/INDEX(SP_BSR_EBITDA_LTM,0,COLUMN())</f>
        <v>-1.18632296577618</v>
      </c>
      <c r="R82" s="502" t="n">
        <f aca="false">INDEX(MO_BSS_Debt_Net,0,COLUMN())/INDEX(SP_BSR_EBITDA_LTM,0,COLUMN())</f>
        <v>-1.16513999440233</v>
      </c>
      <c r="S82" s="502" t="n">
        <f aca="false">INDEX(MO_BSS_Debt_Net,0,COLUMN())/INDEX(SP_BSR_EBITDA_LTM,0,COLUMN())</f>
        <v>-1.18798144386404</v>
      </c>
      <c r="T82" s="502" t="n">
        <f aca="false">INDEX(MO_BSS_Debt_Net,0,COLUMN())/INDEX(SP_BSR_EBITDA_LTM,0,COLUMN())</f>
        <v>-1.04787348529462</v>
      </c>
      <c r="U82" s="502" t="n">
        <f aca="false">INDEX(MO_BSS_Debt_Net,0,COLUMN())/INDEX(SP_BSR_EBITDA_LTM,0,COLUMN())</f>
        <v>-0.357561945400766</v>
      </c>
      <c r="V82" s="501" t="n">
        <f aca="false">INDEX(MO_BSS_Debt_Net,0,COLUMN())/INDEX(SP_BSR_EBITDA_LTM,0,COLUMN())</f>
        <v>-0.357561945400766</v>
      </c>
      <c r="W82" s="507" t="n">
        <f aca="false">INDEX(MO_BSS_Debt_Net,0,COLUMN())/INDEX(SP_BSR_EBITDA_LTM,0,COLUMN())</f>
        <v>-0.228404588112617</v>
      </c>
      <c r="X82" s="507" t="n">
        <f aca="false">INDEX(MO_BSS_Debt_Net,0,COLUMN())/INDEX(SP_BSR_EBITDA_LTM,0,COLUMN())</f>
        <v>0.283867450644445</v>
      </c>
      <c r="Y82" s="507" t="n">
        <f aca="false">INDEX(MO_BSS_Debt_Net,0,COLUMN())/INDEX(SP_BSR_EBITDA_LTM,0,COLUMN())</f>
        <v>0.206499562809676</v>
      </c>
      <c r="Z82" s="507" t="n">
        <f aca="false">INDEX(MO_BSS_Debt_Net,0,COLUMN())/INDEX(SP_BSR_EBITDA_LTM,0,COLUMN())</f>
        <v>-0.0886477012269113</v>
      </c>
      <c r="AA82" s="501" t="n">
        <f aca="false">INDEX(MO_BSS_Debt_Net,0,COLUMN())/INDEX(SP_BSR_EBITDA_LTM,0,COLUMN())</f>
        <v>-0.0886477012269113</v>
      </c>
      <c r="AB82" s="507" t="n">
        <f aca="false">INDEX(MO_BSS_Debt_Net,0,COLUMN())/INDEX(SP_BSR_EBITDA_LTM,0,COLUMN())</f>
        <v>-0.0620799895609058</v>
      </c>
      <c r="AC82" s="507" t="n">
        <f aca="false">INDEX(MO_BSS_Debt_Net,0,COLUMN())/INDEX(SP_BSR_EBITDA_LTM,0,COLUMN())</f>
        <v>0.016562822881117</v>
      </c>
      <c r="AD82" s="507" t="n">
        <f aca="false">INDEX(MO_BSS_Debt_Net,0,COLUMN())/INDEX(SP_BSR_EBITDA_LTM,0,COLUMN())</f>
        <v>0.0188909020702765</v>
      </c>
      <c r="AE82" s="507" t="n">
        <f aca="false">INDEX(MO_BSS_Debt_Net,0,COLUMN())/INDEX(SP_BSR_EBITDA_LTM,0,COLUMN())</f>
        <v>-0.29348047637073</v>
      </c>
      <c r="AF82" s="501" t="n">
        <f aca="false">INDEX(MO_BSS_Debt_Net,0,COLUMN())/INDEX(SP_BSR_EBITDA_LTM,0,COLUMN())</f>
        <v>-0.29348047637073</v>
      </c>
      <c r="AG82" s="507" t="n">
        <f aca="false">INDEX(MO_BSS_Debt_Net,0,COLUMN())/INDEX(SP_BSR_EBITDA_LTM,0,COLUMN())</f>
        <v>-0.0615079998722575</v>
      </c>
      <c r="AH82" s="507" t="n">
        <f aca="false">INDEX(MO_BSS_Debt_Net,0,COLUMN())/INDEX(SP_BSR_EBITDA_LTM,0,COLUMN())</f>
        <v>0.270605793365443</v>
      </c>
      <c r="AI82" s="507" t="n">
        <f aca="false">INDEX(MO_BSS_Debt_Net,0,COLUMN())/INDEX(SP_BSR_EBITDA_LTM,0,COLUMN())</f>
        <v>0.39013405206043</v>
      </c>
      <c r="AJ82" s="507" t="n">
        <f aca="false">INDEX(MO_BSS_Debt_Net,0,COLUMN())/INDEX(SP_BSR_EBITDA_LTM,0,COLUMN())</f>
        <v>-0.485772051057666</v>
      </c>
      <c r="AK82" s="501" t="n">
        <f aca="false">INDEX(MO_BSS_Debt_Net,0,COLUMN())/INDEX(SP_BSR_EBITDA_LTM,0,COLUMN())</f>
        <v>-0.485772051057666</v>
      </c>
      <c r="AL82" s="507" t="n">
        <f aca="false">INDEX(MO_BSS_Debt_Net,0,COLUMN())/INDEX(SP_BSR_EBITDA_LTM,0,COLUMN())</f>
        <v>-0.0712322358032632</v>
      </c>
      <c r="AM82" s="507" t="n">
        <f aca="false">INDEX(MO_BSS_Debt_Net,0,COLUMN())/INDEX(SP_BSR_EBITDA_LTM,0,COLUMN())</f>
        <v>0.0480351616342877</v>
      </c>
      <c r="AN82" s="507" t="n">
        <f aca="false">INDEX(MO_BSS_Debt_Net,0,COLUMN())/INDEX(SP_BSR_EBITDA_LTM,0,COLUMN())</f>
        <v>0.0498690055815012</v>
      </c>
      <c r="AO82" s="507" t="n">
        <f aca="false">INDEX(MO_BSS_Debt_Net,0,COLUMN())/INDEX(SP_BSR_EBITDA_LTM,0,COLUMN())</f>
        <v>-0.581654410164919</v>
      </c>
      <c r="AP82" s="501" t="n">
        <f aca="false">INDEX(MO_BSS_Debt_Net,0,COLUMN())/INDEX(SP_BSR_EBITDA_LTM,0,COLUMN())</f>
        <v>-0.581654410164919</v>
      </c>
      <c r="AQ82" s="507" t="n">
        <f aca="false">INDEX(MO_BSS_Debt_Net,0,COLUMN())/INDEX(SP_BSR_EBITDA_LTM,0,COLUMN())</f>
        <v>-0.00101119285888632</v>
      </c>
      <c r="AR82" s="507" t="n">
        <f aca="false">INDEX(MO_BSS_Debt_Net,0,COLUMN())/INDEX(SP_BSR_EBITDA_LTM,0,COLUMN())</f>
        <v>-0.121461487820935</v>
      </c>
      <c r="AS82" s="507" t="n">
        <f aca="false">INDEX(MO_BSS_Debt_Net,0,COLUMN())/INDEX(SP_BSR_EBITDA_LTM,0,COLUMN())</f>
        <v>-0.049299199717027</v>
      </c>
      <c r="AT82" s="507" t="n">
        <f aca="false">INDEX(MO_BSS_Debt_Net,0,COLUMN())/INDEX(SP_BSR_EBITDA_LTM,0,COLUMN())</f>
        <v>-0.409642166080724</v>
      </c>
      <c r="AU82" s="501" t="n">
        <f aca="false">INDEX(MO_BSS_Debt_Net,0,COLUMN())/INDEX(SP_BSR_EBITDA_LTM,0,COLUMN())</f>
        <v>-0.409642166080724</v>
      </c>
      <c r="AV82" s="507" t="n">
        <f aca="false">INDEX(MO_BSS_Debt_Net,0,COLUMN())/INDEX(SP_BSR_EBITDA_LTM,0,COLUMN())</f>
        <v>-0.0398708537662575</v>
      </c>
      <c r="AW82" s="507" t="n">
        <f aca="false">INDEX(MO_BSS_Debt_Net,0,COLUMN())/INDEX(SP_BSR_EBITDA_LTM,0,COLUMN())</f>
        <v>0.0705152985982849</v>
      </c>
      <c r="AX82" s="507" t="n">
        <f aca="false">INDEX(MO_BSS_Debt_Net,0,COLUMN())/INDEX(SP_BSR_EBITDA_LTM,0,COLUMN())</f>
        <v>0.0925902162909734</v>
      </c>
      <c r="AY82" s="507" t="n">
        <f aca="false">INDEX(MO_BSS_Debt_Net,0,COLUMN())/INDEX(SP_BSR_EBITDA_LTM,0,COLUMN())</f>
        <v>-0.435553318794386</v>
      </c>
      <c r="AZ82" s="501" t="n">
        <f aca="false">INDEX(MO_BSS_Debt_Net,0,COLUMN())/INDEX(SP_BSR_EBITDA_LTM,0,COLUMN())</f>
        <v>-0.435553318794386</v>
      </c>
      <c r="BA82" s="507" t="n">
        <f aca="false">INDEX(MO_BSS_Debt_Net,0,COLUMN())/INDEX(SP_BSR_EBITDA_LTM,0,COLUMN())</f>
        <v>-0.274986368435096</v>
      </c>
      <c r="BB82" s="507" t="n">
        <f aca="false">INDEX(MO_BSS_Debt_Net,0,COLUMN())/INDEX(SP_BSR_EBITDA_LTM,0,COLUMN())</f>
        <v>-0.116405871914825</v>
      </c>
      <c r="BC82" s="507" t="n">
        <f aca="false">INDEX(MO_BSS_Debt_Net,0,COLUMN())/INDEX(SP_BSR_EBITDA_LTM,0,COLUMN())</f>
        <v>0.0299592695605071</v>
      </c>
      <c r="BD82" s="507" t="n">
        <f aca="false">INDEX(MO_BSS_Debt_Net,0,COLUMN())/INDEX(SP_BSR_EBITDA_LTM,0,COLUMN())</f>
        <v>-0.239843096128831</v>
      </c>
      <c r="BE82" s="501" t="n">
        <f aca="false">INDEX(MO_BSS_Debt_Net,0,COLUMN())/INDEX(SP_BSR_EBITDA_LTM,0,COLUMN())</f>
        <v>-0.239843096128831</v>
      </c>
      <c r="BF82" s="507" t="n">
        <f aca="false">INDEX(MO_BSS_Debt_Net,0,COLUMN())/INDEX(SP_BSR_EBITDA_LTM,0,COLUMN())</f>
        <v>-0.0867863896206102</v>
      </c>
      <c r="BG82" s="507" t="n">
        <f aca="false">INDEX(MO_BSS_Debt_Net,0,COLUMN())/INDEX(SP_BSR_EBITDA_LTM,0,COLUMN())</f>
        <v>-0.046765908495541</v>
      </c>
      <c r="BH82" s="507" t="n">
        <f aca="false">INDEX(MO_BSS_Debt_Net,0,COLUMN())/INDEX(SP_BSR_EBITDA_LTM,0,COLUMN())</f>
        <v>-0.0320746432491767</v>
      </c>
      <c r="BI82" s="507" t="n">
        <f aca="false">INDEX(MO_BSS_Debt_Net,0,COLUMN())/INDEX(SP_BSR_EBITDA_LTM,0,COLUMN())</f>
        <v>-0.796308014791671</v>
      </c>
      <c r="BJ82" s="501" t="n">
        <f aca="false">INDEX(MO_BSS_Debt_Net,0,COLUMN())/INDEX(SP_BSR_EBITDA_LTM,0,COLUMN())</f>
        <v>-0.796308014791671</v>
      </c>
      <c r="BK82" s="507" t="n">
        <f aca="false">INDEX(MO_BSS_Debt_Net,0,COLUMN())/INDEX(SP_BSR_EBITDA_LTM,0,COLUMN())</f>
        <v>-0.383431531014825</v>
      </c>
      <c r="BL82" s="507" t="n">
        <f aca="false">INDEX(MO_BSS_Debt_Net,0,COLUMN())/INDEX(SP_BSR_EBITDA_LTM,0,COLUMN())</f>
        <v>-0.205364362648381</v>
      </c>
      <c r="BM82" s="507" t="n">
        <f aca="false">INDEX(MO_BSS_Debt_Net,0,COLUMN())/INDEX(SP_BSR_EBITDA_LTM,0,COLUMN())</f>
        <v>-0.113625947753934</v>
      </c>
      <c r="BN82" s="507" t="n">
        <f aca="false">INDEX(MO_BSS_Debt_Net,0,COLUMN())/INDEX(SP_BSR_EBITDA_LTM,0,COLUMN())</f>
        <v>-0.683402822117226</v>
      </c>
      <c r="BO82" s="503" t="n">
        <f aca="false">INDEX(MO_BSS_Debt_Net,0,COLUMN())/INDEX(SP_BSR_EBITDA_LTM,0,COLUMN())</f>
        <v>-0.683402822117227</v>
      </c>
      <c r="BP82" s="507" t="n">
        <f aca="false">INDEX(MO_BSS_Debt_Net,0,COLUMN())/INDEX(SP_BSR_EBITDA_LTM,0,COLUMN())</f>
        <v>-0.980615536315736</v>
      </c>
      <c r="BQ82" s="507" t="n">
        <f aca="false">INDEX(MO_BSS_Debt_Net,0,COLUMN())/INDEX(SP_BSR_EBITDA_LTM,0,COLUMN())</f>
        <v>-1.07303791264895</v>
      </c>
      <c r="BR82" s="507" t="n">
        <f aca="false">INDEX(MO_BSS_Debt_Net,0,COLUMN())/INDEX(SP_BSR_EBITDA_LTM,0,COLUMN())</f>
        <v>-1.17248954971471</v>
      </c>
      <c r="BS82" s="507" t="n">
        <f aca="false">INDEX(MO_BSS_Debt_Net,0,COLUMN())/INDEX(SP_BSR_EBITDA_LTM,0,COLUMN())</f>
        <v>-1.23428704078739</v>
      </c>
      <c r="BT82" s="501" t="n">
        <f aca="false">INDEX(MO_BSS_Debt_Net,0,COLUMN())/INDEX(SP_BSR_EBITDA_LTM,0,COLUMN())</f>
        <v>-1.23428704078739</v>
      </c>
      <c r="BU82" s="507" t="n">
        <f aca="false">INDEX(MO_BSS_Debt_Net,0,COLUMN())/INDEX(SP_BSR_EBITDA_LTM,0,COLUMN())</f>
        <v>-1.50791776350176</v>
      </c>
      <c r="BV82" s="507" t="n">
        <f aca="false">INDEX(MO_BSS_Debt_Net,0,COLUMN())/INDEX(SP_BSR_EBITDA_LTM,0,COLUMN())</f>
        <v>-1.59386855529752</v>
      </c>
      <c r="BW82" s="507" t="n">
        <f aca="false">INDEX(MO_BSS_Debt_Net,0,COLUMN())/INDEX(SP_BSR_EBITDA_LTM,0,COLUMN())</f>
        <v>-1.68674453486933</v>
      </c>
      <c r="BX82" s="507" t="n">
        <f aca="false">INDEX(MO_BSS_Debt_Net,0,COLUMN())/INDEX(SP_BSR_EBITDA_LTM,0,COLUMN())</f>
        <v>-1.74754766215498</v>
      </c>
      <c r="BY82" s="501" t="n">
        <f aca="false">INDEX(MO_BSS_Debt_Net,0,COLUMN())/INDEX(SP_BSR_EBITDA_LTM,0,COLUMN())</f>
        <v>-1.74754766215498</v>
      </c>
      <c r="BZ82" s="501" t="n">
        <f aca="false">INDEX(MO_BSS_Debt_Net,0,COLUMN())/INDEX(SP_BSR_EBITDA_LTM,0,COLUMN())</f>
        <v>-2.15737654817421</v>
      </c>
      <c r="CA82" s="501" t="n">
        <f aca="false">INDEX(MO_BSS_Debt_Net,0,COLUMN())/INDEX(SP_BSR_EBITDA_LTM,0,COLUMN())</f>
        <v>-2.70116378992889</v>
      </c>
      <c r="CB82" s="501" t="n">
        <f aca="false">INDEX(MO_BSS_Debt_Net,0,COLUMN())/INDEX(SP_BSR_EBITDA_LTM,0,COLUMN())</f>
        <v>-3.21905460361462</v>
      </c>
      <c r="CC82" s="507"/>
    </row>
    <row r="83" s="510" customFormat="true" ht="15" hidden="false" customHeight="true" outlineLevel="0" collapsed="false">
      <c r="A83" s="507" t="s">
        <v>496</v>
      </c>
      <c r="B83" s="505"/>
      <c r="C83" s="501" t="n">
        <f aca="false">INDEX(MO_BSS_Debt_Net,0,COLUMN())/INDEX(SP_BSR_CashFlow_LTM,0,COLUMN())</f>
        <v>-3.40058874528702</v>
      </c>
      <c r="D83" s="501" t="n">
        <f aca="false">INDEX(MO_BSS_Debt_Net,0,COLUMN())/INDEX(SP_BSR_CashFlow_LTM,0,COLUMN())</f>
        <v>-1.3188411655575</v>
      </c>
      <c r="E83" s="501" t="n">
        <f aca="false">INDEX(MO_BSS_Debt_Net,0,COLUMN())/INDEX(SP_BSR_CashFlow_LTM,0,COLUMN())</f>
        <v>-0.963763258051429</v>
      </c>
      <c r="F83" s="501" t="n">
        <f aca="false">INDEX(MO_BSS_Debt_Net,0,COLUMN())/INDEX(SP_BSR_CashFlow_LTM,0,COLUMN())</f>
        <v>-2.75504138011423</v>
      </c>
      <c r="G83" s="501" t="n">
        <f aca="false">INDEX(MO_BSS_Debt_Net,0,COLUMN())/INDEX(SP_BSR_CashFlow_LTM,0,COLUMN())</f>
        <v>-1.83651829443554</v>
      </c>
      <c r="H83" s="502"/>
      <c r="I83" s="502"/>
      <c r="J83" s="502"/>
      <c r="K83" s="502" t="n">
        <f aca="false">INDEX(MO_BSS_Debt_Net,0,COLUMN())/INDEX(SP_BSR_CashFlow_LTM,0,COLUMN())</f>
        <v>-1.56087069330457</v>
      </c>
      <c r="L83" s="501" t="n">
        <f aca="false">INDEX(MO_BSS_Debt_Net,0,COLUMN())/INDEX(SP_BSR_CashFlow_LTM,0,COLUMN())</f>
        <v>-1.56087069330457</v>
      </c>
      <c r="M83" s="502" t="n">
        <f aca="false">INDEX(MO_BSS_Debt_Net,0,COLUMN())/INDEX(SP_BSR_CashFlow_LTM,0,COLUMN())</f>
        <v>-1.44842994773107</v>
      </c>
      <c r="N83" s="502" t="n">
        <f aca="false">INDEX(MO_BSS_Debt_Net,0,COLUMN())/INDEX(SP_BSR_CashFlow_LTM,0,COLUMN())</f>
        <v>-1.12498573616649</v>
      </c>
      <c r="O83" s="502" t="n">
        <f aca="false">INDEX(MO_BSS_Debt_Net,0,COLUMN())/INDEX(SP_BSR_CashFlow_LTM,0,COLUMN())</f>
        <v>-1.06988453840881</v>
      </c>
      <c r="P83" s="502" t="n">
        <f aca="false">INDEX(MO_BSS_Debt_Net,0,COLUMN())/INDEX(SP_BSR_CashFlow_LTM,0,COLUMN())</f>
        <v>-1.1251256430257</v>
      </c>
      <c r="Q83" s="501" t="n">
        <f aca="false">INDEX(MO_BSS_Debt_Net,0,COLUMN())/INDEX(SP_BSR_CashFlow_LTM,0,COLUMN())</f>
        <v>-1.1251256430257</v>
      </c>
      <c r="R83" s="502" t="n">
        <f aca="false">INDEX(MO_BSS_Debt_Net,0,COLUMN())/INDEX(SP_BSR_CashFlow_LTM,0,COLUMN())</f>
        <v>-1.18264153858955</v>
      </c>
      <c r="S83" s="502" t="n">
        <f aca="false">INDEX(MO_BSS_Debt_Net,0,COLUMN())/INDEX(SP_BSR_CashFlow_LTM,0,COLUMN())</f>
        <v>-1.07453082111624</v>
      </c>
      <c r="T83" s="502" t="n">
        <f aca="false">INDEX(MO_BSS_Debt_Net,0,COLUMN())/INDEX(SP_BSR_CashFlow_LTM,0,COLUMN())</f>
        <v>-1.3161900122137</v>
      </c>
      <c r="U83" s="502" t="n">
        <f aca="false">INDEX(MO_BSS_Debt_Net,0,COLUMN())/INDEX(SP_BSR_CashFlow_LTM,0,COLUMN())</f>
        <v>-0.442643616063389</v>
      </c>
      <c r="V83" s="501" t="n">
        <f aca="false">INDEX(MO_BSS_Debt_Net,0,COLUMN())/INDEX(SP_BSR_CashFlow_LTM,0,COLUMN())</f>
        <v>-0.442643616063389</v>
      </c>
      <c r="W83" s="507" t="n">
        <f aca="false">INDEX(MO_BSS_Debt_Net,0,COLUMN())/INDEX(SP_BSR_CashFlow_LTM,0,COLUMN())</f>
        <v>-0.36426528304397</v>
      </c>
      <c r="X83" s="507" t="n">
        <f aca="false">INDEX(MO_BSS_Debt_Net,0,COLUMN())/INDEX(SP_BSR_CashFlow_LTM,0,COLUMN())</f>
        <v>0.469565217391304</v>
      </c>
      <c r="Y83" s="507" t="n">
        <f aca="false">INDEX(MO_BSS_Debt_Net,0,COLUMN())/INDEX(SP_BSR_CashFlow_LTM,0,COLUMN())</f>
        <v>0.289893617021276</v>
      </c>
      <c r="Z83" s="507" t="n">
        <f aca="false">INDEX(MO_BSS_Debt_Net,0,COLUMN())/INDEX(SP_BSR_CashFlow_LTM,0,COLUMN())</f>
        <v>-0.146224841543423</v>
      </c>
      <c r="AA83" s="501" t="n">
        <f aca="false">INDEX(MO_BSS_Debt_Net,0,COLUMN())/INDEX(SP_BSR_CashFlow_LTM,0,COLUMN())</f>
        <v>-0.146224841543423</v>
      </c>
      <c r="AB83" s="507" t="n">
        <f aca="false">INDEX(MO_BSS_Debt_Net,0,COLUMN())/INDEX(SP_BSR_CashFlow_LTM,0,COLUMN())</f>
        <v>-0.0881835032437445</v>
      </c>
      <c r="AC83" s="507" t="n">
        <f aca="false">INDEX(MO_BSS_Debt_Net,0,COLUMN())/INDEX(SP_BSR_CashFlow_LTM,0,COLUMN())</f>
        <v>0.0221635662812132</v>
      </c>
      <c r="AD83" s="507" t="n">
        <f aca="false">INDEX(MO_BSS_Debt_Net,0,COLUMN())/INDEX(SP_BSR_CashFlow_LTM,0,COLUMN())</f>
        <v>0.0256555062525211</v>
      </c>
      <c r="AE83" s="507" t="n">
        <f aca="false">INDEX(MO_BSS_Debt_Net,0,COLUMN())/INDEX(SP_BSR_CashFlow_LTM,0,COLUMN())</f>
        <v>-0.328017704299151</v>
      </c>
      <c r="AF83" s="501" t="n">
        <f aca="false">INDEX(MO_BSS_Debt_Net,0,COLUMN())/INDEX(SP_BSR_CashFlow_LTM,0,COLUMN())</f>
        <v>-0.328017704299151</v>
      </c>
      <c r="AG83" s="507" t="n">
        <f aca="false">INDEX(MO_BSS_Debt_Net,0,COLUMN())/INDEX(SP_BSR_CashFlow_LTM,0,COLUMN())</f>
        <v>-0.0802199175309259</v>
      </c>
      <c r="AH83" s="507" t="n">
        <f aca="false">INDEX(MO_BSS_Debt_Net,0,COLUMN())/INDEX(SP_BSR_CashFlow_LTM,0,COLUMN())</f>
        <v>0.458163441107219</v>
      </c>
      <c r="AI83" s="507" t="n">
        <f aca="false">INDEX(MO_BSS_Debt_Net,0,COLUMN())/INDEX(SP_BSR_CashFlow_LTM,0,COLUMN())</f>
        <v>0.834357224118316</v>
      </c>
      <c r="AJ83" s="507" t="n">
        <f aca="false">INDEX(MO_BSS_Debt_Net,0,COLUMN())/INDEX(SP_BSR_CashFlow_LTM,0,COLUMN())</f>
        <v>-0.491331949700891</v>
      </c>
      <c r="AK83" s="501" t="n">
        <f aca="false">INDEX(MO_BSS_Debt_Net,0,COLUMN())/INDEX(SP_BSR_CashFlow_LTM,0,COLUMN())</f>
        <v>-0.491331949700891</v>
      </c>
      <c r="AL83" s="507" t="n">
        <f aca="false">INDEX(MO_BSS_Debt_Net,0,COLUMN())/INDEX(SP_BSR_CashFlow_LTM,0,COLUMN())</f>
        <v>-0.0772989782318968</v>
      </c>
      <c r="AM83" s="507" t="n">
        <f aca="false">INDEX(MO_BSS_Debt_Net,0,COLUMN())/INDEX(SP_BSR_CashFlow_LTM,0,COLUMN())</f>
        <v>0.053945908055377</v>
      </c>
      <c r="AN83" s="507" t="n">
        <f aca="false">INDEX(MO_BSS_Debt_Net,0,COLUMN())/INDEX(SP_BSR_CashFlow_LTM,0,COLUMN())</f>
        <v>0.0617402340995627</v>
      </c>
      <c r="AO83" s="507" t="n">
        <f aca="false">INDEX(MO_BSS_Debt_Net,0,COLUMN())/INDEX(SP_BSR_CashFlow_LTM,0,COLUMN())</f>
        <v>-0.577707667041231</v>
      </c>
      <c r="AP83" s="501" t="n">
        <f aca="false">INDEX(MO_BSS_Debt_Net,0,COLUMN())/INDEX(SP_BSR_CashFlow_LTM,0,COLUMN())</f>
        <v>-0.577707667041231</v>
      </c>
      <c r="AQ83" s="507" t="n">
        <f aca="false">INDEX(MO_BSS_Debt_Net,0,COLUMN())/INDEX(SP_BSR_CashFlow_LTM,0,COLUMN())</f>
        <v>-0.00135144581401314</v>
      </c>
      <c r="AR83" s="507" t="n">
        <f aca="false">INDEX(MO_BSS_Debt_Net,0,COLUMN())/INDEX(SP_BSR_CashFlow_LTM,0,COLUMN())</f>
        <v>-0.098548479709429</v>
      </c>
      <c r="AS83" s="507" t="n">
        <f aca="false">INDEX(MO_BSS_Debt_Net,0,COLUMN())/INDEX(SP_BSR_CashFlow_LTM,0,COLUMN())</f>
        <v>-0.036761473536135</v>
      </c>
      <c r="AT83" s="507" t="n">
        <f aca="false">INDEX(MO_BSS_Debt_Net,0,COLUMN())/INDEX(SP_BSR_CashFlow_LTM,0,COLUMN())</f>
        <v>-0.277176418521455</v>
      </c>
      <c r="AU83" s="501" t="n">
        <f aca="false">INDEX(MO_BSS_Debt_Net,0,COLUMN())/INDEX(SP_BSR_CashFlow_LTM,0,COLUMN())</f>
        <v>-0.277176418521455</v>
      </c>
      <c r="AV83" s="507" t="n">
        <f aca="false">INDEX(MO_BSS_Debt_Net,0,COLUMN())/INDEX(SP_BSR_CashFlow_LTM,0,COLUMN())</f>
        <v>-0.0233720784901887</v>
      </c>
      <c r="AW83" s="507" t="n">
        <f aca="false">INDEX(MO_BSS_Debt_Net,0,COLUMN())/INDEX(SP_BSR_CashFlow_LTM,0,COLUMN())</f>
        <v>0.0483535256347322</v>
      </c>
      <c r="AX83" s="507" t="n">
        <f aca="false">INDEX(MO_BSS_Debt_Net,0,COLUMN())/INDEX(SP_BSR_CashFlow_LTM,0,COLUMN())</f>
        <v>0.0679765107345106</v>
      </c>
      <c r="AY83" s="507" t="n">
        <f aca="false">INDEX(MO_BSS_Debt_Net,0,COLUMN())/INDEX(SP_BSR_CashFlow_LTM,0,COLUMN())</f>
        <v>-0.367111278691615</v>
      </c>
      <c r="AZ83" s="501" t="n">
        <f aca="false">INDEX(MO_BSS_Debt_Net,0,COLUMN())/INDEX(SP_BSR_CashFlow_LTM,0,COLUMN())</f>
        <v>-0.367111278691615</v>
      </c>
      <c r="BA83" s="507" t="n">
        <f aca="false">INDEX(MO_BSS_Debt_Net,0,COLUMN())/INDEX(SP_BSR_CashFlow_LTM,0,COLUMN())</f>
        <v>-0.241707031050834</v>
      </c>
      <c r="BB83" s="507" t="n">
        <f aca="false">INDEX(MO_BSS_Debt_Net,0,COLUMN())/INDEX(SP_BSR_CashFlow_LTM,0,COLUMN())</f>
        <v>-0.14170692431562</v>
      </c>
      <c r="BC83" s="507" t="n">
        <f aca="false">INDEX(MO_BSS_Debt_Net,0,COLUMN())/INDEX(SP_BSR_CashFlow_LTM,0,COLUMN())</f>
        <v>0.0378575471573932</v>
      </c>
      <c r="BD83" s="507" t="n">
        <f aca="false">INDEX(MO_BSS_Debt_Net,0,COLUMN())/INDEX(SP_BSR_CashFlow_LTM,0,COLUMN())</f>
        <v>-0.436951170224492</v>
      </c>
      <c r="BE83" s="501" t="n">
        <f aca="false">INDEX(MO_BSS_Debt_Net,0,COLUMN())/INDEX(SP_BSR_CashFlow_LTM,0,COLUMN())</f>
        <v>-0.436951170224492</v>
      </c>
      <c r="BF83" s="507" t="n">
        <f aca="false">INDEX(MO_BSS_Debt_Net,0,COLUMN())/INDEX(SP_BSR_CashFlow_LTM,0,COLUMN())</f>
        <v>-0.1781107696449</v>
      </c>
      <c r="BG83" s="507" t="n">
        <f aca="false">INDEX(MO_BSS_Debt_Net,0,COLUMN())/INDEX(SP_BSR_CashFlow_LTM,0,COLUMN())</f>
        <v>-0.0821758795981268</v>
      </c>
      <c r="BH83" s="507" t="n">
        <f aca="false">INDEX(MO_BSS_Debt_Net,0,COLUMN())/INDEX(SP_BSR_CashFlow_LTM,0,COLUMN())</f>
        <v>-0.0606425369417234</v>
      </c>
      <c r="BI83" s="507" t="n">
        <f aca="false">INDEX(MO_BSS_Debt_Net,0,COLUMN())/INDEX(SP_BSR_CashFlow_LTM,0,COLUMN())</f>
        <v>-0.721257007755548</v>
      </c>
      <c r="BJ83" s="501" t="n">
        <f aca="false">INDEX(MO_BSS_Debt_Net,0,COLUMN())/INDEX(SP_BSR_CashFlow_LTM,0,COLUMN())</f>
        <v>-0.721257007755548</v>
      </c>
      <c r="BK83" s="507" t="n">
        <f aca="false">INDEX(MO_BSS_Debt_Net,0,COLUMN())/INDEX(SP_BSR_CashFlow_LTM,0,COLUMN())</f>
        <v>-0.388423786258198</v>
      </c>
      <c r="BL83" s="507" t="n">
        <f aca="false">INDEX(MO_BSS_Debt_Net,0,COLUMN())/INDEX(SP_BSR_CashFlow_LTM,0,COLUMN())</f>
        <v>-0.227087394266707</v>
      </c>
      <c r="BM83" s="507" t="n">
        <f aca="false">INDEX(MO_BSS_Debt_Net,0,COLUMN())/INDEX(SP_BSR_CashFlow_LTM,0,COLUMN())</f>
        <v>-0.130936718243306</v>
      </c>
      <c r="BN83" s="507" t="n">
        <f aca="false">INDEX(MO_BSS_Debt_Net,0,COLUMN())/INDEX(SP_BSR_CashFlow_LTM,0,COLUMN())</f>
        <v>-0.676443812458032</v>
      </c>
      <c r="BO83" s="503" t="n">
        <f aca="false">INDEX(MO_BSS_Debt_Net,0,COLUMN())/INDEX(SP_BSR_CashFlow_LTM,0,COLUMN())</f>
        <v>-0.676443812458032</v>
      </c>
      <c r="BP83" s="507" t="n">
        <f aca="false">INDEX(MO_BSS_Debt_Net,0,COLUMN())/INDEX(SP_BSR_CashFlow_LTM,0,COLUMN())</f>
        <v>-0.718803642926615</v>
      </c>
      <c r="BQ83" s="507" t="n">
        <f aca="false">INDEX(MO_BSS_Debt_Net,0,COLUMN())/INDEX(SP_BSR_CashFlow_LTM,0,COLUMN())</f>
        <v>-0.745135886592577</v>
      </c>
      <c r="BR83" s="507" t="n">
        <f aca="false">INDEX(MO_BSS_Debt_Net,0,COLUMN())/INDEX(SP_BSR_CashFlow_LTM,0,COLUMN())</f>
        <v>-0.76473623184697</v>
      </c>
      <c r="BS83" s="507" t="n">
        <f aca="false">INDEX(MO_BSS_Debt_Net,0,COLUMN())/INDEX(SP_BSR_CashFlow_LTM,0,COLUMN())</f>
        <v>-1.4345195824074</v>
      </c>
      <c r="BT83" s="501" t="n">
        <f aca="false">INDEX(MO_BSS_Debt_Net,0,COLUMN())/INDEX(SP_BSR_CashFlow_LTM,0,COLUMN())</f>
        <v>-1.4345195824074</v>
      </c>
      <c r="BU83" s="507" t="n">
        <f aca="false">INDEX(MO_BSS_Debt_Net,0,COLUMN())/INDEX(SP_BSR_CashFlow_LTM,0,COLUMN())</f>
        <v>-1.73819969509404</v>
      </c>
      <c r="BV83" s="507" t="n">
        <f aca="false">INDEX(MO_BSS_Debt_Net,0,COLUMN())/INDEX(SP_BSR_CashFlow_LTM,0,COLUMN())</f>
        <v>-1.88253096379507</v>
      </c>
      <c r="BW83" s="507" t="n">
        <f aca="false">INDEX(MO_BSS_Debt_Net,0,COLUMN())/INDEX(SP_BSR_CashFlow_LTM,0,COLUMN())</f>
        <v>-2.04158995637422</v>
      </c>
      <c r="BX83" s="507" t="n">
        <f aca="false">INDEX(MO_BSS_Debt_Net,0,COLUMN())/INDEX(SP_BSR_CashFlow_LTM,0,COLUMN())</f>
        <v>-2.0995792895722</v>
      </c>
      <c r="BY83" s="501" t="n">
        <f aca="false">INDEX(MO_BSS_Debt_Net,0,COLUMN())/INDEX(SP_BSR_CashFlow_LTM,0,COLUMN())</f>
        <v>-2.0995792895722</v>
      </c>
      <c r="BZ83" s="501" t="n">
        <f aca="false">INDEX(MO_BSS_Debt_Net,0,COLUMN())/INDEX(SP_BSR_CashFlow_LTM,0,COLUMN())</f>
        <v>-2.47818245309365</v>
      </c>
      <c r="CA83" s="501" t="n">
        <f aca="false">INDEX(MO_BSS_Debt_Net,0,COLUMN())/INDEX(SP_BSR_CashFlow_LTM,0,COLUMN())</f>
        <v>-3.29945800665121</v>
      </c>
      <c r="CB83" s="501" t="n">
        <f aca="false">INDEX(MO_BSS_Debt_Net,0,COLUMN())/INDEX(SP_BSR_CashFlow_LTM,0,COLUMN())</f>
        <v>-3.93654026979409</v>
      </c>
      <c r="CC83" s="507"/>
    </row>
    <row r="84" s="741" customFormat="true" ht="15" hidden="false" customHeight="true" outlineLevel="0" collapsed="false">
      <c r="A84" s="736" t="s">
        <v>816</v>
      </c>
      <c r="B84" s="737"/>
      <c r="C84" s="738" t="n">
        <f aca="false">INDEX(MO_BSS_Debt_Net,0,COLUMN())/SUM(INDEX(MO_BS_SE,0,COLUMN()),INDEX(MO_BSS_Debt,0,COLUMN()),IFERROR(INDEX(mo_bss_ol,0,COLUMN()),0))</f>
        <v>-0.13631631780496</v>
      </c>
      <c r="D84" s="738" t="n">
        <f aca="false">INDEX(MO_BSS_Debt_Net,0,COLUMN())/SUM(INDEX(MO_BS_SE,0,COLUMN()),INDEX(MO_BSS_Debt,0,COLUMN()),IFERROR(INDEX(mo_bss_ol,0,COLUMN()),0))</f>
        <v>-0.355851144442199</v>
      </c>
      <c r="E84" s="738" t="n">
        <f aca="false">INDEX(MO_BSS_Debt_Net,0,COLUMN())/SUM(INDEX(MO_BS_SE,0,COLUMN()),INDEX(MO_BSS_Debt,0,COLUMN()),IFERROR(INDEX(mo_bss_ol,0,COLUMN()),0))</f>
        <v>-0.477312163409259</v>
      </c>
      <c r="F84" s="738" t="n">
        <f aca="false">INDEX(MO_BSS_Debt_Net,0,COLUMN())/SUM(INDEX(MO_BS_SE,0,COLUMN()),INDEX(MO_BSS_Debt,0,COLUMN()),IFERROR(INDEX(mo_bss_ol,0,COLUMN()),0))</f>
        <v>-0.401565934572536</v>
      </c>
      <c r="G84" s="738" t="n">
        <f aca="false">INDEX(MO_BSS_Debt_Net,0,COLUMN())/SUM(INDEX(MO_BS_SE,0,COLUMN()),INDEX(MO_BSS_Debt,0,COLUMN()),IFERROR(INDEX(mo_bss_ol,0,COLUMN()),0))</f>
        <v>-0.242091875237667</v>
      </c>
      <c r="H84" s="739"/>
      <c r="I84" s="739"/>
      <c r="J84" s="739"/>
      <c r="K84" s="739" t="n">
        <f aca="false">INDEX(MO_BSS_Debt_Net,0,COLUMN())/SUM(INDEX(MO_BS_SE,0,COLUMN()),INDEX(MO_BSS_Debt,0,COLUMN()),IFERROR(INDEX(mo_bss_ol,0,COLUMN()),0))</f>
        <v>-0.184638791553028</v>
      </c>
      <c r="L84" s="738" t="n">
        <f aca="false">INDEX(MO_BSS_Debt_Net,0,COLUMN())/SUM(INDEX(MO_BS_SE,0,COLUMN()),INDEX(MO_BSS_Debt,0,COLUMN()),IFERROR(INDEX(mo_bss_ol,0,COLUMN()),0))</f>
        <v>-0.184638791553028</v>
      </c>
      <c r="M84" s="739" t="n">
        <f aca="false">INDEX(MO_BSS_Debt_Net,0,COLUMN())/SUM(INDEX(MO_BS_SE,0,COLUMN()),INDEX(MO_BSS_Debt,0,COLUMN()),IFERROR(INDEX(mo_bss_ol,0,COLUMN()),0))</f>
        <v>-0.181749354548733</v>
      </c>
      <c r="N84" s="739" t="n">
        <f aca="false">INDEX(MO_BSS_Debt_Net,0,COLUMN())/SUM(INDEX(MO_BS_SE,0,COLUMN()),INDEX(MO_BSS_Debt,0,COLUMN()),IFERROR(INDEX(mo_bss_ol,0,COLUMN()),0))</f>
        <v>-0.154133133450648</v>
      </c>
      <c r="O84" s="739" t="n">
        <f aca="false">INDEX(MO_BSS_Debt_Net,0,COLUMN())/SUM(INDEX(MO_BS_SE,0,COLUMN()),INDEX(MO_BSS_Debt,0,COLUMN()),IFERROR(INDEX(mo_bss_ol,0,COLUMN()),0))</f>
        <v>-0.167269990137432</v>
      </c>
      <c r="P84" s="739" t="n">
        <f aca="false">INDEX(MO_BSS_Debt_Net,0,COLUMN())/SUM(INDEX(MO_BS_SE,0,COLUMN()),INDEX(MO_BSS_Debt,0,COLUMN()),IFERROR(INDEX(mo_bss_ol,0,COLUMN()),0))</f>
        <v>-0.239431440783416</v>
      </c>
      <c r="Q84" s="738" t="n">
        <f aca="false">INDEX(MO_BSS_Debt_Net,0,COLUMN())/SUM(INDEX(MO_BS_SE,0,COLUMN()),INDEX(MO_BSS_Debt,0,COLUMN()),IFERROR(INDEX(mo_bss_ol,0,COLUMN()),0))</f>
        <v>-0.239431440783416</v>
      </c>
      <c r="R84" s="739" t="n">
        <f aca="false">INDEX(MO_BSS_Debt_Net,0,COLUMN())/SUM(INDEX(MO_BS_SE,0,COLUMN()),INDEX(MO_BSS_Debt,0,COLUMN()),IFERROR(INDEX(mo_bss_ol,0,COLUMN()),0))</f>
        <v>-0.210527691172716</v>
      </c>
      <c r="S84" s="739" t="n">
        <f aca="false">INDEX(MO_BSS_Debt_Net,0,COLUMN())/SUM(INDEX(MO_BS_SE,0,COLUMN()),INDEX(MO_BSS_Debt,0,COLUMN()),IFERROR(INDEX(mo_bss_ol,0,COLUMN()),0))</f>
        <v>-0.223072294259137</v>
      </c>
      <c r="T84" s="739" t="n">
        <f aca="false">INDEX(MO_BSS_Debt_Net,0,COLUMN())/SUM(INDEX(MO_BS_SE,0,COLUMN()),INDEX(MO_BSS_Debt,0,COLUMN()),IFERROR(INDEX(mo_bss_ol,0,COLUMN()),0))</f>
        <v>-0.175851399489788</v>
      </c>
      <c r="U84" s="739" t="n">
        <f aca="false">INDEX(MO_BSS_Debt_Net,0,COLUMN())/SUM(INDEX(MO_BS_SE,0,COLUMN()),INDEX(MO_BSS_Debt,0,COLUMN()),IFERROR(INDEX(mo_bss_ol,0,COLUMN()),0))</f>
        <v>-0.0561191485475536</v>
      </c>
      <c r="V84" s="738" t="n">
        <f aca="false">INDEX(MO_BSS_Debt_Net,0,COLUMN())/SUM(INDEX(MO_BS_SE,0,COLUMN()),INDEX(MO_BSS_Debt,0,COLUMN()),IFERROR(INDEX(mo_bss_ol,0,COLUMN()),0))</f>
        <v>-0.0561191485475536</v>
      </c>
      <c r="W84" s="739" t="n">
        <f aca="false">INDEX(MO_BSS_Debt_Net,0,COLUMN())/SUM(INDEX(MO_BS_SE,0,COLUMN()),INDEX(MO_BSS_Debt,0,COLUMN()),IFERROR(INDEX(mo_bss_ol,0,COLUMN()),0))</f>
        <v>-0.0404700317788781</v>
      </c>
      <c r="X84" s="739" t="n">
        <f aca="false">INDEX(MO_BSS_Debt_Net,0,COLUMN())/SUM(INDEX(MO_BS_SE,0,COLUMN()),INDEX(MO_BSS_Debt,0,COLUMN()),IFERROR(INDEX(mo_bss_ol,0,COLUMN()),0))</f>
        <v>0.0549119450428599</v>
      </c>
      <c r="Y84" s="739" t="n">
        <f aca="false">INDEX(MO_BSS_Debt_Net,0,COLUMN())/SUM(INDEX(MO_BS_SE,0,COLUMN()),INDEX(MO_BSS_Debt,0,COLUMN()),IFERROR(INDEX(mo_bss_ol,0,COLUMN()),0))</f>
        <v>0.0417034551768791</v>
      </c>
      <c r="Z84" s="739" t="n">
        <f aca="false">INDEX(MO_BSS_Debt_Net,0,COLUMN())/SUM(INDEX(MO_BS_SE,0,COLUMN()),INDEX(MO_BSS_Debt,0,COLUMN()),IFERROR(INDEX(mo_bss_ol,0,COLUMN()),0))</f>
        <v>-0.0191949786519724</v>
      </c>
      <c r="AA84" s="738" t="n">
        <f aca="false">INDEX(MO_BSS_Debt_Net,0,COLUMN())/SUM(INDEX(MO_BS_SE,0,COLUMN()),INDEX(MO_BSS_Debt,0,COLUMN()),IFERROR(INDEX(mo_bss_ol,0,COLUMN()),0))</f>
        <v>-0.0191949786519724</v>
      </c>
      <c r="AB84" s="739" t="n">
        <f aca="false">INDEX(MO_BSS_Debt_Net,0,COLUMN())/SUM(INDEX(MO_BS_SE,0,COLUMN()),INDEX(MO_BSS_Debt,0,COLUMN()),IFERROR(INDEX(mo_bss_ol,0,COLUMN()),0))</f>
        <v>-0.0135295581387082</v>
      </c>
      <c r="AC84" s="739" t="n">
        <f aca="false">INDEX(MO_BSS_Debt_Net,0,COLUMN())/SUM(INDEX(MO_BS_SE,0,COLUMN()),INDEX(MO_BSS_Debt,0,COLUMN()),IFERROR(INDEX(mo_bss_ol,0,COLUMN()),0))</f>
        <v>0.0038180886460581</v>
      </c>
      <c r="AD84" s="739" t="n">
        <f aca="false">INDEX(MO_BSS_Debt_Net,0,COLUMN())/SUM(INDEX(MO_BS_SE,0,COLUMN()),INDEX(MO_BSS_Debt,0,COLUMN()),IFERROR(INDEX(mo_bss_ol,0,COLUMN()),0))</f>
        <v>0.00448990829574093</v>
      </c>
      <c r="AE84" s="739" t="n">
        <f aca="false">INDEX(MO_BSS_Debt_Net,0,COLUMN())/SUM(INDEX(MO_BS_SE,0,COLUMN()),INDEX(MO_BSS_Debt,0,COLUMN()),IFERROR(INDEX(mo_bss_ol,0,COLUMN()),0))</f>
        <v>-0.0687165501960116</v>
      </c>
      <c r="AF84" s="738" t="n">
        <f aca="false">INDEX(MO_BSS_Debt_Net,0,COLUMN())/SUM(INDEX(MO_BS_SE,0,COLUMN()),INDEX(MO_BSS_Debt,0,COLUMN()),IFERROR(INDEX(mo_bss_ol,0,COLUMN()),0))</f>
        <v>-0.0687165501960116</v>
      </c>
      <c r="AG84" s="739" t="n">
        <f aca="false">INDEX(MO_BSS_Debt_Net,0,COLUMN())/SUM(INDEX(MO_BS_SE,0,COLUMN()),INDEX(MO_BSS_Debt,0,COLUMN()),IFERROR(INDEX(mo_bss_ol,0,COLUMN()),0))</f>
        <v>-0.0127988729549049</v>
      </c>
      <c r="AH84" s="739" t="n">
        <f aca="false">INDEX(MO_BSS_Debt_Net,0,COLUMN())/SUM(INDEX(MO_BS_SE,0,COLUMN()),INDEX(MO_BSS_Debt,0,COLUMN()),IFERROR(INDEX(mo_bss_ol,0,COLUMN()),0))</f>
        <v>0.0543545650885357</v>
      </c>
      <c r="AI84" s="739" t="n">
        <f aca="false">INDEX(MO_BSS_Debt_Net,0,COLUMN())/SUM(INDEX(MO_BS_SE,0,COLUMN()),INDEX(MO_BSS_Debt,0,COLUMN()),IFERROR(INDEX(mo_bss_ol,0,COLUMN()),0))</f>
        <v>0.0721798295398626</v>
      </c>
      <c r="AJ84" s="739" t="n">
        <f aca="false">INDEX(MO_BSS_Debt_Net,0,COLUMN())/SUM(INDEX(MO_BS_SE,0,COLUMN()),INDEX(MO_BSS_Debt,0,COLUMN()),IFERROR(INDEX(mo_bss_ol,0,COLUMN()),0))</f>
        <v>-0.102531766504251</v>
      </c>
      <c r="AK84" s="738" t="n">
        <f aca="false">INDEX(MO_BSS_Debt_Net,0,COLUMN())/SUM(INDEX(MO_BS_SE,0,COLUMN()),INDEX(MO_BSS_Debt,0,COLUMN()),IFERROR(INDEX(mo_bss_ol,0,COLUMN()),0))</f>
        <v>-0.102531766504251</v>
      </c>
      <c r="AL84" s="739" t="n">
        <f aca="false">INDEX(MO_BSS_Debt_Net,0,COLUMN())/SUM(INDEX(MO_BS_SE,0,COLUMN()),INDEX(MO_BSS_Debt,0,COLUMN()),IFERROR(INDEX(mo_bss_ol,0,COLUMN()),0))</f>
        <v>-0.0148596386350604</v>
      </c>
      <c r="AM84" s="739" t="n">
        <f aca="false">INDEX(MO_BSS_Debt_Net,0,COLUMN())/SUM(INDEX(MO_BS_SE,0,COLUMN()),INDEX(MO_BSS_Debt,0,COLUMN()),IFERROR(INDEX(mo_bss_ol,0,COLUMN()),0))</f>
        <v>0.0106610177318064</v>
      </c>
      <c r="AN84" s="739" t="n">
        <f aca="false">INDEX(MO_BSS_Debt_Net,0,COLUMN())/SUM(INDEX(MO_BS_SE,0,COLUMN()),INDEX(MO_BSS_Debt,0,COLUMN()),IFERROR(INDEX(mo_bss_ol,0,COLUMN()),0))</f>
        <v>0.0119166866276158</v>
      </c>
      <c r="AO84" s="739" t="n">
        <f aca="false">INDEX(MO_BSS_Debt_Net,0,COLUMN())/SUM(INDEX(MO_BS_SE,0,COLUMN()),INDEX(MO_BSS_Debt,0,COLUMN()),IFERROR(INDEX(mo_bss_ol,0,COLUMN()),0))</f>
        <v>-0.144168338402468</v>
      </c>
      <c r="AP84" s="738" t="n">
        <f aca="false">INDEX(MO_BSS_Debt_Net,0,COLUMN())/SUM(INDEX(MO_BS_SE,0,COLUMN()),INDEX(MO_BSS_Debt,0,COLUMN()),IFERROR(INDEX(mo_bss_ol,0,COLUMN()),0))</f>
        <v>-0.144168338402468</v>
      </c>
      <c r="AQ84" s="739" t="n">
        <f aca="false">INDEX(MO_BSS_Debt_Net,0,COLUMN())/SUM(INDEX(MO_BS_SE,0,COLUMN()),INDEX(MO_BSS_Debt,0,COLUMN()),IFERROR(INDEX(mo_bss_ol,0,COLUMN()),0))</f>
        <v>-0.000317312689772147</v>
      </c>
      <c r="AR84" s="739" t="n">
        <f aca="false">INDEX(MO_BSS_Debt_Net,0,COLUMN())/SUM(INDEX(MO_BS_SE,0,COLUMN()),INDEX(MO_BSS_Debt,0,COLUMN()),IFERROR(INDEX(mo_bss_ol,0,COLUMN()),0))</f>
        <v>-0.0441160647035616</v>
      </c>
      <c r="AS84" s="739" t="n">
        <f aca="false">INDEX(MO_BSS_Debt_Net,0,COLUMN())/SUM(INDEX(MO_BS_SE,0,COLUMN()),INDEX(MO_BSS_Debt,0,COLUMN()),IFERROR(INDEX(mo_bss_ol,0,COLUMN()),0))</f>
        <v>-0.0214099183286823</v>
      </c>
      <c r="AT84" s="739" t="n">
        <f aca="false">INDEX(MO_BSS_Debt_Net,0,COLUMN())/SUM(INDEX(MO_BS_SE,0,COLUMN()),INDEX(MO_BSS_Debt,0,COLUMN()),IFERROR(INDEX(mo_bss_ol,0,COLUMN()),0))</f>
        <v>-0.20416035640794</v>
      </c>
      <c r="AU84" s="738" t="n">
        <f aca="false">INDEX(MO_BSS_Debt_Net,0,COLUMN())/SUM(INDEX(MO_BS_SE,0,COLUMN()),INDEX(MO_BSS_Debt,0,COLUMN()),IFERROR(INDEX(mo_bss_ol,0,COLUMN()),0))</f>
        <v>-0.20416035640794</v>
      </c>
      <c r="AV84" s="739" t="n">
        <f aca="false">INDEX(MO_BSS_Debt_Net,0,COLUMN())/SUM(INDEX(MO_BS_SE,0,COLUMN()),INDEX(MO_BSS_Debt,0,COLUMN()),IFERROR(INDEX(mo_bss_ol,0,COLUMN()),0))</f>
        <v>-0.0197269274820664</v>
      </c>
      <c r="AW84" s="739" t="n">
        <f aca="false">INDEX(MO_BSS_Debt_Net,0,COLUMN())/SUM(INDEX(MO_BS_SE,0,COLUMN()),INDEX(MO_BSS_Debt,0,COLUMN()),IFERROR(INDEX(mo_bss_ol,0,COLUMN()),0))</f>
        <v>0.0392649286454597</v>
      </c>
      <c r="AX84" s="739" t="n">
        <f aca="false">INDEX(MO_BSS_Debt_Net,0,COLUMN())/SUM(INDEX(MO_BS_SE,0,COLUMN()),INDEX(MO_BSS_Debt,0,COLUMN()),IFERROR(INDEX(mo_bss_ol,0,COLUMN()),0))</f>
        <v>0.0542645375314398</v>
      </c>
      <c r="AY84" s="739" t="n">
        <f aca="false">INDEX(MO_BSS_Debt_Net,0,COLUMN())/SUM(INDEX(MO_BS_SE,0,COLUMN()),INDEX(MO_BSS_Debt,0,COLUMN()),IFERROR(INDEX(mo_bss_ol,0,COLUMN()),0))</f>
        <v>-0.238356080543485</v>
      </c>
      <c r="AZ84" s="738" t="n">
        <f aca="false">INDEX(MO_BSS_Debt_Net,0,COLUMN())/SUM(INDEX(MO_BS_SE,0,COLUMN()),INDEX(MO_BSS_Debt,0,COLUMN()),IFERROR(INDEX(mo_bss_ol,0,COLUMN()),0))</f>
        <v>-0.238356080543485</v>
      </c>
      <c r="BA84" s="739" t="n">
        <f aca="false">INDEX(MO_BSS_Debt_Net,0,COLUMN())/SUM(INDEX(MO_BS_SE,0,COLUMN()),INDEX(MO_BSS_Debt,0,COLUMN()),IFERROR(INDEX(mo_bss_ol,0,COLUMN()),0))</f>
        <v>-0.168482780680243</v>
      </c>
      <c r="BB84" s="739" t="n">
        <f aca="false">INDEX(MO_BSS_Debt_Net,0,COLUMN())/SUM(INDEX(MO_BS_SE,0,COLUMN()),INDEX(MO_BSS_Debt,0,COLUMN()),IFERROR(INDEX(mo_bss_ol,0,COLUMN()),0))</f>
        <v>-0.0682088865642862</v>
      </c>
      <c r="BC84" s="739" t="n">
        <f aca="false">INDEX(MO_BSS_Debt_Net,0,COLUMN())/SUM(INDEX(MO_BS_SE,0,COLUMN()),INDEX(MO_BSS_Debt,0,COLUMN()),IFERROR(INDEX(mo_bss_ol,0,COLUMN()),0))</f>
        <v>0.0166595224579168</v>
      </c>
      <c r="BD84" s="739" t="n">
        <f aca="false">INDEX(MO_BSS_Debt_Net,0,COLUMN())/SUM(INDEX(MO_BS_SE,0,COLUMN()),INDEX(MO_BSS_Debt,0,COLUMN()),IFERROR(INDEX(mo_bss_ol,0,COLUMN()),0))</f>
        <v>-0.131525105065251</v>
      </c>
      <c r="BE84" s="738" t="n">
        <f aca="false">INDEX(MO_BSS_Debt_Net,0,COLUMN())/SUM(INDEX(MO_BS_SE,0,COLUMN()),INDEX(MO_BSS_Debt,0,COLUMN()),IFERROR(INDEX(mo_bss_ol,0,COLUMN()),0))</f>
        <v>-0.131525105065251</v>
      </c>
      <c r="BF84" s="739" t="n">
        <f aca="false">INDEX(MO_BSS_Debt_Net,0,COLUMN())/SUM(INDEX(MO_BS_SE,0,COLUMN()),INDEX(MO_BSS_Debt,0,COLUMN()),IFERROR(INDEX(mo_bss_ol,0,COLUMN()),0))</f>
        <v>-0.0431376384044507</v>
      </c>
      <c r="BG84" s="739" t="n">
        <f aca="false">INDEX(MO_BSS_Debt_Net,0,COLUMN())/SUM(INDEX(MO_BS_SE,0,COLUMN()),INDEX(MO_BSS_Debt,0,COLUMN()),IFERROR(INDEX(mo_bss_ol,0,COLUMN()),0))</f>
        <v>-0.0212531380211703</v>
      </c>
      <c r="BH84" s="739" t="n">
        <f aca="false">INDEX(MO_BSS_Debt_Net,0,COLUMN())/SUM(INDEX(MO_BS_SE,0,COLUMN()),INDEX(MO_BSS_Debt,0,COLUMN()),IFERROR(INDEX(mo_bss_ol,0,COLUMN()),0))</f>
        <v>-0.0140184898219623</v>
      </c>
      <c r="BI84" s="739" t="n">
        <f aca="false">INDEX(MO_BSS_Debt_Net,0,COLUMN())/SUM(INDEX(MO_BS_SE,0,COLUMN()),INDEX(MO_BSS_Debt,0,COLUMN()),IFERROR(INDEX(mo_bss_ol,0,COLUMN()),0))</f>
        <v>-0.347675743813783</v>
      </c>
      <c r="BJ84" s="738" t="n">
        <f aca="false">INDEX(MO_BSS_Debt_Net,0,COLUMN())/SUM(INDEX(MO_BS_SE,0,COLUMN()),INDEX(MO_BSS_Debt,0,COLUMN()),IFERROR(INDEX(mo_bss_ol,0,COLUMN()),0))</f>
        <v>-0.347675743813783</v>
      </c>
      <c r="BK84" s="739" t="n">
        <f aca="false">INDEX(MO_BSS_Debt_Net,0,COLUMN())/SUM(INDEX(MO_BS_SE,0,COLUMN()),INDEX(MO_BSS_Debt,0,COLUMN()),IFERROR(INDEX(mo_bss_ol,0,COLUMN()),0))</f>
        <v>-0.198823900504686</v>
      </c>
      <c r="BL84" s="739" t="n">
        <f aca="false">INDEX(MO_BSS_Debt_Net,0,COLUMN())/SUM(INDEX(MO_BS_SE,0,COLUMN()),INDEX(MO_BSS_Debt,0,COLUMN()),IFERROR(INDEX(mo_bss_ol,0,COLUMN()),0))</f>
        <v>-0.113748130100236</v>
      </c>
      <c r="BM84" s="739" t="n">
        <f aca="false">INDEX(MO_BSS_Debt_Net,0,COLUMN())/SUM(INDEX(MO_BS_SE,0,COLUMN()),INDEX(MO_BSS_Debt,0,COLUMN()),IFERROR(INDEX(mo_bss_ol,0,COLUMN()),0))</f>
        <v>-0.0622322038003391</v>
      </c>
      <c r="BN84" s="739" t="n">
        <f aca="false">INDEX(MO_BSS_Debt_Net,0,COLUMN())/SUM(INDEX(MO_BS_SE,0,COLUMN()),INDEX(MO_BSS_Debt,0,COLUMN()),IFERROR(INDEX(mo_bss_ol,0,COLUMN()),0))</f>
        <v>-0.351345695615538</v>
      </c>
      <c r="BO84" s="740" t="n">
        <f aca="false">INDEX(MO_BSS_Debt_Net,0,COLUMN())/SUM(INDEX(MO_BS_SE,0,COLUMN()),INDEX(MO_BSS_Debt,0,COLUMN()),IFERROR(INDEX(mo_bss_ol,0,COLUMN()),0))</f>
        <v>-0.351345695615538</v>
      </c>
      <c r="BP84" s="739" t="n">
        <f aca="false">INDEX(MO_BSS_Debt_Net,0,COLUMN())/SUM(INDEX(MO_BS_SE,0,COLUMN()),INDEX(MO_BSS_Debt,0,COLUMN()),IFERROR(INDEX(mo_bss_ol,0,COLUMN()),0))</f>
        <v>-0.478363012092523</v>
      </c>
      <c r="BQ84" s="739" t="n">
        <f aca="false">INDEX(MO_BSS_Debt_Net,0,COLUMN())/SUM(INDEX(MO_BS_SE,0,COLUMN()),INDEX(MO_BSS_Debt,0,COLUMN()),IFERROR(INDEX(mo_bss_ol,0,COLUMN()),0))</f>
        <v>-0.51485231410332</v>
      </c>
      <c r="BR84" s="739" t="n">
        <f aca="false">INDEX(MO_BSS_Debt_Net,0,COLUMN())/SUM(INDEX(MO_BS_SE,0,COLUMN()),INDEX(MO_BSS_Debt,0,COLUMN()),IFERROR(INDEX(mo_bss_ol,0,COLUMN()),0))</f>
        <v>-0.553084245315641</v>
      </c>
      <c r="BS84" s="739" t="n">
        <f aca="false">INDEX(MO_BSS_Debt_Net,0,COLUMN())/SUM(INDEX(MO_BS_SE,0,COLUMN()),INDEX(MO_BSS_Debt,0,COLUMN()),IFERROR(INDEX(mo_bss_ol,0,COLUMN()),0))</f>
        <v>-0.547321188187102</v>
      </c>
      <c r="BT84" s="738" t="n">
        <f aca="false">INDEX(MO_BSS_Debt_Net,0,COLUMN())/SUM(INDEX(MO_BS_SE,0,COLUMN()),INDEX(MO_BSS_Debt,0,COLUMN()),IFERROR(INDEX(mo_bss_ol,0,COLUMN()),0))</f>
        <v>-0.547321188187102</v>
      </c>
      <c r="BU84" s="739" t="n">
        <f aca="false">INDEX(MO_BSS_Debt_Net,0,COLUMN())/SUM(INDEX(MO_BS_SE,0,COLUMN()),INDEX(MO_BSS_Debt,0,COLUMN()),IFERROR(INDEX(mo_bss_ol,0,COLUMN()),0))</f>
        <v>-0.636065629471085</v>
      </c>
      <c r="BV84" s="739" t="n">
        <f aca="false">INDEX(MO_BSS_Debt_Net,0,COLUMN())/SUM(INDEX(MO_BS_SE,0,COLUMN()),INDEX(MO_BSS_Debt,0,COLUMN()),IFERROR(INDEX(mo_bss_ol,0,COLUMN()),0))</f>
        <v>-0.650999453557649</v>
      </c>
      <c r="BW84" s="739" t="n">
        <f aca="false">INDEX(MO_BSS_Debt_Net,0,COLUMN())/SUM(INDEX(MO_BS_SE,0,COLUMN()),INDEX(MO_BSS_Debt,0,COLUMN()),IFERROR(INDEX(mo_bss_ol,0,COLUMN()),0))</f>
        <v>-0.668116496533582</v>
      </c>
      <c r="BX84" s="739" t="n">
        <f aca="false">INDEX(MO_BSS_Debt_Net,0,COLUMN())/SUM(INDEX(MO_BS_SE,0,COLUMN()),INDEX(MO_BSS_Debt,0,COLUMN()),IFERROR(INDEX(mo_bss_ol,0,COLUMN()),0))</f>
        <v>-0.65788947781337</v>
      </c>
      <c r="BY84" s="738" t="n">
        <f aca="false">INDEX(MO_BSS_Debt_Net,0,COLUMN())/SUM(INDEX(MO_BS_SE,0,COLUMN()),INDEX(MO_BSS_Debt,0,COLUMN()),IFERROR(INDEX(mo_bss_ol,0,COLUMN()),0))</f>
        <v>-0.65788947781337</v>
      </c>
      <c r="BZ84" s="738" t="n">
        <f aca="false">INDEX(MO_BSS_Debt_Net,0,COLUMN())/SUM(INDEX(MO_BS_SE,0,COLUMN()),INDEX(MO_BSS_Debt,0,COLUMN()),IFERROR(INDEX(mo_bss_ol,0,COLUMN()),0))</f>
        <v>-0.752926890413628</v>
      </c>
      <c r="CA84" s="738" t="n">
        <f aca="false">INDEX(MO_BSS_Debt_Net,0,COLUMN())/SUM(INDEX(MO_BS_SE,0,COLUMN()),INDEX(MO_BSS_Debt,0,COLUMN()),IFERROR(INDEX(mo_bss_ol,0,COLUMN()),0))</f>
        <v>-0.799436174368539</v>
      </c>
      <c r="CB84" s="738" t="n">
        <f aca="false">INDEX(MO_BSS_Debt_Net,0,COLUMN())/SUM(INDEX(MO_BS_SE,0,COLUMN()),INDEX(MO_BSS_Debt,0,COLUMN()),IFERROR(INDEX(mo_bss_ol,0,COLUMN()),0))</f>
        <v>-0.831573305209827</v>
      </c>
      <c r="CC84" s="737"/>
    </row>
    <row r="85" s="84" customFormat="true" ht="15" hidden="true" customHeight="true" outlineLevel="1" collapsed="false">
      <c r="A85" s="140" t="s">
        <v>817</v>
      </c>
      <c r="B85" s="374"/>
      <c r="C85" s="214" t="n">
        <f aca="false">C46</f>
        <v>-8.10000000000022</v>
      </c>
      <c r="D85" s="214" t="n">
        <f aca="false">D46</f>
        <v>1414.252</v>
      </c>
      <c r="E85" s="214" t="n">
        <f aca="false">E46</f>
        <v>1818.831</v>
      </c>
      <c r="F85" s="214" t="n">
        <f aca="false">F46</f>
        <v>1362.108</v>
      </c>
      <c r="G85" s="214" t="n">
        <f aca="false">G46</f>
        <v>1329.094</v>
      </c>
      <c r="H85" s="215"/>
      <c r="I85" s="215"/>
      <c r="J85" s="215"/>
      <c r="K85" s="215" t="n">
        <f aca="false">SUM(K46,J46,I46,H46)</f>
        <v>1600.224</v>
      </c>
      <c r="L85" s="214" t="n">
        <f aca="false">L46</f>
        <v>1600.259</v>
      </c>
      <c r="M85" s="215" t="n">
        <f aca="false">SUM(M46,K46,J46,I46)</f>
        <v>1783.124</v>
      </c>
      <c r="N85" s="215" t="n">
        <f aca="false">SUM(N46,M46,K46,J46)</f>
        <v>1783.924</v>
      </c>
      <c r="O85" s="215" t="n">
        <f aca="false">SUM(O46,N46,M46,K46)</f>
        <v>1913.124</v>
      </c>
      <c r="P85" s="215" t="n">
        <f aca="false">SUM(P46,O46,N46,M46)</f>
        <v>1921.054</v>
      </c>
      <c r="Q85" s="214" t="n">
        <f aca="false">Q46</f>
        <v>1921.089</v>
      </c>
      <c r="R85" s="215" t="n">
        <f aca="false">SUM(R46,P46,O46,N46)</f>
        <v>1707.854</v>
      </c>
      <c r="S85" s="215" t="n">
        <f aca="false">SUM(S46,R46,P46,O46)</f>
        <v>1700.354</v>
      </c>
      <c r="T85" s="215" t="n">
        <f aca="false">SUM(T46,S46,R46,P46)</f>
        <v>1830.554</v>
      </c>
      <c r="U85" s="215" t="n">
        <f aca="false">SUM(U46,T46,S46,R46)</f>
        <v>2062.3</v>
      </c>
      <c r="V85" s="214" t="n">
        <f aca="false">V46</f>
        <v>2062.3</v>
      </c>
      <c r="W85" s="215" t="n">
        <f aca="false">SUM(W46,U46,T46,S46)</f>
        <v>2397.5</v>
      </c>
      <c r="X85" s="215" t="n">
        <f aca="false">SUM(X46,W46,U46,T46)</f>
        <v>2568.1</v>
      </c>
      <c r="Y85" s="215" t="n">
        <f aca="false">SUM(Y46,X46,W46,U46)</f>
        <v>2744.8</v>
      </c>
      <c r="Z85" s="215" t="n">
        <f aca="false">SUM(Z46,Y46,X46,W46)</f>
        <v>2966.8</v>
      </c>
      <c r="AA85" s="214" t="n">
        <f aca="false">AA46</f>
        <v>2966.8</v>
      </c>
      <c r="AB85" s="215" t="n">
        <f aca="false">SUM(AB46,Z46,Y46,X46)</f>
        <v>3065.4</v>
      </c>
      <c r="AC85" s="215" t="n">
        <f aca="false">SUM(AC46,AB46,Z46,Y46)</f>
        <v>3193.9</v>
      </c>
      <c r="AD85" s="215" t="n">
        <f aca="false">SUM(AD46,AC46,AB46,Z46)</f>
        <v>3366.7</v>
      </c>
      <c r="AE85" s="215" t="n">
        <f aca="false">SUM(AE46,AD46,AC46,AB46)</f>
        <v>3434.3</v>
      </c>
      <c r="AF85" s="214" t="n">
        <f aca="false">AF46</f>
        <v>3434.3</v>
      </c>
      <c r="AG85" s="215" t="n">
        <f aca="false">SUM(AG46,AE46,AD46,AC46)</f>
        <v>3131.3</v>
      </c>
      <c r="AH85" s="215" t="n">
        <f aca="false">SUM(AH46,AG46,AE46,AD46)</f>
        <v>2948.2</v>
      </c>
      <c r="AI85" s="215" t="n">
        <f aca="false">SUM(AI46,AH46,AG46,AE46)</f>
        <v>2819.8</v>
      </c>
      <c r="AJ85" s="215" t="n">
        <f aca="false">SUM(AJ46,AI46,AH46,AG46)</f>
        <v>3313.9</v>
      </c>
      <c r="AK85" s="214" t="n">
        <f aca="false">AK46</f>
        <v>3313.9</v>
      </c>
      <c r="AL85" s="215" t="n">
        <f aca="false">SUM(AL46,AJ46,AI46,AH46)</f>
        <v>3419.8</v>
      </c>
      <c r="AM85" s="215" t="n">
        <f aca="false">SUM(AM46,AL46,AJ46,AI46)</f>
        <v>3845.1</v>
      </c>
      <c r="AN85" s="215" t="n">
        <f aca="false">SUM(AN46,AM46,AL46,AJ46)</f>
        <v>4389.5</v>
      </c>
      <c r="AO85" s="215" t="n">
        <f aca="false">SUM(AO46,AN46,AM46,AL46)</f>
        <v>4596.2</v>
      </c>
      <c r="AP85" s="214" t="n">
        <f aca="false">AP46</f>
        <v>4596.2</v>
      </c>
      <c r="AQ85" s="215" t="n">
        <f aca="false">SUM(AQ46,AO46,AN46,AM46)</f>
        <v>5735.8</v>
      </c>
      <c r="AR85" s="215" t="n">
        <f aca="false">SUM(AR46,AQ46,AO46,AN46)</f>
        <v>6076</v>
      </c>
      <c r="AS85" s="215" t="n">
        <f aca="false">SUM(AS46,AR46,AQ46,AO46)</f>
        <v>6785.1</v>
      </c>
      <c r="AT85" s="215" t="n">
        <f aca="false">SUM(AT46,AS46,AR46,AQ46)</f>
        <v>7338.6</v>
      </c>
      <c r="AU85" s="214" t="n">
        <f aca="false">AU46</f>
        <v>7338.6</v>
      </c>
      <c r="AV85" s="215" t="n">
        <f aca="false">SUM(AV46,AT46,AS46,AR46)</f>
        <v>6566.2</v>
      </c>
      <c r="AW85" s="215" t="n">
        <f aca="false">SUM(AW46,AV46,AT46,AS46)</f>
        <v>6984.3</v>
      </c>
      <c r="AX85" s="215" t="n">
        <f aca="false">SUM(AX46,AW46,AV46,AT46)</f>
        <v>7013.7</v>
      </c>
      <c r="AY85" s="215" t="n">
        <f aca="false">SUM(AY46,AX46,AW46,AV46)</f>
        <v>7153.2</v>
      </c>
      <c r="AZ85" s="214" t="n">
        <f aca="false">AZ46</f>
        <v>7153.2</v>
      </c>
      <c r="BA85" s="215" t="n">
        <f aca="false">SUM(BA46,AY46,AX46,AW46)</f>
        <v>8619.7</v>
      </c>
      <c r="BB85" s="215" t="n">
        <f aca="false">SUM(BB46,BA46,AY46,AX46)</f>
        <v>9298.5</v>
      </c>
      <c r="BC85" s="215" t="n">
        <f aca="false">SUM(BC46,BB46,BA46,AY46)</f>
        <v>9599.7</v>
      </c>
      <c r="BD85" s="215" t="n">
        <f aca="false">SUM(BD46,BC46,BB46,BA46)</f>
        <v>9916.9</v>
      </c>
      <c r="BE85" s="214" t="n">
        <f aca="false">BE46</f>
        <v>9916.9</v>
      </c>
      <c r="BF85" s="215" t="n">
        <f aca="false">SUM(BF46,BD46,BC46,BB46)</f>
        <v>9148.9</v>
      </c>
      <c r="BG85" s="215" t="n">
        <f aca="false">SUM(BG46,BF46,BD46,BC46)</f>
        <v>8779.9</v>
      </c>
      <c r="BH85" s="215" t="n">
        <f aca="false">SUM(BH46,BG46,BF46,BD46)</f>
        <v>9110</v>
      </c>
      <c r="BI85" s="215" t="n">
        <f aca="false">SUM(BI46,BH46,BG46,BF46)</f>
        <v>10113.8</v>
      </c>
      <c r="BJ85" s="214" t="n">
        <f aca="false">BJ46</f>
        <v>10113.8</v>
      </c>
      <c r="BK85" s="215" t="n">
        <f aca="false">SUM(BK46,BI46,BH46,BG46)</f>
        <v>11507.4</v>
      </c>
      <c r="BL85" s="215" t="n">
        <f aca="false">SUM(BL46,BK46,BI46,BH46)</f>
        <v>12366.8</v>
      </c>
      <c r="BM85" s="215" t="n">
        <f aca="false">SUM(BM46,BL46,BK46,BI46)</f>
        <v>12437.3</v>
      </c>
      <c r="BN85" s="215" t="n">
        <f aca="false">SUM(BN46,BM46,BL46,BK46)</f>
        <v>12529.6</v>
      </c>
      <c r="BO85" s="218" t="n">
        <f aca="false">BO46</f>
        <v>12529.6</v>
      </c>
      <c r="BP85" s="215" t="n">
        <f aca="false">SUM(BP46,BN46,BM46,BL46)</f>
        <v>12790.6562422546</v>
      </c>
      <c r="BQ85" s="215" t="n">
        <f aca="false">SUM(BQ46,BP46,BN46,BM46)</f>
        <v>13636.1263360854</v>
      </c>
      <c r="BR85" s="215" t="n">
        <f aca="false">SUM(BR46,BQ46,BP46,BN46)</f>
        <v>14410.9932695868</v>
      </c>
      <c r="BS85" s="215" t="n">
        <f aca="false">SUM(BS46,BR46,BQ46,BP46)</f>
        <v>14603.0237978938</v>
      </c>
      <c r="BT85" s="214" t="n">
        <f aca="false">BT46</f>
        <v>14603.0237978938</v>
      </c>
      <c r="BU85" s="215" t="n">
        <f aca="false">SUM(BU46,BS46,BR46,BQ46)</f>
        <v>14739.7014303064</v>
      </c>
      <c r="BV85" s="215" t="n">
        <f aca="false">SUM(BV46,BU46,BS46,BR46)</f>
        <v>15428.6704961851</v>
      </c>
      <c r="BW85" s="215" t="n">
        <f aca="false">SUM(BW46,BV46,BU46,BS46)</f>
        <v>16027.8399835647</v>
      </c>
      <c r="BX85" s="215" t="n">
        <f aca="false">SUM(BX46,BW46,BV46,BU46)</f>
        <v>16302.3263651797</v>
      </c>
      <c r="BY85" s="214" t="n">
        <f aca="false">BY46</f>
        <v>16302.3263651797</v>
      </c>
      <c r="BZ85" s="214" t="n">
        <f aca="false">BZ46</f>
        <v>19666.0773204889</v>
      </c>
      <c r="CA85" s="214" t="n">
        <f aca="false">CA46</f>
        <v>20846.7398199122</v>
      </c>
      <c r="CB85" s="214" t="n">
        <f aca="false">CB46</f>
        <v>22123.7588659144</v>
      </c>
      <c r="CC85" s="374"/>
    </row>
    <row r="86" s="84" customFormat="true" ht="15" hidden="true" customHeight="true" outlineLevel="1" collapsed="false">
      <c r="A86" s="140" t="s">
        <v>818</v>
      </c>
      <c r="B86" s="374"/>
      <c r="C86" s="214" t="n">
        <f aca="false">C63</f>
        <v>99.194</v>
      </c>
      <c r="D86" s="214" t="n">
        <f aca="false">D63</f>
        <v>940.048</v>
      </c>
      <c r="E86" s="214" t="n">
        <f aca="false">E63</f>
        <v>2070.44</v>
      </c>
      <c r="F86" s="214" t="n">
        <f aca="false">F63</f>
        <v>703.478</v>
      </c>
      <c r="G86" s="214" t="n">
        <f aca="false">G63</f>
        <v>1054.173</v>
      </c>
      <c r="H86" s="215"/>
      <c r="I86" s="215"/>
      <c r="J86" s="215"/>
      <c r="K86" s="215" t="n">
        <f aca="false">SUM(K63,J63,I63,H63)</f>
        <v>1025.206</v>
      </c>
      <c r="L86" s="214" t="n">
        <f aca="false">L63</f>
        <v>1025.206</v>
      </c>
      <c r="M86" s="215" t="n">
        <f aca="false">SUM(M63,K63,J63,I63)</f>
        <v>1159.006</v>
      </c>
      <c r="N86" s="215" t="n">
        <f aca="false">SUM(N63,M63,K63,J63)</f>
        <v>1244.406</v>
      </c>
      <c r="O86" s="215" t="n">
        <f aca="false">SUM(O63,N63,M63,K63)</f>
        <v>1450.006</v>
      </c>
      <c r="P86" s="215" t="n">
        <f aca="false">SUM(P63,O63,N63,M63)</f>
        <v>2025.58</v>
      </c>
      <c r="Q86" s="214" t="n">
        <f aca="false">Q63</f>
        <v>2025.58</v>
      </c>
      <c r="R86" s="215" t="n">
        <f aca="false">SUM(R63,P63,O63,N63)</f>
        <v>1682.58</v>
      </c>
      <c r="S86" s="215" t="n">
        <f aca="false">SUM(S63,R63,P63,O63)</f>
        <v>1879.88</v>
      </c>
      <c r="T86" s="215" t="n">
        <f aca="false">SUM(T63,S63,R63,P63)</f>
        <v>1457.38</v>
      </c>
      <c r="U86" s="215" t="n">
        <f aca="false">SUM(U63,T63,S63,R63)</f>
        <v>1665.9</v>
      </c>
      <c r="V86" s="214" t="n">
        <f aca="false">V63</f>
        <v>1665.9</v>
      </c>
      <c r="W86" s="215" t="n">
        <f aca="false">SUM(W63,U63,T63,S63)</f>
        <v>1503.3</v>
      </c>
      <c r="X86" s="215" t="n">
        <f aca="false">SUM(X63,W63,U63,T63)</f>
        <v>1552.5</v>
      </c>
      <c r="Y86" s="215" t="n">
        <f aca="false">SUM(Y63,X63,W63,U63)</f>
        <v>1955.2</v>
      </c>
      <c r="Z86" s="215" t="n">
        <f aca="false">SUM(Z63,Y63,X63,W63)</f>
        <v>1798.6</v>
      </c>
      <c r="AA86" s="214" t="n">
        <f aca="false">AA63</f>
        <v>1798.6</v>
      </c>
      <c r="AB86" s="215" t="n">
        <f aca="false">SUM(AB63,Z63,Y63,X63)</f>
        <v>2158</v>
      </c>
      <c r="AC86" s="215" t="n">
        <f aca="false">SUM(AC63,AB63,Z63,Y63)</f>
        <v>2386.8</v>
      </c>
      <c r="AD86" s="215" t="n">
        <f aca="false">SUM(AD63,AC63,AB63,Z63)</f>
        <v>2479</v>
      </c>
      <c r="AE86" s="215" t="n">
        <f aca="false">SUM(AE63,AD63,AC63,AB63)</f>
        <v>3072.7</v>
      </c>
      <c r="AF86" s="214" t="n">
        <f aca="false">AF63</f>
        <v>3072.7</v>
      </c>
      <c r="AG86" s="215" t="n">
        <f aca="false">SUM(AG63,AE63,AD63,AC63)</f>
        <v>2400.9</v>
      </c>
      <c r="AH86" s="215" t="n">
        <f aca="false">SUM(AH63,AG63,AE63,AD63)</f>
        <v>1741.3</v>
      </c>
      <c r="AI86" s="215" t="n">
        <f aca="false">SUM(AI63,AH63,AG63,AE63)</f>
        <v>1318.5</v>
      </c>
      <c r="AJ86" s="215" t="n">
        <f aca="false">SUM(AJ63,AI63,AH63,AG63)</f>
        <v>3276.4</v>
      </c>
      <c r="AK86" s="214" t="n">
        <f aca="false">AK63</f>
        <v>3276.4</v>
      </c>
      <c r="AL86" s="215" t="n">
        <f aca="false">SUM(AL63,AJ63,AI63,AH63)</f>
        <v>3151.4</v>
      </c>
      <c r="AM86" s="215" t="n">
        <f aca="false">SUM(AM63,AL63,AJ63,AI63)</f>
        <v>3423.8</v>
      </c>
      <c r="AN86" s="215" t="n">
        <f aca="false">SUM(AN63,AM63,AL63,AJ63)</f>
        <v>3545.5</v>
      </c>
      <c r="AO86" s="215" t="n">
        <f aca="false">SUM(AO63,AN63,AM63,AL63)</f>
        <v>4627.6</v>
      </c>
      <c r="AP86" s="214" t="n">
        <f aca="false">AP63</f>
        <v>4627.6</v>
      </c>
      <c r="AQ86" s="215" t="n">
        <f aca="false">SUM(AQ63,AO63,AN63,AM63)</f>
        <v>4291.7</v>
      </c>
      <c r="AR86" s="215" t="n">
        <f aca="false">SUM(AR63,AQ63,AO63,AN63)</f>
        <v>7488.7</v>
      </c>
      <c r="AS86" s="215" t="n">
        <f aca="false">SUM(AS63,AR63,AQ63,AO63)</f>
        <v>9099.2</v>
      </c>
      <c r="AT86" s="215" t="n">
        <f aca="false">SUM(AT63,AS63,AR63,AQ63)</f>
        <v>10845.8</v>
      </c>
      <c r="AU86" s="214" t="n">
        <f aca="false">AU63</f>
        <v>10845.8</v>
      </c>
      <c r="AV86" s="215" t="n">
        <f aca="false">SUM(AV63,AT63,AS63,AR63)</f>
        <v>11201.4</v>
      </c>
      <c r="AW86" s="215" t="n">
        <f aca="false">SUM(AW63,AV63,AT63,AS63)</f>
        <v>10185.4</v>
      </c>
      <c r="AX86" s="215" t="n">
        <f aca="false">SUM(AX63,AW63,AV63,AT63)</f>
        <v>9553.3</v>
      </c>
      <c r="AY86" s="215" t="n">
        <f aca="false">SUM(AY63,AX63,AW63,AV63)</f>
        <v>8486.8</v>
      </c>
      <c r="AZ86" s="214" t="n">
        <f aca="false">AZ63</f>
        <v>8486.8</v>
      </c>
      <c r="BA86" s="215" t="n">
        <f aca="false">SUM(BA63,AY63,AX63,AW63)</f>
        <v>9806.5</v>
      </c>
      <c r="BB86" s="215" t="n">
        <f aca="false">SUM(BB63,BA63,AY63,AX63)</f>
        <v>7638.3</v>
      </c>
      <c r="BC86" s="215" t="n">
        <f aca="false">SUM(BC63,BB63,BA63,AY63)</f>
        <v>7596.9</v>
      </c>
      <c r="BD86" s="215" t="n">
        <f aca="false">SUM(BD63,BC63,BB63,BA63)</f>
        <v>5443.4</v>
      </c>
      <c r="BE86" s="214" t="n">
        <f aca="false">BE63</f>
        <v>5443.4</v>
      </c>
      <c r="BF86" s="215" t="n">
        <f aca="false">SUM(BF63,BD63,BC63,BB63)</f>
        <v>4457.9</v>
      </c>
      <c r="BG86" s="215" t="n">
        <f aca="false">SUM(BG63,BF63,BD63,BC63)</f>
        <v>4996.6</v>
      </c>
      <c r="BH86" s="215" t="n">
        <f aca="false">SUM(BH63,BG63,BF63,BD63)</f>
        <v>4818.4</v>
      </c>
      <c r="BI86" s="215" t="n">
        <f aca="false">SUM(BI63,BH63,BG63,BF63)</f>
        <v>11166.2</v>
      </c>
      <c r="BJ86" s="214" t="n">
        <f aca="false">BJ63</f>
        <v>11166.2</v>
      </c>
      <c r="BK86" s="215" t="n">
        <f aca="false">SUM(BK63,BI63,BH63,BG63)</f>
        <v>11359.5</v>
      </c>
      <c r="BL86" s="215" t="n">
        <f aca="false">SUM(BL63,BK63,BI63,BH63)</f>
        <v>11183.8</v>
      </c>
      <c r="BM86" s="215" t="n">
        <f aca="false">SUM(BM63,BL63,BK63,BI63)</f>
        <v>10793</v>
      </c>
      <c r="BN86" s="215" t="n">
        <f aca="false">SUM(BN63,BM63,BL63,BK63)</f>
        <v>12658.5</v>
      </c>
      <c r="BO86" s="218" t="n">
        <f aca="false">BO63</f>
        <v>12658.5</v>
      </c>
      <c r="BP86" s="215" t="n">
        <f aca="false">SUM(BP63,BN63,BM63,BL63)</f>
        <v>17449.4333108287</v>
      </c>
      <c r="BQ86" s="215" t="n">
        <f aca="false">SUM(BQ63,BP63,BN63,BM63)</f>
        <v>19636.7948498646</v>
      </c>
      <c r="BR86" s="215" t="n">
        <f aca="false">SUM(BR63,BQ63,BP63,BN63)</f>
        <v>22094.858731606</v>
      </c>
      <c r="BS86" s="215" t="n">
        <f aca="false">SUM(BS63,BR63,BQ63,BP63)</f>
        <v>12564.7103400303</v>
      </c>
      <c r="BT86" s="214" t="n">
        <f aca="false">BT63</f>
        <v>12564.7103400303</v>
      </c>
      <c r="BU86" s="215" t="n">
        <f aca="false">SUM(BU63,BS63,BR63,BQ63)</f>
        <v>12786.9413843551</v>
      </c>
      <c r="BV86" s="215" t="n">
        <f aca="false">SUM(BV63,BU63,BS63,BR63)</f>
        <v>13062.8782351295</v>
      </c>
      <c r="BW86" s="215" t="n">
        <f aca="false">SUM(BW63,BV63,BU63,BS63)</f>
        <v>13242.0672494151</v>
      </c>
      <c r="BX86" s="215" t="n">
        <f aca="false">SUM(BX63,BW63,BV63,BU63)</f>
        <v>13568.9528224304</v>
      </c>
      <c r="BY86" s="214" t="n">
        <f aca="false">BY63</f>
        <v>13568.9528224304</v>
      </c>
      <c r="BZ86" s="214" t="n">
        <f aca="false">BZ63</f>
        <v>17120.2624539768</v>
      </c>
      <c r="CA86" s="214" t="n">
        <f aca="false">CA63</f>
        <v>17066.5783974526</v>
      </c>
      <c r="CB86" s="214" t="n">
        <f aca="false">CB63</f>
        <v>18091.4160520722</v>
      </c>
      <c r="CC86" s="374"/>
    </row>
    <row r="87" customFormat="false" ht="15" hidden="false" customHeight="true" outlineLevel="0" collapsed="false">
      <c r="A87" s="252"/>
      <c r="B87" s="266"/>
      <c r="C87" s="267"/>
      <c r="D87" s="267"/>
      <c r="E87" s="267"/>
      <c r="F87" s="267"/>
      <c r="G87" s="267"/>
      <c r="H87" s="268"/>
      <c r="I87" s="268"/>
      <c r="J87" s="268"/>
      <c r="K87" s="268"/>
      <c r="L87" s="267"/>
      <c r="M87" s="268"/>
      <c r="N87" s="268"/>
      <c r="O87" s="268"/>
      <c r="P87" s="268"/>
      <c r="Q87" s="267"/>
      <c r="R87" s="268"/>
      <c r="S87" s="268"/>
      <c r="T87" s="268"/>
      <c r="U87" s="268"/>
      <c r="V87" s="267"/>
      <c r="W87" s="268"/>
      <c r="X87" s="268"/>
      <c r="Y87" s="268"/>
      <c r="Z87" s="268"/>
      <c r="AA87" s="267"/>
      <c r="AB87" s="268"/>
      <c r="AC87" s="268"/>
      <c r="AD87" s="268"/>
      <c r="AE87" s="268"/>
      <c r="AF87" s="267"/>
      <c r="AG87" s="268"/>
      <c r="AH87" s="268"/>
      <c r="AI87" s="268"/>
      <c r="AJ87" s="268"/>
      <c r="AK87" s="267"/>
      <c r="AL87" s="268"/>
      <c r="AM87" s="268"/>
      <c r="AN87" s="268"/>
      <c r="AO87" s="268"/>
      <c r="AP87" s="267"/>
      <c r="AQ87" s="268"/>
      <c r="AR87" s="268"/>
      <c r="AS87" s="268"/>
      <c r="AT87" s="268"/>
      <c r="AU87" s="267"/>
      <c r="AV87" s="268"/>
      <c r="AW87" s="268"/>
      <c r="AX87" s="268"/>
      <c r="AY87" s="268"/>
      <c r="AZ87" s="267"/>
      <c r="BA87" s="268"/>
      <c r="BB87" s="268"/>
      <c r="BC87" s="268"/>
      <c r="BD87" s="268"/>
      <c r="BE87" s="267"/>
      <c r="BF87" s="268"/>
      <c r="BG87" s="268"/>
      <c r="BH87" s="268"/>
      <c r="BI87" s="268"/>
      <c r="BJ87" s="267"/>
      <c r="BK87" s="268"/>
      <c r="BL87" s="268"/>
      <c r="BM87" s="268"/>
      <c r="BN87" s="268"/>
      <c r="BO87" s="269"/>
      <c r="BP87" s="268"/>
      <c r="BQ87" s="268"/>
      <c r="BR87" s="268"/>
      <c r="BS87" s="268"/>
      <c r="BT87" s="267"/>
      <c r="BU87" s="268"/>
      <c r="BV87" s="268"/>
      <c r="BW87" s="268"/>
      <c r="BX87" s="268"/>
      <c r="BY87" s="267"/>
      <c r="BZ87" s="267"/>
      <c r="CA87" s="267"/>
      <c r="CB87" s="267"/>
      <c r="CC87" s="268"/>
    </row>
    <row r="88" customFormat="false" ht="15" hidden="false" customHeight="true" outlineLevel="0" collapsed="false">
      <c r="A88" s="219" t="s">
        <v>819</v>
      </c>
      <c r="B88" s="716"/>
      <c r="C88" s="716"/>
      <c r="D88" s="716"/>
      <c r="E88" s="716"/>
      <c r="F88" s="716"/>
      <c r="G88" s="716"/>
      <c r="H88" s="716"/>
      <c r="I88" s="716"/>
      <c r="J88" s="716"/>
      <c r="K88" s="716"/>
      <c r="L88" s="716"/>
      <c r="M88" s="716"/>
      <c r="N88" s="716"/>
      <c r="O88" s="716"/>
      <c r="P88" s="716"/>
      <c r="Q88" s="716"/>
      <c r="R88" s="716"/>
      <c r="S88" s="716"/>
      <c r="T88" s="716"/>
      <c r="U88" s="716"/>
      <c r="V88" s="716"/>
      <c r="W88" s="716"/>
      <c r="X88" s="716"/>
      <c r="Y88" s="716"/>
      <c r="Z88" s="716"/>
      <c r="AA88" s="716"/>
      <c r="AB88" s="716"/>
      <c r="AC88" s="716"/>
      <c r="AD88" s="716"/>
      <c r="AE88" s="716"/>
      <c r="AF88" s="716"/>
      <c r="AG88" s="716"/>
      <c r="AH88" s="716"/>
      <c r="AI88" s="716"/>
      <c r="AJ88" s="716"/>
      <c r="AK88" s="716"/>
      <c r="AL88" s="716"/>
      <c r="AM88" s="716"/>
      <c r="AN88" s="716"/>
      <c r="AO88" s="716"/>
      <c r="AP88" s="716"/>
      <c r="AQ88" s="716"/>
      <c r="AR88" s="716"/>
      <c r="AS88" s="716"/>
      <c r="AT88" s="716"/>
      <c r="AU88" s="716"/>
      <c r="AV88" s="716"/>
      <c r="AW88" s="716"/>
      <c r="AX88" s="716"/>
      <c r="AY88" s="716"/>
      <c r="AZ88" s="716"/>
      <c r="BA88" s="716"/>
      <c r="BB88" s="716"/>
      <c r="BC88" s="716"/>
      <c r="BD88" s="716"/>
      <c r="BE88" s="716"/>
      <c r="BF88" s="716"/>
      <c r="BG88" s="716"/>
      <c r="BH88" s="716"/>
      <c r="BI88" s="716"/>
      <c r="BJ88" s="716"/>
      <c r="BK88" s="716"/>
      <c r="BL88" s="716"/>
      <c r="BM88" s="716"/>
      <c r="BN88" s="716"/>
      <c r="BO88" s="717"/>
      <c r="BP88" s="716"/>
      <c r="BQ88" s="716"/>
      <c r="BR88" s="716"/>
      <c r="BS88" s="716"/>
      <c r="BT88" s="716"/>
      <c r="BU88" s="716"/>
      <c r="BV88" s="716"/>
      <c r="BW88" s="716"/>
      <c r="BX88" s="716"/>
      <c r="BY88" s="716"/>
      <c r="BZ88" s="716"/>
      <c r="CA88" s="716"/>
      <c r="CB88" s="716"/>
      <c r="CC88" s="48"/>
    </row>
    <row r="89" customFormat="false" ht="15" hidden="true" customHeight="true" outlineLevel="1" collapsed="false">
      <c r="A89" s="145" t="s">
        <v>820</v>
      </c>
      <c r="B89" s="254"/>
      <c r="C89" s="214" t="n">
        <f aca="false">INDEX(SP_NGF_NI,0,COLUMN())</f>
        <v>-150.925</v>
      </c>
      <c r="D89" s="214" t="n">
        <f aca="false">INDEX(SP_NGF_NI,0,COLUMN())</f>
        <v>1021.82</v>
      </c>
      <c r="E89" s="214" t="n">
        <f aca="false">INDEX(SP_NGF_NI,0,COLUMN())</f>
        <v>1466.96</v>
      </c>
      <c r="F89" s="214" t="n">
        <f aca="false">INDEX(SP_NGF_NI,0,COLUMN())</f>
        <v>1146.316</v>
      </c>
      <c r="G89" s="214" t="n">
        <f aca="false">INDEX(SP_NGF_NI,0,COLUMN())</f>
        <v>1015.49</v>
      </c>
      <c r="H89" s="215" t="n">
        <f aca="false">INDEX(SP_NGF_NI,0,COLUMN())</f>
        <v>249.1</v>
      </c>
      <c r="I89" s="215" t="n">
        <f aca="false">INDEX(SP_NGF_NI,0,COLUMN())</f>
        <v>398.7</v>
      </c>
      <c r="J89" s="215" t="n">
        <f aca="false">INDEX(SP_NGF_NI,0,COLUMN())</f>
        <v>244</v>
      </c>
      <c r="K89" s="215" t="n">
        <f aca="false">INDEX(SP_NGF_NI,0,COLUMN())</f>
        <v>304.8</v>
      </c>
      <c r="L89" s="214" t="n">
        <f aca="false">INDEX(SP_NGF_NI,0,COLUMN())</f>
        <v>1196.64</v>
      </c>
      <c r="M89" s="215" t="n">
        <f aca="false">INDEX(SP_NGF_NI,0,COLUMN())</f>
        <v>402.7</v>
      </c>
      <c r="N89" s="215" t="n">
        <f aca="false">INDEX(SP_NGF_NI,0,COLUMN())</f>
        <v>369.7</v>
      </c>
      <c r="O89" s="215" t="n">
        <f aca="false">INDEX(SP_NGF_NI,0,COLUMN())</f>
        <v>322.4</v>
      </c>
      <c r="P89" s="215" t="n">
        <f aca="false">INDEX(SP_NGF_NI,0,COLUMN())</f>
        <v>292.4</v>
      </c>
      <c r="Q89" s="214" t="n">
        <f aca="false">INDEX(SP_NGF_NI,0,COLUMN())</f>
        <v>1387.174</v>
      </c>
      <c r="R89" s="215" t="n">
        <f aca="false">INDEX(SP_NGF_NI,0,COLUMN())</f>
        <v>198</v>
      </c>
      <c r="S89" s="215" t="n">
        <f aca="false">INDEX(SP_NGF_NI,0,COLUMN())</f>
        <v>353.8</v>
      </c>
      <c r="T89" s="215" t="n">
        <f aca="false">INDEX(SP_NGF_NI,0,COLUMN())</f>
        <v>395.9</v>
      </c>
      <c r="U89" s="215" t="n">
        <f aca="false">INDEX(SP_NGF_NI,0,COLUMN())</f>
        <v>524.2</v>
      </c>
      <c r="V89" s="214" t="n">
        <f aca="false">INDEX(SP_NGF_NI,0,COLUMN())</f>
        <v>1471.9</v>
      </c>
      <c r="W89" s="215" t="n">
        <f aca="false">INDEX(SP_NGF_NI,0,COLUMN())</f>
        <v>452.1</v>
      </c>
      <c r="X89" s="215" t="n">
        <f aca="false">INDEX(SP_NGF_NI,0,COLUMN())</f>
        <v>466.3</v>
      </c>
      <c r="Y89" s="215" t="n">
        <f aca="false">INDEX(SP_NGF_NI,0,COLUMN())</f>
        <v>557.1</v>
      </c>
      <c r="Z89" s="215" t="n">
        <f aca="false">INDEX(SP_NGF_NI,0,COLUMN())</f>
        <v>643</v>
      </c>
      <c r="AA89" s="214" t="n">
        <f aca="false">INDEX(SP_NGF_NI,0,COLUMN())</f>
        <v>2118.5</v>
      </c>
      <c r="AB89" s="215" t="n">
        <f aca="false">INDEX(SP_NGF_NI,0,COLUMN())</f>
        <v>539.7</v>
      </c>
      <c r="AC89" s="215" t="n">
        <f aca="false">INDEX(SP_NGF_NI,0,COLUMN())</f>
        <v>584</v>
      </c>
      <c r="AD89" s="215" t="n">
        <f aca="false">INDEX(SP_NGF_NI,0,COLUMN())</f>
        <v>680.4</v>
      </c>
      <c r="AE89" s="215" t="n">
        <f aca="false">INDEX(SP_NGF_NI,0,COLUMN())</f>
        <v>787.500000000001</v>
      </c>
      <c r="AF89" s="214" t="n">
        <f aca="false">INDEX(SP_NGF_NI,0,COLUMN())</f>
        <v>2591.6</v>
      </c>
      <c r="AG89" s="215" t="n">
        <f aca="false">INDEX(SP_NGF_NI,0,COLUMN())</f>
        <v>355.4</v>
      </c>
      <c r="AH89" s="215" t="n">
        <f aca="false">INDEX(SP_NGF_NI,0,COLUMN())</f>
        <v>476</v>
      </c>
      <c r="AI89" s="215" t="n">
        <f aca="false">INDEX(SP_NGF_NI,0,COLUMN())</f>
        <v>626.8</v>
      </c>
      <c r="AJ89" s="215" t="n">
        <f aca="false">INDEX(SP_NGF_NI,0,COLUMN())</f>
        <v>1134.1</v>
      </c>
      <c r="AK89" s="214" t="n">
        <f aca="false">INDEX(SP_NGF_NI,0,COLUMN())</f>
        <v>2592.3</v>
      </c>
      <c r="AL89" s="215" t="n">
        <f aca="false">INDEX(SP_NGF_NI,0,COLUMN())</f>
        <v>390.6</v>
      </c>
      <c r="AM89" s="215" t="n">
        <f aca="false">INDEX(SP_NGF_NI,0,COLUMN())</f>
        <v>751</v>
      </c>
      <c r="AN89" s="215" t="n">
        <f aca="false">INDEX(SP_NGF_NI,0,COLUMN())</f>
        <v>1061.5</v>
      </c>
      <c r="AO89" s="215" t="n">
        <f aca="false">INDEX(SP_NGF_NI,0,COLUMN())</f>
        <v>1350.6</v>
      </c>
      <c r="AP89" s="214" t="n">
        <f aca="false">INDEX(SP_NGF_NI,0,COLUMN())</f>
        <v>3553.7</v>
      </c>
      <c r="AQ89" s="215" t="n">
        <f aca="false">INDEX(SP_NGF_NI,0,COLUMN())</f>
        <v>1331.4</v>
      </c>
      <c r="AR89" s="215" t="n">
        <f aca="false">INDEX(SP_NGF_NI,0,COLUMN())</f>
        <v>1038.2</v>
      </c>
      <c r="AS89" s="215" t="n">
        <f aca="false">INDEX(SP_NGF_NI,0,COLUMN())</f>
        <v>1740.2</v>
      </c>
      <c r="AT89" s="215" t="n">
        <f aca="false">INDEX(SP_NGF_NI,0,COLUMN())</f>
        <v>1773.4</v>
      </c>
      <c r="AU89" s="214" t="n">
        <f aca="false">INDEX(SP_NGF_NI,0,COLUMN())</f>
        <v>5883.2</v>
      </c>
      <c r="AV89" s="215" t="n">
        <f aca="false">INDEX(SP_NGF_NI,0,COLUMN())</f>
        <v>695.3</v>
      </c>
      <c r="AW89" s="215" t="n">
        <f aca="false">INDEX(SP_NGF_NI,0,COLUMN())</f>
        <v>1410.9</v>
      </c>
      <c r="AX89" s="215" t="n">
        <f aca="false">INDEX(SP_NGF_NI,0,COLUMN())</f>
        <v>1701.5</v>
      </c>
      <c r="AY89" s="215" t="n">
        <f aca="false">INDEX(SP_NGF_NI,0,COLUMN())</f>
        <v>1816.5</v>
      </c>
      <c r="AZ89" s="214" t="n">
        <f aca="false">INDEX(SP_NGF_NI,0,COLUMN())</f>
        <v>5624.2</v>
      </c>
      <c r="BA89" s="215" t="n">
        <f aca="false">INDEX(SP_NGF_NI,0,COLUMN())</f>
        <v>1955.8</v>
      </c>
      <c r="BB89" s="215" t="n">
        <f aca="false">INDEX(SP_NGF_NI,0,COLUMN())</f>
        <v>1941.7</v>
      </c>
      <c r="BC89" s="215" t="n">
        <f aca="false">INDEX(SP_NGF_NI,0,COLUMN())</f>
        <v>1893.4</v>
      </c>
      <c r="BD89" s="215" t="n">
        <f aca="false">INDEX(SP_NGF_NI,0,COLUMN())</f>
        <v>2048.1</v>
      </c>
      <c r="BE89" s="214" t="n">
        <f aca="false">INDEX(SP_NGF_NI,0,COLUMN())</f>
        <v>7839</v>
      </c>
      <c r="BF89" s="215" t="n">
        <f aca="false">INDEX(SP_NGF_NI,0,COLUMN())</f>
        <v>1223.8</v>
      </c>
      <c r="BG89" s="215" t="n">
        <f aca="false">INDEX(SP_NGF_NI,0,COLUMN())</f>
        <v>1577.9</v>
      </c>
      <c r="BH89" s="215" t="n">
        <f aca="false">INDEX(SP_NGF_NI,0,COLUMN())</f>
        <v>2076.5</v>
      </c>
      <c r="BI89" s="215" t="n">
        <f aca="false">INDEX(SP_NGF_NI,0,COLUMN())</f>
        <v>2693.4</v>
      </c>
      <c r="BJ89" s="214" t="n">
        <f aca="false">INDEX(SP_NGF_NI,0,COLUMN())</f>
        <v>7571.6</v>
      </c>
      <c r="BK89" s="215" t="n">
        <f aca="false">INDEX(SP_NGF_NI,0,COLUMN())</f>
        <v>2355</v>
      </c>
      <c r="BL89" s="215" t="n">
        <f aca="false">INDEX(SP_NGF_NI,0,COLUMN())</f>
        <v>2290.3</v>
      </c>
      <c r="BM89" s="215" t="n">
        <f aca="false">INDEX(SP_NGF_NI,0,COLUMN())</f>
        <v>2124.5</v>
      </c>
      <c r="BN89" s="215" t="n">
        <f aca="false">INDEX(SP_NGF_NI,0,COLUMN())</f>
        <v>2839.6</v>
      </c>
      <c r="BO89" s="218" t="n">
        <f aca="false">INDEX(SP_NGF_NI,0,COLUMN())</f>
        <v>9609.4</v>
      </c>
      <c r="BP89" s="215" t="n">
        <f aca="false">INDEX(SP_NGF_NI,0,COLUMN())</f>
        <v>2444.60603974122</v>
      </c>
      <c r="BQ89" s="215" t="n">
        <f aca="false">INDEX(SP_NGF_NI,0,COLUMN())</f>
        <v>2888.23413957748</v>
      </c>
      <c r="BR89" s="215" t="n">
        <f aca="false">INDEX(SP_NGF_NI,0,COLUMN())</f>
        <v>2723.68903577873</v>
      </c>
      <c r="BS89" s="215" t="n">
        <f aca="false">INDEX(SP_NGF_NI,0,COLUMN())</f>
        <v>2973.43577238699</v>
      </c>
      <c r="BT89" s="214" t="n">
        <f aca="false">INDEX(SP_NGF_NI,0,COLUMN())</f>
        <v>11029.9649874844</v>
      </c>
      <c r="BU89" s="215" t="n">
        <f aca="false">INDEX(SP_NGF_NI,0,COLUMN())</f>
        <v>2606.64839285746</v>
      </c>
      <c r="BV89" s="215" t="n">
        <f aca="false">INDEX(SP_NGF_NI,0,COLUMN())</f>
        <v>3519.42685000929</v>
      </c>
      <c r="BW89" s="215" t="n">
        <f aca="false">INDEX(SP_NGF_NI,0,COLUMN())</f>
        <v>3281.80062837639</v>
      </c>
      <c r="BX89" s="215" t="n">
        <f aca="false">INDEX(SP_NGF_NI,0,COLUMN())</f>
        <v>3429.36816119764</v>
      </c>
      <c r="BY89" s="214" t="n">
        <f aca="false">INDEX(SP_NGF_NI,0,COLUMN())</f>
        <v>12837.2440324408</v>
      </c>
      <c r="BZ89" s="214" t="n">
        <f aca="false">INDEX(SP_NGF_NI,0,COLUMN())</f>
        <v>15488.4289204566</v>
      </c>
      <c r="CA89" s="214" t="n">
        <f aca="false">INDEX(SP_NGF_NI,0,COLUMN())</f>
        <v>16524.636711957</v>
      </c>
      <c r="CB89" s="214" t="n">
        <f aca="false">INDEX(SP_NGF_NI,0,COLUMN())</f>
        <v>17634.2994082968</v>
      </c>
      <c r="CC89" s="48"/>
    </row>
    <row r="90" customFormat="false" ht="15" hidden="true" customHeight="true" outlineLevel="1" collapsed="false">
      <c r="A90" s="145" t="s">
        <v>821</v>
      </c>
      <c r="B90" s="254"/>
      <c r="C90" s="214" t="n">
        <f aca="false">C89</f>
        <v>-150.925</v>
      </c>
      <c r="D90" s="214" t="n">
        <f aca="false">D89</f>
        <v>1021.82</v>
      </c>
      <c r="E90" s="214" t="n">
        <f aca="false">E89</f>
        <v>1466.96</v>
      </c>
      <c r="F90" s="214" t="n">
        <f aca="false">F89</f>
        <v>1146.316</v>
      </c>
      <c r="G90" s="214" t="n">
        <f aca="false">G89</f>
        <v>1015.49</v>
      </c>
      <c r="H90" s="215"/>
      <c r="I90" s="215"/>
      <c r="J90" s="215"/>
      <c r="K90" s="215" t="n">
        <f aca="false">SUM(K89,J89,I89,H89)</f>
        <v>1196.6</v>
      </c>
      <c r="L90" s="214" t="n">
        <f aca="false">L89</f>
        <v>1196.64</v>
      </c>
      <c r="M90" s="215" t="n">
        <f aca="false">SUM(M89,K89,J89,I89)</f>
        <v>1350.2</v>
      </c>
      <c r="N90" s="215" t="n">
        <f aca="false">SUM(N89,M89,K89,J89)</f>
        <v>1321.2</v>
      </c>
      <c r="O90" s="215" t="n">
        <f aca="false">SUM(O89,N89,M89,K89)</f>
        <v>1399.6</v>
      </c>
      <c r="P90" s="215" t="n">
        <f aca="false">SUM(P89,O89,N89,M89)</f>
        <v>1387.2</v>
      </c>
      <c r="Q90" s="214" t="n">
        <f aca="false">Q89</f>
        <v>1387.174</v>
      </c>
      <c r="R90" s="215" t="n">
        <f aca="false">SUM(R89,P89,O89,N89)</f>
        <v>1182.5</v>
      </c>
      <c r="S90" s="215" t="n">
        <f aca="false">SUM(S89,R89,P89,O89)</f>
        <v>1166.6</v>
      </c>
      <c r="T90" s="215" t="n">
        <f aca="false">SUM(T89,S89,R89,P89)</f>
        <v>1240.1</v>
      </c>
      <c r="U90" s="215" t="n">
        <f aca="false">SUM(U89,T89,S89,R89)</f>
        <v>1471.9</v>
      </c>
      <c r="V90" s="214" t="n">
        <f aca="false">V89</f>
        <v>1471.9</v>
      </c>
      <c r="W90" s="215" t="n">
        <f aca="false">SUM(W89,U89,T89,S89)</f>
        <v>1726</v>
      </c>
      <c r="X90" s="215" t="n">
        <f aca="false">SUM(X89,W89,U89,T89)</f>
        <v>1838.5</v>
      </c>
      <c r="Y90" s="215" t="n">
        <f aca="false">SUM(Y89,X89,W89,U89)</f>
        <v>1999.7</v>
      </c>
      <c r="Z90" s="215" t="n">
        <f aca="false">SUM(Z89,Y89,X89,W89)</f>
        <v>2118.5</v>
      </c>
      <c r="AA90" s="214" t="n">
        <f aca="false">AA89</f>
        <v>2118.5</v>
      </c>
      <c r="AB90" s="215" t="n">
        <f aca="false">SUM(AB89,Z89,Y89,X89)</f>
        <v>2206.1</v>
      </c>
      <c r="AC90" s="215" t="n">
        <f aca="false">SUM(AC89,AB89,Z89,Y89)</f>
        <v>2323.8</v>
      </c>
      <c r="AD90" s="215" t="n">
        <f aca="false">SUM(AD89,AC89,AB89,Z89)</f>
        <v>2447.1</v>
      </c>
      <c r="AE90" s="215" t="n">
        <f aca="false">SUM(AE89,AD89,AC89,AB89)</f>
        <v>2591.6</v>
      </c>
      <c r="AF90" s="214" t="n">
        <f aca="false">AF89</f>
        <v>2591.6</v>
      </c>
      <c r="AG90" s="215" t="n">
        <f aca="false">SUM(AG89,AE89,AD89,AC89)</f>
        <v>2407.3</v>
      </c>
      <c r="AH90" s="215" t="n">
        <f aca="false">SUM(AH89,AG89,AE89,AD89)</f>
        <v>2299.3</v>
      </c>
      <c r="AI90" s="215" t="n">
        <f aca="false">SUM(AI89,AH89,AG89,AE89)</f>
        <v>2245.7</v>
      </c>
      <c r="AJ90" s="215" t="n">
        <f aca="false">SUM(AJ89,AI89,AH89,AG89)</f>
        <v>2592.3</v>
      </c>
      <c r="AK90" s="214" t="n">
        <f aca="false">AK89</f>
        <v>2592.3</v>
      </c>
      <c r="AL90" s="215" t="n">
        <f aca="false">SUM(AL89,AJ89,AI89,AH89)</f>
        <v>2627.5</v>
      </c>
      <c r="AM90" s="215" t="n">
        <f aca="false">SUM(AM89,AL89,AJ89,AI89)</f>
        <v>2902.5</v>
      </c>
      <c r="AN90" s="215" t="n">
        <f aca="false">SUM(AN89,AM89,AL89,AJ89)</f>
        <v>3337.2</v>
      </c>
      <c r="AO90" s="215" t="n">
        <f aca="false">SUM(AO89,AN89,AM89,AL89)</f>
        <v>3553.7</v>
      </c>
      <c r="AP90" s="214" t="n">
        <f aca="false">AP89</f>
        <v>3553.7</v>
      </c>
      <c r="AQ90" s="215" t="n">
        <f aca="false">SUM(AQ89,AO89,AN89,AM89)</f>
        <v>4494.5</v>
      </c>
      <c r="AR90" s="215" t="n">
        <f aca="false">SUM(AR89,AQ89,AO89,AN89)</f>
        <v>4781.7</v>
      </c>
      <c r="AS90" s="215" t="n">
        <f aca="false">SUM(AS89,AR89,AQ89,AO89)</f>
        <v>5460.4</v>
      </c>
      <c r="AT90" s="215" t="n">
        <f aca="false">SUM(AT89,AS89,AR89,AQ89)</f>
        <v>5883.2</v>
      </c>
      <c r="AU90" s="214" t="n">
        <f aca="false">AU89</f>
        <v>5883.2</v>
      </c>
      <c r="AV90" s="215" t="n">
        <f aca="false">SUM(AV89,AT89,AS89,AR89)</f>
        <v>5247.1</v>
      </c>
      <c r="AW90" s="215" t="n">
        <f aca="false">SUM(AW89,AV89,AT89,AS89)</f>
        <v>5619.8</v>
      </c>
      <c r="AX90" s="215" t="n">
        <f aca="false">SUM(AX89,AW89,AV89,AT89)</f>
        <v>5581.1</v>
      </c>
      <c r="AY90" s="215" t="n">
        <f aca="false">SUM(AY89,AX89,AW89,AV89)</f>
        <v>5624.2</v>
      </c>
      <c r="AZ90" s="214" t="n">
        <f aca="false">AZ89</f>
        <v>5624.2</v>
      </c>
      <c r="BA90" s="215" t="n">
        <f aca="false">SUM(BA89,AY89,AX89,AW89)</f>
        <v>6884.7</v>
      </c>
      <c r="BB90" s="215" t="n">
        <f aca="false">SUM(BB89,BA89,AY89,AX89)</f>
        <v>7415.5</v>
      </c>
      <c r="BC90" s="215" t="n">
        <f aca="false">SUM(BC89,BB89,BA89,AY89)</f>
        <v>7607.4</v>
      </c>
      <c r="BD90" s="215" t="n">
        <f aca="false">SUM(BD89,BC89,BB89,BA89)</f>
        <v>7839</v>
      </c>
      <c r="BE90" s="214" t="n">
        <f aca="false">BE89</f>
        <v>7839</v>
      </c>
      <c r="BF90" s="215" t="n">
        <f aca="false">SUM(BF89,BD89,BC89,BB89)</f>
        <v>7107</v>
      </c>
      <c r="BG90" s="215" t="n">
        <f aca="false">SUM(BG89,BF89,BD89,BC89)</f>
        <v>6743.2</v>
      </c>
      <c r="BH90" s="215" t="n">
        <f aca="false">SUM(BH89,BG89,BF89,BD89)</f>
        <v>6926.3</v>
      </c>
      <c r="BI90" s="215" t="n">
        <f aca="false">SUM(BI89,BH89,BG89,BF89)</f>
        <v>7571.6</v>
      </c>
      <c r="BJ90" s="214" t="n">
        <f aca="false">BJ89</f>
        <v>7571.6</v>
      </c>
      <c r="BK90" s="215" t="n">
        <f aca="false">SUM(BK89,BI89,BH89,BG89)</f>
        <v>8702.8</v>
      </c>
      <c r="BL90" s="215" t="n">
        <f aca="false">SUM(BL89,BK89,BI89,BH89)</f>
        <v>9415.2</v>
      </c>
      <c r="BM90" s="215" t="n">
        <f aca="false">SUM(BM89,BL89,BK89,BI89)</f>
        <v>9463.2</v>
      </c>
      <c r="BN90" s="215" t="n">
        <f aca="false">SUM(BN89,BM89,BL89,BK89)</f>
        <v>9609.4</v>
      </c>
      <c r="BO90" s="218" t="n">
        <f aca="false">BO89</f>
        <v>9609.4</v>
      </c>
      <c r="BP90" s="215" t="n">
        <f aca="false">SUM(BP89,BN89,BM89,BL89)</f>
        <v>9699.00603974122</v>
      </c>
      <c r="BQ90" s="215" t="n">
        <f aca="false">SUM(BQ89,BP89,BN89,BM89)</f>
        <v>10296.9401793187</v>
      </c>
      <c r="BR90" s="215" t="n">
        <f aca="false">SUM(BR89,BQ89,BP89,BN89)</f>
        <v>10896.1292150974</v>
      </c>
      <c r="BS90" s="215" t="n">
        <f aca="false">SUM(BS89,BR89,BQ89,BP89)</f>
        <v>11029.9649874844</v>
      </c>
      <c r="BT90" s="214" t="n">
        <f aca="false">BT89</f>
        <v>11029.9649874844</v>
      </c>
      <c r="BU90" s="215" t="n">
        <f aca="false">SUM(BU89,BS89,BR89,BQ89)</f>
        <v>11192.0073406006</v>
      </c>
      <c r="BV90" s="215" t="n">
        <f aca="false">SUM(BV89,BU89,BS89,BR89)</f>
        <v>11823.2000510325</v>
      </c>
      <c r="BW90" s="215" t="n">
        <f aca="false">SUM(BW89,BV89,BU89,BS89)</f>
        <v>12381.3116436301</v>
      </c>
      <c r="BX90" s="215" t="n">
        <f aca="false">SUM(BX89,BW89,BV89,BU89)</f>
        <v>12837.2440324408</v>
      </c>
      <c r="BY90" s="214" t="n">
        <f aca="false">BY89</f>
        <v>12837.2440324408</v>
      </c>
      <c r="BZ90" s="214" t="n">
        <f aca="false">BZ89</f>
        <v>15488.4289204566</v>
      </c>
      <c r="CA90" s="214" t="n">
        <f aca="false">CA89</f>
        <v>16524.636711957</v>
      </c>
      <c r="CB90" s="214" t="n">
        <f aca="false">CB89</f>
        <v>17634.2994082968</v>
      </c>
      <c r="CC90" s="48"/>
    </row>
    <row r="91" customFormat="false" ht="15" hidden="true" customHeight="true" outlineLevel="1" collapsed="false">
      <c r="A91" s="145" t="s">
        <v>822</v>
      </c>
      <c r="B91" s="254"/>
      <c r="C91" s="214" t="n">
        <f aca="false">INDEX(MO_BS_SE,0,COLUMN())</f>
        <v>1774.768</v>
      </c>
      <c r="D91" s="214" t="n">
        <f aca="false">INDEX(MO_BS_SE,0,COLUMN())</f>
        <v>2773.908</v>
      </c>
      <c r="E91" s="214" t="n">
        <f aca="false">INDEX(MO_BS_SE,0,COLUMN())</f>
        <v>3444.154</v>
      </c>
      <c r="F91" s="214" t="n">
        <f aca="false">INDEX(MO_BS_SE,0,COLUMN())</f>
        <v>4066.893</v>
      </c>
      <c r="G91" s="214" t="n">
        <f aca="false">INDEX(MO_BS_SE,0,COLUMN())</f>
        <v>6922.427</v>
      </c>
      <c r="H91" s="215" t="n">
        <f aca="false">INDEX(MO_BS_SE,0,COLUMN())</f>
        <v>7056.9</v>
      </c>
      <c r="I91" s="215" t="n">
        <f aca="false">INDEX(MO_BS_SE,0,COLUMN())</f>
        <v>7080.4</v>
      </c>
      <c r="J91" s="215" t="n">
        <f aca="false">INDEX(MO_BS_SE,0,COLUMN())</f>
        <v>7324.1</v>
      </c>
      <c r="K91" s="215" t="n">
        <f aca="false">INDEX(MO_BS_SE,0,COLUMN())</f>
        <v>7512.59</v>
      </c>
      <c r="L91" s="214" t="n">
        <f aca="false">INDEX(MO_BS_SE,0,COLUMN())</f>
        <v>7512.59</v>
      </c>
      <c r="M91" s="215" t="n">
        <f aca="false">INDEX(MO_BS_SE,0,COLUMN())</f>
        <v>8076.8</v>
      </c>
      <c r="N91" s="215" t="n">
        <f aca="false">INDEX(MO_BS_SE,0,COLUMN())</f>
        <v>7962.6</v>
      </c>
      <c r="O91" s="215" t="n">
        <f aca="false">INDEX(MO_BS_SE,0,COLUMN())</f>
        <v>8144.9</v>
      </c>
      <c r="P91" s="215" t="n">
        <f aca="false">INDEX(MO_BS_SE,0,COLUMN())</f>
        <v>8388.831</v>
      </c>
      <c r="Q91" s="214" t="n">
        <f aca="false">INDEX(MO_BS_SE,0,COLUMN())</f>
        <v>8388.831</v>
      </c>
      <c r="R91" s="215" t="n">
        <f aca="false">INDEX(MO_BS_SE,0,COLUMN())</f>
        <v>8303.4</v>
      </c>
      <c r="S91" s="215" t="n">
        <f aca="false">INDEX(MO_BS_SE,0,COLUMN())</f>
        <v>8149.2</v>
      </c>
      <c r="T91" s="215" t="n">
        <f aca="false">INDEX(MO_BS_SE,0,COLUMN())</f>
        <v>8513.2</v>
      </c>
      <c r="U91" s="215" t="n">
        <f aca="false">INDEX(MO_BS_SE,0,COLUMN())</f>
        <v>9820.4</v>
      </c>
      <c r="V91" s="214" t="n">
        <f aca="false">INDEX(MO_BS_SE,0,COLUMN())</f>
        <v>9820.4</v>
      </c>
      <c r="W91" s="215" t="n">
        <f aca="false">INDEX(MO_BS_SE,0,COLUMN())</f>
        <v>10243</v>
      </c>
      <c r="X91" s="215" t="n">
        <f aca="false">INDEX(MO_BS_SE,0,COLUMN())</f>
        <v>10032.6</v>
      </c>
      <c r="Y91" s="215" t="n">
        <f aca="false">INDEX(MO_BS_SE,0,COLUMN())</f>
        <v>10346.8</v>
      </c>
      <c r="Z91" s="215" t="n">
        <f aca="false">INDEX(MO_BS_SE,0,COLUMN())</f>
        <v>10676.2</v>
      </c>
      <c r="AA91" s="214" t="n">
        <f aca="false">INDEX(MO_BS_SE,0,COLUMN())</f>
        <v>10676.2</v>
      </c>
      <c r="AB91" s="215" t="n">
        <f aca="false">INDEX(MO_BS_SE,0,COLUMN())</f>
        <v>11061.7</v>
      </c>
      <c r="AC91" s="215" t="n">
        <f aca="false">INDEX(MO_BS_SE,0,COLUMN())</f>
        <v>10822.2</v>
      </c>
      <c r="AD91" s="215" t="n">
        <f aca="false">INDEX(MO_BS_SE,0,COLUMN())</f>
        <v>11154</v>
      </c>
      <c r="AE91" s="215" t="n">
        <f aca="false">INDEX(MO_BS_SE,0,COLUMN())</f>
        <v>11641</v>
      </c>
      <c r="AF91" s="214" t="n">
        <f aca="false">INDEX(MO_BS_SE,0,COLUMN())</f>
        <v>11641</v>
      </c>
      <c r="AG91" s="215" t="n">
        <f aca="false">INDEX(MO_BS_SE,0,COLUMN())</f>
        <v>11965.7</v>
      </c>
      <c r="AH91" s="215" t="n">
        <f aca="false">INDEX(MO_BS_SE,0,COLUMN())</f>
        <v>11545.3</v>
      </c>
      <c r="AI91" s="215" t="n">
        <f aca="false">INDEX(MO_BS_SE,0,COLUMN())</f>
        <v>12071.1</v>
      </c>
      <c r="AJ91" s="215" t="n">
        <f aca="false">INDEX(MO_BS_SE,0,COLUMN())</f>
        <v>12592.2</v>
      </c>
      <c r="AK91" s="214" t="n">
        <f aca="false">INDEX(MO_BS_SE,0,COLUMN())</f>
        <v>12592.2</v>
      </c>
      <c r="AL91" s="215" t="n">
        <f aca="false">INDEX(MO_BS_SE,0,COLUMN())</f>
        <v>12525.2</v>
      </c>
      <c r="AM91" s="215" t="n">
        <f aca="false">INDEX(MO_BS_SE,0,COLUMN())</f>
        <v>12699.8</v>
      </c>
      <c r="AN91" s="215" t="n">
        <f aca="false">INDEX(MO_BS_SE,0,COLUMN())</f>
        <v>13742.5</v>
      </c>
      <c r="AO91" s="215" t="n">
        <f aca="false">INDEX(MO_BS_SE,0,COLUMN())</f>
        <v>13865.4</v>
      </c>
      <c r="AP91" s="214" t="n">
        <f aca="false">INDEX(MO_BS_SE,0,COLUMN())</f>
        <v>13865.4</v>
      </c>
      <c r="AQ91" s="215" t="n">
        <f aca="false">INDEX(MO_BS_SE,0,COLUMN())</f>
        <v>13628.9</v>
      </c>
      <c r="AR91" s="215" t="n">
        <f aca="false">INDEX(MO_BS_SE,0,COLUMN())</f>
        <v>12093.3</v>
      </c>
      <c r="AS91" s="215" t="n">
        <f aca="false">INDEX(MO_BS_SE,0,COLUMN())</f>
        <v>11502.4</v>
      </c>
      <c r="AT91" s="215" t="n">
        <f aca="false">INDEX(MO_BS_SE,0,COLUMN())</f>
        <v>10140.6</v>
      </c>
      <c r="AU91" s="214" t="n">
        <f aca="false">INDEX(MO_BS_SE,0,COLUMN())</f>
        <v>10140.6</v>
      </c>
      <c r="AV91" s="215" t="n">
        <f aca="false">INDEX(MO_BS_SE,0,COLUMN())</f>
        <v>8810.4</v>
      </c>
      <c r="AW91" s="215" t="n">
        <f aca="false">INDEX(MO_BS_SE,0,COLUMN())</f>
        <v>7648.6</v>
      </c>
      <c r="AX91" s="215" t="n">
        <f aca="false">INDEX(MO_BS_SE,0,COLUMN())</f>
        <v>7955.1</v>
      </c>
      <c r="AY91" s="215" t="n">
        <f aca="false">INDEX(MO_BS_SE,0,COLUMN())</f>
        <v>8810.8</v>
      </c>
      <c r="AZ91" s="214" t="n">
        <f aca="false">INDEX(MO_BS_SE,0,COLUMN())</f>
        <v>8810.8</v>
      </c>
      <c r="BA91" s="215" t="n">
        <f aca="false">INDEX(MO_BS_SE,0,COLUMN())</f>
        <v>9786.3</v>
      </c>
      <c r="BB91" s="215" t="n">
        <f aca="false">INDEX(MO_BS_SE,0,COLUMN())</f>
        <v>10604.9</v>
      </c>
      <c r="BC91" s="215" t="n">
        <f aca="false">INDEX(MO_BS_SE,0,COLUMN())</f>
        <v>11994.9</v>
      </c>
      <c r="BD91" s="215" t="n">
        <f aca="false">INDEX(MO_BS_SE,0,COLUMN())</f>
        <v>13452.4</v>
      </c>
      <c r="BE91" s="214" t="n">
        <f aca="false">INDEX(MO_BS_SE,0,COLUMN())</f>
        <v>13452.4</v>
      </c>
      <c r="BF91" s="215" t="n">
        <f aca="false">INDEX(MO_BS_SE,0,COLUMN())</f>
        <v>13794.1</v>
      </c>
      <c r="BG91" s="215" t="n">
        <f aca="false">INDEX(MO_BS_SE,0,COLUMN())</f>
        <v>14711.2</v>
      </c>
      <c r="BH91" s="215" t="n">
        <f aca="false">INDEX(MO_BS_SE,0,COLUMN())</f>
        <v>16151.6</v>
      </c>
      <c r="BI91" s="215" t="n">
        <f aca="false">INDEX(MO_BS_SE,0,COLUMN())</f>
        <v>18476.8</v>
      </c>
      <c r="BJ91" s="214" t="n">
        <f aca="false">INDEX(MO_BS_SE,0,COLUMN())</f>
        <v>18476.8</v>
      </c>
      <c r="BK91" s="215" t="n">
        <f aca="false">INDEX(MO_BS_SE,0,COLUMN())</f>
        <v>17500.7</v>
      </c>
      <c r="BL91" s="215" t="n">
        <f aca="false">INDEX(MO_BS_SE,0,COLUMN())</f>
        <v>17618.2</v>
      </c>
      <c r="BM91" s="215" t="n">
        <f aca="false">INDEX(MO_BS_SE,0,COLUMN())</f>
        <v>18993.5</v>
      </c>
      <c r="BN91" s="215" t="n">
        <f aca="false">INDEX(MO_BS_SE,0,COLUMN())</f>
        <v>19612.2</v>
      </c>
      <c r="BO91" s="218" t="n">
        <f aca="false">INDEX(MO_BS_SE,0,COLUMN())</f>
        <v>19612.2</v>
      </c>
      <c r="BP91" s="215" t="n">
        <f aca="false">INDEX(MO_BS_SE,0,COLUMN())</f>
        <v>21460.9435499689</v>
      </c>
      <c r="BQ91" s="215" t="n">
        <f aca="false">INDEX(MO_BS_SE,0,COLUMN())</f>
        <v>23660.8208293173</v>
      </c>
      <c r="BR91" s="215" t="n">
        <f aca="false">INDEX(MO_BS_SE,0,COLUMN())</f>
        <v>25790.8916905494</v>
      </c>
      <c r="BS91" s="215" t="n">
        <f aca="false">INDEX(MO_BS_SE,0,COLUMN())</f>
        <v>28172.7574093387</v>
      </c>
      <c r="BT91" s="214" t="n">
        <f aca="false">INDEX(MO_BS_SE,0,COLUMN())</f>
        <v>28172.7574093387</v>
      </c>
      <c r="BU91" s="215" t="n">
        <f aca="false">INDEX(MO_BS_SE,0,COLUMN())</f>
        <v>30184.2040983377</v>
      </c>
      <c r="BV91" s="215" t="n">
        <f aca="false">INDEX(MO_BS_SE,0,COLUMN())</f>
        <v>33015.5082328439</v>
      </c>
      <c r="BW91" s="215" t="n">
        <f aca="false">INDEX(MO_BS_SE,0,COLUMN())</f>
        <v>35705.1717042762</v>
      </c>
      <c r="BX91" s="215" t="n">
        <f aca="false">INDEX(MO_BS_SE,0,COLUMN())</f>
        <v>38544.6304956226</v>
      </c>
      <c r="BY91" s="214" t="n">
        <f aca="false">INDEX(MO_BS_SE,0,COLUMN())</f>
        <v>38544.6304956226</v>
      </c>
      <c r="BZ91" s="214" t="n">
        <f aca="false">INDEX(MO_BS_SE,0,COLUMN())</f>
        <v>51590.4705102626</v>
      </c>
      <c r="CA91" s="214" t="n">
        <f aca="false">INDEX(MO_BS_SE,0,COLUMN())</f>
        <v>65678.5806621139</v>
      </c>
      <c r="CB91" s="214" t="n">
        <f aca="false">INDEX(MO_BS_SE,0,COLUMN())</f>
        <v>80882.8481526917</v>
      </c>
      <c r="CC91" s="48"/>
    </row>
    <row r="92" customFormat="false" ht="15" hidden="true" customHeight="true" outlineLevel="1" collapsed="false">
      <c r="A92" s="145" t="s">
        <v>823</v>
      </c>
      <c r="B92" s="254"/>
      <c r="C92" s="214" t="n">
        <f aca="false">C91</f>
        <v>1774.768</v>
      </c>
      <c r="D92" s="214" t="n">
        <f aca="false">AVERAGE(D91,C91)</f>
        <v>2274.338</v>
      </c>
      <c r="E92" s="214" t="n">
        <f aca="false">AVERAGE(E91,D91)</f>
        <v>3109.031</v>
      </c>
      <c r="F92" s="214" t="n">
        <f aca="false">AVERAGE(F91,E91)</f>
        <v>3755.5235</v>
      </c>
      <c r="G92" s="214" t="n">
        <f aca="false">AVERAGE(G91,F91)</f>
        <v>5494.66</v>
      </c>
      <c r="H92" s="215"/>
      <c r="I92" s="215"/>
      <c r="J92" s="215"/>
      <c r="K92" s="215" t="n">
        <f aca="false">AVERAGE(K91,J91,I91,H91)</f>
        <v>7243.4975</v>
      </c>
      <c r="L92" s="214" t="n">
        <f aca="false">AVERAGE(L91,G91)</f>
        <v>7217.5085</v>
      </c>
      <c r="M92" s="215" t="n">
        <f aca="false">AVERAGE(M91,K91,J91,I91)</f>
        <v>7498.4725</v>
      </c>
      <c r="N92" s="215" t="n">
        <f aca="false">AVERAGE(N91,M91,K91,J91)</f>
        <v>7719.0225</v>
      </c>
      <c r="O92" s="215" t="n">
        <f aca="false">AVERAGE(O91,N91,M91,K91)</f>
        <v>7924.2225</v>
      </c>
      <c r="P92" s="215" t="n">
        <f aca="false">AVERAGE(P91,O91,N91,M91)</f>
        <v>8143.28275</v>
      </c>
      <c r="Q92" s="214" t="n">
        <f aca="false">AVERAGE(Q91,L91)</f>
        <v>7950.7105</v>
      </c>
      <c r="R92" s="215" t="n">
        <f aca="false">AVERAGE(R91,P91,O91,N91)</f>
        <v>8199.93275</v>
      </c>
      <c r="S92" s="215" t="n">
        <f aca="false">AVERAGE(S91,R91,P91,O91)</f>
        <v>8246.58275</v>
      </c>
      <c r="T92" s="215" t="n">
        <f aca="false">AVERAGE(T91,S91,R91,P91)</f>
        <v>8338.65775</v>
      </c>
      <c r="U92" s="215" t="n">
        <f aca="false">AVERAGE(U91,T91,S91,R91)</f>
        <v>8696.55</v>
      </c>
      <c r="V92" s="214" t="n">
        <f aca="false">AVERAGE(V91,Q91)</f>
        <v>9104.6155</v>
      </c>
      <c r="W92" s="215" t="n">
        <f aca="false">AVERAGE(W91,U91,T91,S91)</f>
        <v>9181.45</v>
      </c>
      <c r="X92" s="215" t="n">
        <f aca="false">AVERAGE(X91,W91,U91,T91)</f>
        <v>9652.3</v>
      </c>
      <c r="Y92" s="215" t="n">
        <f aca="false">AVERAGE(Y91,X91,W91,U91)</f>
        <v>10110.7</v>
      </c>
      <c r="Z92" s="215" t="n">
        <f aca="false">AVERAGE(Z91,Y91,X91,W91)</f>
        <v>10324.65</v>
      </c>
      <c r="AA92" s="214" t="n">
        <f aca="false">AVERAGE(AA91,V91)</f>
        <v>10248.3</v>
      </c>
      <c r="AB92" s="215" t="n">
        <f aca="false">AVERAGE(AB91,Z91,Y91,X91)</f>
        <v>10529.325</v>
      </c>
      <c r="AC92" s="215" t="n">
        <f aca="false">AVERAGE(AC91,AB91,Z91,Y91)</f>
        <v>10726.725</v>
      </c>
      <c r="AD92" s="215" t="n">
        <f aca="false">AVERAGE(AD91,AC91,AB91,Z91)</f>
        <v>10928.525</v>
      </c>
      <c r="AE92" s="215" t="n">
        <f aca="false">AVERAGE(AE91,AD91,AC91,AB91)</f>
        <v>11169.725</v>
      </c>
      <c r="AF92" s="214" t="n">
        <f aca="false">AVERAGE(AF91,AA91)</f>
        <v>11158.6</v>
      </c>
      <c r="AG92" s="215" t="n">
        <f aca="false">AVERAGE(AG91,AE91,AD91,AC91)</f>
        <v>11395.725</v>
      </c>
      <c r="AH92" s="215" t="n">
        <f aca="false">AVERAGE(AH91,AG91,AE91,AD91)</f>
        <v>11576.5</v>
      </c>
      <c r="AI92" s="215" t="n">
        <f aca="false">AVERAGE(AI91,AH91,AG91,AE91)</f>
        <v>11805.775</v>
      </c>
      <c r="AJ92" s="215" t="n">
        <f aca="false">AVERAGE(AJ91,AI91,AH91,AG91)</f>
        <v>12043.575</v>
      </c>
      <c r="AK92" s="214" t="n">
        <f aca="false">AVERAGE(AK91,AF91)</f>
        <v>12116.6</v>
      </c>
      <c r="AL92" s="215" t="n">
        <f aca="false">AVERAGE(AL91,AJ91,AI91,AH91)</f>
        <v>12183.45</v>
      </c>
      <c r="AM92" s="215" t="n">
        <f aca="false">AVERAGE(AM91,AL91,AJ91,AI91)</f>
        <v>12472.075</v>
      </c>
      <c r="AN92" s="215" t="n">
        <f aca="false">AVERAGE(AN91,AM91,AL91,AJ91)</f>
        <v>12889.925</v>
      </c>
      <c r="AO92" s="215" t="n">
        <f aca="false">AVERAGE(AO91,AN91,AM91,AL91)</f>
        <v>13208.225</v>
      </c>
      <c r="AP92" s="214" t="n">
        <f aca="false">AVERAGE(AP91,AK91)</f>
        <v>13228.8</v>
      </c>
      <c r="AQ92" s="215" t="n">
        <f aca="false">AVERAGE(AQ91,AO91,AN91,AM91)</f>
        <v>13484.15</v>
      </c>
      <c r="AR92" s="215" t="n">
        <f aca="false">AVERAGE(AR91,AQ91,AO91,AN91)</f>
        <v>13332.525</v>
      </c>
      <c r="AS92" s="215" t="n">
        <f aca="false">AVERAGE(AS91,AR91,AQ91,AO91)</f>
        <v>12772.5</v>
      </c>
      <c r="AT92" s="215" t="n">
        <f aca="false">AVERAGE(AT91,AS91,AR91,AQ91)</f>
        <v>11841.3</v>
      </c>
      <c r="AU92" s="214" t="n">
        <f aca="false">AVERAGE(AU91,AP91)</f>
        <v>12003</v>
      </c>
      <c r="AV92" s="215" t="n">
        <f aca="false">AVERAGE(AV91,AT91,AS91,AR91)</f>
        <v>10636.675</v>
      </c>
      <c r="AW92" s="215" t="n">
        <f aca="false">AVERAGE(AW91,AV91,AT91,AS91)</f>
        <v>9525.5</v>
      </c>
      <c r="AX92" s="215" t="n">
        <f aca="false">AVERAGE(AX91,AW91,AV91,AT91)</f>
        <v>8638.675</v>
      </c>
      <c r="AY92" s="215" t="n">
        <f aca="false">AVERAGE(AY91,AX91,AW91,AV91)</f>
        <v>8306.225</v>
      </c>
      <c r="AZ92" s="214" t="n">
        <f aca="false">AVERAGE(AZ91,AU91)</f>
        <v>9475.7</v>
      </c>
      <c r="BA92" s="215" t="n">
        <f aca="false">AVERAGE(BA91,AY91,AX91,AW91)</f>
        <v>8550.2</v>
      </c>
      <c r="BB92" s="215" t="n">
        <f aca="false">AVERAGE(BB91,BA91,AY91,AX91)</f>
        <v>9289.275</v>
      </c>
      <c r="BC92" s="215" t="n">
        <f aca="false">AVERAGE(BC91,BB91,BA91,AY91)</f>
        <v>10299.225</v>
      </c>
      <c r="BD92" s="215" t="n">
        <f aca="false">AVERAGE(BD91,BC91,BB91,BA91)</f>
        <v>11459.625</v>
      </c>
      <c r="BE92" s="214" t="n">
        <f aca="false">AVERAGE(BE91,AZ91)</f>
        <v>11131.6</v>
      </c>
      <c r="BF92" s="215" t="n">
        <f aca="false">AVERAGE(BF91,BD91,BC91,BB91)</f>
        <v>12461.575</v>
      </c>
      <c r="BG92" s="215" t="n">
        <f aca="false">AVERAGE(BG91,BF91,BD91,BC91)</f>
        <v>13488.15</v>
      </c>
      <c r="BH92" s="215" t="n">
        <f aca="false">AVERAGE(BH91,BG91,BF91,BD91)</f>
        <v>14527.325</v>
      </c>
      <c r="BI92" s="215" t="n">
        <f aca="false">AVERAGE(BI91,BH91,BG91,BF91)</f>
        <v>15783.425</v>
      </c>
      <c r="BJ92" s="214" t="n">
        <f aca="false">AVERAGE(BJ91,BE91)</f>
        <v>15964.6</v>
      </c>
      <c r="BK92" s="215" t="n">
        <f aca="false">AVERAGE(BK91,BI91,BH91,BG91)</f>
        <v>16710.075</v>
      </c>
      <c r="BL92" s="215" t="n">
        <f aca="false">AVERAGE(BL91,BK91,BI91,BH91)</f>
        <v>17436.825</v>
      </c>
      <c r="BM92" s="215" t="n">
        <f aca="false">AVERAGE(BM91,BL91,BK91,BI91)</f>
        <v>18147.3</v>
      </c>
      <c r="BN92" s="215" t="n">
        <f aca="false">AVERAGE(BN91,BM91,BL91,BK91)</f>
        <v>18431.15</v>
      </c>
      <c r="BO92" s="218" t="n">
        <f aca="false">AVERAGE(BO91,BJ91)</f>
        <v>19044.5</v>
      </c>
      <c r="BP92" s="215" t="n">
        <f aca="false">AVERAGE(BP91,BN91,BM91,BL91)</f>
        <v>19421.2108874922</v>
      </c>
      <c r="BQ92" s="215" t="n">
        <f aca="false">AVERAGE(BQ91,BP91,BN91,BM91)</f>
        <v>20931.8660948215</v>
      </c>
      <c r="BR92" s="215" t="n">
        <f aca="false">AVERAGE(BR91,BQ91,BP91,BN91)</f>
        <v>22631.2140174589</v>
      </c>
      <c r="BS92" s="215" t="n">
        <f aca="false">AVERAGE(BS91,BR91,BQ91,BP91)</f>
        <v>24771.3533697936</v>
      </c>
      <c r="BT92" s="214" t="n">
        <f aca="false">AVERAGE(BT91,BO91)</f>
        <v>23892.4787046694</v>
      </c>
      <c r="BU92" s="215" t="n">
        <f aca="false">AVERAGE(BU91,BS91,BR91,BQ91)</f>
        <v>26952.1685068858</v>
      </c>
      <c r="BV92" s="215" t="n">
        <f aca="false">AVERAGE(BV91,BU91,BS91,BR91)</f>
        <v>29290.8403577674</v>
      </c>
      <c r="BW92" s="215" t="n">
        <f aca="false">AVERAGE(BW91,BV91,BU91,BS91)</f>
        <v>31769.4103611991</v>
      </c>
      <c r="BX92" s="215" t="n">
        <f aca="false">AVERAGE(BX91,BW91,BV91,BU91)</f>
        <v>34362.3786327701</v>
      </c>
      <c r="BY92" s="214" t="n">
        <f aca="false">AVERAGE(BY91,BT91)</f>
        <v>33358.6939524807</v>
      </c>
      <c r="BZ92" s="214" t="n">
        <f aca="false">AVERAGE(BZ91,BY91)</f>
        <v>45067.5505029426</v>
      </c>
      <c r="CA92" s="214" t="n">
        <f aca="false">AVERAGE(CA91,BZ91)</f>
        <v>58634.5255861882</v>
      </c>
      <c r="CB92" s="214" t="n">
        <f aca="false">AVERAGE(CB91,CA91)</f>
        <v>73280.7144074028</v>
      </c>
      <c r="CC92" s="48"/>
    </row>
    <row r="93" s="84" customFormat="true" ht="15" hidden="false" customHeight="true" outlineLevel="0" collapsed="false">
      <c r="A93" s="140" t="s">
        <v>824</v>
      </c>
      <c r="B93" s="374"/>
      <c r="C93" s="142" t="n">
        <f aca="false">IF(C92&lt;0,"NMF",IF(ABS(C90/C92)&gt;1,"NMF",C90/C92))</f>
        <v>-0.0850392840078254</v>
      </c>
      <c r="D93" s="142" t="n">
        <f aca="false">IF(D92&lt;0,"NMF",IF(ABS(D90/D92)&gt;1,"NMF",D90/D92))</f>
        <v>0.449282384588395</v>
      </c>
      <c r="E93" s="142" t="n">
        <f aca="false">IF(E92&lt;0,"NMF",IF(ABS(E90/E92)&gt;1,"NMF",E90/E92))</f>
        <v>0.471838331621653</v>
      </c>
      <c r="F93" s="142" t="n">
        <f aca="false">IF(F92&lt;0,"NMF",IF(ABS(F90/F92)&gt;1,"NMF",F90/F92))</f>
        <v>0.3052346763374</v>
      </c>
      <c r="G93" s="142" t="n">
        <f aca="false">IF(G92&lt;0,"NMF",IF(ABS(G90/G92)&gt;1,"NMF",G90/G92))</f>
        <v>0.184813983030797</v>
      </c>
      <c r="H93" s="143"/>
      <c r="I93" s="143"/>
      <c r="J93" s="143"/>
      <c r="K93" s="143" t="n">
        <f aca="false">IF(K92&lt;0,"NMF",IF(ABS(K90/K92)&gt;1,"NMF",K90/K92))</f>
        <v>0.165196439979444</v>
      </c>
      <c r="L93" s="142" t="n">
        <f aca="false">IF(L92&lt;0,"NMF",IF(ABS(L90/L92)&gt;1,"NMF",L90/L92))</f>
        <v>0.165796825871421</v>
      </c>
      <c r="M93" s="143" t="n">
        <f aca="false">IF(M92&lt;0,"NMF",IF(ABS(M90/M92)&gt;1,"NMF",M90/M92))</f>
        <v>0.180063339566825</v>
      </c>
      <c r="N93" s="143" t="n">
        <f aca="false">IF(N92&lt;0,"NMF",IF(ABS(N90/N92)&gt;1,"NMF",N90/N92))</f>
        <v>0.171161568708991</v>
      </c>
      <c r="O93" s="143" t="n">
        <f aca="false">IF(O92&lt;0,"NMF",IF(ABS(O90/O92)&gt;1,"NMF",O90/O92))</f>
        <v>0.176623006231842</v>
      </c>
      <c r="P93" s="143" t="n">
        <f aca="false">IF(P92&lt;0,"NMF",IF(ABS(P90/P92)&gt;1,"NMF",P90/P92))</f>
        <v>0.170348991013483</v>
      </c>
      <c r="Q93" s="142" t="n">
        <f aca="false">IF(Q92&lt;0,"NMF",IF(ABS(Q90/Q92)&gt;1,"NMF",Q90/Q92))</f>
        <v>0.174471702874856</v>
      </c>
      <c r="R93" s="143" t="n">
        <f aca="false">IF(R92&lt;0,"NMF",IF(ABS(R90/R92)&gt;1,"NMF",R90/R92))</f>
        <v>0.144208499758733</v>
      </c>
      <c r="S93" s="143" t="n">
        <f aca="false">IF(S92&lt;0,"NMF",IF(ABS(S90/S92)&gt;1,"NMF",S90/S92))</f>
        <v>0.141464656981706</v>
      </c>
      <c r="T93" s="143" t="n">
        <f aca="false">IF(T92&lt;0,"NMF",IF(ABS(T90/T92)&gt;1,"NMF",T90/T92))</f>
        <v>0.148716980259803</v>
      </c>
      <c r="U93" s="143" t="n">
        <f aca="false">IF(U92&lt;0,"NMF",IF(ABS(U90/U92)&gt;1,"NMF",U90/U92))</f>
        <v>0.169251024831686</v>
      </c>
      <c r="V93" s="142" t="n">
        <f aca="false">IF(V92&lt;0,"NMF",IF(ABS(V90/V92)&gt;1,"NMF",V90/V92))</f>
        <v>0.161665256484472</v>
      </c>
      <c r="W93" s="143" t="n">
        <f aca="false">IF(W92&lt;0,"NMF",IF(ABS(W90/W92)&gt;1,"NMF",W90/W92))</f>
        <v>0.187987736141895</v>
      </c>
      <c r="X93" s="143" t="n">
        <f aca="false">IF(X92&lt;0,"NMF",IF(ABS(X90/X92)&gt;1,"NMF",X90/X92))</f>
        <v>0.190472737067849</v>
      </c>
      <c r="Y93" s="143" t="n">
        <f aca="false">IF(Y92&lt;0,"NMF",IF(ABS(Y90/Y92)&gt;1,"NMF",Y90/Y92))</f>
        <v>0.197780569100062</v>
      </c>
      <c r="Z93" s="143" t="n">
        <f aca="false">IF(Z92&lt;0,"NMF",IF(ABS(Z90/Z92)&gt;1,"NMF",Z90/Z92))</f>
        <v>0.205188553607144</v>
      </c>
      <c r="AA93" s="142" t="n">
        <f aca="false">IF(AA92&lt;0,"NMF",IF(ABS(AA90/AA92)&gt;1,"NMF",AA90/AA92))</f>
        <v>0.2067172116351</v>
      </c>
      <c r="AB93" s="143" t="n">
        <f aca="false">IF(AB92&lt;0,"NMF",IF(ABS(AB90/AB92)&gt;1,"NMF",AB90/AB92))</f>
        <v>0.209519603583326</v>
      </c>
      <c r="AC93" s="143" t="n">
        <f aca="false">IF(AC92&lt;0,"NMF",IF(ABS(AC90/AC92)&gt;1,"NMF",AC90/AC92))</f>
        <v>0.216636485040868</v>
      </c>
      <c r="AD93" s="143" t="n">
        <f aca="false">IF(AD92&lt;0,"NMF",IF(ABS(AD90/AD92)&gt;1,"NMF",AD90/AD92))</f>
        <v>0.223918598346986</v>
      </c>
      <c r="AE93" s="143" t="n">
        <f aca="false">IF(AE92&lt;0,"NMF",IF(ABS(AE90/AE92)&gt;1,"NMF",AE90/AE92))</f>
        <v>0.23202003630349</v>
      </c>
      <c r="AF93" s="142" t="n">
        <f aca="false">IF(AF92&lt;0,"NMF",IF(ABS(AF90/AF92)&gt;1,"NMF",AF90/AF92))</f>
        <v>0.232251357697202</v>
      </c>
      <c r="AG93" s="143" t="n">
        <f aca="false">IF(AG92&lt;0,"NMF",IF(ABS(AG90/AG92)&gt;1,"NMF",AG90/AG92))</f>
        <v>0.211245883873119</v>
      </c>
      <c r="AH93" s="143" t="n">
        <f aca="false">IF(AH92&lt;0,"NMF",IF(ABS(AH90/AH92)&gt;1,"NMF",AH90/AH92))</f>
        <v>0.198617889690321</v>
      </c>
      <c r="AI93" s="143" t="n">
        <f aca="false">IF(AI92&lt;0,"NMF",IF(ABS(AI90/AI92)&gt;1,"NMF",AI90/AI92))</f>
        <v>0.190220464137255</v>
      </c>
      <c r="AJ93" s="143" t="n">
        <f aca="false">IF(AJ92&lt;0,"NMF",IF(ABS(AJ90/AJ92)&gt;1,"NMF",AJ90/AJ92))</f>
        <v>0.215243397413144</v>
      </c>
      <c r="AK93" s="142" t="n">
        <f aca="false">IF(AK92&lt;0,"NMF",IF(ABS(AK90/AK92)&gt;1,"NMF",AK90/AK92))</f>
        <v>0.213946156512553</v>
      </c>
      <c r="AL93" s="143" t="n">
        <f aca="false">IF(AL92&lt;0,"NMF",IF(ABS(AL90/AL92)&gt;1,"NMF",AL90/AL92))</f>
        <v>0.215661409535066</v>
      </c>
      <c r="AM93" s="143" t="n">
        <f aca="false">IF(AM92&lt;0,"NMF",IF(ABS(AM90/AM92)&gt;1,"NMF",AM90/AM92))</f>
        <v>0.232719896248219</v>
      </c>
      <c r="AN93" s="143" t="n">
        <f aca="false">IF(AN92&lt;0,"NMF",IF(ABS(AN90/AN92)&gt;1,"NMF",AN90/AN92))</f>
        <v>0.258899877229697</v>
      </c>
      <c r="AO93" s="143" t="n">
        <f aca="false">IF(AO92&lt;0,"NMF",IF(ABS(AO90/AO92)&gt;1,"NMF",AO90/AO92))</f>
        <v>0.269052049007342</v>
      </c>
      <c r="AP93" s="142" t="n">
        <f aca="false">IF(AP92&lt;0,"NMF",IF(ABS(AP90/AP92)&gt;1,"NMF",AP90/AP92))</f>
        <v>0.268633587324625</v>
      </c>
      <c r="AQ93" s="143" t="n">
        <f aca="false">IF(AQ92&lt;0,"NMF",IF(ABS(AQ90/AQ92)&gt;1,"NMF",AQ90/AQ92))</f>
        <v>0.333317265085304</v>
      </c>
      <c r="AR93" s="143" t="n">
        <f aca="false">IF(AR92&lt;0,"NMF",IF(ABS(AR90/AR92)&gt;1,"NMF",AR90/AR92))</f>
        <v>0.358649243110364</v>
      </c>
      <c r="AS93" s="143" t="n">
        <f aca="false">IF(AS92&lt;0,"NMF",IF(ABS(AS90/AS92)&gt;1,"NMF",AS90/AS92))</f>
        <v>0.42751223331376</v>
      </c>
      <c r="AT93" s="143" t="n">
        <f aca="false">IF(AT92&lt;0,"NMF",IF(ABS(AT90/AT92)&gt;1,"NMF",AT90/AT92))</f>
        <v>0.496837340494709</v>
      </c>
      <c r="AU93" s="142" t="n">
        <f aca="false">IF(AU92&lt;0,"NMF",IF(ABS(AU90/AU92)&gt;1,"NMF",AU90/AU92))</f>
        <v>0.490144130634008</v>
      </c>
      <c r="AV93" s="143" t="n">
        <f aca="false">IF(AV92&lt;0,"NMF",IF(ABS(AV90/AV92)&gt;1,"NMF",AV90/AV92))</f>
        <v>0.493302653319764</v>
      </c>
      <c r="AW93" s="143" t="n">
        <f aca="false">IF(AW92&lt;0,"NMF",IF(ABS(AW90/AW92)&gt;1,"NMF",AW90/AW92))</f>
        <v>0.589974279565377</v>
      </c>
      <c r="AX93" s="143" t="n">
        <f aca="false">IF(AX92&lt;0,"NMF",IF(ABS(AX90/AX92)&gt;1,"NMF",AX90/AX92))</f>
        <v>0.646059725594492</v>
      </c>
      <c r="AY93" s="143" t="n">
        <f aca="false">IF(AY92&lt;0,"NMF",IF(ABS(AY90/AY92)&gt;1,"NMF",AY90/AY92))</f>
        <v>0.67710662786043</v>
      </c>
      <c r="AZ93" s="142" t="n">
        <f aca="false">IF(AZ92&lt;0,"NMF",IF(ABS(AZ90/AZ92)&gt;1,"NMF",AZ90/AZ92))</f>
        <v>0.593539263590025</v>
      </c>
      <c r="BA93" s="143" t="n">
        <f aca="false">IF(BA92&lt;0,"NMF",IF(ABS(BA90/BA92)&gt;1,"NMF",BA90/BA92))</f>
        <v>0.805209234871699</v>
      </c>
      <c r="BB93" s="143" t="n">
        <f aca="false">IF(BB92&lt;0,"NMF",IF(ABS(BB90/BB92)&gt;1,"NMF",BB90/BB92))</f>
        <v>0.798286195639595</v>
      </c>
      <c r="BC93" s="143" t="n">
        <f aca="false">IF(BC92&lt;0,"NMF",IF(ABS(BC90/BC92)&gt;1,"NMF",BC90/BC92))</f>
        <v>0.738638101410543</v>
      </c>
      <c r="BD93" s="143" t="n">
        <f aca="false">IF(BD92&lt;0,"NMF",IF(ABS(BD90/BD92)&gt;1,"NMF",BD90/BD92))</f>
        <v>0.68405379757191</v>
      </c>
      <c r="BE93" s="142" t="n">
        <f aca="false">IF(BE92&lt;0,"NMF",IF(ABS(BE90/BE92)&gt;1,"NMF",BE90/BE92))</f>
        <v>0.704211434115491</v>
      </c>
      <c r="BF93" s="143" t="n">
        <f aca="false">IF(BF92&lt;0,"NMF",IF(ABS(BF90/BF92)&gt;1,"NMF",BF90/BF92))</f>
        <v>0.570313142600353</v>
      </c>
      <c r="BG93" s="143" t="n">
        <f aca="false">IF(BG92&lt;0,"NMF",IF(ABS(BG90/BG92)&gt;1,"NMF",BG90/BG92))</f>
        <v>0.499935128242198</v>
      </c>
      <c r="BH93" s="143" t="n">
        <f aca="false">IF(BH92&lt;0,"NMF",IF(ABS(BH90/BH92)&gt;1,"NMF",BH90/BH92))</f>
        <v>0.476777383310417</v>
      </c>
      <c r="BI93" s="143" t="n">
        <f aca="false">IF(BI92&lt;0,"NMF",IF(ABS(BI90/BI92)&gt;1,"NMF",BI90/BI92))</f>
        <v>0.479718438805266</v>
      </c>
      <c r="BJ93" s="142" t="n">
        <f aca="false">IF(BJ92&lt;0,"NMF",IF(ABS(BJ90/BJ92)&gt;1,"NMF",BJ90/BJ92))</f>
        <v>0.474274331959461</v>
      </c>
      <c r="BK93" s="143" t="n">
        <f aca="false">IF(BK92&lt;0,"NMF",IF(ABS(BK90/BK92)&gt;1,"NMF",BK90/BK92))</f>
        <v>0.52081154632759</v>
      </c>
      <c r="BL93" s="143" t="n">
        <f aca="false">IF(BL92&lt;0,"NMF",IF(ABS(BL90/BL92)&gt;1,"NMF",BL90/BL92))</f>
        <v>0.539960686650236</v>
      </c>
      <c r="BM93" s="143" t="n">
        <f aca="false">IF(BM92&lt;0,"NMF",IF(ABS(BM90/BM92)&gt;1,"NMF",BM90/BM92))</f>
        <v>0.521466003207089</v>
      </c>
      <c r="BN93" s="143" t="n">
        <f aca="false">IF(BN92&lt;0,"NMF",IF(ABS(BN90/BN92)&gt;1,"NMF",BN90/BN92))</f>
        <v>0.521367359063325</v>
      </c>
      <c r="BO93" s="144" t="n">
        <f aca="false">IF(BO92&lt;0,"NMF",IF(ABS(BO90/BO92)&gt;1,"NMF",BO90/BO92))</f>
        <v>0.504576124340361</v>
      </c>
      <c r="BP93" s="143" t="n">
        <f aca="false">IF(BP92&lt;0,"NMF",IF(ABS(BP90/BP92)&gt;1,"NMF",BP90/BP92))</f>
        <v>0.49940274558203</v>
      </c>
      <c r="BQ93" s="143" t="n">
        <f aca="false">IF(BQ92&lt;0,"NMF",IF(ABS(BQ90/BQ92)&gt;1,"NMF",BQ90/BQ92))</f>
        <v>0.491926526410663</v>
      </c>
      <c r="BR93" s="143" t="n">
        <f aca="false">IF(BR92&lt;0,"NMF",IF(ABS(BR90/BR92)&gt;1,"NMF",BR90/BR92))</f>
        <v>0.481464635820756</v>
      </c>
      <c r="BS93" s="143" t="n">
        <f aca="false">IF(BS92&lt;0,"NMF",IF(ABS(BS90/BS92)&gt;1,"NMF",BS90/BS92))</f>
        <v>0.445270987936188</v>
      </c>
      <c r="BT93" s="142" t="n">
        <f aca="false">IF(BT92&lt;0,"NMF",IF(ABS(BT90/BT92)&gt;1,"NMF",BT90/BT92))</f>
        <v>0.461650091806038</v>
      </c>
      <c r="BU93" s="143" t="n">
        <f aca="false">IF(BU92&lt;0,"NMF",IF(ABS(BU90/BU92)&gt;1,"NMF",BU90/BU92))</f>
        <v>0.415254428887282</v>
      </c>
      <c r="BV93" s="143" t="n">
        <f aca="false">IF(BV92&lt;0,"NMF",IF(ABS(BV90/BV92)&gt;1,"NMF",BV90/BV92))</f>
        <v>0.403648372891328</v>
      </c>
      <c r="BW93" s="143" t="n">
        <f aca="false">IF(BW92&lt;0,"NMF",IF(ABS(BW90/BW92)&gt;1,"NMF",BW90/BW92))</f>
        <v>0.389724313509821</v>
      </c>
      <c r="BX93" s="143" t="n">
        <f aca="false">IF(BX92&lt;0,"NMF",IF(ABS(BX90/BX92)&gt;1,"NMF",BX90/BX92))</f>
        <v>0.373584266957538</v>
      </c>
      <c r="BY93" s="142" t="n">
        <f aca="false">IF(BY92&lt;0,"NMF",IF(ABS(BY90/BY92)&gt;1,"NMF",BY90/BY92))</f>
        <v>0.384824539315819</v>
      </c>
      <c r="BZ93" s="142" t="n">
        <f aca="false">IF(BZ92&lt;0,"NMF",IF(ABS(BZ90/BZ92)&gt;1,"NMF",BZ90/BZ92))</f>
        <v>0.343671416520524</v>
      </c>
      <c r="CA93" s="142" t="n">
        <f aca="false">IF(CA92&lt;0,"NMF",IF(ABS(CA90/CA92)&gt;1,"NMF",CA90/CA92))</f>
        <v>0.281824344049088</v>
      </c>
      <c r="CB93" s="142" t="n">
        <f aca="false">IF(CB92&lt;0,"NMF",IF(ABS(CB90/CB92)&gt;1,"NMF",CB90/CB92))</f>
        <v>0.240640386094753</v>
      </c>
      <c r="CC93" s="374"/>
    </row>
    <row r="94" customFormat="false" ht="15" hidden="true" customHeight="true" outlineLevel="1" collapsed="false">
      <c r="A94" s="145" t="s">
        <v>114</v>
      </c>
      <c r="B94" s="254"/>
      <c r="C94" s="214" t="n">
        <f aca="false">INDEX(SP_GF_NI,0,COLUMN())+INDEX(SP_GF_IE,0,COLUMN())*(1-INDEX(SP_GF_Tax,0,COLUMN())/INDEX(SP_GF_EBT,0,COLUMN()))+INDEX(SP_GF_NCI,0,COLUMN())</f>
        <v>-143.512915330808</v>
      </c>
      <c r="D94" s="214" t="n">
        <f aca="false">INDEX(SP_GF_NI,0,COLUMN())+INDEX(SP_GF_IE,0,COLUMN())*(1-INDEX(SP_GF_Tax,0,COLUMN())/INDEX(SP_GF_EBT,0,COLUMN()))+INDEX(SP_GF_NCI,0,COLUMN())</f>
        <v>1028.54373897304</v>
      </c>
      <c r="E94" s="214" t="n">
        <f aca="false">INDEX(SP_GF_NI,0,COLUMN())+INDEX(SP_GF_IE,0,COLUMN())*(1-INDEX(SP_GF_Tax,0,COLUMN())/INDEX(SP_GF_EBT,0,COLUMN()))+INDEX(SP_GF_NCI,0,COLUMN())</f>
        <v>1460.3585532031</v>
      </c>
      <c r="F94" s="214" t="n">
        <f aca="false">INDEX(SP_GF_NI,0,COLUMN())+INDEX(SP_GF_IE,0,COLUMN())*(1-INDEX(SP_GF_Tax,0,COLUMN())/INDEX(SP_GF_EBT,0,COLUMN()))+INDEX(SP_GF_NCI,0,COLUMN())</f>
        <v>1152.48904862078</v>
      </c>
      <c r="G94" s="214" t="n">
        <f aca="false">INDEX(SP_GF_NI,0,COLUMN())+INDEX(SP_GF_IE,0,COLUMN())*(1-INDEX(SP_GF_Tax,0,COLUMN())/INDEX(SP_GF_EBT,0,COLUMN()))+INDEX(SP_GF_NCI,0,COLUMN())</f>
        <v>1039.77003344482</v>
      </c>
      <c r="H94" s="215" t="n">
        <f aca="false">INDEX(SP_GF_NI,0,COLUMN())+INDEX(SP_GF_IE,0,COLUMN())*(1-INDEX(SP_GF_Tax,0,COLUMN())/INDEX(SP_GF_EBT,0,COLUMN()))+INDEX(SP_GF_NCI,0,COLUMN())</f>
        <v>251.561649562904</v>
      </c>
      <c r="I94" s="215" t="n">
        <f aca="false">INDEX(SP_GF_NI,0,COLUMN())+INDEX(SP_GF_IE,0,COLUMN())*(1-INDEX(SP_GF_Tax,0,COLUMN())/INDEX(SP_GF_EBT,0,COLUMN()))+INDEX(SP_GF_NCI,0,COLUMN())</f>
        <v>400.016462264151</v>
      </c>
      <c r="J94" s="215" t="n">
        <f aca="false">INDEX(SP_GF_NI,0,COLUMN())+INDEX(SP_GF_IE,0,COLUMN())*(1-INDEX(SP_GF_Tax,0,COLUMN())/INDEX(SP_GF_EBT,0,COLUMN()))+INDEX(SP_GF_NCI,0,COLUMN())</f>
        <v>245.881264456438</v>
      </c>
      <c r="K94" s="215" t="n">
        <f aca="false">INDEX(SP_GF_NI,0,COLUMN())+INDEX(SP_GF_IE,0,COLUMN())*(1-INDEX(SP_GF_Tax,0,COLUMN())/INDEX(SP_GF_EBT,0,COLUMN()))+INDEX(SP_GF_NCI,0,COLUMN())</f>
        <v>307.222745337817</v>
      </c>
      <c r="L94" s="214" t="n">
        <f aca="false">INDEX(SP_GF_NI,0,COLUMN())+INDEX(SP_GF_IE,0,COLUMN())*(1-INDEX(SP_GF_Tax,0,COLUMN())/INDEX(SP_GF_EBT,0,COLUMN()))+INDEX(SP_GF_NCI,0,COLUMN())</f>
        <v>1204.72010458255</v>
      </c>
      <c r="M94" s="215" t="n">
        <f aca="false">INDEX(SP_GF_NI,0,COLUMN())+INDEX(SP_GF_IE,0,COLUMN())*(1-INDEX(SP_GF_Tax,0,COLUMN())/INDEX(SP_GF_EBT,0,COLUMN()))+INDEX(SP_GF_NCI,0,COLUMN())</f>
        <v>405.816873065016</v>
      </c>
      <c r="N94" s="215" t="n">
        <f aca="false">INDEX(SP_GF_NI,0,COLUMN())+INDEX(SP_GF_IE,0,COLUMN())*(1-INDEX(SP_GF_Tax,0,COLUMN())/INDEX(SP_GF_EBT,0,COLUMN()))+INDEX(SP_GF_NCI,0,COLUMN())</f>
        <v>373.444248854594</v>
      </c>
      <c r="O94" s="215" t="n">
        <f aca="false">INDEX(SP_GF_NI,0,COLUMN())+INDEX(SP_GF_IE,0,COLUMN())*(1-INDEX(SP_GF_Tax,0,COLUMN())/INDEX(SP_GF_EBT,0,COLUMN()))+INDEX(SP_GF_NCI,0,COLUMN())</f>
        <v>326.077566539924</v>
      </c>
      <c r="P94" s="215" t="n">
        <f aca="false">INDEX(SP_GF_NI,0,COLUMN())+INDEX(SP_GF_IE,0,COLUMN())*(1-INDEX(SP_GF_Tax,0,COLUMN())/INDEX(SP_GF_EBT,0,COLUMN()))+INDEX(SP_GF_NCI,0,COLUMN())</f>
        <v>296.690398724083</v>
      </c>
      <c r="Q94" s="214" t="n">
        <f aca="false">INDEX(SP_GF_NI,0,COLUMN())+INDEX(SP_GF_IE,0,COLUMN())*(1-INDEX(SP_GF_Tax,0,COLUMN())/INDEX(SP_GF_EBT,0,COLUMN()))+INDEX(SP_GF_NCI,0,COLUMN())</f>
        <v>1401.96728602885</v>
      </c>
      <c r="R94" s="215" t="n">
        <f aca="false">INDEX(SP_GF_NI,0,COLUMN())+INDEX(SP_GF_IE,0,COLUMN())*(1-INDEX(SP_GF_Tax,0,COLUMN())/INDEX(SP_GF_EBT,0,COLUMN()))+INDEX(SP_GF_NCI,0,COLUMN())</f>
        <v>201.176470588235</v>
      </c>
      <c r="S94" s="215" t="n">
        <f aca="false">INDEX(SP_GF_NI,0,COLUMN())+INDEX(SP_GF_IE,0,COLUMN())*(1-INDEX(SP_GF_Tax,0,COLUMN())/INDEX(SP_GF_EBT,0,COLUMN()))+INDEX(SP_GF_NCI,0,COLUMN())</f>
        <v>356.979430853719</v>
      </c>
      <c r="T94" s="215" t="n">
        <f aca="false">INDEX(SP_GF_NI,0,COLUMN())+INDEX(SP_GF_IE,0,COLUMN())*(1-INDEX(SP_GF_Tax,0,COLUMN())/INDEX(SP_GF_EBT,0,COLUMN()))+INDEX(SP_GF_NCI,0,COLUMN())</f>
        <v>424.968680961663</v>
      </c>
      <c r="U94" s="215" t="n">
        <f aca="false">INDEX(SP_GF_NI,0,COLUMN())+INDEX(SP_GF_IE,0,COLUMN())*(1-INDEX(SP_GF_Tax,0,COLUMN())/INDEX(SP_GF_EBT,0,COLUMN()))+INDEX(SP_GF_NCI,0,COLUMN())</f>
        <v>459.35766495783</v>
      </c>
      <c r="V94" s="214" t="n">
        <f aca="false">INDEX(SP_GF_NI,0,COLUMN())+INDEX(SP_GF_IE,0,COLUMN())*(1-INDEX(SP_GF_Tax,0,COLUMN())/INDEX(SP_GF_EBT,0,COLUMN()))+INDEX(SP_GF_NCI,0,COLUMN())</f>
        <v>1442.5733889086</v>
      </c>
      <c r="W94" s="215" t="n">
        <f aca="false">INDEX(SP_GF_NI,0,COLUMN())+INDEX(SP_GF_IE,0,COLUMN())*(1-INDEX(SP_GF_Tax,0,COLUMN())/INDEX(SP_GF_EBT,0,COLUMN()))+INDEX(SP_GF_NCI,0,COLUMN())</f>
        <v>464.342385250624</v>
      </c>
      <c r="X94" s="215" t="n">
        <f aca="false">INDEX(SP_GF_NI,0,COLUMN())+INDEX(SP_GF_IE,0,COLUMN())*(1-INDEX(SP_GF_Tax,0,COLUMN())/INDEX(SP_GF_EBT,0,COLUMN()))+INDEX(SP_GF_NCI,0,COLUMN())</f>
        <v>475.540440366972</v>
      </c>
      <c r="Y94" s="215" t="n">
        <f aca="false">INDEX(SP_GF_NI,0,COLUMN())+INDEX(SP_GF_IE,0,COLUMN())*(1-INDEX(SP_GF_Tax,0,COLUMN())/INDEX(SP_GF_EBT,0,COLUMN()))+INDEX(SP_GF_NCI,0,COLUMN())</f>
        <v>567.92840926761</v>
      </c>
      <c r="Z94" s="215" t="n">
        <f aca="false">INDEX(SP_GF_NI,0,COLUMN())+INDEX(SP_GF_IE,0,COLUMN())*(1-INDEX(SP_GF_Tax,0,COLUMN())/INDEX(SP_GF_EBT,0,COLUMN()))+INDEX(SP_GF_NCI,0,COLUMN())</f>
        <v>654.514019988895</v>
      </c>
      <c r="AA94" s="214" t="n">
        <f aca="false">INDEX(SP_GF_NI,0,COLUMN())+INDEX(SP_GF_IE,0,COLUMN())*(1-INDEX(SP_GF_Tax,0,COLUMN())/INDEX(SP_GF_EBT,0,COLUMN()))+INDEX(SP_GF_NCI,0,COLUMN())</f>
        <v>2162.36651984192</v>
      </c>
      <c r="AB94" s="215" t="n">
        <f aca="false">INDEX(SP_GF_NI,0,COLUMN())+INDEX(SP_GF_IE,0,COLUMN())*(1-INDEX(SP_GF_Tax,0,COLUMN())/INDEX(SP_GF_EBT,0,COLUMN()))+INDEX(SP_GF_NCI,0,COLUMN())</f>
        <v>548.927894479726</v>
      </c>
      <c r="AC94" s="215" t="n">
        <f aca="false">INDEX(SP_GF_NI,0,COLUMN())+INDEX(SP_GF_IE,0,COLUMN())*(1-INDEX(SP_GF_Tax,0,COLUMN())/INDEX(SP_GF_EBT,0,COLUMN()))+INDEX(SP_GF_NCI,0,COLUMN())</f>
        <v>585.857989877079</v>
      </c>
      <c r="AD94" s="215" t="n">
        <f aca="false">INDEX(SP_GF_NI,0,COLUMN())+INDEX(SP_GF_IE,0,COLUMN())*(1-INDEX(SP_GF_Tax,0,COLUMN())/INDEX(SP_GF_EBT,0,COLUMN()))+INDEX(SP_GF_NCI,0,COLUMN())</f>
        <v>687.204</v>
      </c>
      <c r="AE94" s="215" t="n">
        <f aca="false">INDEX(SP_GF_NI,0,COLUMN())+INDEX(SP_GF_IE,0,COLUMN())*(1-INDEX(SP_GF_Tax,0,COLUMN())/INDEX(SP_GF_EBT,0,COLUMN()))+INDEX(SP_GF_NCI,0,COLUMN())</f>
        <v>794.636599806671</v>
      </c>
      <c r="AF94" s="214" t="n">
        <f aca="false">INDEX(SP_GF_NI,0,COLUMN())+INDEX(SP_GF_IE,0,COLUMN())*(1-INDEX(SP_GF_Tax,0,COLUMN())/INDEX(SP_GF_EBT,0,COLUMN()))+INDEX(SP_GF_NCI,0,COLUMN())</f>
        <v>2616.51923076923</v>
      </c>
      <c r="AG94" s="215" t="n">
        <f aca="false">INDEX(SP_GF_NI,0,COLUMN())+INDEX(SP_GF_IE,0,COLUMN())*(1-INDEX(SP_GF_Tax,0,COLUMN())/INDEX(SP_GF_EBT,0,COLUMN()))+INDEX(SP_GF_NCI,0,COLUMN())</f>
        <v>363.696867612293</v>
      </c>
      <c r="AH94" s="215" t="n">
        <f aca="false">INDEX(SP_GF_NI,0,COLUMN())+INDEX(SP_GF_IE,0,COLUMN())*(1-INDEX(SP_GF_Tax,0,COLUMN())/INDEX(SP_GF_EBT,0,COLUMN()))+INDEX(SP_GF_NCI,0,COLUMN())</f>
        <v>482.633811351242</v>
      </c>
      <c r="AI94" s="215" t="n">
        <f aca="false">INDEX(SP_GF_NI,0,COLUMN())+INDEX(SP_GF_IE,0,COLUMN())*(1-INDEX(SP_GF_Tax,0,COLUMN())/INDEX(SP_GF_EBT,0,COLUMN()))+INDEX(SP_GF_NCI,0,COLUMN())</f>
        <v>631.692627927147</v>
      </c>
      <c r="AJ94" s="215" t="n">
        <f aca="false">INDEX(SP_GF_NI,0,COLUMN())+INDEX(SP_GF_IE,0,COLUMN())*(1-INDEX(SP_GF_Tax,0,COLUMN())/INDEX(SP_GF_EBT,0,COLUMN()))+INDEX(SP_GF_NCI,0,COLUMN())</f>
        <v>1138.42484309208</v>
      </c>
      <c r="AK94" s="214" t="n">
        <f aca="false">INDEX(SP_GF_NI,0,COLUMN())+INDEX(SP_GF_IE,0,COLUMN())*(1-INDEX(SP_GF_Tax,0,COLUMN())/INDEX(SP_GF_EBT,0,COLUMN()))+INDEX(SP_GF_NCI,0,COLUMN())</f>
        <v>2615.57855603448</v>
      </c>
      <c r="AL94" s="215" t="n">
        <f aca="false">INDEX(SP_GF_NI,0,COLUMN())+INDEX(SP_GF_IE,0,COLUMN())*(1-INDEX(SP_GF_Tax,0,COLUMN())/INDEX(SP_GF_EBT,0,COLUMN()))+INDEX(SP_GF_NCI,0,COLUMN())</f>
        <v>400.740833523115</v>
      </c>
      <c r="AM94" s="215" t="n">
        <f aca="false">INDEX(SP_GF_NI,0,COLUMN())+INDEX(SP_GF_IE,0,COLUMN())*(1-INDEX(SP_GF_Tax,0,COLUMN())/INDEX(SP_GF_EBT,0,COLUMN()))+INDEX(SP_GF_NCI,0,COLUMN())</f>
        <v>756.812186614345</v>
      </c>
      <c r="AN94" s="215" t="n">
        <f aca="false">INDEX(SP_GF_NI,0,COLUMN())+INDEX(SP_GF_IE,0,COLUMN())*(1-INDEX(SP_GF_Tax,0,COLUMN())/INDEX(SP_GF_EBT,0,COLUMN()))+INDEX(SP_GF_NCI,0,COLUMN())</f>
        <v>1068.76107491857</v>
      </c>
      <c r="AO94" s="215" t="n">
        <f aca="false">INDEX(SP_GF_NI,0,COLUMN())+INDEX(SP_GF_IE,0,COLUMN())*(1-INDEX(SP_GF_Tax,0,COLUMN())/INDEX(SP_GF_EBT,0,COLUMN()))+INDEX(SP_GF_NCI,0,COLUMN())</f>
        <v>1357.70514894457</v>
      </c>
      <c r="AP94" s="214" t="n">
        <f aca="false">INDEX(SP_GF_NI,0,COLUMN())+INDEX(SP_GF_IE,0,COLUMN())*(1-INDEX(SP_GF_Tax,0,COLUMN())/INDEX(SP_GF_EBT,0,COLUMN()))+INDEX(SP_GF_NCI,0,COLUMN())</f>
        <v>3583.9114708175</v>
      </c>
      <c r="AQ94" s="215" t="n">
        <f aca="false">INDEX(SP_GF_NI,0,COLUMN())+INDEX(SP_GF_IE,0,COLUMN())*(1-INDEX(SP_GF_Tax,0,COLUMN())/INDEX(SP_GF_EBT,0,COLUMN()))+INDEX(SP_GF_NCI,0,COLUMN())</f>
        <v>1341.71564320932</v>
      </c>
      <c r="AR94" s="215" t="n">
        <f aca="false">INDEX(SP_GF_NI,0,COLUMN())+INDEX(SP_GF_IE,0,COLUMN())*(1-INDEX(SP_GF_Tax,0,COLUMN())/INDEX(SP_GF_EBT,0,COLUMN()))+INDEX(SP_GF_NCI,0,COLUMN())</f>
        <v>1046.3892788152</v>
      </c>
      <c r="AS94" s="215" t="n">
        <f aca="false">INDEX(SP_GF_NI,0,COLUMN())+INDEX(SP_GF_IE,0,COLUMN())*(1-INDEX(SP_GF_Tax,0,COLUMN())/INDEX(SP_GF_EBT,0,COLUMN()))+INDEX(SP_GF_NCI,0,COLUMN())</f>
        <v>1749.28562478246</v>
      </c>
      <c r="AT94" s="215" t="n">
        <f aca="false">INDEX(SP_GF_NI,0,COLUMN())+INDEX(SP_GF_IE,0,COLUMN())*(1-INDEX(SP_GF_Tax,0,COLUMN())/INDEX(SP_GF_EBT,0,COLUMN()))+INDEX(SP_GF_NCI,0,COLUMN())</f>
        <v>1783.75487699818</v>
      </c>
      <c r="AU94" s="214" t="n">
        <f aca="false">INDEX(SP_GF_NI,0,COLUMN())+INDEX(SP_GF_IE,0,COLUMN())*(1-INDEX(SP_GF_Tax,0,COLUMN())/INDEX(SP_GF_EBT,0,COLUMN()))+INDEX(SP_GF_NCI,0,COLUMN())</f>
        <v>5921.20230570924</v>
      </c>
      <c r="AV94" s="215" t="n">
        <f aca="false">INDEX(SP_GF_NI,0,COLUMN())+INDEX(SP_GF_IE,0,COLUMN())*(1-INDEX(SP_GF_Tax,0,COLUMN())/INDEX(SP_GF_EBT,0,COLUMN()))+INDEX(SP_GF_NCI,0,COLUMN())</f>
        <v>708.69592441645</v>
      </c>
      <c r="AW94" s="215" t="n">
        <f aca="false">INDEX(SP_GF_NI,0,COLUMN())+INDEX(SP_GF_IE,0,COLUMN())*(1-INDEX(SP_GF_Tax,0,COLUMN())/INDEX(SP_GF_EBT,0,COLUMN()))+INDEX(SP_GF_NCI,0,COLUMN())</f>
        <v>1420.09541367449</v>
      </c>
      <c r="AX94" s="215" t="n">
        <f aca="false">INDEX(SP_GF_NI,0,COLUMN())+INDEX(SP_GF_IE,0,COLUMN())*(1-INDEX(SP_GF_Tax,0,COLUMN())/INDEX(SP_GF_EBT,0,COLUMN()))+INDEX(SP_GF_NCI,0,COLUMN())</f>
        <v>1714.65211159457</v>
      </c>
      <c r="AY94" s="215" t="n">
        <f aca="false">INDEX(SP_GF_NI,0,COLUMN())+INDEX(SP_GF_IE,0,COLUMN())*(1-INDEX(SP_GF_Tax,0,COLUMN())/INDEX(SP_GF_EBT,0,COLUMN()))+INDEX(SP_GF_NCI,0,COLUMN())</f>
        <v>1819.09046370411</v>
      </c>
      <c r="AZ94" s="214" t="n">
        <f aca="false">INDEX(SP_GF_NI,0,COLUMN())+INDEX(SP_GF_IE,0,COLUMN())*(1-INDEX(SP_GF_Tax,0,COLUMN())/INDEX(SP_GF_EBT,0,COLUMN()))+INDEX(SP_GF_NCI,0,COLUMN())</f>
        <v>5662.23996299723</v>
      </c>
      <c r="BA94" s="215" t="n">
        <f aca="false">INDEX(SP_GF_NI,0,COLUMN())+INDEX(SP_GF_IE,0,COLUMN())*(1-INDEX(SP_GF_Tax,0,COLUMN())/INDEX(SP_GF_EBT,0,COLUMN()))+INDEX(SP_GF_NCI,0,COLUMN())</f>
        <v>1945.2346617074</v>
      </c>
      <c r="BB94" s="215" t="n">
        <f aca="false">INDEX(SP_GF_NI,0,COLUMN())+INDEX(SP_GF_IE,0,COLUMN())*(1-INDEX(SP_GF_Tax,0,COLUMN())/INDEX(SP_GF_EBT,0,COLUMN()))+INDEX(SP_GF_NCI,0,COLUMN())</f>
        <v>1927.87565228513</v>
      </c>
      <c r="BC94" s="215" t="n">
        <f aca="false">INDEX(SP_GF_NI,0,COLUMN())+INDEX(SP_GF_IE,0,COLUMN())*(1-INDEX(SP_GF_Tax,0,COLUMN())/INDEX(SP_GF_EBT,0,COLUMN()))+INDEX(SP_GF_NCI,0,COLUMN())</f>
        <v>1887.39081847034</v>
      </c>
      <c r="BD94" s="215" t="n">
        <f aca="false">INDEX(SP_GF_NI,0,COLUMN())+INDEX(SP_GF_IE,0,COLUMN())*(1-INDEX(SP_GF_Tax,0,COLUMN())/INDEX(SP_GF_EBT,0,COLUMN()))+INDEX(SP_GF_NCI,0,COLUMN())</f>
        <v>2043.72389776883</v>
      </c>
      <c r="BE94" s="214" t="n">
        <f aca="false">INDEX(SP_GF_NI,0,COLUMN())+INDEX(SP_GF_IE,0,COLUMN())*(1-INDEX(SP_GF_Tax,0,COLUMN())/INDEX(SP_GF_EBT,0,COLUMN()))+INDEX(SP_GF_NCI,0,COLUMN())</f>
        <v>7804.17803079312</v>
      </c>
      <c r="BF94" s="215" t="n">
        <f aca="false">INDEX(SP_GF_NI,0,COLUMN())+INDEX(SP_GF_IE,0,COLUMN())*(1-INDEX(SP_GF_Tax,0,COLUMN())/INDEX(SP_GF_EBT,0,COLUMN()))+INDEX(SP_GF_NCI,0,COLUMN())</f>
        <v>1201.65359856334</v>
      </c>
      <c r="BG94" s="215" t="n">
        <f aca="false">INDEX(SP_GF_NI,0,COLUMN())+INDEX(SP_GF_IE,0,COLUMN())*(1-INDEX(SP_GF_Tax,0,COLUMN())/INDEX(SP_GF_EBT,0,COLUMN()))+INDEX(SP_GF_NCI,0,COLUMN())</f>
        <v>1587.94386734421</v>
      </c>
      <c r="BH94" s="215" t="n">
        <f aca="false">INDEX(SP_GF_NI,0,COLUMN())+INDEX(SP_GF_IE,0,COLUMN())*(1-INDEX(SP_GF_Tax,0,COLUMN())/INDEX(SP_GF_EBT,0,COLUMN()))+INDEX(SP_GF_NCI,0,COLUMN())</f>
        <v>2077.15980855543</v>
      </c>
      <c r="BI94" s="215" t="n">
        <f aca="false">INDEX(SP_GF_NI,0,COLUMN())+INDEX(SP_GF_IE,0,COLUMN())*(1-INDEX(SP_GF_Tax,0,COLUMN())/INDEX(SP_GF_EBT,0,COLUMN()))+INDEX(SP_GF_NCI,0,COLUMN())</f>
        <v>2688.43440828749</v>
      </c>
      <c r="BJ94" s="214" t="n">
        <f aca="false">INDEX(SP_GF_NI,0,COLUMN())+INDEX(SP_GF_IE,0,COLUMN())*(1-INDEX(SP_GF_Tax,0,COLUMN())/INDEX(SP_GF_EBT,0,COLUMN()))+INDEX(SP_GF_NCI,0,COLUMN())</f>
        <v>7555.39653703984</v>
      </c>
      <c r="BK94" s="215" t="n">
        <f aca="false">INDEX(SP_GF_NI,0,COLUMN())+INDEX(SP_GF_IE,0,COLUMN())*(1-INDEX(SP_GF_Tax,0,COLUMN())/INDEX(SP_GF_EBT,0,COLUMN()))+INDEX(SP_GF_NCI,0,COLUMN())</f>
        <v>2313.9142228999</v>
      </c>
      <c r="BL94" s="215" t="n">
        <f aca="false">INDEX(SP_GF_NI,0,COLUMN())+INDEX(SP_GF_IE,0,COLUMN())*(1-INDEX(SP_GF_Tax,0,COLUMN())/INDEX(SP_GF_EBT,0,COLUMN()))+INDEX(SP_GF_NCI,0,COLUMN())</f>
        <v>2269.85162904561</v>
      </c>
      <c r="BM94" s="215" t="n">
        <f aca="false">INDEX(SP_GF_NI,0,COLUMN())+INDEX(SP_GF_IE,0,COLUMN())*(1-INDEX(SP_GF_Tax,0,COLUMN())/INDEX(SP_GF_EBT,0,COLUMN()))+INDEX(SP_GF_NCI,0,COLUMN())</f>
        <v>2108.44229945066</v>
      </c>
      <c r="BN94" s="215" t="n">
        <f aca="false">INDEX(SP_GF_NI,0,COLUMN())+INDEX(SP_GF_IE,0,COLUMN())*(1-INDEX(SP_GF_Tax,0,COLUMN())/INDEX(SP_GF_EBT,0,COLUMN()))+INDEX(SP_GF_NCI,0,COLUMN())</f>
        <v>2830.32160309979</v>
      </c>
      <c r="BO94" s="218" t="n">
        <f aca="false">INDEX(SP_GF_NI,0,COLUMN())+INDEX(SP_GF_IE,0,COLUMN())*(1-INDEX(SP_GF_Tax,0,COLUMN())/INDEX(SP_GF_EBT,0,COLUMN()))+INDEX(SP_GF_NCI,0,COLUMN())</f>
        <v>9522.83702206009</v>
      </c>
      <c r="BP94" s="215" t="n">
        <f aca="false">INDEX(SP_GF_NI,0,COLUMN())+INDEX(SP_GF_IE,0,COLUMN())*(1-INDEX(SP_GF_Tax,0,COLUMN())/INDEX(SP_GF_EBT,0,COLUMN()))+INDEX(SP_GF_NCI,0,COLUMN())</f>
        <v>2473.82583090834</v>
      </c>
      <c r="BQ94" s="215" t="n">
        <f aca="false">INDEX(SP_GF_NI,0,COLUMN())+INDEX(SP_GF_IE,0,COLUMN())*(1-INDEX(SP_GF_Tax,0,COLUMN())/INDEX(SP_GF_EBT,0,COLUMN()))+INDEX(SP_GF_NCI,0,COLUMN())</f>
        <v>2917.7785950909</v>
      </c>
      <c r="BR94" s="215" t="n">
        <f aca="false">INDEX(SP_GF_NI,0,COLUMN())+INDEX(SP_GF_IE,0,COLUMN())*(1-INDEX(SP_GF_Tax,0,COLUMN())/INDEX(SP_GF_EBT,0,COLUMN()))+INDEX(SP_GF_NCI,0,COLUMN())</f>
        <v>2753.91802455243</v>
      </c>
      <c r="BS94" s="215" t="n">
        <f aca="false">INDEX(SP_GF_NI,0,COLUMN())+INDEX(SP_GF_IE,0,COLUMN())*(1-INDEX(SP_GF_Tax,0,COLUMN())/INDEX(SP_GF_EBT,0,COLUMN()))+INDEX(SP_GF_NCI,0,COLUMN())</f>
        <v>3003.12495778973</v>
      </c>
      <c r="BT94" s="214" t="n">
        <f aca="false">INDEX(SP_GF_NI,0,COLUMN())+INDEX(SP_GF_IE,0,COLUMN())*(1-INDEX(SP_GF_Tax,0,COLUMN())/INDEX(SP_GF_EBT,0,COLUMN()))+INDEX(SP_GF_NCI,0,COLUMN())</f>
        <v>11148.622428802</v>
      </c>
      <c r="BU94" s="215" t="n">
        <f aca="false">INDEX(SP_GF_NI,0,COLUMN())+INDEX(SP_GF_IE,0,COLUMN())*(1-INDEX(SP_GF_Tax,0,COLUMN())/INDEX(SP_GF_EBT,0,COLUMN()))+INDEX(SP_GF_NCI,0,COLUMN())</f>
        <v>2636.22022970129</v>
      </c>
      <c r="BV94" s="215" t="n">
        <f aca="false">INDEX(SP_GF_NI,0,COLUMN())+INDEX(SP_GF_IE,0,COLUMN())*(1-INDEX(SP_GF_Tax,0,COLUMN())/INDEX(SP_GF_EBT,0,COLUMN()))+INDEX(SP_GF_NCI,0,COLUMN())</f>
        <v>3549.32726281806</v>
      </c>
      <c r="BW94" s="215" t="n">
        <f aca="false">INDEX(SP_GF_NI,0,COLUMN())+INDEX(SP_GF_IE,0,COLUMN())*(1-INDEX(SP_GF_Tax,0,COLUMN())/INDEX(SP_GF_EBT,0,COLUMN()))+INDEX(SP_GF_NCI,0,COLUMN())</f>
        <v>3312.38948606406</v>
      </c>
      <c r="BX94" s="215" t="n">
        <f aca="false">INDEX(SP_GF_NI,0,COLUMN())+INDEX(SP_GF_IE,0,COLUMN())*(1-INDEX(SP_GF_Tax,0,COLUMN())/INDEX(SP_GF_EBT,0,COLUMN()))+INDEX(SP_GF_NCI,0,COLUMN())</f>
        <v>3461.03662562723</v>
      </c>
      <c r="BY94" s="214" t="n">
        <f aca="false">INDEX(SP_GF_NI,0,COLUMN())+INDEX(SP_GF_IE,0,COLUMN())*(1-INDEX(SP_GF_Tax,0,COLUMN())/INDEX(SP_GF_EBT,0,COLUMN()))+INDEX(SP_GF_NCI,0,COLUMN())</f>
        <v>12959.0192061034</v>
      </c>
      <c r="BZ94" s="214" t="n">
        <f aca="false">INDEX(SP_GF_NI,0,COLUMN())+INDEX(SP_GF_IE,0,COLUMN())*(1-INDEX(SP_GF_Tax,0,COLUMN())/INDEX(SP_GF_EBT,0,COLUMN()))+INDEX(SP_GF_NCI,0,COLUMN())</f>
        <v>15608.3591476566</v>
      </c>
      <c r="CA94" s="214" t="n">
        <f aca="false">INDEX(SP_GF_NI,0,COLUMN())+INDEX(SP_GF_IE,0,COLUMN())*(1-INDEX(SP_GF_Tax,0,COLUMN())/INDEX(SP_GF_EBT,0,COLUMN()))+INDEX(SP_GF_NCI,0,COLUMN())</f>
        <v>16644.566939157</v>
      </c>
      <c r="CB94" s="214" t="n">
        <f aca="false">INDEX(SP_GF_NI,0,COLUMN())+INDEX(SP_GF_IE,0,COLUMN())*(1-INDEX(SP_GF_Tax,0,COLUMN())/INDEX(SP_GF_EBT,0,COLUMN()))+INDEX(SP_GF_NCI,0,COLUMN())</f>
        <v>17754.2296354968</v>
      </c>
      <c r="CC94" s="48"/>
    </row>
    <row r="95" customFormat="false" ht="15" hidden="true" customHeight="true" outlineLevel="1" collapsed="false">
      <c r="A95" s="145" t="s">
        <v>825</v>
      </c>
      <c r="B95" s="254"/>
      <c r="C95" s="214" t="n">
        <f aca="false">C94</f>
        <v>-143.512915330808</v>
      </c>
      <c r="D95" s="214" t="n">
        <f aca="false">D94</f>
        <v>1028.54373897304</v>
      </c>
      <c r="E95" s="214" t="n">
        <f aca="false">E94</f>
        <v>1460.3585532031</v>
      </c>
      <c r="F95" s="214" t="n">
        <f aca="false">F94</f>
        <v>1152.48904862078</v>
      </c>
      <c r="G95" s="214" t="n">
        <f aca="false">G94</f>
        <v>1039.77003344482</v>
      </c>
      <c r="H95" s="215"/>
      <c r="I95" s="215"/>
      <c r="J95" s="215"/>
      <c r="K95" s="215" t="n">
        <f aca="false">SUM(K94,J94,I94,H94)</f>
        <v>1204.68212162131</v>
      </c>
      <c r="L95" s="214" t="n">
        <f aca="false">L94</f>
        <v>1204.72010458255</v>
      </c>
      <c r="M95" s="215" t="n">
        <f aca="false">SUM(M94,K94,J94,I94)</f>
        <v>1358.93734512342</v>
      </c>
      <c r="N95" s="215" t="n">
        <f aca="false">SUM(N94,M94,K94,J94)</f>
        <v>1332.36513171386</v>
      </c>
      <c r="O95" s="215" t="n">
        <f aca="false">SUM(O94,N94,M94,K94)</f>
        <v>1412.56143379735</v>
      </c>
      <c r="P95" s="215" t="n">
        <f aca="false">SUM(P94,O94,N94,M94)</f>
        <v>1402.02908718362</v>
      </c>
      <c r="Q95" s="214" t="n">
        <f aca="false">Q94</f>
        <v>1401.96728602885</v>
      </c>
      <c r="R95" s="215" t="n">
        <f aca="false">SUM(R94,P94,O94,N94)</f>
        <v>1197.38868470684</v>
      </c>
      <c r="S95" s="215" t="n">
        <f aca="false">SUM(S94,R94,P94,O94)</f>
        <v>1180.92386670596</v>
      </c>
      <c r="T95" s="215" t="n">
        <f aca="false">SUM(T94,S94,R94,P94)</f>
        <v>1279.8149811277</v>
      </c>
      <c r="U95" s="215" t="n">
        <f aca="false">SUM(U94,T94,S94,R94)</f>
        <v>1442.48224736145</v>
      </c>
      <c r="V95" s="214" t="n">
        <f aca="false">V94</f>
        <v>1442.5733889086</v>
      </c>
      <c r="W95" s="215" t="n">
        <f aca="false">SUM(W94,U94,T94,S94)</f>
        <v>1705.64816202384</v>
      </c>
      <c r="X95" s="215" t="n">
        <f aca="false">SUM(X94,W94,U94,T94)</f>
        <v>1824.20917153709</v>
      </c>
      <c r="Y95" s="215" t="n">
        <f aca="false">SUM(Y94,X94,W94,U94)</f>
        <v>1967.16889984304</v>
      </c>
      <c r="Z95" s="215" t="n">
        <f aca="false">SUM(Z94,Y94,X94,W94)</f>
        <v>2162.3252548741</v>
      </c>
      <c r="AA95" s="214" t="n">
        <f aca="false">AA94</f>
        <v>2162.36651984192</v>
      </c>
      <c r="AB95" s="215" t="n">
        <f aca="false">SUM(AB94,Z94,Y94,X94)</f>
        <v>2246.9107641032</v>
      </c>
      <c r="AC95" s="215" t="n">
        <f aca="false">SUM(AC94,AB94,Z94,Y94)</f>
        <v>2357.22831361331</v>
      </c>
      <c r="AD95" s="215" t="n">
        <f aca="false">SUM(AD94,AC94,AB94,Z94)</f>
        <v>2476.5039043457</v>
      </c>
      <c r="AE95" s="215" t="n">
        <f aca="false">SUM(AE94,AD94,AC94,AB94)</f>
        <v>2616.62648416348</v>
      </c>
      <c r="AF95" s="214" t="n">
        <f aca="false">AF94</f>
        <v>2616.51923076923</v>
      </c>
      <c r="AG95" s="215" t="n">
        <f aca="false">SUM(AG94,AE94,AD94,AC94)</f>
        <v>2431.39545729604</v>
      </c>
      <c r="AH95" s="215" t="n">
        <f aca="false">SUM(AH94,AG94,AE94,AD94)</f>
        <v>2328.17127877021</v>
      </c>
      <c r="AI95" s="215" t="n">
        <f aca="false">SUM(AI94,AH94,AG94,AE94)</f>
        <v>2272.65990669735</v>
      </c>
      <c r="AJ95" s="215" t="n">
        <f aca="false">SUM(AJ94,AI94,AH94,AG94)</f>
        <v>2616.44814998276</v>
      </c>
      <c r="AK95" s="214" t="n">
        <f aca="false">AK94</f>
        <v>2615.57855603448</v>
      </c>
      <c r="AL95" s="215" t="n">
        <f aca="false">SUM(AL94,AJ94,AI94,AH94)</f>
        <v>2653.49211589359</v>
      </c>
      <c r="AM95" s="215" t="n">
        <f aca="false">SUM(AM94,AL94,AJ94,AI94)</f>
        <v>2927.67049115669</v>
      </c>
      <c r="AN95" s="215" t="n">
        <f aca="false">SUM(AN94,AM94,AL94,AJ94)</f>
        <v>3364.73893814811</v>
      </c>
      <c r="AO95" s="215" t="n">
        <f aca="false">SUM(AO94,AN94,AM94,AL94)</f>
        <v>3584.01924400059</v>
      </c>
      <c r="AP95" s="214" t="n">
        <f aca="false">AP94</f>
        <v>3583.9114708175</v>
      </c>
      <c r="AQ95" s="215" t="n">
        <f aca="false">SUM(AQ94,AO94,AN94,AM94)</f>
        <v>4524.9940536868</v>
      </c>
      <c r="AR95" s="215" t="n">
        <f aca="false">SUM(AR94,AQ94,AO94,AN94)</f>
        <v>4814.57114588765</v>
      </c>
      <c r="AS95" s="215" t="n">
        <f aca="false">SUM(AS94,AR94,AQ94,AO94)</f>
        <v>5495.09569575154</v>
      </c>
      <c r="AT95" s="215" t="n">
        <f aca="false">SUM(AT94,AS94,AR94,AQ94)</f>
        <v>5921.14542380516</v>
      </c>
      <c r="AU95" s="214" t="n">
        <f aca="false">AU94</f>
        <v>5921.20230570924</v>
      </c>
      <c r="AV95" s="215" t="n">
        <f aca="false">SUM(AV94,AT94,AS94,AR94)</f>
        <v>5288.12570501229</v>
      </c>
      <c r="AW95" s="215" t="n">
        <f aca="false">SUM(AW94,AV94,AT94,AS94)</f>
        <v>5661.83183987158</v>
      </c>
      <c r="AX95" s="215" t="n">
        <f aca="false">SUM(AX94,AW94,AV94,AT94)</f>
        <v>5627.1983266837</v>
      </c>
      <c r="AY95" s="215" t="n">
        <f aca="false">SUM(AY94,AX94,AW94,AV94)</f>
        <v>5662.53391338963</v>
      </c>
      <c r="AZ95" s="214" t="n">
        <f aca="false">AZ94</f>
        <v>5662.23996299723</v>
      </c>
      <c r="BA95" s="215" t="n">
        <f aca="false">SUM(BA94,AY94,AX94,AW94)</f>
        <v>6899.07265068058</v>
      </c>
      <c r="BB95" s="215" t="n">
        <f aca="false">SUM(BB94,BA94,AY94,AX94)</f>
        <v>7406.85288929122</v>
      </c>
      <c r="BC95" s="215" t="n">
        <f aca="false">SUM(BC94,BB94,BA94,AY94)</f>
        <v>7579.59159616699</v>
      </c>
      <c r="BD95" s="215" t="n">
        <f aca="false">SUM(BD94,BC94,BB94,BA94)</f>
        <v>7804.2250302317</v>
      </c>
      <c r="BE95" s="214" t="n">
        <f aca="false">BE94</f>
        <v>7804.17803079312</v>
      </c>
      <c r="BF95" s="215" t="n">
        <f aca="false">SUM(BF94,BD94,BC94,BB94)</f>
        <v>7060.64396708764</v>
      </c>
      <c r="BG95" s="215" t="n">
        <f aca="false">SUM(BG94,BF94,BD94,BC94)</f>
        <v>6720.71218214672</v>
      </c>
      <c r="BH95" s="215" t="n">
        <f aca="false">SUM(BH94,BG94,BF94,BD94)</f>
        <v>6910.4811722318</v>
      </c>
      <c r="BI95" s="215" t="n">
        <f aca="false">SUM(BI94,BH94,BG94,BF94)</f>
        <v>7555.19168275046</v>
      </c>
      <c r="BJ95" s="214" t="n">
        <f aca="false">BJ94</f>
        <v>7555.39653703984</v>
      </c>
      <c r="BK95" s="215" t="n">
        <f aca="false">SUM(BK94,BI94,BH94,BG94)</f>
        <v>8667.45230708702</v>
      </c>
      <c r="BL95" s="215" t="n">
        <f aca="false">SUM(BL94,BK94,BI94,BH94)</f>
        <v>9349.36006878843</v>
      </c>
      <c r="BM95" s="215" t="n">
        <f aca="false">SUM(BM94,BL94,BK94,BI94)</f>
        <v>9380.64255968366</v>
      </c>
      <c r="BN95" s="215" t="n">
        <f aca="false">SUM(BN94,BM94,BL94,BK94)</f>
        <v>9522.52975449596</v>
      </c>
      <c r="BO95" s="218" t="n">
        <f aca="false">BO94</f>
        <v>9522.83702206009</v>
      </c>
      <c r="BP95" s="215" t="n">
        <f aca="false">SUM(BP94,BN94,BM94,BL94)</f>
        <v>9682.4413625044</v>
      </c>
      <c r="BQ95" s="215" t="n">
        <f aca="false">SUM(BQ94,BP94,BN94,BM94)</f>
        <v>10330.3683285497</v>
      </c>
      <c r="BR95" s="215" t="n">
        <f aca="false">SUM(BR94,BQ94,BP94,BN94)</f>
        <v>10975.8440536515</v>
      </c>
      <c r="BS95" s="215" t="n">
        <f aca="false">SUM(BS94,BR94,BQ94,BP94)</f>
        <v>11148.6474083414</v>
      </c>
      <c r="BT95" s="214" t="n">
        <f aca="false">BT94</f>
        <v>11148.622428802</v>
      </c>
      <c r="BU95" s="215" t="n">
        <f aca="false">SUM(BU94,BS94,BR94,BQ94)</f>
        <v>11311.0418071343</v>
      </c>
      <c r="BV95" s="215" t="n">
        <f aca="false">SUM(BV94,BU94,BS94,BR94)</f>
        <v>11942.5904748615</v>
      </c>
      <c r="BW95" s="215" t="n">
        <f aca="false">SUM(BW94,BV94,BU94,BS94)</f>
        <v>12501.0619363731</v>
      </c>
      <c r="BX95" s="215" t="n">
        <f aca="false">SUM(BX94,BW94,BV94,BU94)</f>
        <v>12958.9736042106</v>
      </c>
      <c r="BY95" s="214" t="n">
        <f aca="false">BY94</f>
        <v>12959.0192061034</v>
      </c>
      <c r="BZ95" s="214" t="n">
        <f aca="false">BZ94</f>
        <v>15608.3591476566</v>
      </c>
      <c r="CA95" s="214" t="n">
        <f aca="false">CA94</f>
        <v>16644.566939157</v>
      </c>
      <c r="CB95" s="214" t="n">
        <f aca="false">CB94</f>
        <v>17754.2296354968</v>
      </c>
      <c r="CC95" s="48"/>
    </row>
    <row r="96" customFormat="false" ht="15" hidden="true" customHeight="true" outlineLevel="1" collapsed="false">
      <c r="A96" s="145" t="s">
        <v>611</v>
      </c>
      <c r="B96" s="254"/>
      <c r="C96" s="214" t="n">
        <f aca="false">INDEX(MO_BS_TA,0,COLUMN())</f>
        <v>3764.151</v>
      </c>
      <c r="D96" s="214" t="n">
        <f aca="false">INDEX(MO_BS_TA,0,COLUMN())</f>
        <v>6180.358</v>
      </c>
      <c r="E96" s="214" t="n">
        <f aca="false">INDEX(MO_BS_TA,0,COLUMN())</f>
        <v>7260.815</v>
      </c>
      <c r="F96" s="214" t="n">
        <f aca="false">INDEX(MO_BS_TA,0,COLUMN())</f>
        <v>7410.478</v>
      </c>
      <c r="G96" s="214" t="n">
        <f aca="false">INDEX(MO_BS_TA,0,COLUMN())</f>
        <v>11513.73</v>
      </c>
      <c r="H96" s="215" t="n">
        <f aca="false">INDEX(MO_BS_TA,0,COLUMN())</f>
        <v>11758.3</v>
      </c>
      <c r="I96" s="215" t="n">
        <f aca="false">INDEX(MO_BS_TA,0,COLUMN())</f>
        <v>11888.5</v>
      </c>
      <c r="J96" s="215" t="n">
        <f aca="false">INDEX(MO_BS_TA,0,COLUMN())</f>
        <v>12096.6</v>
      </c>
      <c r="K96" s="215" t="n">
        <f aca="false">INDEX(MO_BS_TA,0,COLUMN())</f>
        <v>12203.945</v>
      </c>
      <c r="L96" s="214" t="n">
        <f aca="false">INDEX(MO_BS_TA,0,COLUMN())</f>
        <v>12203.945</v>
      </c>
      <c r="M96" s="215" t="n">
        <f aca="false">INDEX(MO_BS_TA,0,COLUMN())</f>
        <v>13091.1</v>
      </c>
      <c r="N96" s="215" t="n">
        <f aca="false">INDEX(MO_BS_TA,0,COLUMN())</f>
        <v>12675.3</v>
      </c>
      <c r="O96" s="215" t="n">
        <f aca="false">INDEX(MO_BS_TA,0,COLUMN())</f>
        <v>12705.6</v>
      </c>
      <c r="P96" s="215" t="n">
        <f aca="false">INDEX(MO_BS_TA,0,COLUMN())</f>
        <v>13295.031</v>
      </c>
      <c r="Q96" s="214" t="n">
        <f aca="false">INDEX(MO_BS_TA,0,COLUMN())</f>
        <v>13295.031</v>
      </c>
      <c r="R96" s="215" t="n">
        <f aca="false">INDEX(MO_BS_TA,0,COLUMN())</f>
        <v>13143.6</v>
      </c>
      <c r="S96" s="215" t="n">
        <f aca="false">INDEX(MO_BS_TA,0,COLUMN())</f>
        <v>13303.5</v>
      </c>
      <c r="T96" s="215" t="n">
        <f aca="false">INDEX(MO_BS_TA,0,COLUMN())</f>
        <v>14802.2</v>
      </c>
      <c r="U96" s="215" t="n">
        <f aca="false">INDEX(MO_BS_TA,0,COLUMN())</f>
        <v>17205.9</v>
      </c>
      <c r="V96" s="214" t="n">
        <f aca="false">INDEX(MO_BS_TA,0,COLUMN())</f>
        <v>17205.9</v>
      </c>
      <c r="W96" s="215" t="n">
        <f aca="false">INDEX(MO_BS_TA,0,COLUMN())</f>
        <v>17324.8</v>
      </c>
      <c r="X96" s="215" t="n">
        <f aca="false">INDEX(MO_BS_TA,0,COLUMN())</f>
        <v>17272.1</v>
      </c>
      <c r="Y96" s="215" t="n">
        <f aca="false">INDEX(MO_BS_TA,0,COLUMN())</f>
        <v>17496.4</v>
      </c>
      <c r="Z96" s="215" t="n">
        <f aca="false">INDEX(MO_BS_TA,0,COLUMN())</f>
        <v>18196.4</v>
      </c>
      <c r="AA96" s="214" t="n">
        <f aca="false">INDEX(MO_BS_TA,0,COLUMN())</f>
        <v>18196.4</v>
      </c>
      <c r="AB96" s="215" t="n">
        <f aca="false">INDEX(MO_BS_TA,0,COLUMN())</f>
        <v>18644.2</v>
      </c>
      <c r="AC96" s="215" t="n">
        <f aca="false">INDEX(MO_BS_TA,0,COLUMN())</f>
        <v>18738.8</v>
      </c>
      <c r="AD96" s="215" t="n">
        <f aca="false">INDEX(MO_BS_TA,0,COLUMN())</f>
        <v>19457.6</v>
      </c>
      <c r="AE96" s="215" t="n">
        <f aca="false">INDEX(MO_BS_TA,0,COLUMN())</f>
        <v>20136.9</v>
      </c>
      <c r="AF96" s="214" t="n">
        <f aca="false">INDEX(MO_BS_TA,0,COLUMN())</f>
        <v>20136.9</v>
      </c>
      <c r="AG96" s="215" t="n">
        <f aca="false">INDEX(MO_BS_TA,0,COLUMN())</f>
        <v>20360.6</v>
      </c>
      <c r="AH96" s="215" t="n">
        <f aca="false">INDEX(MO_BS_TA,0,COLUMN())</f>
        <v>20033.9</v>
      </c>
      <c r="AI96" s="215" t="n">
        <f aca="false">INDEX(MO_BS_TA,0,COLUMN())</f>
        <v>20699.2</v>
      </c>
      <c r="AJ96" s="215" t="n">
        <f aca="false">INDEX(MO_BS_TA,0,COLUMN())</f>
        <v>22629.6</v>
      </c>
      <c r="AK96" s="214" t="n">
        <f aca="false">INDEX(MO_BS_TA,0,COLUMN())</f>
        <v>22629.6</v>
      </c>
      <c r="AL96" s="215" t="n">
        <f aca="false">INDEX(MO_BS_TA,0,COLUMN())</f>
        <v>23277.6</v>
      </c>
      <c r="AM96" s="215" t="n">
        <f aca="false">INDEX(MO_BS_TA,0,COLUMN())</f>
        <v>24306.1</v>
      </c>
      <c r="AN96" s="215" t="n">
        <f aca="false">INDEX(MO_BS_TA,0,COLUMN())</f>
        <v>25463.4</v>
      </c>
      <c r="AO96" s="215" t="n">
        <f aca="false">INDEX(MO_BS_TA,0,COLUMN())</f>
        <v>27267.4</v>
      </c>
      <c r="AP96" s="214" t="n">
        <f aca="false">INDEX(MO_BS_TA,0,COLUMN())</f>
        <v>27267.4</v>
      </c>
      <c r="AQ96" s="215" t="n">
        <f aca="false">INDEX(MO_BS_TA,0,COLUMN())</f>
        <v>27218.7</v>
      </c>
      <c r="AR96" s="215" t="n">
        <f aca="false">INDEX(MO_BS_TA,0,COLUMN())</f>
        <v>27815.5</v>
      </c>
      <c r="AS96" s="215" t="n">
        <f aca="false">INDEX(MO_BS_TA,0,COLUMN())</f>
        <v>27298</v>
      </c>
      <c r="AT96" s="215" t="n">
        <f aca="false">INDEX(MO_BS_TA,0,COLUMN())</f>
        <v>30231</v>
      </c>
      <c r="AU96" s="214" t="n">
        <f aca="false">INDEX(MO_BS_TA,0,COLUMN())</f>
        <v>30231</v>
      </c>
      <c r="AV96" s="215" t="n">
        <f aca="false">INDEX(MO_BS_TA,0,COLUMN())</f>
        <v>30231.8</v>
      </c>
      <c r="AW96" s="215" t="n">
        <f aca="false">INDEX(MO_BS_TA,0,COLUMN())</f>
        <v>31912.6</v>
      </c>
      <c r="AX96" s="215" t="n">
        <f aca="false">INDEX(MO_BS_TA,0,COLUMN())</f>
        <v>32803.5</v>
      </c>
      <c r="AY96" s="215" t="n">
        <f aca="false">INDEX(MO_BS_TA,0,COLUMN())</f>
        <v>36300.4</v>
      </c>
      <c r="AZ96" s="214" t="n">
        <f aca="false">INDEX(MO_BS_TA,0,COLUMN())</f>
        <v>36300.4</v>
      </c>
      <c r="BA96" s="215" t="n">
        <f aca="false">INDEX(MO_BS_TA,0,COLUMN())</f>
        <v>35147.6</v>
      </c>
      <c r="BB96" s="215" t="n">
        <f aca="false">INDEX(MO_BS_TA,0,COLUMN())</f>
        <v>36928.5</v>
      </c>
      <c r="BC96" s="215" t="n">
        <f aca="false">INDEX(MO_BS_TA,0,COLUMN())</f>
        <v>37513.5</v>
      </c>
      <c r="BD96" s="215" t="n">
        <f aca="false">INDEX(MO_BS_TA,0,COLUMN())</f>
        <v>39957.5</v>
      </c>
      <c r="BE96" s="214" t="n">
        <f aca="false">INDEX(MO_BS_TA,0,COLUMN())</f>
        <v>39957.5</v>
      </c>
      <c r="BF96" s="215" t="n">
        <f aca="false">INDEX(MO_BS_TA,0,COLUMN())</f>
        <v>39042.6</v>
      </c>
      <c r="BG96" s="215" t="n">
        <f aca="false">INDEX(MO_BS_TA,0,COLUMN())</f>
        <v>40741</v>
      </c>
      <c r="BH96" s="215" t="n">
        <f aca="false">INDEX(MO_BS_TA,0,COLUMN())</f>
        <v>41766.1</v>
      </c>
      <c r="BI96" s="215" t="n">
        <f aca="false">INDEX(MO_BS_TA,0,COLUMN())</f>
        <v>48589.6</v>
      </c>
      <c r="BJ96" s="214" t="n">
        <f aca="false">INDEX(MO_BS_TA,0,COLUMN())</f>
        <v>48589.6</v>
      </c>
      <c r="BK96" s="215" t="n">
        <f aca="false">INDEX(MO_BS_TA,0,COLUMN())</f>
        <v>45478.8</v>
      </c>
      <c r="BL96" s="215" t="n">
        <f aca="false">INDEX(MO_BS_TA,0,COLUMN())</f>
        <v>44849.1</v>
      </c>
      <c r="BM96" s="215" t="n">
        <f aca="false">INDEX(MO_BS_TA,0,COLUMN())</f>
        <v>45097.1</v>
      </c>
      <c r="BN96" s="215" t="n">
        <f aca="false">INDEX(MO_BS_TA,0,COLUMN())</f>
        <v>50566.6</v>
      </c>
      <c r="BO96" s="218" t="n">
        <f aca="false">INDEX(MO_BS_TA,0,COLUMN())</f>
        <v>50566.6</v>
      </c>
      <c r="BP96" s="215" t="n">
        <f aca="false">INDEX(MO_BS_TA,0,COLUMN())</f>
        <v>57365.2458924848</v>
      </c>
      <c r="BQ96" s="215" t="n">
        <f aca="false">INDEX(MO_BS_TA,0,COLUMN())</f>
        <v>60379.7409140709</v>
      </c>
      <c r="BR96" s="215" t="n">
        <f aca="false">INDEX(MO_BS_TA,0,COLUMN())</f>
        <v>63896.65884374</v>
      </c>
      <c r="BS96" s="215" t="n">
        <f aca="false">INDEX(MO_BS_TA,0,COLUMN())</f>
        <v>61538.4980202658</v>
      </c>
      <c r="BT96" s="214" t="n">
        <f aca="false">INDEX(MO_BS_TA,0,COLUMN())</f>
        <v>61538.4980202658</v>
      </c>
      <c r="BU96" s="215" t="n">
        <f aca="false">INDEX(MO_BS_TA,0,COLUMN())</f>
        <v>68588.1114807584</v>
      </c>
      <c r="BV96" s="215" t="n">
        <f aca="false">INDEX(MO_BS_TA,0,COLUMN())</f>
        <v>71351.064436923</v>
      </c>
      <c r="BW96" s="215" t="n">
        <f aca="false">INDEX(MO_BS_TA,0,COLUMN())</f>
        <v>74317.0215656357</v>
      </c>
      <c r="BX96" s="215" t="n">
        <f aca="false">INDEX(MO_BS_TA,0,COLUMN())</f>
        <v>72306.7649397959</v>
      </c>
      <c r="BY96" s="214" t="n">
        <f aca="false">INDEX(MO_BS_TA,0,COLUMN())</f>
        <v>72306.7649397959</v>
      </c>
      <c r="BZ96" s="214" t="n">
        <f aca="false">INDEX(MO_BS_TA,0,COLUMN())</f>
        <v>89829.7138069717</v>
      </c>
      <c r="CA96" s="214" t="n">
        <f aca="false">INDEX(MO_BS_TA,0,COLUMN())</f>
        <v>104542.46767549</v>
      </c>
      <c r="CB96" s="214" t="n">
        <f aca="false">INDEX(MO_BS_TA,0,COLUMN())</f>
        <v>120403.408426845</v>
      </c>
      <c r="CC96" s="48"/>
    </row>
    <row r="97" customFormat="false" ht="15" hidden="true" customHeight="true" outlineLevel="1" collapsed="false">
      <c r="A97" s="145" t="s">
        <v>826</v>
      </c>
      <c r="B97" s="254"/>
      <c r="C97" s="214" t="n">
        <f aca="false">C96</f>
        <v>3764.151</v>
      </c>
      <c r="D97" s="214" t="n">
        <f aca="false">AVERAGE(D96,C96)</f>
        <v>4972.2545</v>
      </c>
      <c r="E97" s="214" t="n">
        <f aca="false">AVERAGE(E96,D96)</f>
        <v>6720.5865</v>
      </c>
      <c r="F97" s="214" t="n">
        <f aca="false">AVERAGE(F96,E96)</f>
        <v>7335.6465</v>
      </c>
      <c r="G97" s="214" t="n">
        <f aca="false">AVERAGE(G96,F96)</f>
        <v>9462.104</v>
      </c>
      <c r="H97" s="215"/>
      <c r="I97" s="215"/>
      <c r="J97" s="215"/>
      <c r="K97" s="215" t="n">
        <f aca="false">AVERAGE(K96,J96,I96,H96)</f>
        <v>11986.83625</v>
      </c>
      <c r="L97" s="214" t="n">
        <f aca="false">AVERAGE(L96,G96)</f>
        <v>11858.8375</v>
      </c>
      <c r="M97" s="215" t="n">
        <f aca="false">AVERAGE(M96,K96,J96,I96)</f>
        <v>12320.03625</v>
      </c>
      <c r="N97" s="215" t="n">
        <f aca="false">AVERAGE(N96,M96,K96,J96)</f>
        <v>12516.73625</v>
      </c>
      <c r="O97" s="215" t="n">
        <f aca="false">AVERAGE(O96,N96,M96,K96)</f>
        <v>12668.98625</v>
      </c>
      <c r="P97" s="215" t="n">
        <f aca="false">AVERAGE(P96,O96,N96,M96)</f>
        <v>12941.75775</v>
      </c>
      <c r="Q97" s="214" t="n">
        <f aca="false">AVERAGE(Q96,L96)</f>
        <v>12749.488</v>
      </c>
      <c r="R97" s="215" t="n">
        <f aca="false">AVERAGE(R96,P96,O96,N96)</f>
        <v>12954.88275</v>
      </c>
      <c r="S97" s="215" t="n">
        <f aca="false">AVERAGE(S96,R96,P96,O96)</f>
        <v>13111.93275</v>
      </c>
      <c r="T97" s="215" t="n">
        <f aca="false">AVERAGE(T96,S96,R96,P96)</f>
        <v>13636.08275</v>
      </c>
      <c r="U97" s="215" t="n">
        <f aca="false">AVERAGE(U96,T96,S96,R96)</f>
        <v>14613.8</v>
      </c>
      <c r="V97" s="214" t="n">
        <f aca="false">AVERAGE(V96,Q96)</f>
        <v>15250.4655</v>
      </c>
      <c r="W97" s="215" t="n">
        <f aca="false">AVERAGE(W96,U96,T96,S96)</f>
        <v>15659.1</v>
      </c>
      <c r="X97" s="215" t="n">
        <f aca="false">AVERAGE(X96,W96,U96,T96)</f>
        <v>16651.25</v>
      </c>
      <c r="Y97" s="215" t="n">
        <f aca="false">AVERAGE(Y96,X96,W96,U96)</f>
        <v>17324.8</v>
      </c>
      <c r="Z97" s="215" t="n">
        <f aca="false">AVERAGE(Z96,Y96,X96,W96)</f>
        <v>17572.425</v>
      </c>
      <c r="AA97" s="214" t="n">
        <f aca="false">AVERAGE(AA96,V96)</f>
        <v>17701.15</v>
      </c>
      <c r="AB97" s="215" t="n">
        <f aca="false">AVERAGE(AB96,Z96,Y96,X96)</f>
        <v>17902.275</v>
      </c>
      <c r="AC97" s="215" t="n">
        <f aca="false">AVERAGE(AC96,AB96,Z96,Y96)</f>
        <v>18268.95</v>
      </c>
      <c r="AD97" s="215" t="n">
        <f aca="false">AVERAGE(AD96,AC96,AB96,Z96)</f>
        <v>18759.25</v>
      </c>
      <c r="AE97" s="215" t="n">
        <f aca="false">AVERAGE(AE96,AD96,AC96,AB96)</f>
        <v>19244.375</v>
      </c>
      <c r="AF97" s="214" t="n">
        <f aca="false">AVERAGE(AF96,AA96)</f>
        <v>19166.65</v>
      </c>
      <c r="AG97" s="215" t="n">
        <f aca="false">AVERAGE(AG96,AE96,AD96,AC96)</f>
        <v>19673.475</v>
      </c>
      <c r="AH97" s="215" t="n">
        <f aca="false">AVERAGE(AH96,AG96,AE96,AD96)</f>
        <v>19997.25</v>
      </c>
      <c r="AI97" s="215" t="n">
        <f aca="false">AVERAGE(AI96,AH96,AG96,AE96)</f>
        <v>20307.65</v>
      </c>
      <c r="AJ97" s="215" t="n">
        <f aca="false">AVERAGE(AJ96,AI96,AH96,AG96)</f>
        <v>20930.825</v>
      </c>
      <c r="AK97" s="214" t="n">
        <f aca="false">AVERAGE(AK96,AF96)</f>
        <v>21383.25</v>
      </c>
      <c r="AL97" s="215" t="n">
        <f aca="false">AVERAGE(AL96,AJ96,AI96,AH96)</f>
        <v>21660.075</v>
      </c>
      <c r="AM97" s="215" t="n">
        <f aca="false">AVERAGE(AM96,AL96,AJ96,AI96)</f>
        <v>22728.125</v>
      </c>
      <c r="AN97" s="215" t="n">
        <f aca="false">AVERAGE(AN96,AM96,AL96,AJ96)</f>
        <v>23919.175</v>
      </c>
      <c r="AO97" s="215" t="n">
        <f aca="false">AVERAGE(AO96,AN96,AM96,AL96)</f>
        <v>25078.625</v>
      </c>
      <c r="AP97" s="214" t="n">
        <f aca="false">AVERAGE(AP96,AK96)</f>
        <v>24948.5</v>
      </c>
      <c r="AQ97" s="215" t="n">
        <f aca="false">AVERAGE(AQ96,AO96,AN96,AM96)</f>
        <v>26063.9</v>
      </c>
      <c r="AR97" s="215" t="n">
        <f aca="false">AVERAGE(AR96,AQ96,AO96,AN96)</f>
        <v>26941.25</v>
      </c>
      <c r="AS97" s="215" t="n">
        <f aca="false">AVERAGE(AS96,AR96,AQ96,AO96)</f>
        <v>27399.9</v>
      </c>
      <c r="AT97" s="215" t="n">
        <f aca="false">AVERAGE(AT96,AS96,AR96,AQ96)</f>
        <v>28140.8</v>
      </c>
      <c r="AU97" s="214" t="n">
        <f aca="false">AVERAGE(AU96,AP96)</f>
        <v>28749.2</v>
      </c>
      <c r="AV97" s="215" t="n">
        <f aca="false">AVERAGE(AV96,AT96,AS96,AR96)</f>
        <v>28894.075</v>
      </c>
      <c r="AW97" s="215" t="n">
        <f aca="false">AVERAGE(AW96,AV96,AT96,AS96)</f>
        <v>29918.35</v>
      </c>
      <c r="AX97" s="215" t="n">
        <f aca="false">AVERAGE(AX96,AW96,AV96,AT96)</f>
        <v>31294.725</v>
      </c>
      <c r="AY97" s="215" t="n">
        <f aca="false">AVERAGE(AY96,AX96,AW96,AV96)</f>
        <v>32812.075</v>
      </c>
      <c r="AZ97" s="214" t="n">
        <f aca="false">AVERAGE(AZ96,AU96)</f>
        <v>33265.7</v>
      </c>
      <c r="BA97" s="215" t="n">
        <f aca="false">AVERAGE(BA96,AY96,AX96,AW96)</f>
        <v>34041.025</v>
      </c>
      <c r="BB97" s="215" t="n">
        <f aca="false">AVERAGE(BB96,BA96,AY96,AX96)</f>
        <v>35295</v>
      </c>
      <c r="BC97" s="215" t="n">
        <f aca="false">AVERAGE(BC96,BB96,BA96,AY96)</f>
        <v>36472.5</v>
      </c>
      <c r="BD97" s="215" t="n">
        <f aca="false">AVERAGE(BD96,BC96,BB96,BA96)</f>
        <v>37386.775</v>
      </c>
      <c r="BE97" s="214" t="n">
        <f aca="false">AVERAGE(BE96,AZ96)</f>
        <v>38128.95</v>
      </c>
      <c r="BF97" s="215" t="n">
        <f aca="false">AVERAGE(BF96,BD96,BC96,BB96)</f>
        <v>38360.525</v>
      </c>
      <c r="BG97" s="215" t="n">
        <f aca="false">AVERAGE(BG96,BF96,BD96,BC96)</f>
        <v>39313.65</v>
      </c>
      <c r="BH97" s="215" t="n">
        <f aca="false">AVERAGE(BH96,BG96,BF96,BD96)</f>
        <v>40376.8</v>
      </c>
      <c r="BI97" s="215" t="n">
        <f aca="false">AVERAGE(BI96,BH96,BG96,BF96)</f>
        <v>42534.825</v>
      </c>
      <c r="BJ97" s="214" t="n">
        <f aca="false">AVERAGE(BJ96,BE96)</f>
        <v>44273.55</v>
      </c>
      <c r="BK97" s="215" t="n">
        <f aca="false">AVERAGE(BK96,BI96,BH96,BG96)</f>
        <v>44143.875</v>
      </c>
      <c r="BL97" s="215" t="n">
        <f aca="false">AVERAGE(BL96,BK96,BI96,BH96)</f>
        <v>45170.9</v>
      </c>
      <c r="BM97" s="215" t="n">
        <f aca="false">AVERAGE(BM96,BL96,BK96,BI96)</f>
        <v>46003.65</v>
      </c>
      <c r="BN97" s="215" t="n">
        <f aca="false">AVERAGE(BN96,BM96,BL96,BK96)</f>
        <v>46497.9</v>
      </c>
      <c r="BO97" s="218" t="n">
        <f aca="false">AVERAGE(BO96,BJ96)</f>
        <v>49578.1</v>
      </c>
      <c r="BP97" s="215" t="n">
        <f aca="false">AVERAGE(BP96,BN96,BM96,BL96)</f>
        <v>49469.5114731212</v>
      </c>
      <c r="BQ97" s="215" t="n">
        <f aca="false">AVERAGE(BQ96,BP96,BN96,BM96)</f>
        <v>53352.1717016389</v>
      </c>
      <c r="BR97" s="215" t="n">
        <f aca="false">AVERAGE(BR96,BQ96,BP96,BN96)</f>
        <v>58052.0614125739</v>
      </c>
      <c r="BS97" s="215" t="n">
        <f aca="false">AVERAGE(BS96,BR96,BQ96,BP96)</f>
        <v>60795.0359176404</v>
      </c>
      <c r="BT97" s="214" t="n">
        <f aca="false">AVERAGE(BT96,BO96)</f>
        <v>56052.5490101329</v>
      </c>
      <c r="BU97" s="215" t="n">
        <f aca="false">AVERAGE(BU96,BS96,BR96,BQ96)</f>
        <v>63600.7523147088</v>
      </c>
      <c r="BV97" s="215" t="n">
        <f aca="false">AVERAGE(BV96,BU96,BS96,BR96)</f>
        <v>66343.5831954218</v>
      </c>
      <c r="BW97" s="215" t="n">
        <f aca="false">AVERAGE(BW96,BV96,BU96,BS96)</f>
        <v>68948.6738758957</v>
      </c>
      <c r="BX97" s="215" t="n">
        <f aca="false">AVERAGE(BX96,BW96,BV96,BU96)</f>
        <v>71640.7406057782</v>
      </c>
      <c r="BY97" s="214" t="n">
        <f aca="false">AVERAGE(BY96,BT96)</f>
        <v>66922.6314800309</v>
      </c>
      <c r="BZ97" s="214" t="n">
        <f aca="false">AVERAGE(BZ96,BY96)</f>
        <v>81068.2393733838</v>
      </c>
      <c r="CA97" s="214" t="n">
        <f aca="false">AVERAGE(CA96,BZ96)</f>
        <v>97186.090741231</v>
      </c>
      <c r="CB97" s="214" t="n">
        <f aca="false">AVERAGE(CB96,CA96)</f>
        <v>112472.938051167</v>
      </c>
      <c r="CC97" s="48"/>
    </row>
    <row r="98" s="84" customFormat="true" ht="15" hidden="false" customHeight="true" outlineLevel="0" collapsed="false">
      <c r="A98" s="140" t="s">
        <v>827</v>
      </c>
      <c r="B98" s="374"/>
      <c r="C98" s="142" t="n">
        <f aca="false">IF(C97&lt;0,"NMF",IF(ABS(C95/C97)&gt;1,"NMF",C95/C97))</f>
        <v>-0.0381262375847323</v>
      </c>
      <c r="D98" s="142" t="n">
        <f aca="false">IF(D97&lt;0,"NMF",IF(ABS(D95/D97)&gt;1,"NMF",D95/D97))</f>
        <v>0.206856615841575</v>
      </c>
      <c r="E98" s="142" t="n">
        <f aca="false">IF(E97&lt;0,"NMF",IF(ABS(E95/E97)&gt;1,"NMF",E95/E97))</f>
        <v>0.217296295971059</v>
      </c>
      <c r="F98" s="142" t="n">
        <f aca="false">IF(F97&lt;0,"NMF",IF(ABS(F95/F97)&gt;1,"NMF",F95/F97))</f>
        <v>0.15710804066428</v>
      </c>
      <c r="G98" s="142" t="n">
        <f aca="false">IF(G97&lt;0,"NMF",IF(ABS(G95/G97)&gt;1,"NMF",G95/G97))</f>
        <v>0.109887825524304</v>
      </c>
      <c r="H98" s="143"/>
      <c r="I98" s="143"/>
      <c r="J98" s="143"/>
      <c r="K98" s="143" t="n">
        <f aca="false">IF(K97&lt;0,"NMF",IF(ABS(K95/K97)&gt;1,"NMF",K95/K97))</f>
        <v>0.100500423672786</v>
      </c>
      <c r="L98" s="142" t="n">
        <f aca="false">IF(L97&lt;0,"NMF",IF(ABS(L95/L97)&gt;1,"NMF",L95/L97))</f>
        <v>0.101588381203685</v>
      </c>
      <c r="M98" s="143" t="n">
        <f aca="false">IF(M97&lt;0,"NMF",IF(ABS(M95/M97)&gt;1,"NMF",M95/M97))</f>
        <v>0.110303031382998</v>
      </c>
      <c r="N98" s="143" t="n">
        <f aca="false">IF(N97&lt;0,"NMF",IF(ABS(N95/N97)&gt;1,"NMF",N95/N97))</f>
        <v>0.10644668906512</v>
      </c>
      <c r="O98" s="143" t="n">
        <f aca="false">IF(O97&lt;0,"NMF",IF(ABS(O95/O97)&gt;1,"NMF",O95/O97))</f>
        <v>0.111497589935213</v>
      </c>
      <c r="P98" s="143" t="n">
        <f aca="false">IF(P97&lt;0,"NMF",IF(ABS(P95/P97)&gt;1,"NMF",P95/P97))</f>
        <v>0.108333745250611</v>
      </c>
      <c r="Q98" s="142" t="n">
        <f aca="false">IF(Q97&lt;0,"NMF",IF(ABS(Q95/Q97)&gt;1,"NMF",Q95/Q97))</f>
        <v>0.109962634266478</v>
      </c>
      <c r="R98" s="143" t="n">
        <f aca="false">IF(R97&lt;0,"NMF",IF(ABS(R95/R97)&gt;1,"NMF",R95/R97))</f>
        <v>0.092427597209001</v>
      </c>
      <c r="S98" s="143" t="n">
        <f aca="false">IF(S97&lt;0,"NMF",IF(ABS(S95/S97)&gt;1,"NMF",S95/S97))</f>
        <v>0.0900648202841005</v>
      </c>
      <c r="T98" s="143" t="n">
        <f aca="false">IF(T97&lt;0,"NMF",IF(ABS(T95/T97)&gt;1,"NMF",T95/T97))</f>
        <v>0.0938550318732629</v>
      </c>
      <c r="U98" s="143" t="n">
        <f aca="false">IF(U97&lt;0,"NMF",IF(ABS(U95/U97)&gt;1,"NMF",U95/U97))</f>
        <v>0.0987068556680294</v>
      </c>
      <c r="V98" s="142" t="n">
        <f aca="false">IF(V97&lt;0,"NMF",IF(ABS(V95/V97)&gt;1,"NMF",V95/V97))</f>
        <v>0.0945920889371277</v>
      </c>
      <c r="W98" s="143" t="n">
        <f aca="false">IF(W97&lt;0,"NMF",IF(ABS(W95/W97)&gt;1,"NMF",W95/W97))</f>
        <v>0.108923767140119</v>
      </c>
      <c r="X98" s="143" t="n">
        <f aca="false">IF(X97&lt;0,"NMF",IF(ABS(X95/X97)&gt;1,"NMF",X95/X97))</f>
        <v>0.109553887638291</v>
      </c>
      <c r="Y98" s="143" t="n">
        <f aca="false">IF(Y97&lt;0,"NMF",IF(ABS(Y95/Y97)&gt;1,"NMF",Y95/Y97))</f>
        <v>0.113546413225148</v>
      </c>
      <c r="Z98" s="143" t="n">
        <f aca="false">IF(Z97&lt;0,"NMF",IF(ABS(Z95/Z97)&gt;1,"NMF",Z95/Z97))</f>
        <v>0.123052182887342</v>
      </c>
      <c r="AA98" s="142" t="n">
        <f aca="false">IF(AA97&lt;0,"NMF",IF(ABS(AA95/AA97)&gt;1,"NMF",AA95/AA97))</f>
        <v>0.122159663063808</v>
      </c>
      <c r="AB98" s="143" t="n">
        <f aca="false">IF(AB97&lt;0,"NMF",IF(ABS(AB95/AB97)&gt;1,"NMF",AB95/AB97))</f>
        <v>0.125509789348181</v>
      </c>
      <c r="AC98" s="143" t="n">
        <f aca="false">IF(AC97&lt;0,"NMF",IF(ABS(AC95/AC97)&gt;1,"NMF",AC95/AC97))</f>
        <v>0.129029216983642</v>
      </c>
      <c r="AD98" s="143" t="n">
        <f aca="false">IF(AD97&lt;0,"NMF",IF(ABS(AD95/AD97)&gt;1,"NMF",AD95/AD97))</f>
        <v>0.132015080791913</v>
      </c>
      <c r="AE98" s="143" t="n">
        <f aca="false">IF(AE97&lt;0,"NMF",IF(ABS(AE95/AE97)&gt;1,"NMF",AE95/AE97))</f>
        <v>0.135968379547971</v>
      </c>
      <c r="AF98" s="142" t="n">
        <f aca="false">IF(AF97&lt;0,"NMF",IF(ABS(AF95/AF97)&gt;1,"NMF",AF95/AF97))</f>
        <v>0.136514165530713</v>
      </c>
      <c r="AG98" s="143" t="n">
        <f aca="false">IF(AG97&lt;0,"NMF",IF(ABS(AG95/AG97)&gt;1,"NMF",AG95/AG97))</f>
        <v>0.123587493175255</v>
      </c>
      <c r="AH98" s="143" t="n">
        <f aca="false">IF(AH97&lt;0,"NMF",IF(ABS(AH95/AH97)&gt;1,"NMF",AH95/AH97))</f>
        <v>0.116424572317204</v>
      </c>
      <c r="AI98" s="143" t="n">
        <f aca="false">IF(AI97&lt;0,"NMF",IF(ABS(AI95/AI97)&gt;1,"NMF",AI95/AI97))</f>
        <v>0.111911516433332</v>
      </c>
      <c r="AJ98" s="143" t="n">
        <f aca="false">IF(AJ97&lt;0,"NMF",IF(ABS(AJ95/AJ97)&gt;1,"NMF",AJ95/AJ97))</f>
        <v>0.125004539954004</v>
      </c>
      <c r="AK98" s="142" t="n">
        <f aca="false">IF(AK97&lt;0,"NMF",IF(ABS(AK95/AK97)&gt;1,"NMF",AK95/AK97))</f>
        <v>0.122319037378999</v>
      </c>
      <c r="AL98" s="143" t="n">
        <f aca="false">IF(AL97&lt;0,"NMF",IF(ABS(AL95/AL97)&gt;1,"NMF",AL95/AL97))</f>
        <v>0.122506137023698</v>
      </c>
      <c r="AM98" s="143" t="n">
        <f aca="false">IF(AM97&lt;0,"NMF",IF(ABS(AM95/AM97)&gt;1,"NMF",AM95/AM97))</f>
        <v>0.128812671135727</v>
      </c>
      <c r="AN98" s="143" t="n">
        <f aca="false">IF(AN97&lt;0,"NMF",IF(ABS(AN95/AN97)&gt;1,"NMF",AN95/AN97))</f>
        <v>0.140671195312886</v>
      </c>
      <c r="AO98" s="143" t="n">
        <f aca="false">IF(AO97&lt;0,"NMF",IF(ABS(AO95/AO97)&gt;1,"NMF",AO95/AO97))</f>
        <v>0.142911313678505</v>
      </c>
      <c r="AP98" s="142" t="n">
        <f aca="false">IF(AP97&lt;0,"NMF",IF(ABS(AP95/AP97)&gt;1,"NMF",AP95/AP97))</f>
        <v>0.143652382741147</v>
      </c>
      <c r="AQ98" s="143" t="n">
        <f aca="false">IF(AQ97&lt;0,"NMF",IF(ABS(AQ95/AQ97)&gt;1,"NMF",AQ95/AQ97))</f>
        <v>0.173611549065443</v>
      </c>
      <c r="AR98" s="143" t="n">
        <f aca="false">IF(AR97&lt;0,"NMF",IF(ABS(AR95/AR97)&gt;1,"NMF",AR95/AR97))</f>
        <v>0.1787063015223</v>
      </c>
      <c r="AS98" s="143" t="n">
        <f aca="false">IF(AS97&lt;0,"NMF",IF(ABS(AS95/AS97)&gt;1,"NMF",AS95/AS97))</f>
        <v>0.200551669741552</v>
      </c>
      <c r="AT98" s="143" t="n">
        <f aca="false">IF(AT97&lt;0,"NMF",IF(ABS(AT95/AT97)&gt;1,"NMF",AT95/AT97))</f>
        <v>0.210411410613954</v>
      </c>
      <c r="AU98" s="142" t="n">
        <f aca="false">IF(AU97&lt;0,"NMF",IF(ABS(AU95/AU97)&gt;1,"NMF",AU95/AU97))</f>
        <v>0.205960593884673</v>
      </c>
      <c r="AV98" s="143" t="n">
        <f aca="false">IF(AV97&lt;0,"NMF",IF(ABS(AV95/AV97)&gt;1,"NMF",AV95/AV97))</f>
        <v>0.18301764998576</v>
      </c>
      <c r="AW98" s="143" t="n">
        <f aca="false">IF(AW97&lt;0,"NMF",IF(ABS(AW95/AW97)&gt;1,"NMF",AW95/AW97))</f>
        <v>0.189242783772219</v>
      </c>
      <c r="AX98" s="143" t="n">
        <f aca="false">IF(AX97&lt;0,"NMF",IF(ABS(AX95/AX97)&gt;1,"NMF",AX95/AX97))</f>
        <v>0.17981299809101</v>
      </c>
      <c r="AY98" s="143" t="n">
        <f aca="false">IF(AY97&lt;0,"NMF",IF(ABS(AY95/AY97)&gt;1,"NMF",AY95/AY97))</f>
        <v>0.172574697375574</v>
      </c>
      <c r="AZ98" s="142" t="n">
        <f aca="false">IF(AZ97&lt;0,"NMF",IF(ABS(AZ95/AZ97)&gt;1,"NMF",AZ95/AZ97))</f>
        <v>0.170212560174511</v>
      </c>
      <c r="BA98" s="143" t="n">
        <f aca="false">IF(BA97&lt;0,"NMF",IF(ABS(BA95/BA97)&gt;1,"NMF",BA95/BA97))</f>
        <v>0.202669357067849</v>
      </c>
      <c r="BB98" s="143" t="n">
        <f aca="false">IF(BB97&lt;0,"NMF",IF(ABS(BB95/BB97)&gt;1,"NMF",BB95/BB97))</f>
        <v>0.209855585473614</v>
      </c>
      <c r="BC98" s="143" t="n">
        <f aca="false">IF(BC97&lt;0,"NMF",IF(ABS(BC95/BC97)&gt;1,"NMF",BC95/BC97))</f>
        <v>0.20781661789477</v>
      </c>
      <c r="BD98" s="143" t="n">
        <f aca="false">IF(BD97&lt;0,"NMF",IF(ABS(BD95/BD97)&gt;1,"NMF",BD95/BD97))</f>
        <v>0.208742931965426</v>
      </c>
      <c r="BE98" s="142" t="n">
        <f aca="false">IF(BE97&lt;0,"NMF",IF(ABS(BE95/BE97)&gt;1,"NMF",BE95/BE97))</f>
        <v>0.204678545587883</v>
      </c>
      <c r="BF98" s="143" t="n">
        <f aca="false">IF(BF97&lt;0,"NMF",IF(ABS(BF95/BF97)&gt;1,"NMF",BF95/BF97))</f>
        <v>0.184060149517965</v>
      </c>
      <c r="BG98" s="143" t="n">
        <f aca="false">IF(BG97&lt;0,"NMF",IF(ABS(BG95/BG97)&gt;1,"NMF",BG95/BG97))</f>
        <v>0.170951111945767</v>
      </c>
      <c r="BH98" s="143" t="n">
        <f aca="false">IF(BH97&lt;0,"NMF",IF(ABS(BH95/BH97)&gt;1,"NMF",BH95/BH97))</f>
        <v>0.171149798206688</v>
      </c>
      <c r="BI98" s="143" t="n">
        <f aca="false">IF(BI97&lt;0,"NMF",IF(ABS(BI95/BI97)&gt;1,"NMF",BI95/BI97))</f>
        <v>0.177623669140533</v>
      </c>
      <c r="BJ98" s="142" t="n">
        <f aca="false">IF(BJ97&lt;0,"NMF",IF(ABS(BJ95/BJ97)&gt;1,"NMF",BJ95/BJ97))</f>
        <v>0.170652602672247</v>
      </c>
      <c r="BK98" s="143" t="n">
        <f aca="false">IF(BK97&lt;0,"NMF",IF(ABS(BK95/BK97)&gt;1,"NMF",BK95/BK97))</f>
        <v>0.196345524879432</v>
      </c>
      <c r="BL98" s="143" t="n">
        <f aca="false">IF(BL97&lt;0,"NMF",IF(ABS(BL95/BL97)&gt;1,"NMF",BL95/BL97))</f>
        <v>0.206977502524599</v>
      </c>
      <c r="BM98" s="143" t="n">
        <f aca="false">IF(BM97&lt;0,"NMF",IF(ABS(BM95/BM97)&gt;1,"NMF",BM95/BM97))</f>
        <v>0.203910832285779</v>
      </c>
      <c r="BN98" s="143" t="n">
        <f aca="false">IF(BN97&lt;0,"NMF",IF(ABS(BN95/BN97)&gt;1,"NMF",BN95/BN97))</f>
        <v>0.204794834917189</v>
      </c>
      <c r="BO98" s="144" t="n">
        <f aca="false">IF(BO97&lt;0,"NMF",IF(ABS(BO95/BO97)&gt;1,"NMF",BO95/BO97))</f>
        <v>0.19207749030439</v>
      </c>
      <c r="BP98" s="143" t="n">
        <f aca="false">IF(BP97&lt;0,"NMF",IF(ABS(BP95/BP97)&gt;1,"NMF",BP95/BP97))</f>
        <v>0.19572542914165</v>
      </c>
      <c r="BQ98" s="143" t="n">
        <f aca="false">IF(BQ97&lt;0,"NMF",IF(ABS(BQ95/BQ97)&gt;1,"NMF",BQ95/BQ97))</f>
        <v>0.193626013694816</v>
      </c>
      <c r="BR98" s="143" t="n">
        <f aca="false">IF(BR97&lt;0,"NMF",IF(ABS(BR95/BR97)&gt;1,"NMF",BR95/BR97))</f>
        <v>0.189068980266636</v>
      </c>
      <c r="BS98" s="143" t="n">
        <f aca="false">IF(BS97&lt;0,"NMF",IF(ABS(BS95/BS97)&gt;1,"NMF",BS95/BS97))</f>
        <v>0.1833808836538</v>
      </c>
      <c r="BT98" s="142" t="n">
        <f aca="false">IF(BT97&lt;0,"NMF",IF(ABS(BT95/BT97)&gt;1,"NMF",BT95/BT97))</f>
        <v>0.198895904391192</v>
      </c>
      <c r="BU98" s="143" t="n">
        <f aca="false">IF(BU97&lt;0,"NMF",IF(ABS(BU95/BU97)&gt;1,"NMF",BU95/BU97))</f>
        <v>0.177844465599481</v>
      </c>
      <c r="BV98" s="143" t="n">
        <f aca="false">IF(BV97&lt;0,"NMF",IF(ABS(BV95/BV97)&gt;1,"NMF",BV95/BV97))</f>
        <v>0.180011236952387</v>
      </c>
      <c r="BW98" s="143" t="n">
        <f aca="false">IF(BW97&lt;0,"NMF",IF(ABS(BW95/BW97)&gt;1,"NMF",BW95/BW97))</f>
        <v>0.181309679122683</v>
      </c>
      <c r="BX98" s="143" t="n">
        <f aca="false">IF(BX97&lt;0,"NMF",IF(ABS(BX95/BX97)&gt;1,"NMF",BX95/BX97))</f>
        <v>0.180888325478386</v>
      </c>
      <c r="BY98" s="142" t="n">
        <f aca="false">IF(BY97&lt;0,"NMF",IF(ABS(BY95/BY97)&gt;1,"NMF",BY95/BY97))</f>
        <v>0.193641805761483</v>
      </c>
      <c r="BZ98" s="142" t="n">
        <f aca="false">IF(BZ97&lt;0,"NMF",IF(ABS(BZ95/BZ97)&gt;1,"NMF",BZ95/BZ97))</f>
        <v>0.192533589828781</v>
      </c>
      <c r="CA98" s="142" t="n">
        <f aca="false">IF(CA97&lt;0,"NMF",IF(ABS(CA95/CA97)&gt;1,"NMF",CA95/CA97))</f>
        <v>0.171264908509131</v>
      </c>
      <c r="CB98" s="142" t="n">
        <f aca="false">IF(CB97&lt;0,"NMF",IF(ABS(CB95/CB97)&gt;1,"NMF",CB95/CB97))</f>
        <v>0.15785334626379</v>
      </c>
      <c r="CC98" s="374"/>
    </row>
    <row r="99" customFormat="false" ht="15" hidden="true" customHeight="true" outlineLevel="1" collapsed="false">
      <c r="A99" s="145" t="s">
        <v>828</v>
      </c>
      <c r="B99" s="254"/>
      <c r="C99" s="214" t="n">
        <f aca="false">INDEX(MO_BSS_Debt_Net,0,COLUMN())+INDEX(MO_BSS_Cash,0,COLUMN())</f>
        <v>699.756</v>
      </c>
      <c r="D99" s="214" t="n">
        <f aca="false">INDEX(MO_BSS_Debt_Net,0,COLUMN())+INDEX(MO_BSS_Cash,0,COLUMN())</f>
        <v>710.06</v>
      </c>
      <c r="E99" s="214" t="n">
        <f aca="false">INDEX(MO_BSS_Debt_Net,0,COLUMN())+INDEX(MO_BSS_Cash,0,COLUMN())</f>
        <v>736.368</v>
      </c>
      <c r="F99" s="214" t="n">
        <f aca="false">INDEX(MO_BSS_Debt_Net,0,COLUMN())+INDEX(MO_BSS_Cash,0,COLUMN())</f>
        <v>759.49</v>
      </c>
      <c r="G99" s="214" t="n">
        <f aca="false">INDEX(MO_BSS_Debt_Net,0,COLUMN())+INDEX(MO_BSS_Cash,0,COLUMN())</f>
        <v>1074.57</v>
      </c>
      <c r="H99" s="215" t="n">
        <f aca="false">INDEX(MO_BSS_Debt_Net,0,COLUMN())+INDEX(MO_BSS_Cash,0,COLUMN())</f>
        <v>1101.685</v>
      </c>
      <c r="I99" s="215" t="n">
        <f aca="false">INDEX(MO_BSS_Debt_Net,0,COLUMN())+INDEX(MO_BSS_Cash,0,COLUMN())</f>
        <v>1122.785</v>
      </c>
      <c r="J99" s="215" t="n">
        <f aca="false">INDEX(MO_BSS_Debt_Net,0,COLUMN())+INDEX(MO_BSS_Cash,0,COLUMN())</f>
        <v>1141.785</v>
      </c>
      <c r="K99" s="215" t="n">
        <f aca="false">INDEX(MO_BSS_Debt_Net,0,COLUMN())+INDEX(MO_BSS_Cash,0,COLUMN())</f>
        <v>1154.137</v>
      </c>
      <c r="L99" s="214" t="n">
        <f aca="false">INDEX(MO_BSS_Debt_Net,0,COLUMN())+INDEX(MO_BSS_Cash,0,COLUMN())</f>
        <v>1154.137</v>
      </c>
      <c r="M99" s="215" t="n">
        <f aca="false">INDEX(MO_BSS_Debt_Net,0,COLUMN())+INDEX(MO_BSS_Cash,0,COLUMN())</f>
        <v>1159.761</v>
      </c>
      <c r="N99" s="215" t="n">
        <f aca="false">INDEX(MO_BSS_Debt_Net,0,COLUMN())+INDEX(MO_BSS_Cash,0,COLUMN())</f>
        <v>1120.061</v>
      </c>
      <c r="O99" s="215" t="n">
        <f aca="false">INDEX(MO_BSS_Debt_Net,0,COLUMN())+INDEX(MO_BSS_Cash,0,COLUMN())</f>
        <v>1129.561</v>
      </c>
      <c r="P99" s="215" t="n">
        <f aca="false">INDEX(MO_BSS_Debt_Net,0,COLUMN())+INDEX(MO_BSS_Cash,0,COLUMN())</f>
        <v>1129.685</v>
      </c>
      <c r="Q99" s="214" t="n">
        <f aca="false">INDEX(MO_BSS_Debt_Net,0,COLUMN())+INDEX(MO_BSS_Cash,0,COLUMN())</f>
        <v>1129.685</v>
      </c>
      <c r="R99" s="215" t="n">
        <f aca="false">INDEX(MO_BSS_Debt_Net,0,COLUMN())+INDEX(MO_BSS_Cash,0,COLUMN())</f>
        <v>1148.511</v>
      </c>
      <c r="S99" s="215" t="n">
        <f aca="false">INDEX(MO_BSS_Debt_Net,0,COLUMN())+INDEX(MO_BSS_Cash,0,COLUMN())</f>
        <v>906.111</v>
      </c>
      <c r="T99" s="215" t="n">
        <f aca="false">INDEX(MO_BSS_Debt_Net,0,COLUMN())+INDEX(MO_BSS_Cash,0,COLUMN())</f>
        <v>2394.811</v>
      </c>
      <c r="U99" s="215" t="n">
        <f aca="false">INDEX(MO_BSS_Debt_Net,0,COLUMN())+INDEX(MO_BSS_Cash,0,COLUMN())</f>
        <v>3319.5</v>
      </c>
      <c r="V99" s="214" t="n">
        <f aca="false">INDEX(MO_BSS_Debt_Net,0,COLUMN())+INDEX(MO_BSS_Cash,0,COLUMN())</f>
        <v>3319.5</v>
      </c>
      <c r="W99" s="215" t="n">
        <f aca="false">INDEX(MO_BSS_Debt_Net,0,COLUMN())+INDEX(MO_BSS_Cash,0,COLUMN())</f>
        <v>3288</v>
      </c>
      <c r="X99" s="215" t="n">
        <f aca="false">INDEX(MO_BSS_Debt_Net,0,COLUMN())+INDEX(MO_BSS_Cash,0,COLUMN())</f>
        <v>3243.2</v>
      </c>
      <c r="Y99" s="215" t="n">
        <f aca="false">INDEX(MO_BSS_Debt_Net,0,COLUMN())+INDEX(MO_BSS_Cash,0,COLUMN())</f>
        <v>3244.4</v>
      </c>
      <c r="Z99" s="215" t="n">
        <f aca="false">INDEX(MO_BSS_Debt_Net,0,COLUMN())+INDEX(MO_BSS_Cash,0,COLUMN())</f>
        <v>3025.3</v>
      </c>
      <c r="AA99" s="214" t="n">
        <f aca="false">INDEX(MO_BSS_Debt_Net,0,COLUMN())+INDEX(MO_BSS_Cash,0,COLUMN())</f>
        <v>3025.3</v>
      </c>
      <c r="AB99" s="215" t="n">
        <f aca="false">INDEX(MO_BSS_Debt_Net,0,COLUMN())+INDEX(MO_BSS_Cash,0,COLUMN())</f>
        <v>3003.8</v>
      </c>
      <c r="AC99" s="215" t="n">
        <f aca="false">INDEX(MO_BSS_Debt_Net,0,COLUMN())+INDEX(MO_BSS_Cash,0,COLUMN())</f>
        <v>3032.9</v>
      </c>
      <c r="AD99" s="215" t="n">
        <f aca="false">INDEX(MO_BSS_Debt_Net,0,COLUMN())+INDEX(MO_BSS_Cash,0,COLUMN())</f>
        <v>3011.1</v>
      </c>
      <c r="AE99" s="215" t="n">
        <f aca="false">INDEX(MO_BSS_Debt_Net,0,COLUMN())+INDEX(MO_BSS_Cash,0,COLUMN())</f>
        <v>3026.5</v>
      </c>
      <c r="AF99" s="214" t="n">
        <f aca="false">INDEX(MO_BSS_Debt_Net,0,COLUMN())+INDEX(MO_BSS_Cash,0,COLUMN())</f>
        <v>3026.5</v>
      </c>
      <c r="AG99" s="215" t="n">
        <f aca="false">INDEX(MO_BSS_Debt_Net,0,COLUMN())+INDEX(MO_BSS_Cash,0,COLUMN())</f>
        <v>3082.5</v>
      </c>
      <c r="AH99" s="215" t="n">
        <f aca="false">INDEX(MO_BSS_Debt_Net,0,COLUMN())+INDEX(MO_BSS_Cash,0,COLUMN())</f>
        <v>3132.4</v>
      </c>
      <c r="AI99" s="215" t="n">
        <f aca="false">INDEX(MO_BSS_Debt_Net,0,COLUMN())+INDEX(MO_BSS_Cash,0,COLUMN())</f>
        <v>3170</v>
      </c>
      <c r="AJ99" s="215" t="n">
        <f aca="false">INDEX(MO_BSS_Debt_Net,0,COLUMN())+INDEX(MO_BSS_Cash,0,COLUMN())</f>
        <v>3108.3</v>
      </c>
      <c r="AK99" s="214" t="n">
        <f aca="false">INDEX(MO_BSS_Debt_Net,0,COLUMN())+INDEX(MO_BSS_Cash,0,COLUMN())</f>
        <v>3108.3</v>
      </c>
      <c r="AL99" s="215" t="n">
        <f aca="false">INDEX(MO_BSS_Debt_Net,0,COLUMN())+INDEX(MO_BSS_Cash,0,COLUMN())</f>
        <v>3868.2</v>
      </c>
      <c r="AM99" s="215" t="n">
        <f aca="false">INDEX(MO_BSS_Debt_Net,0,COLUMN())+INDEX(MO_BSS_Cash,0,COLUMN())</f>
        <v>4625</v>
      </c>
      <c r="AN99" s="215" t="n">
        <f aca="false">INDEX(MO_BSS_Debt_Net,0,COLUMN())+INDEX(MO_BSS_Cash,0,COLUMN())</f>
        <v>4626.7</v>
      </c>
      <c r="AO99" s="215" t="n">
        <f aca="false">INDEX(MO_BSS_Debt_Net,0,COLUMN())+INDEX(MO_BSS_Cash,0,COLUMN())</f>
        <v>4678.2</v>
      </c>
      <c r="AP99" s="214" t="n">
        <f aca="false">INDEX(MO_BSS_Debt_Net,0,COLUMN())+INDEX(MO_BSS_Cash,0,COLUMN())</f>
        <v>4678.2</v>
      </c>
      <c r="AQ99" s="215" t="n">
        <f aca="false">INDEX(MO_BSS_Debt_Net,0,COLUMN())+INDEX(MO_BSS_Cash,0,COLUMN())</f>
        <v>4649.6</v>
      </c>
      <c r="AR99" s="215" t="n">
        <f aca="false">INDEX(MO_BSS_Debt_Net,0,COLUMN())+INDEX(MO_BSS_Cash,0,COLUMN())</f>
        <v>4635.3</v>
      </c>
      <c r="AS99" s="215" t="n">
        <f aca="false">INDEX(MO_BSS_Debt_Net,0,COLUMN())+INDEX(MO_BSS_Cash,0,COLUMN())</f>
        <v>4121.2</v>
      </c>
      <c r="AT99" s="215" t="n">
        <f aca="false">INDEX(MO_BSS_Debt_Net,0,COLUMN())+INDEX(MO_BSS_Cash,0,COLUMN())</f>
        <v>4584.1</v>
      </c>
      <c r="AU99" s="214" t="n">
        <f aca="false">INDEX(MO_BSS_Debt_Net,0,COLUMN())+INDEX(MO_BSS_Cash,0,COLUMN())</f>
        <v>4584.1</v>
      </c>
      <c r="AV99" s="215" t="n">
        <f aca="false">INDEX(MO_BSS_Debt_Net,0,COLUMN())+INDEX(MO_BSS_Cash,0,COLUMN())</f>
        <v>4460.8</v>
      </c>
      <c r="AW99" s="215" t="n">
        <f aca="false">INDEX(MO_BSS_Debt_Net,0,COLUMN())+INDEX(MO_BSS_Cash,0,COLUMN())</f>
        <v>4894.4</v>
      </c>
      <c r="AX99" s="215" t="n">
        <f aca="false">INDEX(MO_BSS_Debt_Net,0,COLUMN())+INDEX(MO_BSS_Cash,0,COLUMN())</f>
        <v>4012.2</v>
      </c>
      <c r="AY99" s="215" t="n">
        <f aca="false">INDEX(MO_BSS_Debt_Net,0,COLUMN())+INDEX(MO_BSS_Cash,0,COLUMN())</f>
        <v>4260.4</v>
      </c>
      <c r="AZ99" s="214" t="n">
        <f aca="false">INDEX(MO_BSS_Debt_Net,0,COLUMN())+INDEX(MO_BSS_Cash,0,COLUMN())</f>
        <v>4260.4</v>
      </c>
      <c r="BA99" s="215" t="n">
        <f aca="false">INDEX(MO_BSS_Debt_Net,0,COLUMN())+INDEX(MO_BSS_Cash,0,COLUMN())</f>
        <v>4282.2</v>
      </c>
      <c r="BB99" s="215" t="n">
        <f aca="false">INDEX(MO_BSS_Debt_Net,0,COLUMN())+INDEX(MO_BSS_Cash,0,COLUMN())</f>
        <v>5264</v>
      </c>
      <c r="BC99" s="215" t="n">
        <f aca="false">INDEX(MO_BSS_Debt_Net,0,COLUMN())+INDEX(MO_BSS_Cash,0,COLUMN())</f>
        <v>5268.5</v>
      </c>
      <c r="BD99" s="215" t="n">
        <f aca="false">INDEX(MO_BSS_Debt_Net,0,COLUMN())+INDEX(MO_BSS_Cash,0,COLUMN())</f>
        <v>4631.6</v>
      </c>
      <c r="BE99" s="214" t="n">
        <f aca="false">INDEX(MO_BSS_Debt_Net,0,COLUMN())+INDEX(MO_BSS_Cash,0,COLUMN())</f>
        <v>4631.6</v>
      </c>
      <c r="BF99" s="215" t="n">
        <f aca="false">INDEX(MO_BSS_Debt_Net,0,COLUMN())+INDEX(MO_BSS_Cash,0,COLUMN())</f>
        <v>4612.1</v>
      </c>
      <c r="BG99" s="215" t="n">
        <f aca="false">INDEX(MO_BSS_Debt_Net,0,COLUMN())+INDEX(MO_BSS_Cash,0,COLUMN())</f>
        <v>4608.3</v>
      </c>
      <c r="BH99" s="215" t="n">
        <f aca="false">INDEX(MO_BSS_Debt_Net,0,COLUMN())+INDEX(MO_BSS_Cash,0,COLUMN())</f>
        <v>4692.3</v>
      </c>
      <c r="BI99" s="215" t="n">
        <f aca="false">INDEX(MO_BSS_Debt_Net,0,COLUMN())+INDEX(MO_BSS_Cash,0,COLUMN())</f>
        <v>4687.6</v>
      </c>
      <c r="BJ99" s="214" t="n">
        <f aca="false">INDEX(MO_BSS_Debt_Net,0,COLUMN())+INDEX(MO_BSS_Cash,0,COLUMN())</f>
        <v>4687.6</v>
      </c>
      <c r="BK99" s="215" t="n">
        <f aca="false">INDEX(MO_BSS_Debt_Net,0,COLUMN())+INDEX(MO_BSS_Cash,0,COLUMN())</f>
        <v>4691.3</v>
      </c>
      <c r="BL99" s="215" t="n">
        <f aca="false">INDEX(MO_BSS_Debt_Net,0,COLUMN())+INDEX(MO_BSS_Cash,0,COLUMN())</f>
        <v>4709.2</v>
      </c>
      <c r="BM99" s="215" t="n">
        <f aca="false">INDEX(MO_BSS_Debt_Net,0,COLUMN())+INDEX(MO_BSS_Cash,0,COLUMN())</f>
        <v>3715</v>
      </c>
      <c r="BN99" s="215" t="n">
        <f aca="false">INDEX(MO_BSS_Debt_Net,0,COLUMN())+INDEX(MO_BSS_Cash,0,COLUMN())</f>
        <v>4759.136</v>
      </c>
      <c r="BO99" s="218" t="n">
        <f aca="false">INDEX(MO_BSS_Debt_Net,0,COLUMN())+INDEX(MO_BSS_Cash,0,COLUMN())</f>
        <v>4759.136</v>
      </c>
      <c r="BP99" s="215" t="n">
        <f aca="false">INDEX(MO_BSS_Debt_Net,0,COLUMN())+INDEX(MO_BSS_Cash,0,COLUMN())</f>
        <v>4759.136</v>
      </c>
      <c r="BQ99" s="215" t="n">
        <f aca="false">INDEX(MO_BSS_Debt_Net,0,COLUMN())+INDEX(MO_BSS_Cash,0,COLUMN())</f>
        <v>4759.136</v>
      </c>
      <c r="BR99" s="215" t="n">
        <f aca="false">INDEX(MO_BSS_Debt_Net,0,COLUMN())+INDEX(MO_BSS_Cash,0,COLUMN())</f>
        <v>4759.136</v>
      </c>
      <c r="BS99" s="215" t="n">
        <f aca="false">INDEX(MO_BSS_Debt_Net,0,COLUMN())+INDEX(MO_BSS_Cash,0,COLUMN())</f>
        <v>4759.136</v>
      </c>
      <c r="BT99" s="214" t="n">
        <f aca="false">INDEX(MO_BSS_Debt_Net,0,COLUMN())+INDEX(MO_BSS_Cash,0,COLUMN())</f>
        <v>4759.136</v>
      </c>
      <c r="BU99" s="215" t="n">
        <f aca="false">INDEX(MO_BSS_Debt_Net,0,COLUMN())+INDEX(MO_BSS_Cash,0,COLUMN())</f>
        <v>4759.136</v>
      </c>
      <c r="BV99" s="215" t="n">
        <f aca="false">INDEX(MO_BSS_Debt_Net,0,COLUMN())+INDEX(MO_BSS_Cash,0,COLUMN())</f>
        <v>4759.136</v>
      </c>
      <c r="BW99" s="215" t="n">
        <f aca="false">INDEX(MO_BSS_Debt_Net,0,COLUMN())+INDEX(MO_BSS_Cash,0,COLUMN())</f>
        <v>4759.136</v>
      </c>
      <c r="BX99" s="215" t="n">
        <f aca="false">INDEX(MO_BSS_Debt_Net,0,COLUMN())+INDEX(MO_BSS_Cash,0,COLUMN())</f>
        <v>4759.136</v>
      </c>
      <c r="BY99" s="214" t="n">
        <f aca="false">INDEX(MO_BSS_Debt_Net,0,COLUMN())+INDEX(MO_BSS_Cash,0,COLUMN())</f>
        <v>4759.136</v>
      </c>
      <c r="BZ99" s="214" t="n">
        <f aca="false">INDEX(MO_BSS_Debt_Net,0,COLUMN())+INDEX(MO_BSS_Cash,0,COLUMN())</f>
        <v>4759.136</v>
      </c>
      <c r="CA99" s="214" t="n">
        <f aca="false">INDEX(MO_BSS_Debt_Net,0,COLUMN())+INDEX(MO_BSS_Cash,0,COLUMN())</f>
        <v>4759.136</v>
      </c>
      <c r="CB99" s="214" t="n">
        <f aca="false">INDEX(MO_BSS_Debt_Net,0,COLUMN())+INDEX(MO_BSS_Cash,0,COLUMN())</f>
        <v>4759.136</v>
      </c>
      <c r="CC99" s="48"/>
    </row>
    <row r="100" customFormat="false" ht="15" hidden="true" customHeight="true" outlineLevel="1" collapsed="false">
      <c r="A100" s="145" t="s">
        <v>829</v>
      </c>
      <c r="B100" s="254"/>
      <c r="C100" s="214" t="n">
        <f aca="false">C99</f>
        <v>699.756</v>
      </c>
      <c r="D100" s="214" t="n">
        <f aca="false">AVERAGE(D99,C99)</f>
        <v>704.908</v>
      </c>
      <c r="E100" s="214" t="n">
        <f aca="false">AVERAGE(E99,D99)</f>
        <v>723.214</v>
      </c>
      <c r="F100" s="214" t="n">
        <f aca="false">AVERAGE(F99,E99)</f>
        <v>747.929</v>
      </c>
      <c r="G100" s="214" t="n">
        <f aca="false">AVERAGE(G99,F99)</f>
        <v>917.03</v>
      </c>
      <c r="H100" s="215"/>
      <c r="I100" s="215"/>
      <c r="J100" s="215"/>
      <c r="K100" s="215" t="n">
        <f aca="false">AVERAGE(K99,J99,I99,H99)</f>
        <v>1130.098</v>
      </c>
      <c r="L100" s="214" t="n">
        <f aca="false">AVERAGE(L99,G99)</f>
        <v>1114.3535</v>
      </c>
      <c r="M100" s="215" t="n">
        <f aca="false">AVERAGE(M99,K99,J99,I99)</f>
        <v>1144.617</v>
      </c>
      <c r="N100" s="215" t="n">
        <f aca="false">AVERAGE(N99,M99,K99,J99)</f>
        <v>1143.936</v>
      </c>
      <c r="O100" s="215" t="n">
        <f aca="false">AVERAGE(O99,N99,M99,K99)</f>
        <v>1140.88</v>
      </c>
      <c r="P100" s="215" t="n">
        <f aca="false">AVERAGE(P99,O99,N99,M99)</f>
        <v>1134.767</v>
      </c>
      <c r="Q100" s="214" t="n">
        <f aca="false">AVERAGE(Q99,L99)</f>
        <v>1141.911</v>
      </c>
      <c r="R100" s="215" t="n">
        <f aca="false">AVERAGE(R99,P99,O99,N99)</f>
        <v>1131.9545</v>
      </c>
      <c r="S100" s="215" t="n">
        <f aca="false">AVERAGE(S99,R99,P99,O99)</f>
        <v>1078.467</v>
      </c>
      <c r="T100" s="215" t="n">
        <f aca="false">AVERAGE(T99,S99,R99,P99)</f>
        <v>1394.7795</v>
      </c>
      <c r="U100" s="215" t="n">
        <f aca="false">AVERAGE(U99,T99,S99,R99)</f>
        <v>1942.23325</v>
      </c>
      <c r="V100" s="214" t="n">
        <f aca="false">AVERAGE(V99,Q99)</f>
        <v>2224.5925</v>
      </c>
      <c r="W100" s="215" t="n">
        <f aca="false">AVERAGE(W99,U99,T99,S99)</f>
        <v>2477.1055</v>
      </c>
      <c r="X100" s="215" t="n">
        <f aca="false">AVERAGE(X99,W99,U99,T99)</f>
        <v>3061.37775</v>
      </c>
      <c r="Y100" s="215" t="n">
        <f aca="false">AVERAGE(Y99,X99,W99,U99)</f>
        <v>3273.775</v>
      </c>
      <c r="Z100" s="215" t="n">
        <f aca="false">AVERAGE(Z99,Y99,X99,W99)</f>
        <v>3200.225</v>
      </c>
      <c r="AA100" s="214" t="n">
        <f aca="false">AVERAGE(AA99,V99)</f>
        <v>3172.4</v>
      </c>
      <c r="AB100" s="215" t="n">
        <f aca="false">AVERAGE(AB99,Z99,Y99,X99)</f>
        <v>3129.175</v>
      </c>
      <c r="AC100" s="215" t="n">
        <f aca="false">AVERAGE(AC99,AB99,Z99,Y99)</f>
        <v>3076.6</v>
      </c>
      <c r="AD100" s="215" t="n">
        <f aca="false">AVERAGE(AD99,AC99,AB99,Z99)</f>
        <v>3018.275</v>
      </c>
      <c r="AE100" s="215" t="n">
        <f aca="false">AVERAGE(AE99,AD99,AC99,AB99)</f>
        <v>3018.575</v>
      </c>
      <c r="AF100" s="214" t="n">
        <f aca="false">AVERAGE(AF99,AA99)</f>
        <v>3025.9</v>
      </c>
      <c r="AG100" s="215" t="n">
        <f aca="false">AVERAGE(AG99,AE99,AD99,AC99)</f>
        <v>3038.25</v>
      </c>
      <c r="AH100" s="215" t="n">
        <f aca="false">AVERAGE(AH99,AG99,AE99,AD99)</f>
        <v>3063.125</v>
      </c>
      <c r="AI100" s="215" t="n">
        <f aca="false">AVERAGE(AI99,AH99,AG99,AE99)</f>
        <v>3102.85</v>
      </c>
      <c r="AJ100" s="215" t="n">
        <f aca="false">AVERAGE(AJ99,AI99,AH99,AG99)</f>
        <v>3123.3</v>
      </c>
      <c r="AK100" s="214" t="n">
        <f aca="false">AVERAGE(AK99,AF99)</f>
        <v>3067.4</v>
      </c>
      <c r="AL100" s="215" t="n">
        <f aca="false">AVERAGE(AL99,AJ99,AI99,AH99)</f>
        <v>3319.725</v>
      </c>
      <c r="AM100" s="215" t="n">
        <f aca="false">AVERAGE(AM99,AL99,AJ99,AI99)</f>
        <v>3692.875</v>
      </c>
      <c r="AN100" s="215" t="n">
        <f aca="false">AVERAGE(AN99,AM99,AL99,AJ99)</f>
        <v>4057.05</v>
      </c>
      <c r="AO100" s="215" t="n">
        <f aca="false">AVERAGE(AO99,AN99,AM99,AL99)</f>
        <v>4449.525</v>
      </c>
      <c r="AP100" s="214" t="n">
        <f aca="false">AVERAGE(AP99,AK99)</f>
        <v>3893.25</v>
      </c>
      <c r="AQ100" s="215" t="n">
        <f aca="false">AVERAGE(AQ99,AO99,AN99,AM99)</f>
        <v>4644.875</v>
      </c>
      <c r="AR100" s="215" t="n">
        <f aca="false">AVERAGE(AR99,AQ99,AO99,AN99)</f>
        <v>4647.45</v>
      </c>
      <c r="AS100" s="215" t="n">
        <f aca="false">AVERAGE(AS99,AR99,AQ99,AO99)</f>
        <v>4521.075</v>
      </c>
      <c r="AT100" s="215" t="n">
        <f aca="false">AVERAGE(AT99,AS99,AR99,AQ99)</f>
        <v>4497.55</v>
      </c>
      <c r="AU100" s="214" t="n">
        <f aca="false">AVERAGE(AU99,AP99)</f>
        <v>4631.15</v>
      </c>
      <c r="AV100" s="215" t="n">
        <f aca="false">AVERAGE(AV99,AT99,AS99,AR99)</f>
        <v>4450.35</v>
      </c>
      <c r="AW100" s="215" t="n">
        <f aca="false">AVERAGE(AW99,AV99,AT99,AS99)</f>
        <v>4515.125</v>
      </c>
      <c r="AX100" s="215" t="n">
        <f aca="false">AVERAGE(AX99,AW99,AV99,AT99)</f>
        <v>4487.875</v>
      </c>
      <c r="AY100" s="215" t="n">
        <f aca="false">AVERAGE(AY99,AX99,AW99,AV99)</f>
        <v>4406.95</v>
      </c>
      <c r="AZ100" s="214" t="n">
        <f aca="false">AVERAGE(AZ99,AU99)</f>
        <v>4422.25</v>
      </c>
      <c r="BA100" s="215" t="n">
        <f aca="false">AVERAGE(BA99,AY99,AX99,AW99)</f>
        <v>4362.3</v>
      </c>
      <c r="BB100" s="215" t="n">
        <f aca="false">AVERAGE(BB99,BA99,AY99,AX99)</f>
        <v>4454.7</v>
      </c>
      <c r="BC100" s="215" t="n">
        <f aca="false">AVERAGE(BC99,BB99,BA99,AY99)</f>
        <v>4768.775</v>
      </c>
      <c r="BD100" s="215" t="n">
        <f aca="false">AVERAGE(BD99,BC99,BB99,BA99)</f>
        <v>4861.575</v>
      </c>
      <c r="BE100" s="214" t="n">
        <f aca="false">AVERAGE(BE99,AZ99)</f>
        <v>4446</v>
      </c>
      <c r="BF100" s="215" t="n">
        <f aca="false">AVERAGE(BF99,BD99,BC99,BB99)</f>
        <v>4944.05</v>
      </c>
      <c r="BG100" s="215" t="n">
        <f aca="false">AVERAGE(BG99,BF99,BD99,BC99)</f>
        <v>4780.125</v>
      </c>
      <c r="BH100" s="215" t="n">
        <f aca="false">AVERAGE(BH99,BG99,BF99,BD99)</f>
        <v>4636.075</v>
      </c>
      <c r="BI100" s="215" t="n">
        <f aca="false">AVERAGE(BI99,BH99,BG99,BF99)</f>
        <v>4650.075</v>
      </c>
      <c r="BJ100" s="214" t="n">
        <f aca="false">AVERAGE(BJ99,BE99)</f>
        <v>4659.6</v>
      </c>
      <c r="BK100" s="215" t="n">
        <f aca="false">AVERAGE(BK99,BI99,BH99,BG99)</f>
        <v>4669.875</v>
      </c>
      <c r="BL100" s="215" t="n">
        <f aca="false">AVERAGE(BL99,BK99,BI99,BH99)</f>
        <v>4695.1</v>
      </c>
      <c r="BM100" s="215" t="n">
        <f aca="false">AVERAGE(BM99,BL99,BK99,BI99)</f>
        <v>4450.775</v>
      </c>
      <c r="BN100" s="215" t="n">
        <f aca="false">AVERAGE(BN99,BM99,BL99,BK99)</f>
        <v>4468.659</v>
      </c>
      <c r="BO100" s="218" t="n">
        <f aca="false">AVERAGE(BO99,BJ99)</f>
        <v>4723.368</v>
      </c>
      <c r="BP100" s="215" t="n">
        <f aca="false">AVERAGE(BP99,BN99,BM99,BL99)</f>
        <v>4485.618</v>
      </c>
      <c r="BQ100" s="215" t="n">
        <f aca="false">AVERAGE(BQ99,BP99,BN99,BM99)</f>
        <v>4498.102</v>
      </c>
      <c r="BR100" s="215" t="n">
        <f aca="false">AVERAGE(BR99,BQ99,BP99,BN99)</f>
        <v>4759.136</v>
      </c>
      <c r="BS100" s="215" t="n">
        <f aca="false">AVERAGE(BS99,BR99,BQ99,BP99)</f>
        <v>4759.136</v>
      </c>
      <c r="BT100" s="214" t="n">
        <f aca="false">AVERAGE(BT99,BO99)</f>
        <v>4759.136</v>
      </c>
      <c r="BU100" s="215" t="n">
        <f aca="false">AVERAGE(BU99,BS99,BR99,BQ99)</f>
        <v>4759.136</v>
      </c>
      <c r="BV100" s="215" t="n">
        <f aca="false">AVERAGE(BV99,BU99,BS99,BR99)</f>
        <v>4759.136</v>
      </c>
      <c r="BW100" s="215" t="n">
        <f aca="false">AVERAGE(BW99,BV99,BU99,BS99)</f>
        <v>4759.136</v>
      </c>
      <c r="BX100" s="215" t="n">
        <f aca="false">AVERAGE(BX99,BW99,BV99,BU99)</f>
        <v>4759.136</v>
      </c>
      <c r="BY100" s="214" t="n">
        <f aca="false">AVERAGE(BY99,BT99)</f>
        <v>4759.136</v>
      </c>
      <c r="BZ100" s="214" t="n">
        <f aca="false">AVERAGE(BZ99,BY99)</f>
        <v>4759.136</v>
      </c>
      <c r="CA100" s="214" t="n">
        <f aca="false">AVERAGE(CA99,BZ99)</f>
        <v>4759.136</v>
      </c>
      <c r="CB100" s="214" t="n">
        <f aca="false">AVERAGE(CB99,CA99)</f>
        <v>4759.136</v>
      </c>
      <c r="CC100" s="48"/>
    </row>
    <row r="101" customFormat="false" ht="15" hidden="true" customHeight="true" outlineLevel="1" collapsed="false">
      <c r="A101" s="145" t="s">
        <v>830</v>
      </c>
      <c r="B101" s="254"/>
      <c r="C101" s="214" t="n">
        <f aca="false">SUM(INDEX(SP_BSR_Debt_Avg,0,COLUMN()),INDEX(SP_BSR_SE_Avg,0,COLUMN()))</f>
        <v>2474.524</v>
      </c>
      <c r="D101" s="214" t="n">
        <f aca="false">SUM(INDEX(SP_BSR_Debt_Avg,0,COLUMN()),INDEX(SP_BSR_SE_Avg,0,COLUMN()))</f>
        <v>2979.246</v>
      </c>
      <c r="E101" s="214" t="n">
        <f aca="false">SUM(INDEX(SP_BSR_Debt_Avg,0,COLUMN()),INDEX(SP_BSR_SE_Avg,0,COLUMN()))</f>
        <v>3832.245</v>
      </c>
      <c r="F101" s="214" t="n">
        <f aca="false">SUM(INDEX(SP_BSR_Debt_Avg,0,COLUMN()),INDEX(SP_BSR_SE_Avg,0,COLUMN()))</f>
        <v>4503.4525</v>
      </c>
      <c r="G101" s="214" t="n">
        <f aca="false">SUM(INDEX(SP_BSR_Debt_Avg,0,COLUMN()),INDEX(SP_BSR_SE_Avg,0,COLUMN()))</f>
        <v>6411.69</v>
      </c>
      <c r="H101" s="215"/>
      <c r="I101" s="215"/>
      <c r="J101" s="215"/>
      <c r="K101" s="215" t="n">
        <f aca="false">SUM(INDEX(SP_BSR_Debt_Avg,0,COLUMN()),INDEX(SP_BSR_SE_Avg,0,COLUMN()))</f>
        <v>8373.5955</v>
      </c>
      <c r="L101" s="214" t="n">
        <f aca="false">SUM(INDEX(SP_BSR_Debt_Avg,0,COLUMN()),INDEX(SP_BSR_SE_Avg,0,COLUMN()))</f>
        <v>8331.862</v>
      </c>
      <c r="M101" s="215" t="n">
        <f aca="false">SUM(INDEX(SP_BSR_Debt_Avg,0,COLUMN()),INDEX(SP_BSR_SE_Avg,0,COLUMN()))</f>
        <v>8643.0895</v>
      </c>
      <c r="N101" s="215" t="n">
        <f aca="false">SUM(INDEX(SP_BSR_Debt_Avg,0,COLUMN()),INDEX(SP_BSR_SE_Avg,0,COLUMN()))</f>
        <v>8862.9585</v>
      </c>
      <c r="O101" s="215" t="n">
        <f aca="false">SUM(INDEX(SP_BSR_Debt_Avg,0,COLUMN()),INDEX(SP_BSR_SE_Avg,0,COLUMN()))</f>
        <v>9065.1025</v>
      </c>
      <c r="P101" s="215" t="n">
        <f aca="false">SUM(INDEX(SP_BSR_Debt_Avg,0,COLUMN()),INDEX(SP_BSR_SE_Avg,0,COLUMN()))</f>
        <v>9278.04975</v>
      </c>
      <c r="Q101" s="214" t="n">
        <f aca="false">SUM(INDEX(SP_BSR_Debt_Avg,0,COLUMN()),INDEX(SP_BSR_SE_Avg,0,COLUMN()))</f>
        <v>9092.6215</v>
      </c>
      <c r="R101" s="215" t="n">
        <f aca="false">SUM(INDEX(SP_BSR_Debt_Avg,0,COLUMN()),INDEX(SP_BSR_SE_Avg,0,COLUMN()))</f>
        <v>9331.88725</v>
      </c>
      <c r="S101" s="215" t="n">
        <f aca="false">SUM(INDEX(SP_BSR_Debt_Avg,0,COLUMN()),INDEX(SP_BSR_SE_Avg,0,COLUMN()))</f>
        <v>9325.04975</v>
      </c>
      <c r="T101" s="215" t="n">
        <f aca="false">SUM(INDEX(SP_BSR_Debt_Avg,0,COLUMN()),INDEX(SP_BSR_SE_Avg,0,COLUMN()))</f>
        <v>9733.43725</v>
      </c>
      <c r="U101" s="215" t="n">
        <f aca="false">SUM(INDEX(SP_BSR_Debt_Avg,0,COLUMN()),INDEX(SP_BSR_SE_Avg,0,COLUMN()))</f>
        <v>10638.78325</v>
      </c>
      <c r="V101" s="214" t="n">
        <f aca="false">SUM(INDEX(SP_BSR_Debt_Avg,0,COLUMN()),INDEX(SP_BSR_SE_Avg,0,COLUMN()))</f>
        <v>11329.208</v>
      </c>
      <c r="W101" s="215" t="n">
        <f aca="false">SUM(INDEX(SP_BSR_Debt_Avg,0,COLUMN()),INDEX(SP_BSR_SE_Avg,0,COLUMN()))</f>
        <v>11658.5555</v>
      </c>
      <c r="X101" s="215" t="n">
        <f aca="false">SUM(INDEX(SP_BSR_Debt_Avg,0,COLUMN()),INDEX(SP_BSR_SE_Avg,0,COLUMN()))</f>
        <v>12713.67775</v>
      </c>
      <c r="Y101" s="215" t="n">
        <f aca="false">SUM(INDEX(SP_BSR_Debt_Avg,0,COLUMN()),INDEX(SP_BSR_SE_Avg,0,COLUMN()))</f>
        <v>13384.475</v>
      </c>
      <c r="Z101" s="215" t="n">
        <f aca="false">SUM(INDEX(SP_BSR_Debt_Avg,0,COLUMN()),INDEX(SP_BSR_SE_Avg,0,COLUMN()))</f>
        <v>13524.875</v>
      </c>
      <c r="AA101" s="214" t="n">
        <f aca="false">SUM(INDEX(SP_BSR_Debt_Avg,0,COLUMN()),INDEX(SP_BSR_SE_Avg,0,COLUMN()))</f>
        <v>13420.7</v>
      </c>
      <c r="AB101" s="215" t="n">
        <f aca="false">SUM(INDEX(SP_BSR_Debt_Avg,0,COLUMN()),INDEX(SP_BSR_SE_Avg,0,COLUMN()))</f>
        <v>13658.5</v>
      </c>
      <c r="AC101" s="215" t="n">
        <f aca="false">SUM(INDEX(SP_BSR_Debt_Avg,0,COLUMN()),INDEX(SP_BSR_SE_Avg,0,COLUMN()))</f>
        <v>13803.325</v>
      </c>
      <c r="AD101" s="215" t="n">
        <f aca="false">SUM(INDEX(SP_BSR_Debt_Avg,0,COLUMN()),INDEX(SP_BSR_SE_Avg,0,COLUMN()))</f>
        <v>13946.8</v>
      </c>
      <c r="AE101" s="215" t="n">
        <f aca="false">SUM(INDEX(SP_BSR_Debt_Avg,0,COLUMN()),INDEX(SP_BSR_SE_Avg,0,COLUMN()))</f>
        <v>14188.3</v>
      </c>
      <c r="AF101" s="214" t="n">
        <f aca="false">SUM(INDEX(SP_BSR_Debt_Avg,0,COLUMN()),INDEX(SP_BSR_SE_Avg,0,COLUMN()))</f>
        <v>14184.5</v>
      </c>
      <c r="AG101" s="215" t="n">
        <f aca="false">SUM(INDEX(SP_BSR_Debt_Avg,0,COLUMN()),INDEX(SP_BSR_SE_Avg,0,COLUMN()))</f>
        <v>14433.975</v>
      </c>
      <c r="AH101" s="215" t="n">
        <f aca="false">SUM(INDEX(SP_BSR_Debt_Avg,0,COLUMN()),INDEX(SP_BSR_SE_Avg,0,COLUMN()))</f>
        <v>14639.625</v>
      </c>
      <c r="AI101" s="215" t="n">
        <f aca="false">SUM(INDEX(SP_BSR_Debt_Avg,0,COLUMN()),INDEX(SP_BSR_SE_Avg,0,COLUMN()))</f>
        <v>14908.625</v>
      </c>
      <c r="AJ101" s="215" t="n">
        <f aca="false">SUM(INDEX(SP_BSR_Debt_Avg,0,COLUMN()),INDEX(SP_BSR_SE_Avg,0,COLUMN()))</f>
        <v>15166.875</v>
      </c>
      <c r="AK101" s="214" t="n">
        <f aca="false">SUM(INDEX(SP_BSR_Debt_Avg,0,COLUMN()),INDEX(SP_BSR_SE_Avg,0,COLUMN()))</f>
        <v>15184</v>
      </c>
      <c r="AL101" s="215" t="n">
        <f aca="false">SUM(INDEX(SP_BSR_Debt_Avg,0,COLUMN()),INDEX(SP_BSR_SE_Avg,0,COLUMN()))</f>
        <v>15503.175</v>
      </c>
      <c r="AM101" s="215" t="n">
        <f aca="false">SUM(INDEX(SP_BSR_Debt_Avg,0,COLUMN()),INDEX(SP_BSR_SE_Avg,0,COLUMN()))</f>
        <v>16164.95</v>
      </c>
      <c r="AN101" s="215" t="n">
        <f aca="false">SUM(INDEX(SP_BSR_Debt_Avg,0,COLUMN()),INDEX(SP_BSR_SE_Avg,0,COLUMN()))</f>
        <v>16946.975</v>
      </c>
      <c r="AO101" s="215" t="n">
        <f aca="false">SUM(INDEX(SP_BSR_Debt_Avg,0,COLUMN()),INDEX(SP_BSR_SE_Avg,0,COLUMN()))</f>
        <v>17657.75</v>
      </c>
      <c r="AP101" s="214" t="n">
        <f aca="false">SUM(INDEX(SP_BSR_Debt_Avg,0,COLUMN()),INDEX(SP_BSR_SE_Avg,0,COLUMN()))</f>
        <v>17122.05</v>
      </c>
      <c r="AQ101" s="215" t="n">
        <f aca="false">SUM(INDEX(SP_BSR_Debt_Avg,0,COLUMN()),INDEX(SP_BSR_SE_Avg,0,COLUMN()))</f>
        <v>18129.025</v>
      </c>
      <c r="AR101" s="215" t="n">
        <f aca="false">SUM(INDEX(SP_BSR_Debt_Avg,0,COLUMN()),INDEX(SP_BSR_SE_Avg,0,COLUMN()))</f>
        <v>17979.975</v>
      </c>
      <c r="AS101" s="215" t="n">
        <f aca="false">SUM(INDEX(SP_BSR_Debt_Avg,0,COLUMN()),INDEX(SP_BSR_SE_Avg,0,COLUMN()))</f>
        <v>17293.575</v>
      </c>
      <c r="AT101" s="215" t="n">
        <f aca="false">SUM(INDEX(SP_BSR_Debt_Avg,0,COLUMN()),INDEX(SP_BSR_SE_Avg,0,COLUMN()))</f>
        <v>16338.85</v>
      </c>
      <c r="AU101" s="214" t="n">
        <f aca="false">SUM(INDEX(SP_BSR_Debt_Avg,0,COLUMN()),INDEX(SP_BSR_SE_Avg,0,COLUMN()))</f>
        <v>16634.15</v>
      </c>
      <c r="AV101" s="215" t="n">
        <f aca="false">SUM(INDEX(SP_BSR_Debt_Avg,0,COLUMN()),INDEX(SP_BSR_SE_Avg,0,COLUMN()))</f>
        <v>15087.025</v>
      </c>
      <c r="AW101" s="215" t="n">
        <f aca="false">SUM(INDEX(SP_BSR_Debt_Avg,0,COLUMN()),INDEX(SP_BSR_SE_Avg,0,COLUMN()))</f>
        <v>14040.625</v>
      </c>
      <c r="AX101" s="215" t="n">
        <f aca="false">SUM(INDEX(SP_BSR_Debt_Avg,0,COLUMN()),INDEX(SP_BSR_SE_Avg,0,COLUMN()))</f>
        <v>13126.55</v>
      </c>
      <c r="AY101" s="215" t="n">
        <f aca="false">SUM(INDEX(SP_BSR_Debt_Avg,0,COLUMN()),INDEX(SP_BSR_SE_Avg,0,COLUMN()))</f>
        <v>12713.175</v>
      </c>
      <c r="AZ101" s="214" t="n">
        <f aca="false">SUM(INDEX(SP_BSR_Debt_Avg,0,COLUMN()),INDEX(SP_BSR_SE_Avg,0,COLUMN()))</f>
        <v>13897.95</v>
      </c>
      <c r="BA101" s="215" t="n">
        <f aca="false">SUM(INDEX(SP_BSR_Debt_Avg,0,COLUMN()),INDEX(SP_BSR_SE_Avg,0,COLUMN()))</f>
        <v>12912.5</v>
      </c>
      <c r="BB101" s="215" t="n">
        <f aca="false">SUM(INDEX(SP_BSR_Debt_Avg,0,COLUMN()),INDEX(SP_BSR_SE_Avg,0,COLUMN()))</f>
        <v>13743.975</v>
      </c>
      <c r="BC101" s="215" t="n">
        <f aca="false">SUM(INDEX(SP_BSR_Debt_Avg,0,COLUMN()),INDEX(SP_BSR_SE_Avg,0,COLUMN()))</f>
        <v>15068</v>
      </c>
      <c r="BD101" s="215" t="n">
        <f aca="false">SUM(INDEX(SP_BSR_Debt_Avg,0,COLUMN()),INDEX(SP_BSR_SE_Avg,0,COLUMN()))</f>
        <v>16321.2</v>
      </c>
      <c r="BE101" s="214" t="n">
        <f aca="false">SUM(INDEX(SP_BSR_Debt_Avg,0,COLUMN()),INDEX(SP_BSR_SE_Avg,0,COLUMN()))</f>
        <v>15577.6</v>
      </c>
      <c r="BF101" s="215" t="n">
        <f aca="false">SUM(INDEX(SP_BSR_Debt_Avg,0,COLUMN()),INDEX(SP_BSR_SE_Avg,0,COLUMN()))</f>
        <v>17405.625</v>
      </c>
      <c r="BG101" s="215" t="n">
        <f aca="false">SUM(INDEX(SP_BSR_Debt_Avg,0,COLUMN()),INDEX(SP_BSR_SE_Avg,0,COLUMN()))</f>
        <v>18268.275</v>
      </c>
      <c r="BH101" s="215" t="n">
        <f aca="false">SUM(INDEX(SP_BSR_Debt_Avg,0,COLUMN()),INDEX(SP_BSR_SE_Avg,0,COLUMN()))</f>
        <v>19163.4</v>
      </c>
      <c r="BI101" s="215" t="n">
        <f aca="false">SUM(INDEX(SP_BSR_Debt_Avg,0,COLUMN()),INDEX(SP_BSR_SE_Avg,0,COLUMN()))</f>
        <v>20433.5</v>
      </c>
      <c r="BJ101" s="214" t="n">
        <f aca="false">SUM(INDEX(SP_BSR_Debt_Avg,0,COLUMN()),INDEX(SP_BSR_SE_Avg,0,COLUMN()))</f>
        <v>20624.2</v>
      </c>
      <c r="BK101" s="215" t="n">
        <f aca="false">SUM(INDEX(SP_BSR_Debt_Avg,0,COLUMN()),INDEX(SP_BSR_SE_Avg,0,COLUMN()))</f>
        <v>21379.95</v>
      </c>
      <c r="BL101" s="215" t="n">
        <f aca="false">SUM(INDEX(SP_BSR_Debt_Avg,0,COLUMN()),INDEX(SP_BSR_SE_Avg,0,COLUMN()))</f>
        <v>22131.925</v>
      </c>
      <c r="BM101" s="215" t="n">
        <f aca="false">SUM(INDEX(SP_BSR_Debt_Avg,0,COLUMN()),INDEX(SP_BSR_SE_Avg,0,COLUMN()))</f>
        <v>22598.075</v>
      </c>
      <c r="BN101" s="215" t="n">
        <f aca="false">SUM(INDEX(SP_BSR_Debt_Avg,0,COLUMN()),INDEX(SP_BSR_SE_Avg,0,COLUMN()))</f>
        <v>22899.809</v>
      </c>
      <c r="BO101" s="218" t="n">
        <f aca="false">SUM(INDEX(SP_BSR_Debt_Avg,0,COLUMN()),INDEX(SP_BSR_SE_Avg,0,COLUMN()))</f>
        <v>23767.868</v>
      </c>
      <c r="BP101" s="215" t="n">
        <f aca="false">SUM(INDEX(SP_BSR_Debt_Avg,0,COLUMN()),INDEX(SP_BSR_SE_Avg,0,COLUMN()))</f>
        <v>23906.8288874922</v>
      </c>
      <c r="BQ101" s="215" t="n">
        <f aca="false">SUM(INDEX(SP_BSR_Debt_Avg,0,COLUMN()),INDEX(SP_BSR_SE_Avg,0,COLUMN()))</f>
        <v>25429.9680948215</v>
      </c>
      <c r="BR101" s="215" t="n">
        <f aca="false">SUM(INDEX(SP_BSR_Debt_Avg,0,COLUMN()),INDEX(SP_BSR_SE_Avg,0,COLUMN()))</f>
        <v>27390.3500174589</v>
      </c>
      <c r="BS101" s="215" t="n">
        <f aca="false">SUM(INDEX(SP_BSR_Debt_Avg,0,COLUMN()),INDEX(SP_BSR_SE_Avg,0,COLUMN()))</f>
        <v>29530.4893697936</v>
      </c>
      <c r="BT101" s="214" t="n">
        <f aca="false">SUM(INDEX(SP_BSR_Debt_Avg,0,COLUMN()),INDEX(SP_BSR_SE_Avg,0,COLUMN()))</f>
        <v>28651.6147046694</v>
      </c>
      <c r="BU101" s="215" t="n">
        <f aca="false">SUM(INDEX(SP_BSR_Debt_Avg,0,COLUMN()),INDEX(SP_BSR_SE_Avg,0,COLUMN()))</f>
        <v>31711.3045068858</v>
      </c>
      <c r="BV101" s="215" t="n">
        <f aca="false">SUM(INDEX(SP_BSR_Debt_Avg,0,COLUMN()),INDEX(SP_BSR_SE_Avg,0,COLUMN()))</f>
        <v>34049.9763577674</v>
      </c>
      <c r="BW101" s="215" t="n">
        <f aca="false">SUM(INDEX(SP_BSR_Debt_Avg,0,COLUMN()),INDEX(SP_BSR_SE_Avg,0,COLUMN()))</f>
        <v>36528.5463611991</v>
      </c>
      <c r="BX101" s="215" t="n">
        <f aca="false">SUM(INDEX(SP_BSR_Debt_Avg,0,COLUMN()),INDEX(SP_BSR_SE_Avg,0,COLUMN()))</f>
        <v>39121.5146327701</v>
      </c>
      <c r="BY101" s="214" t="n">
        <f aca="false">SUM(INDEX(SP_BSR_Debt_Avg,0,COLUMN()),INDEX(SP_BSR_SE_Avg,0,COLUMN()))</f>
        <v>38117.8299524807</v>
      </c>
      <c r="BZ101" s="214" t="n">
        <f aca="false">SUM(INDEX(SP_BSR_Debt_Avg,0,COLUMN()),INDEX(SP_BSR_SE_Avg,0,COLUMN()))</f>
        <v>49826.6865029426</v>
      </c>
      <c r="CA101" s="214" t="n">
        <f aca="false">SUM(INDEX(SP_BSR_Debt_Avg,0,COLUMN()),INDEX(SP_BSR_SE_Avg,0,COLUMN()))</f>
        <v>63393.6615861882</v>
      </c>
      <c r="CB101" s="214" t="n">
        <f aca="false">SUM(INDEX(SP_BSR_Debt_Avg,0,COLUMN()),INDEX(SP_BSR_SE_Avg,0,COLUMN()))</f>
        <v>78039.8504074028</v>
      </c>
      <c r="CC101" s="48"/>
    </row>
    <row r="102" s="84" customFormat="true" ht="15" hidden="false" customHeight="true" outlineLevel="0" collapsed="false">
      <c r="A102" s="140" t="s">
        <v>831</v>
      </c>
      <c r="B102" s="374"/>
      <c r="C102" s="142" t="n">
        <f aca="false">IF(C101&lt;0,"NMF",IF(ABS(C95/C101)&gt;1,"NMF",C95/C101))</f>
        <v>-0.0579961703062115</v>
      </c>
      <c r="D102" s="142" t="n">
        <f aca="false">IF(D101&lt;0,"NMF",IF(ABS(D95/D101)&gt;1,"NMF",D95/D101))</f>
        <v>0.345236257419844</v>
      </c>
      <c r="E102" s="142" t="n">
        <f aca="false">IF(E101&lt;0,"NMF",IF(ABS(E95/E101)&gt;1,"NMF",E95/E101))</f>
        <v>0.381071291945871</v>
      </c>
      <c r="F102" s="142" t="n">
        <f aca="false">IF(F101&lt;0,"NMF",IF(ABS(F95/F101)&gt;1,"NMF",F95/F101))</f>
        <v>0.255912335840287</v>
      </c>
      <c r="G102" s="142" t="n">
        <f aca="false">IF(G101&lt;0,"NMF",IF(ABS(G95/G101)&gt;1,"NMF",G95/G101))</f>
        <v>0.162167857997629</v>
      </c>
      <c r="H102" s="143"/>
      <c r="I102" s="143"/>
      <c r="J102" s="143"/>
      <c r="K102" s="143" t="n">
        <f aca="false">IF(K101&lt;0,"NMF",IF(ABS(K95/K101)&gt;1,"NMF",K95/K101))</f>
        <v>0.143866768059349</v>
      </c>
      <c r="L102" s="142" t="n">
        <f aca="false">IF(L101&lt;0,"NMF",IF(ABS(L95/L101)&gt;1,"NMF",L95/L101))</f>
        <v>0.144591941703133</v>
      </c>
      <c r="M102" s="143" t="n">
        <f aca="false">IF(M101&lt;0,"NMF",IF(ABS(M95/M101)&gt;1,"NMF",M95/M101))</f>
        <v>0.157228193127402</v>
      </c>
      <c r="N102" s="143" t="n">
        <f aca="false">IF(N101&lt;0,"NMF",IF(ABS(N95/N101)&gt;1,"NMF",N95/N101))</f>
        <v>0.150329614170467</v>
      </c>
      <c r="O102" s="143" t="n">
        <f aca="false">IF(O101&lt;0,"NMF",IF(ABS(O95/O101)&gt;1,"NMF",O95/O101))</f>
        <v>0.155824099484518</v>
      </c>
      <c r="P102" s="143" t="n">
        <f aca="false">IF(P101&lt;0,"NMF",IF(ABS(P95/P101)&gt;1,"NMF",P95/P101))</f>
        <v>0.151112477833352</v>
      </c>
      <c r="Q102" s="142" t="n">
        <f aca="false">IF(Q101&lt;0,"NMF",IF(ABS(Q95/Q101)&gt;1,"NMF",Q95/Q101))</f>
        <v>0.154187357961491</v>
      </c>
      <c r="R102" s="143" t="n">
        <f aca="false">IF(R101&lt;0,"NMF",IF(ABS(R95/R101)&gt;1,"NMF",R95/R101))</f>
        <v>0.128311525056932</v>
      </c>
      <c r="S102" s="143" t="n">
        <f aca="false">IF(S101&lt;0,"NMF",IF(ABS(S95/S101)&gt;1,"NMF",S95/S101))</f>
        <v>0.126639953497938</v>
      </c>
      <c r="T102" s="143" t="n">
        <f aca="false">IF(T101&lt;0,"NMF",IF(ABS(T95/T101)&gt;1,"NMF",T95/T101))</f>
        <v>0.131486436728988</v>
      </c>
      <c r="U102" s="143" t="n">
        <f aca="false">IF(U101&lt;0,"NMF",IF(ABS(U95/U101)&gt;1,"NMF",U95/U101))</f>
        <v>0.135587145020691</v>
      </c>
      <c r="V102" s="142" t="n">
        <f aca="false">IF(V101&lt;0,"NMF",IF(ABS(V95/V101)&gt;1,"NMF",V95/V101))</f>
        <v>0.127332236190614</v>
      </c>
      <c r="W102" s="143" t="n">
        <f aca="false">IF(W101&lt;0,"NMF",IF(ABS(W95/W101)&gt;1,"NMF",W95/W101))</f>
        <v>0.146300128006753</v>
      </c>
      <c r="X102" s="143" t="n">
        <f aca="false">IF(X101&lt;0,"NMF",IF(ABS(X95/X101)&gt;1,"NMF",X95/X101))</f>
        <v>0.143483986884683</v>
      </c>
      <c r="Y102" s="143" t="n">
        <f aca="false">IF(Y101&lt;0,"NMF",IF(ABS(Y95/Y101)&gt;1,"NMF",Y95/Y101))</f>
        <v>0.146973930605648</v>
      </c>
      <c r="Z102" s="143" t="n">
        <f aca="false">IF(Z101&lt;0,"NMF",IF(ABS(Z95/Z101)&gt;1,"NMF",Z95/Z101))</f>
        <v>0.159877651724996</v>
      </c>
      <c r="AA102" s="142" t="n">
        <f aca="false">IF(AA101&lt;0,"NMF",IF(ABS(AA95/AA101)&gt;1,"NMF",AA95/AA101))</f>
        <v>0.161121738794692</v>
      </c>
      <c r="AB102" s="143" t="n">
        <f aca="false">IF(AB101&lt;0,"NMF",IF(ABS(AB95/AB101)&gt;1,"NMF",AB95/AB101))</f>
        <v>0.164506407299718</v>
      </c>
      <c r="AC102" s="143" t="n">
        <f aca="false">IF(AC101&lt;0,"NMF",IF(ABS(AC95/AC101)&gt;1,"NMF",AC95/AC101))</f>
        <v>0.170772499641449</v>
      </c>
      <c r="AD102" s="143" t="n">
        <f aca="false">IF(AD101&lt;0,"NMF",IF(ABS(AD95/AD101)&gt;1,"NMF",AD95/AD101))</f>
        <v>0.177567894021976</v>
      </c>
      <c r="AE102" s="143" t="n">
        <f aca="false">IF(AE101&lt;0,"NMF",IF(ABS(AE95/AE101)&gt;1,"NMF",AE95/AE101))</f>
        <v>0.184421423578827</v>
      </c>
      <c r="AF102" s="142" t="n">
        <f aca="false">IF(AF101&lt;0,"NMF",IF(ABS(AF95/AF101)&gt;1,"NMF",AF95/AF101))</f>
        <v>0.184463268410535</v>
      </c>
      <c r="AG102" s="143" t="n">
        <f aca="false">IF(AG101&lt;0,"NMF",IF(ABS(AG95/AG101)&gt;1,"NMF",AG95/AG101))</f>
        <v>0.168449471285356</v>
      </c>
      <c r="AH102" s="143" t="n">
        <f aca="false">IF(AH101&lt;0,"NMF",IF(ABS(AH95/AH101)&gt;1,"NMF",AH95/AH101))</f>
        <v>0.159032166382008</v>
      </c>
      <c r="AI102" s="143" t="n">
        <f aca="false">IF(AI101&lt;0,"NMF",IF(ABS(AI95/AI101)&gt;1,"NMF",AI95/AI101))</f>
        <v>0.152439269664195</v>
      </c>
      <c r="AJ102" s="143" t="n">
        <f aca="false">IF(AJ101&lt;0,"NMF",IF(ABS(AJ95/AJ101)&gt;1,"NMF",AJ95/AJ101))</f>
        <v>0.172510695181622</v>
      </c>
      <c r="AK102" s="142" t="n">
        <f aca="false">IF(AK101&lt;0,"NMF",IF(ABS(AK95/AK101)&gt;1,"NMF",AK95/AK101))</f>
        <v>0.172258861698794</v>
      </c>
      <c r="AL102" s="143" t="n">
        <f aca="false">IF(AL101&lt;0,"NMF",IF(ABS(AL95/AL101)&gt;1,"NMF",AL95/AL101))</f>
        <v>0.171157979955305</v>
      </c>
      <c r="AM102" s="143" t="n">
        <f aca="false">IF(AM101&lt;0,"NMF",IF(ABS(AM95/AM101)&gt;1,"NMF",AM95/AM101))</f>
        <v>0.181112251578674</v>
      </c>
      <c r="AN102" s="143" t="n">
        <f aca="false">IF(AN101&lt;0,"NMF",IF(ABS(AN95/AN101)&gt;1,"NMF",AN95/AN101))</f>
        <v>0.198545105433159</v>
      </c>
      <c r="AO102" s="143" t="n">
        <f aca="false">IF(AO101&lt;0,"NMF",IF(ABS(AO95/AO101)&gt;1,"NMF",AO95/AO101))</f>
        <v>0.202971456952363</v>
      </c>
      <c r="AP102" s="142" t="n">
        <f aca="false">IF(AP101&lt;0,"NMF",IF(ABS(AP95/AP101)&gt;1,"NMF",AP95/AP101))</f>
        <v>0.209315559224363</v>
      </c>
      <c r="AQ102" s="143" t="n">
        <f aca="false">IF(AQ101&lt;0,"NMF",IF(ABS(AQ95/AQ101)&gt;1,"NMF",AQ95/AQ101))</f>
        <v>0.249599416057223</v>
      </c>
      <c r="AR102" s="143" t="n">
        <f aca="false">IF(AR101&lt;0,"NMF",IF(ABS(AR95/AR101)&gt;1,"NMF",AR95/AR101))</f>
        <v>0.267774073428225</v>
      </c>
      <c r="AS102" s="143" t="n">
        <f aca="false">IF(AS101&lt;0,"NMF",IF(ABS(AS95/AS101)&gt;1,"NMF",AS95/AS101))</f>
        <v>0.31775359899567</v>
      </c>
      <c r="AT102" s="143" t="n">
        <f aca="false">IF(AT101&lt;0,"NMF",IF(ABS(AT95/AT101)&gt;1,"NMF",AT95/AT101))</f>
        <v>0.362396706243411</v>
      </c>
      <c r="AU102" s="142" t="n">
        <f aca="false">IF(AU101&lt;0,"NMF",IF(ABS(AU95/AU101)&gt;1,"NMF",AU95/AU101))</f>
        <v>0.355966629236194</v>
      </c>
      <c r="AV102" s="143" t="n">
        <f aca="false">IF(AV101&lt;0,"NMF",IF(ABS(AV95/AV101)&gt;1,"NMF",AV95/AV101))</f>
        <v>0.3505081820314</v>
      </c>
      <c r="AW102" s="143" t="n">
        <f aca="false">IF(AW101&lt;0,"NMF",IF(ABS(AW95/AW101)&gt;1,"NMF",AW95/AW101))</f>
        <v>0.403246425274628</v>
      </c>
      <c r="AX102" s="143" t="n">
        <f aca="false">IF(AX101&lt;0,"NMF",IF(ABS(AX95/AX101)&gt;1,"NMF",AX95/AX101))</f>
        <v>0.428688294082123</v>
      </c>
      <c r="AY102" s="143" t="n">
        <f aca="false">IF(AY101&lt;0,"NMF",IF(ABS(AY95/AY101)&gt;1,"NMF",AY95/AY101))</f>
        <v>0.445406746417762</v>
      </c>
      <c r="AZ102" s="142" t="n">
        <f aca="false">IF(AZ101&lt;0,"NMF",IF(ABS(AZ95/AZ101)&gt;1,"NMF",AZ95/AZ101))</f>
        <v>0.40741547947699</v>
      </c>
      <c r="BA102" s="143" t="n">
        <f aca="false">IF(BA101&lt;0,"NMF",IF(ABS(BA95/BA101)&gt;1,"NMF",BA95/BA101))</f>
        <v>0.534294106538671</v>
      </c>
      <c r="BB102" s="143" t="n">
        <f aca="false">IF(BB101&lt;0,"NMF",IF(ABS(BB95/BB101)&gt;1,"NMF",BB95/BB101))</f>
        <v>0.538916353477886</v>
      </c>
      <c r="BC102" s="143" t="n">
        <f aca="false">IF(BC101&lt;0,"NMF",IF(ABS(BC95/BC101)&gt;1,"NMF",BC95/BC101))</f>
        <v>0.50302572313293</v>
      </c>
      <c r="BD102" s="143" t="n">
        <f aca="false">IF(BD101&lt;0,"NMF",IF(ABS(BD95/BD101)&gt;1,"NMF",BD95/BD101))</f>
        <v>0.478164903942829</v>
      </c>
      <c r="BE102" s="142" t="n">
        <f aca="false">IF(BE101&lt;0,"NMF",IF(ABS(BE95/BE101)&gt;1,"NMF",BE95/BE101))</f>
        <v>0.500987188706419</v>
      </c>
      <c r="BF102" s="143" t="n">
        <f aca="false">IF(BF101&lt;0,"NMF",IF(ABS(BF95/BF101)&gt;1,"NMF",BF95/BF101))</f>
        <v>0.40565299821682</v>
      </c>
      <c r="BG102" s="143" t="n">
        <f aca="false">IF(BG101&lt;0,"NMF",IF(ABS(BG95/BG101)&gt;1,"NMF",BG95/BG101))</f>
        <v>0.367889807994828</v>
      </c>
      <c r="BH102" s="143" t="n">
        <f aca="false">IF(BH101&lt;0,"NMF",IF(ABS(BH95/BH101)&gt;1,"NMF",BH95/BH101))</f>
        <v>0.360608303966509</v>
      </c>
      <c r="BI102" s="143" t="n">
        <f aca="false">IF(BI101&lt;0,"NMF",IF(ABS(BI95/BI101)&gt;1,"NMF",BI95/BI101))</f>
        <v>0.36974535359828</v>
      </c>
      <c r="BJ102" s="142" t="n">
        <f aca="false">IF(BJ101&lt;0,"NMF",IF(ABS(BJ95/BJ101)&gt;1,"NMF",BJ95/BJ101))</f>
        <v>0.366336465755755</v>
      </c>
      <c r="BK102" s="143" t="n">
        <f aca="false">IF(BK101&lt;0,"NMF",IF(ABS(BK95/BK101)&gt;1,"NMF",BK95/BK101))</f>
        <v>0.405400962447855</v>
      </c>
      <c r="BL102" s="143" t="n">
        <f aca="false">IF(BL101&lt;0,"NMF",IF(ABS(BL95/BL101)&gt;1,"NMF",BL95/BL101))</f>
        <v>0.422437725990325</v>
      </c>
      <c r="BM102" s="143" t="n">
        <f aca="false">IF(BM101&lt;0,"NMF",IF(ABS(BM95/BM101)&gt;1,"NMF",BM95/BM101))</f>
        <v>0.415108037285639</v>
      </c>
      <c r="BN102" s="143" t="n">
        <f aca="false">IF(BN101&lt;0,"NMF",IF(ABS(BN95/BN101)&gt;1,"NMF",BN95/BN101))</f>
        <v>0.415834461959746</v>
      </c>
      <c r="BO102" s="144" t="n">
        <f aca="false">IF(BO101&lt;0,"NMF",IF(ABS(BO95/BO101)&gt;1,"NMF",BO95/BO101))</f>
        <v>0.400660127448541</v>
      </c>
      <c r="BP102" s="143" t="n">
        <f aca="false">IF(BP101&lt;0,"NMF",IF(ABS(BP95/BP101)&gt;1,"NMF",BP95/BP101))</f>
        <v>0.405007347819775</v>
      </c>
      <c r="BQ102" s="143" t="n">
        <f aca="false">IF(BQ101&lt;0,"NMF",IF(ABS(BQ95/BQ101)&gt;1,"NMF",BQ95/BQ101))</f>
        <v>0.406228127775486</v>
      </c>
      <c r="BR102" s="143" t="n">
        <f aca="false">IF(BR101&lt;0,"NMF",IF(ABS(BR95/BR101)&gt;1,"NMF",BR95/BR101))</f>
        <v>0.400719379148326</v>
      </c>
      <c r="BS102" s="143" t="n">
        <f aca="false">IF(BS101&lt;0,"NMF",IF(ABS(BS95/BS101)&gt;1,"NMF",BS95/BS101))</f>
        <v>0.377530059483038</v>
      </c>
      <c r="BT102" s="142" t="n">
        <f aca="false">IF(BT101&lt;0,"NMF",IF(ABS(BT95/BT101)&gt;1,"NMF",BT95/BT101))</f>
        <v>0.389109742809193</v>
      </c>
      <c r="BU102" s="143" t="n">
        <f aca="false">IF(BU101&lt;0,"NMF",IF(ABS(BU95/BU101)&gt;1,"NMF",BU95/BU101))</f>
        <v>0.35668800079411</v>
      </c>
      <c r="BV102" s="143" t="n">
        <f aca="false">IF(BV101&lt;0,"NMF",IF(ABS(BV95/BV101)&gt;1,"NMF",BV95/BV101))</f>
        <v>0.350737115038765</v>
      </c>
      <c r="BW102" s="143" t="n">
        <f aca="false">IF(BW101&lt;0,"NMF",IF(ABS(BW95/BW101)&gt;1,"NMF",BW95/BW101))</f>
        <v>0.342227194390956</v>
      </c>
      <c r="BX102" s="143" t="n">
        <f aca="false">IF(BX101&lt;0,"NMF",IF(ABS(BX95/BX101)&gt;1,"NMF",BX95/BX101))</f>
        <v>0.331249281267745</v>
      </c>
      <c r="BY102" s="142" t="n">
        <f aca="false">IF(BY101&lt;0,"NMF",IF(ABS(BY95/BY101)&gt;1,"NMF",BY95/BY101))</f>
        <v>0.339972638060946</v>
      </c>
      <c r="BZ102" s="142" t="n">
        <f aca="false">IF(BZ101&lt;0,"NMF",IF(ABS(BZ95/BZ101)&gt;1,"NMF",BZ95/BZ101))</f>
        <v>0.313253002419392</v>
      </c>
      <c r="CA102" s="142" t="n">
        <f aca="false">IF(CA101&lt;0,"NMF",IF(ABS(CA95/CA101)&gt;1,"NMF",CA95/CA101))</f>
        <v>0.262558850880186</v>
      </c>
      <c r="CB102" s="142" t="n">
        <f aca="false">IF(CB101&lt;0,"NMF",IF(ABS(CB95/CB101)&gt;1,"NMF",CB95/CB101))</f>
        <v>0.227502097233808</v>
      </c>
      <c r="CC102" s="374"/>
    </row>
    <row r="103" customFormat="false" ht="15" hidden="true" customHeight="true" outlineLevel="1" collapsed="false">
      <c r="A103" s="145" t="s">
        <v>112</v>
      </c>
      <c r="B103" s="254"/>
      <c r="C103" s="214" t="n">
        <f aca="false">INDEX(MO_RIS_EBIT,0,COLUMN())</f>
        <v>-163.125</v>
      </c>
      <c r="D103" s="214" t="n">
        <f aca="false">INDEX(MO_RIS_EBIT,0,COLUMN())</f>
        <v>1250.699</v>
      </c>
      <c r="E103" s="214" t="n">
        <f aca="false">INDEX(MO_RIS_EBIT,0,COLUMN())</f>
        <v>1641.216</v>
      </c>
      <c r="F103" s="214" t="n">
        <f aca="false">INDEX(MO_RIS_EBIT,0,COLUMN())</f>
        <v>1156.774</v>
      </c>
      <c r="G103" s="214" t="n">
        <f aca="false">INDEX(MO_RIS_EBIT,0,COLUMN())</f>
        <v>1047.948</v>
      </c>
      <c r="H103" s="215" t="n">
        <f aca="false">INDEX(MO_RIS_EBIT,0,COLUMN())</f>
        <v>265.7</v>
      </c>
      <c r="I103" s="215" t="n">
        <f aca="false">INDEX(MO_RIS_EBIT,0,COLUMN())</f>
        <v>425.4</v>
      </c>
      <c r="J103" s="215" t="n">
        <f aca="false">INDEX(MO_RIS_EBIT,0,COLUMN())</f>
        <v>261.4</v>
      </c>
      <c r="K103" s="215" t="n">
        <f aca="false">INDEX(MO_RIS_EBIT,0,COLUMN())</f>
        <v>329.7</v>
      </c>
      <c r="L103" s="214" t="n">
        <f aca="false">INDEX(MO_RIS_EBIT,0,COLUMN())</f>
        <v>1282.235</v>
      </c>
      <c r="M103" s="215" t="n">
        <f aca="false">INDEX(MO_RIS_EBIT,0,COLUMN())</f>
        <v>455.7</v>
      </c>
      <c r="N103" s="215" t="n">
        <f aca="false">INDEX(MO_RIS_EBIT,0,COLUMN())</f>
        <v>418.9</v>
      </c>
      <c r="O103" s="215" t="n">
        <f aca="false">INDEX(MO_RIS_EBIT,0,COLUMN())</f>
        <v>372.4</v>
      </c>
      <c r="P103" s="215" t="n">
        <f aca="false">INDEX(MO_RIS_EBIT,0,COLUMN())</f>
        <v>318.1</v>
      </c>
      <c r="Q103" s="214" t="n">
        <f aca="false">INDEX(MO_RIS_EBIT,0,COLUMN())</f>
        <v>1565.135</v>
      </c>
      <c r="R103" s="215" t="n">
        <f aca="false">INDEX(MO_RIS_EBIT,0,COLUMN())</f>
        <v>228</v>
      </c>
      <c r="S103" s="215" t="n">
        <f aca="false">INDEX(MO_RIS_EBIT,0,COLUMN())</f>
        <v>404.2</v>
      </c>
      <c r="T103" s="215" t="n">
        <f aca="false">INDEX(MO_RIS_EBIT,0,COLUMN())</f>
        <v>495.6</v>
      </c>
      <c r="U103" s="215" t="n">
        <f aca="false">INDEX(MO_RIS_EBIT,0,COLUMN())</f>
        <v>529.9</v>
      </c>
      <c r="V103" s="214" t="n">
        <f aca="false">INDEX(MO_RIS_EBIT,0,COLUMN())</f>
        <v>1657.7</v>
      </c>
      <c r="W103" s="215" t="n">
        <f aca="false">INDEX(MO_RIS_EBIT,0,COLUMN())</f>
        <v>534.8</v>
      </c>
      <c r="X103" s="215" t="n">
        <f aca="false">INDEX(MO_RIS_EBIT,0,COLUMN())</f>
        <v>555.8</v>
      </c>
      <c r="Y103" s="215" t="n">
        <f aca="false">INDEX(MO_RIS_EBIT,0,COLUMN())</f>
        <v>655.6</v>
      </c>
      <c r="Z103" s="215" t="n">
        <f aca="false">INDEX(MO_RIS_EBIT,0,COLUMN())</f>
        <v>750</v>
      </c>
      <c r="AA103" s="214" t="n">
        <f aca="false">INDEX(MO_RIS_EBIT,0,COLUMN())</f>
        <v>2496.2</v>
      </c>
      <c r="AB103" s="215" t="n">
        <f aca="false">INDEX(MO_RIS_EBIT,0,COLUMN())</f>
        <v>642.2</v>
      </c>
      <c r="AC103" s="215" t="n">
        <f aca="false">INDEX(MO_RIS_EBIT,0,COLUMN())</f>
        <v>689.4</v>
      </c>
      <c r="AD103" s="215" t="n">
        <f aca="false">INDEX(MO_RIS_EBIT,0,COLUMN())</f>
        <v>817.8</v>
      </c>
      <c r="AE103" s="215" t="n">
        <f aca="false">INDEX(MO_RIS_EBIT,0,COLUMN())</f>
        <v>815.900000000001</v>
      </c>
      <c r="AF103" s="214" t="n">
        <f aca="false">INDEX(MO_RIS_EBIT,0,COLUMN())</f>
        <v>2965.3</v>
      </c>
      <c r="AG103" s="215" t="n">
        <f aca="false">INDEX(MO_RIS_EBIT,0,COLUMN())</f>
        <v>334.3</v>
      </c>
      <c r="AH103" s="215" t="n">
        <f aca="false">INDEX(MO_RIS_EBIT,0,COLUMN())</f>
        <v>494.3</v>
      </c>
      <c r="AI103" s="215" t="n">
        <f aca="false">INDEX(MO_RIS_EBIT,0,COLUMN())</f>
        <v>685.6</v>
      </c>
      <c r="AJ103" s="215" t="n">
        <f aca="false">INDEX(MO_RIS_EBIT,0,COLUMN())</f>
        <v>1276.6</v>
      </c>
      <c r="AK103" s="214" t="n">
        <f aca="false">INDEX(MO_RIS_EBIT,0,COLUMN())</f>
        <v>2790.8</v>
      </c>
      <c r="AL103" s="215" t="n">
        <f aca="false">INDEX(MO_RIS_EBIT,0,COLUMN())</f>
        <v>426.7</v>
      </c>
      <c r="AM103" s="215" t="n">
        <f aca="false">INDEX(MO_RIS_EBIT,0,COLUMN())</f>
        <v>905.1</v>
      </c>
      <c r="AN103" s="215" t="n">
        <f aca="false">INDEX(MO_RIS_EBIT,0,COLUMN())</f>
        <v>1215.9</v>
      </c>
      <c r="AO103" s="215" t="n">
        <f aca="false">INDEX(MO_RIS_EBIT,0,COLUMN())</f>
        <v>1503.8</v>
      </c>
      <c r="AP103" s="214" t="n">
        <f aca="false">INDEX(MO_RIS_EBIT,0,COLUMN())</f>
        <v>4051.5</v>
      </c>
      <c r="AQ103" s="215" t="n">
        <f aca="false">INDEX(MO_RIS_EBIT,0,COLUMN())</f>
        <v>1560.6</v>
      </c>
      <c r="AR103" s="215" t="n">
        <f aca="false">INDEX(MO_RIS_EBIT,0,COLUMN())</f>
        <v>1239</v>
      </c>
      <c r="AS103" s="215" t="n">
        <f aca="false">INDEX(MO_RIS_EBIT,0,COLUMN())</f>
        <v>1919.3</v>
      </c>
      <c r="AT103" s="215" t="n">
        <f aca="false">INDEX(MO_RIS_EBIT,0,COLUMN())</f>
        <v>2031.2</v>
      </c>
      <c r="AU103" s="214" t="n">
        <f aca="false">INDEX(MO_RIS_EBIT,0,COLUMN())</f>
        <v>6750.1</v>
      </c>
      <c r="AV103" s="215" t="n">
        <f aca="false">INDEX(MO_RIS_EBIT,0,COLUMN())</f>
        <v>784.6</v>
      </c>
      <c r="AW103" s="215" t="n">
        <f aca="false">INDEX(MO_RIS_EBIT,0,COLUMN())</f>
        <v>1653.4</v>
      </c>
      <c r="AX103" s="215" t="n">
        <f aca="false">INDEX(MO_RIS_EBIT,0,COLUMN())</f>
        <v>1938.5</v>
      </c>
      <c r="AY103" s="215" t="n">
        <f aca="false">INDEX(MO_RIS_EBIT,0,COLUMN())</f>
        <v>2124.2</v>
      </c>
      <c r="AZ103" s="214" t="n">
        <f aca="false">INDEX(MO_RIS_EBIT,0,COLUMN())</f>
        <v>6500.7</v>
      </c>
      <c r="BA103" s="215" t="n">
        <f aca="false">INDEX(MO_RIS_EBIT,0,COLUMN())</f>
        <v>2205</v>
      </c>
      <c r="BB103" s="215" t="n">
        <f aca="false">INDEX(MO_RIS_EBIT,0,COLUMN())</f>
        <v>2263</v>
      </c>
      <c r="BC103" s="215" t="n">
        <f aca="false">INDEX(MO_RIS_EBIT,0,COLUMN())</f>
        <v>2182.4</v>
      </c>
      <c r="BD103" s="215" t="n">
        <f aca="false">INDEX(MO_RIS_EBIT,0,COLUMN())</f>
        <v>2391.9</v>
      </c>
      <c r="BE103" s="214" t="n">
        <f aca="false">INDEX(MO_RIS_EBIT,0,COLUMN())</f>
        <v>9042.3</v>
      </c>
      <c r="BF103" s="215" t="n">
        <f aca="false">INDEX(MO_RIS_EBIT,0,COLUMN())</f>
        <v>1391.4</v>
      </c>
      <c r="BG103" s="215" t="n">
        <f aca="false">INDEX(MO_RIS_EBIT,0,COLUMN())</f>
        <v>1834.6</v>
      </c>
      <c r="BH103" s="215" t="n">
        <f aca="false">INDEX(MO_RIS_EBIT,0,COLUMN())</f>
        <v>2441.2</v>
      </c>
      <c r="BI103" s="215" t="n">
        <f aca="false">INDEX(MO_RIS_EBIT,0,COLUMN())</f>
        <v>3355.4</v>
      </c>
      <c r="BJ103" s="214" t="n">
        <f aca="false">INDEX(MO_RIS_EBIT,0,COLUMN())</f>
        <v>9022.6</v>
      </c>
      <c r="BK103" s="215" t="n">
        <f aca="false">INDEX(MO_RIS_EBIT,0,COLUMN())</f>
        <v>2737.9</v>
      </c>
      <c r="BL103" s="215" t="n">
        <f aca="false">INDEX(MO_RIS_EBIT,0,COLUMN())</f>
        <v>2664.1</v>
      </c>
      <c r="BM103" s="215" t="n">
        <f aca="false">INDEX(MO_RIS_EBIT,0,COLUMN())</f>
        <v>2468.4</v>
      </c>
      <c r="BN103" s="215" t="n">
        <f aca="false">INDEX(MO_RIS_EBIT,0,COLUMN())</f>
        <v>3431</v>
      </c>
      <c r="BO103" s="218" t="n">
        <f aca="false">INDEX(MO_RIS_EBIT,0,COLUMN())</f>
        <v>11301.4</v>
      </c>
      <c r="BP103" s="215" t="n">
        <f aca="false">INDEX(MO_RIS_EBIT,0,COLUMN())</f>
        <v>2960.51304928716</v>
      </c>
      <c r="BQ103" s="215" t="n">
        <f aca="false">INDEX(MO_RIS_EBIT,0,COLUMN())</f>
        <v>3495.39589769988</v>
      </c>
      <c r="BR103" s="215" t="n">
        <f aca="false">INDEX(MO_RIS_EBIT,0,COLUMN())</f>
        <v>3258.47383875289</v>
      </c>
      <c r="BS103" s="215" t="n">
        <f aca="false">INDEX(MO_RIS_EBIT,0,COLUMN())</f>
        <v>3620.15146398755</v>
      </c>
      <c r="BT103" s="214" t="n">
        <f aca="false">INDEX(MO_RIS_EBIT,0,COLUMN())</f>
        <v>13334.5342497275</v>
      </c>
      <c r="BU103" s="215" t="n">
        <f aca="false">INDEX(MO_RIS_EBIT,0,COLUMN())</f>
        <v>3118.35741631106</v>
      </c>
      <c r="BV103" s="215" t="n">
        <f aca="false">INDEX(MO_RIS_EBIT,0,COLUMN())</f>
        <v>4205.38959859293</v>
      </c>
      <c r="BW103" s="215" t="n">
        <f aca="false">INDEX(MO_RIS_EBIT,0,COLUMN())</f>
        <v>3876.92880713419</v>
      </c>
      <c r="BX103" s="215" t="n">
        <f aca="false">INDEX(MO_RIS_EBIT,0,COLUMN())</f>
        <v>3912.99616548549</v>
      </c>
      <c r="BY103" s="214" t="n">
        <f aca="false">INDEX(MO_RIS_EBIT,0,COLUMN())</f>
        <v>15113.6719875237</v>
      </c>
      <c r="BZ103" s="214" t="n">
        <f aca="false">INDEX(MO_RIS_EBIT,0,COLUMN())</f>
        <v>18501.3799376864</v>
      </c>
      <c r="CA103" s="214" t="n">
        <f aca="false">INDEX(MO_RIS_EBIT,0,COLUMN())</f>
        <v>19734.9606418536</v>
      </c>
      <c r="CB103" s="214" t="n">
        <f aca="false">INDEX(MO_RIS_EBIT,0,COLUMN())</f>
        <v>21055.9876613057</v>
      </c>
      <c r="CC103" s="48"/>
    </row>
    <row r="104" customFormat="false" ht="15" hidden="true" customHeight="true" outlineLevel="1" collapsed="false">
      <c r="A104" s="145" t="s">
        <v>832</v>
      </c>
      <c r="B104" s="254"/>
      <c r="C104" s="214" t="n">
        <f aca="false">C103</f>
        <v>-163.125</v>
      </c>
      <c r="D104" s="214" t="n">
        <f aca="false">D103</f>
        <v>1250.699</v>
      </c>
      <c r="E104" s="214" t="n">
        <f aca="false">E103</f>
        <v>1641.216</v>
      </c>
      <c r="F104" s="214" t="n">
        <f aca="false">F103</f>
        <v>1156.774</v>
      </c>
      <c r="G104" s="214" t="n">
        <f aca="false">G103</f>
        <v>1047.948</v>
      </c>
      <c r="H104" s="215"/>
      <c r="I104" s="215"/>
      <c r="J104" s="215"/>
      <c r="K104" s="215" t="n">
        <f aca="false">SUM(K103,J103,I103,H103)</f>
        <v>1282.2</v>
      </c>
      <c r="L104" s="214" t="n">
        <f aca="false">L103</f>
        <v>1282.235</v>
      </c>
      <c r="M104" s="215" t="n">
        <f aca="false">SUM(M103,K103,J103,I103)</f>
        <v>1472.2</v>
      </c>
      <c r="N104" s="215" t="n">
        <f aca="false">SUM(N103,M103,K103,J103)</f>
        <v>1465.7</v>
      </c>
      <c r="O104" s="215" t="n">
        <f aca="false">SUM(O103,N103,M103,K103)</f>
        <v>1576.7</v>
      </c>
      <c r="P104" s="215" t="n">
        <f aca="false">SUM(P103,O103,N103,M103)</f>
        <v>1565.1</v>
      </c>
      <c r="Q104" s="214" t="n">
        <f aca="false">Q103</f>
        <v>1565.135</v>
      </c>
      <c r="R104" s="215" t="n">
        <f aca="false">SUM(R103,P103,O103,N103)</f>
        <v>1337.4</v>
      </c>
      <c r="S104" s="215" t="n">
        <f aca="false">SUM(S103,R103,P103,O103)</f>
        <v>1322.7</v>
      </c>
      <c r="T104" s="215" t="n">
        <f aca="false">SUM(T103,S103,R103,P103)</f>
        <v>1445.9</v>
      </c>
      <c r="U104" s="215" t="n">
        <f aca="false">SUM(U103,T103,S103,R103)</f>
        <v>1657.7</v>
      </c>
      <c r="V104" s="214" t="n">
        <f aca="false">V103</f>
        <v>1657.7</v>
      </c>
      <c r="W104" s="215" t="n">
        <f aca="false">SUM(W103,U103,T103,S103)</f>
        <v>1964.5</v>
      </c>
      <c r="X104" s="215" t="n">
        <f aca="false">SUM(X103,W103,U103,T103)</f>
        <v>2116.1</v>
      </c>
      <c r="Y104" s="215" t="n">
        <f aca="false">SUM(Y103,X103,W103,U103)</f>
        <v>2276.1</v>
      </c>
      <c r="Z104" s="215" t="n">
        <f aca="false">SUM(Z103,Y103,X103,W103)</f>
        <v>2496.2</v>
      </c>
      <c r="AA104" s="214" t="n">
        <f aca="false">AA103</f>
        <v>2496.2</v>
      </c>
      <c r="AB104" s="215" t="n">
        <f aca="false">SUM(AB103,Z103,Y103,X103)</f>
        <v>2603.6</v>
      </c>
      <c r="AC104" s="215" t="n">
        <f aca="false">SUM(AC103,AB103,Z103,Y103)</f>
        <v>2737.2</v>
      </c>
      <c r="AD104" s="215" t="n">
        <f aca="false">SUM(AD103,AC103,AB103,Z103)</f>
        <v>2899.4</v>
      </c>
      <c r="AE104" s="215" t="n">
        <f aca="false">SUM(AE103,AD103,AC103,AB103)</f>
        <v>2965.3</v>
      </c>
      <c r="AF104" s="214" t="n">
        <f aca="false">AF103</f>
        <v>2965.3</v>
      </c>
      <c r="AG104" s="215" t="n">
        <f aca="false">SUM(AG103,AE103,AD103,AC103)</f>
        <v>2657.4</v>
      </c>
      <c r="AH104" s="215" t="n">
        <f aca="false">SUM(AH103,AG103,AE103,AD103)</f>
        <v>2462.3</v>
      </c>
      <c r="AI104" s="215" t="n">
        <f aca="false">SUM(AI103,AH103,AG103,AE103)</f>
        <v>2330.1</v>
      </c>
      <c r="AJ104" s="215" t="n">
        <f aca="false">SUM(AJ103,AI103,AH103,AG103)</f>
        <v>2790.8</v>
      </c>
      <c r="AK104" s="214" t="n">
        <f aca="false">AK103</f>
        <v>2790.8</v>
      </c>
      <c r="AL104" s="215" t="n">
        <f aca="false">SUM(AL103,AJ103,AI103,AH103)</f>
        <v>2883.2</v>
      </c>
      <c r="AM104" s="215" t="n">
        <f aca="false">SUM(AM103,AL103,AJ103,AI103)</f>
        <v>3294</v>
      </c>
      <c r="AN104" s="215" t="n">
        <f aca="false">SUM(AN103,AM103,AL103,AJ103)</f>
        <v>3824.3</v>
      </c>
      <c r="AO104" s="215" t="n">
        <f aca="false">SUM(AO103,AN103,AM103,AL103)</f>
        <v>4051.5</v>
      </c>
      <c r="AP104" s="214" t="n">
        <f aca="false">AP103</f>
        <v>4051.5</v>
      </c>
      <c r="AQ104" s="215" t="n">
        <f aca="false">SUM(AQ103,AO103,AN103,AM103)</f>
        <v>5185.4</v>
      </c>
      <c r="AR104" s="215" t="n">
        <f aca="false">SUM(AR103,AQ103,AO103,AN103)</f>
        <v>5519.3</v>
      </c>
      <c r="AS104" s="215" t="n">
        <f aca="false">SUM(AS103,AR103,AQ103,AO103)</f>
        <v>6222.7</v>
      </c>
      <c r="AT104" s="215" t="n">
        <f aca="false">SUM(AT103,AS103,AR103,AQ103)</f>
        <v>6750.1</v>
      </c>
      <c r="AU104" s="214" t="n">
        <f aca="false">AU103</f>
        <v>6750.1</v>
      </c>
      <c r="AV104" s="215" t="n">
        <f aca="false">SUM(AV103,AT103,AS103,AR103)</f>
        <v>5974.1</v>
      </c>
      <c r="AW104" s="215" t="n">
        <f aca="false">SUM(AW103,AV103,AT103,AS103)</f>
        <v>6388.5</v>
      </c>
      <c r="AX104" s="215" t="n">
        <f aca="false">SUM(AX103,AW103,AV103,AT103)</f>
        <v>6407.7</v>
      </c>
      <c r="AY104" s="215" t="n">
        <f aca="false">SUM(AY103,AX103,AW103,AV103)</f>
        <v>6500.7</v>
      </c>
      <c r="AZ104" s="214" t="n">
        <f aca="false">AZ103</f>
        <v>6500.7</v>
      </c>
      <c r="BA104" s="215" t="n">
        <f aca="false">SUM(BA103,AY103,AX103,AW103)</f>
        <v>7921.1</v>
      </c>
      <c r="BB104" s="215" t="n">
        <f aca="false">SUM(BB103,BA103,AY103,AX103)</f>
        <v>8530.7</v>
      </c>
      <c r="BC104" s="215" t="n">
        <f aca="false">SUM(BC103,BB103,BA103,AY103)</f>
        <v>8774.6</v>
      </c>
      <c r="BD104" s="215" t="n">
        <f aca="false">SUM(BD103,BC103,BB103,BA103)</f>
        <v>9042.3</v>
      </c>
      <c r="BE104" s="214" t="n">
        <f aca="false">BE103</f>
        <v>9042.3</v>
      </c>
      <c r="BF104" s="215" t="n">
        <f aca="false">SUM(BF103,BD103,BC103,BB103)</f>
        <v>8228.7</v>
      </c>
      <c r="BG104" s="215" t="n">
        <f aca="false">SUM(BG103,BF103,BD103,BC103)</f>
        <v>7800.3</v>
      </c>
      <c r="BH104" s="215" t="n">
        <f aca="false">SUM(BH103,BG103,BF103,BD103)</f>
        <v>8059.1</v>
      </c>
      <c r="BI104" s="215" t="n">
        <f aca="false">SUM(BI103,BH103,BG103,BF103)</f>
        <v>9022.6</v>
      </c>
      <c r="BJ104" s="214" t="n">
        <f aca="false">BJ103</f>
        <v>9022.6</v>
      </c>
      <c r="BK104" s="215" t="n">
        <f aca="false">SUM(BK103,BI103,BH103,BG103)</f>
        <v>10369.1</v>
      </c>
      <c r="BL104" s="215" t="n">
        <f aca="false">SUM(BL103,BK103,BI103,BH103)</f>
        <v>11198.6</v>
      </c>
      <c r="BM104" s="215" t="n">
        <f aca="false">SUM(BM103,BL103,BK103,BI103)</f>
        <v>11225.8</v>
      </c>
      <c r="BN104" s="215" t="n">
        <f aca="false">SUM(BN103,BM103,BL103,BK103)</f>
        <v>11301.4</v>
      </c>
      <c r="BO104" s="218" t="n">
        <f aca="false">BO103</f>
        <v>11301.4</v>
      </c>
      <c r="BP104" s="215" t="n">
        <f aca="false">SUM(BP103,BN103,BM103,BL103)</f>
        <v>11524.0130492872</v>
      </c>
      <c r="BQ104" s="215" t="n">
        <f aca="false">SUM(BQ103,BP103,BN103,BM103)</f>
        <v>12355.308946987</v>
      </c>
      <c r="BR104" s="215" t="n">
        <f aca="false">SUM(BR103,BQ103,BP103,BN103)</f>
        <v>13145.3827857399</v>
      </c>
      <c r="BS104" s="215" t="n">
        <f aca="false">SUM(BS103,BR103,BQ103,BP103)</f>
        <v>13334.5342497275</v>
      </c>
      <c r="BT104" s="214" t="n">
        <f aca="false">BT103</f>
        <v>13334.5342497275</v>
      </c>
      <c r="BU104" s="215" t="n">
        <f aca="false">SUM(BU103,BS103,BR103,BQ103)</f>
        <v>13492.3786167514</v>
      </c>
      <c r="BV104" s="215" t="n">
        <f aca="false">SUM(BV103,BU103,BS103,BR103)</f>
        <v>14202.3723176444</v>
      </c>
      <c r="BW104" s="215" t="n">
        <f aca="false">SUM(BW103,BV103,BU103,BS103)</f>
        <v>14820.8272860257</v>
      </c>
      <c r="BX104" s="215" t="n">
        <f aca="false">SUM(BX103,BW103,BV103,BU103)</f>
        <v>15113.6719875237</v>
      </c>
      <c r="BY104" s="214" t="n">
        <f aca="false">BY103</f>
        <v>15113.6719875237</v>
      </c>
      <c r="BZ104" s="214" t="n">
        <f aca="false">BZ103</f>
        <v>18501.3799376864</v>
      </c>
      <c r="CA104" s="214" t="n">
        <f aca="false">CA103</f>
        <v>19734.9606418536</v>
      </c>
      <c r="CB104" s="214" t="n">
        <f aca="false">CB103</f>
        <v>21055.9876613057</v>
      </c>
      <c r="CC104" s="48"/>
    </row>
    <row r="105" customFormat="false" ht="15" hidden="true" customHeight="true" outlineLevel="1" collapsed="false">
      <c r="A105" s="145" t="s">
        <v>612</v>
      </c>
      <c r="B105" s="254"/>
      <c r="C105" s="214" t="n">
        <f aca="false">INDEX(MO_BS_CL,0,COLUMN())</f>
        <v>1044.17</v>
      </c>
      <c r="D105" s="214" t="n">
        <f aca="false">INDEX(MO_BS_CL,0,COLUMN())</f>
        <v>2157.245</v>
      </c>
      <c r="E105" s="214" t="n">
        <f aca="false">INDEX(MO_BS_CL,0,COLUMN())</f>
        <v>2233.042</v>
      </c>
      <c r="F105" s="214" t="n">
        <f aca="false">INDEX(MO_BS_CL,0,COLUMN())</f>
        <v>2086.283</v>
      </c>
      <c r="G105" s="214" t="n">
        <f aca="false">INDEX(MO_BS_CL,0,COLUMN())</f>
        <v>2868.661</v>
      </c>
      <c r="H105" s="215" t="n">
        <f aca="false">INDEX(MO_BS_CL,0,COLUMN())</f>
        <v>2957.5</v>
      </c>
      <c r="I105" s="215" t="n">
        <f aca="false">INDEX(MO_BS_CL,0,COLUMN())</f>
        <v>3065.2</v>
      </c>
      <c r="J105" s="215" t="n">
        <f aca="false">INDEX(MO_BS_CL,0,COLUMN())</f>
        <v>2926</v>
      </c>
      <c r="K105" s="215" t="n">
        <f aca="false">INDEX(MO_BS_CL,0,COLUMN())</f>
        <v>2888.871</v>
      </c>
      <c r="L105" s="214" t="n">
        <f aca="false">INDEX(MO_BS_CL,0,COLUMN())</f>
        <v>2888.871</v>
      </c>
      <c r="M105" s="215" t="n">
        <f aca="false">INDEX(MO_BS_CL,0,COLUMN())</f>
        <v>3194.3</v>
      </c>
      <c r="N105" s="215" t="n">
        <f aca="false">INDEX(MO_BS_CL,0,COLUMN())</f>
        <v>2853.9</v>
      </c>
      <c r="O105" s="215" t="n">
        <f aca="false">INDEX(MO_BS_CL,0,COLUMN())</f>
        <v>2711.3</v>
      </c>
      <c r="P105" s="215" t="n">
        <f aca="false">INDEX(MO_BS_CL,0,COLUMN())</f>
        <v>3107.172</v>
      </c>
      <c r="Q105" s="214" t="n">
        <f aca="false">INDEX(MO_BS_CL,0,COLUMN())</f>
        <v>3107.172</v>
      </c>
      <c r="R105" s="215" t="n">
        <f aca="false">INDEX(MO_BS_CL,0,COLUMN())</f>
        <v>3246.8</v>
      </c>
      <c r="S105" s="215" t="n">
        <f aca="false">INDEX(MO_BS_CL,0,COLUMN())</f>
        <v>3720.1</v>
      </c>
      <c r="T105" s="215" t="n">
        <f aca="false">INDEX(MO_BS_CL,0,COLUMN())</f>
        <v>3272.2</v>
      </c>
      <c r="U105" s="215" t="n">
        <f aca="false">INDEX(MO_BS_CL,0,COLUMN())</f>
        <v>3280.6</v>
      </c>
      <c r="V105" s="214" t="n">
        <f aca="false">INDEX(MO_BS_CL,0,COLUMN())</f>
        <v>3280.6</v>
      </c>
      <c r="W105" s="215" t="n">
        <f aca="false">INDEX(MO_BS_CL,0,COLUMN())</f>
        <v>2875.4</v>
      </c>
      <c r="X105" s="215" t="n">
        <f aca="false">INDEX(MO_BS_CL,0,COLUMN())</f>
        <v>3125</v>
      </c>
      <c r="Y105" s="215" t="n">
        <f aca="false">INDEX(MO_BS_CL,0,COLUMN())</f>
        <v>2974.2</v>
      </c>
      <c r="Z105" s="215" t="n">
        <f aca="false">INDEX(MO_BS_CL,0,COLUMN())</f>
        <v>3341.9</v>
      </c>
      <c r="AA105" s="214" t="n">
        <f aca="false">INDEX(MO_BS_CL,0,COLUMN())</f>
        <v>3341.9</v>
      </c>
      <c r="AB105" s="215" t="n">
        <f aca="false">INDEX(MO_BS_CL,0,COLUMN())</f>
        <v>3132.2</v>
      </c>
      <c r="AC105" s="215" t="n">
        <f aca="false">INDEX(MO_BS_CL,0,COLUMN())</f>
        <v>3380.8</v>
      </c>
      <c r="AD105" s="215" t="n">
        <f aca="false">INDEX(MO_BS_CL,0,COLUMN())</f>
        <v>3546.1</v>
      </c>
      <c r="AE105" s="215" t="n">
        <f aca="false">INDEX(MO_BS_CL,0,COLUMN())</f>
        <v>3791.9</v>
      </c>
      <c r="AF105" s="214" t="n">
        <f aca="false">INDEX(MO_BS_CL,0,COLUMN())</f>
        <v>3791.9</v>
      </c>
      <c r="AG105" s="215" t="n">
        <f aca="false">INDEX(MO_BS_CL,0,COLUMN())</f>
        <v>3721.2</v>
      </c>
      <c r="AH105" s="215" t="n">
        <f aca="false">INDEX(MO_BS_CL,0,COLUMN())</f>
        <v>3692.5</v>
      </c>
      <c r="AI105" s="215" t="n">
        <f aca="false">INDEX(MO_BS_CL,0,COLUMN())</f>
        <v>3712.5</v>
      </c>
      <c r="AJ105" s="215" t="n">
        <f aca="false">INDEX(MO_BS_CL,0,COLUMN())</f>
        <v>4694.1</v>
      </c>
      <c r="AK105" s="214" t="n">
        <f aca="false">INDEX(MO_BS_CL,0,COLUMN())</f>
        <v>4694.1</v>
      </c>
      <c r="AL105" s="215" t="n">
        <f aca="false">INDEX(MO_BS_CL,0,COLUMN())</f>
        <v>4677.4</v>
      </c>
      <c r="AM105" s="215" t="n">
        <f aca="false">INDEX(MO_BS_CL,0,COLUMN())</f>
        <v>4631.3</v>
      </c>
      <c r="AN105" s="215" t="n">
        <f aca="false">INDEX(MO_BS_CL,0,COLUMN())</f>
        <v>4990.9</v>
      </c>
      <c r="AO105" s="215" t="n">
        <f aca="false">INDEX(MO_BS_CL,0,COLUMN())</f>
        <v>6603.5</v>
      </c>
      <c r="AP105" s="214" t="n">
        <f aca="false">INDEX(MO_BS_CL,0,COLUMN())</f>
        <v>6603.5</v>
      </c>
      <c r="AQ105" s="215" t="n">
        <f aca="false">INDEX(MO_BS_CL,0,COLUMN())</f>
        <v>6876.3</v>
      </c>
      <c r="AR105" s="215" t="n">
        <f aca="false">INDEX(MO_BS_CL,0,COLUMN())</f>
        <v>8754.1</v>
      </c>
      <c r="AS105" s="215" t="n">
        <f aca="false">INDEX(MO_BS_CL,0,COLUMN())</f>
        <v>9162.6</v>
      </c>
      <c r="AT105" s="215" t="n">
        <f aca="false">INDEX(MO_BS_CL,0,COLUMN())</f>
        <v>12298</v>
      </c>
      <c r="AU105" s="214" t="n">
        <f aca="false">INDEX(MO_BS_CL,0,COLUMN())</f>
        <v>12298</v>
      </c>
      <c r="AV105" s="215" t="n">
        <f aca="false">INDEX(MO_BS_CL,0,COLUMN())</f>
        <v>13612.8</v>
      </c>
      <c r="AW105" s="215" t="n">
        <f aca="false">INDEX(MO_BS_CL,0,COLUMN())</f>
        <v>14637</v>
      </c>
      <c r="AX105" s="215" t="n">
        <f aca="false">INDEX(MO_BS_CL,0,COLUMN())</f>
        <v>15668.6</v>
      </c>
      <c r="AY105" s="215" t="n">
        <f aca="false">INDEX(MO_BS_CL,0,COLUMN())</f>
        <v>17983.6</v>
      </c>
      <c r="AZ105" s="214" t="n">
        <f aca="false">INDEX(MO_BS_CL,0,COLUMN())</f>
        <v>17983.6</v>
      </c>
      <c r="BA105" s="215" t="n">
        <f aca="false">INDEX(MO_BS_CL,0,COLUMN())</f>
        <v>16948.1</v>
      </c>
      <c r="BB105" s="215" t="n">
        <f aca="false">INDEX(MO_BS_CL,0,COLUMN())</f>
        <v>16754.3</v>
      </c>
      <c r="BC105" s="215" t="n">
        <f aca="false">INDEX(MO_BS_CL,0,COLUMN())</f>
        <v>16309.5</v>
      </c>
      <c r="BD105" s="215" t="n">
        <f aca="false">INDEX(MO_BS_CL,0,COLUMN())</f>
        <v>16274.7</v>
      </c>
      <c r="BE105" s="214" t="n">
        <f aca="false">INDEX(MO_BS_CL,0,COLUMN())</f>
        <v>16274.7</v>
      </c>
      <c r="BF105" s="215" t="n">
        <f aca="false">INDEX(MO_BS_CL,0,COLUMN())</f>
        <v>15048.7</v>
      </c>
      <c r="BG105" s="215" t="n">
        <f aca="false">INDEX(MO_BS_CL,0,COLUMN())</f>
        <v>16132.3</v>
      </c>
      <c r="BH105" s="215" t="n">
        <f aca="false">INDEX(MO_BS_CL,0,COLUMN())</f>
        <v>16025.8</v>
      </c>
      <c r="BI105" s="215" t="n">
        <f aca="false">INDEX(MO_BS_CL,0,COLUMN())</f>
        <v>20051.4</v>
      </c>
      <c r="BJ105" s="214" t="n">
        <f aca="false">INDEX(MO_BS_CL,0,COLUMN())</f>
        <v>20051.4</v>
      </c>
      <c r="BK105" s="215" t="n">
        <f aca="false">INDEX(MO_BS_CL,0,COLUMN())</f>
        <v>18123.9</v>
      </c>
      <c r="BL105" s="215" t="n">
        <f aca="false">INDEX(MO_BS_CL,0,COLUMN())</f>
        <v>18616</v>
      </c>
      <c r="BM105" s="215" t="n">
        <f aca="false">INDEX(MO_BS_CL,0,COLUMN())</f>
        <v>19224.9</v>
      </c>
      <c r="BN105" s="215" t="n">
        <f aca="false">INDEX(MO_BS_CL,0,COLUMN())</f>
        <v>24263.9</v>
      </c>
      <c r="BO105" s="218" t="n">
        <f aca="false">INDEX(MO_BS_CL,0,COLUMN())</f>
        <v>24263.9</v>
      </c>
      <c r="BP105" s="215" t="n">
        <f aca="false">INDEX(MO_BS_CL,0,COLUMN())</f>
        <v>29331.6146817805</v>
      </c>
      <c r="BQ105" s="215" t="n">
        <f aca="false">INDEX(MO_BS_CL,0,COLUMN())</f>
        <v>30285.4244307449</v>
      </c>
      <c r="BR105" s="215" t="n">
        <f aca="false">INDEX(MO_BS_CL,0,COLUMN())</f>
        <v>31801.9709770761</v>
      </c>
      <c r="BS105" s="215" t="n">
        <f aca="false">INDEX(MO_BS_CL,0,COLUMN())</f>
        <v>27152.0485491273</v>
      </c>
      <c r="BT105" s="214" t="n">
        <f aca="false">INDEX(MO_BS_CL,0,COLUMN())</f>
        <v>27152.0485491273</v>
      </c>
      <c r="BU105" s="215" t="n">
        <f aca="false">INDEX(MO_BS_CL,0,COLUMN())</f>
        <v>32345.3729630529</v>
      </c>
      <c r="BV105" s="215" t="n">
        <f aca="false">INDEX(MO_BS_CL,0,COLUMN())</f>
        <v>32486.5114781642</v>
      </c>
      <c r="BW105" s="215" t="n">
        <f aca="false">INDEX(MO_BS_CL,0,COLUMN())</f>
        <v>32955.8522312315</v>
      </c>
      <c r="BX105" s="215" t="n">
        <f aca="false">INDEX(MO_BS_CL,0,COLUMN())</f>
        <v>28300.9872777497</v>
      </c>
      <c r="BY105" s="214" t="n">
        <f aca="false">INDEX(MO_BS_CL,0,COLUMN())</f>
        <v>28300.9872777497</v>
      </c>
      <c r="BZ105" s="214" t="n">
        <f aca="false">INDEX(MO_BS_CL,0,COLUMN())</f>
        <v>33700.0264231699</v>
      </c>
      <c r="CA105" s="214" t="n">
        <f aca="false">INDEX(MO_BS_CL,0,COLUMN())</f>
        <v>35308.2794679298</v>
      </c>
      <c r="CB105" s="214" t="n">
        <f aca="false">INDEX(MO_BS_CL,0,COLUMN())</f>
        <v>37014.6134077716</v>
      </c>
      <c r="CC105" s="48"/>
    </row>
    <row r="106" customFormat="false" ht="15" hidden="true" customHeight="true" outlineLevel="1" collapsed="false">
      <c r="A106" s="145" t="s">
        <v>833</v>
      </c>
      <c r="B106" s="254"/>
      <c r="C106" s="214" t="n">
        <f aca="false">C105</f>
        <v>1044.17</v>
      </c>
      <c r="D106" s="214" t="n">
        <f aca="false">AVERAGE(D105,C105)</f>
        <v>1600.7075</v>
      </c>
      <c r="E106" s="214" t="n">
        <f aca="false">AVERAGE(E105,D105)</f>
        <v>2195.1435</v>
      </c>
      <c r="F106" s="214" t="n">
        <f aca="false">AVERAGE(F105,E105)</f>
        <v>2159.6625</v>
      </c>
      <c r="G106" s="214" t="n">
        <f aca="false">AVERAGE(G105,F105)</f>
        <v>2477.472</v>
      </c>
      <c r="H106" s="215"/>
      <c r="I106" s="215"/>
      <c r="J106" s="215"/>
      <c r="K106" s="215" t="n">
        <f aca="false">AVERAGE(K105,J105,I105,H105)</f>
        <v>2959.39275</v>
      </c>
      <c r="L106" s="214" t="n">
        <f aca="false">AVERAGE(L105,G105)</f>
        <v>2878.766</v>
      </c>
      <c r="M106" s="215" t="n">
        <f aca="false">AVERAGE(M105,K105,J105,I105)</f>
        <v>3018.59275</v>
      </c>
      <c r="N106" s="215" t="n">
        <f aca="false">AVERAGE(N105,M105,K105,J105)</f>
        <v>2965.76775</v>
      </c>
      <c r="O106" s="215" t="n">
        <f aca="false">AVERAGE(O105,N105,M105,K105)</f>
        <v>2912.09275</v>
      </c>
      <c r="P106" s="215" t="n">
        <f aca="false">AVERAGE(P105,O105,N105,M105)</f>
        <v>2966.668</v>
      </c>
      <c r="Q106" s="214" t="n">
        <f aca="false">AVERAGE(Q105,L105)</f>
        <v>2998.0215</v>
      </c>
      <c r="R106" s="215" t="n">
        <f aca="false">AVERAGE(R105,P105,O105,N105)</f>
        <v>2979.793</v>
      </c>
      <c r="S106" s="215" t="n">
        <f aca="false">AVERAGE(S105,R105,P105,O105)</f>
        <v>3196.343</v>
      </c>
      <c r="T106" s="215" t="n">
        <f aca="false">AVERAGE(T105,S105,R105,P105)</f>
        <v>3336.568</v>
      </c>
      <c r="U106" s="215" t="n">
        <f aca="false">AVERAGE(U105,T105,S105,R105)</f>
        <v>3379.925</v>
      </c>
      <c r="V106" s="214" t="n">
        <f aca="false">AVERAGE(V105,Q105)</f>
        <v>3193.886</v>
      </c>
      <c r="W106" s="215" t="n">
        <f aca="false">AVERAGE(W105,U105,T105,S105)</f>
        <v>3287.075</v>
      </c>
      <c r="X106" s="215" t="n">
        <f aca="false">AVERAGE(X105,W105,U105,T105)</f>
        <v>3138.3</v>
      </c>
      <c r="Y106" s="215" t="n">
        <f aca="false">AVERAGE(Y105,X105,W105,U105)</f>
        <v>3063.8</v>
      </c>
      <c r="Z106" s="215" t="n">
        <f aca="false">AVERAGE(Z105,Y105,X105,W105)</f>
        <v>3079.125</v>
      </c>
      <c r="AA106" s="214" t="n">
        <f aca="false">AVERAGE(AA105,V105)</f>
        <v>3311.25</v>
      </c>
      <c r="AB106" s="215" t="n">
        <f aca="false">AVERAGE(AB105,Z105,Y105,X105)</f>
        <v>3143.325</v>
      </c>
      <c r="AC106" s="215" t="n">
        <f aca="false">AVERAGE(AC105,AB105,Z105,Y105)</f>
        <v>3207.275</v>
      </c>
      <c r="AD106" s="215" t="n">
        <f aca="false">AVERAGE(AD105,AC105,AB105,Z105)</f>
        <v>3350.25</v>
      </c>
      <c r="AE106" s="215" t="n">
        <f aca="false">AVERAGE(AE105,AD105,AC105,AB105)</f>
        <v>3462.75</v>
      </c>
      <c r="AF106" s="214" t="n">
        <f aca="false">AVERAGE(AF105,AA105)</f>
        <v>3566.9</v>
      </c>
      <c r="AG106" s="215" t="n">
        <f aca="false">AVERAGE(AG105,AE105,AD105,AC105)</f>
        <v>3610</v>
      </c>
      <c r="AH106" s="215" t="n">
        <f aca="false">AVERAGE(AH105,AG105,AE105,AD105)</f>
        <v>3687.925</v>
      </c>
      <c r="AI106" s="215" t="n">
        <f aca="false">AVERAGE(AI105,AH105,AG105,AE105)</f>
        <v>3729.525</v>
      </c>
      <c r="AJ106" s="215" t="n">
        <f aca="false">AVERAGE(AJ105,AI105,AH105,AG105)</f>
        <v>3955.075</v>
      </c>
      <c r="AK106" s="214" t="n">
        <f aca="false">AVERAGE(AK105,AF105)</f>
        <v>4243</v>
      </c>
      <c r="AL106" s="215" t="n">
        <f aca="false">AVERAGE(AL105,AJ105,AI105,AH105)</f>
        <v>4194.125</v>
      </c>
      <c r="AM106" s="215" t="n">
        <f aca="false">AVERAGE(AM105,AL105,AJ105,AI105)</f>
        <v>4428.825</v>
      </c>
      <c r="AN106" s="215" t="n">
        <f aca="false">AVERAGE(AN105,AM105,AL105,AJ105)</f>
        <v>4748.425</v>
      </c>
      <c r="AO106" s="215" t="n">
        <f aca="false">AVERAGE(AO105,AN105,AM105,AL105)</f>
        <v>5225.775</v>
      </c>
      <c r="AP106" s="214" t="n">
        <f aca="false">AVERAGE(AP105,AK105)</f>
        <v>5648.8</v>
      </c>
      <c r="AQ106" s="215" t="n">
        <f aca="false">AVERAGE(AQ105,AO105,AN105,AM105)</f>
        <v>5775.5</v>
      </c>
      <c r="AR106" s="215" t="n">
        <f aca="false">AVERAGE(AR105,AQ105,AO105,AN105)</f>
        <v>6806.2</v>
      </c>
      <c r="AS106" s="215" t="n">
        <f aca="false">AVERAGE(AS105,AR105,AQ105,AO105)</f>
        <v>7849.125</v>
      </c>
      <c r="AT106" s="215" t="n">
        <f aca="false">AVERAGE(AT105,AS105,AR105,AQ105)</f>
        <v>9272.75</v>
      </c>
      <c r="AU106" s="214" t="n">
        <f aca="false">AVERAGE(AU105,AP105)</f>
        <v>9450.75</v>
      </c>
      <c r="AV106" s="215" t="n">
        <f aca="false">AVERAGE(AV105,AT105,AS105,AR105)</f>
        <v>10956.875</v>
      </c>
      <c r="AW106" s="215" t="n">
        <f aca="false">AVERAGE(AW105,AV105,AT105,AS105)</f>
        <v>12427.6</v>
      </c>
      <c r="AX106" s="215" t="n">
        <f aca="false">AVERAGE(AX105,AW105,AV105,AT105)</f>
        <v>14054.1</v>
      </c>
      <c r="AY106" s="215" t="n">
        <f aca="false">AVERAGE(AY105,AX105,AW105,AV105)</f>
        <v>15475.5</v>
      </c>
      <c r="AZ106" s="214" t="n">
        <f aca="false">AVERAGE(AZ105,AU105)</f>
        <v>15140.8</v>
      </c>
      <c r="BA106" s="215" t="n">
        <f aca="false">AVERAGE(BA105,AY105,AX105,AW105)</f>
        <v>16309.325</v>
      </c>
      <c r="BB106" s="215" t="n">
        <f aca="false">AVERAGE(BB105,BA105,AY105,AX105)</f>
        <v>16838.65</v>
      </c>
      <c r="BC106" s="215" t="n">
        <f aca="false">AVERAGE(BC105,BB105,BA105,AY105)</f>
        <v>16998.875</v>
      </c>
      <c r="BD106" s="215" t="n">
        <f aca="false">AVERAGE(BD105,BC105,BB105,BA105)</f>
        <v>16571.65</v>
      </c>
      <c r="BE106" s="214" t="n">
        <f aca="false">AVERAGE(BE105,AZ105)</f>
        <v>17129.15</v>
      </c>
      <c r="BF106" s="215" t="n">
        <f aca="false">AVERAGE(BF105,BD105,BC105,BB105)</f>
        <v>16096.8</v>
      </c>
      <c r="BG106" s="215" t="n">
        <f aca="false">AVERAGE(BG105,BF105,BD105,BC105)</f>
        <v>15941.3</v>
      </c>
      <c r="BH106" s="215" t="n">
        <f aca="false">AVERAGE(BH105,BG105,BF105,BD105)</f>
        <v>15870.375</v>
      </c>
      <c r="BI106" s="215" t="n">
        <f aca="false">AVERAGE(BI105,BH105,BG105,BF105)</f>
        <v>16814.55</v>
      </c>
      <c r="BJ106" s="214" t="n">
        <f aca="false">AVERAGE(BJ105,BE105)</f>
        <v>18163.05</v>
      </c>
      <c r="BK106" s="215" t="n">
        <f aca="false">AVERAGE(BK105,BI105,BH105,BG105)</f>
        <v>17583.35</v>
      </c>
      <c r="BL106" s="215" t="n">
        <f aca="false">AVERAGE(BL105,BK105,BI105,BH105)</f>
        <v>18204.275</v>
      </c>
      <c r="BM106" s="215" t="n">
        <f aca="false">AVERAGE(BM105,BL105,BK105,BI105)</f>
        <v>19004.05</v>
      </c>
      <c r="BN106" s="215" t="n">
        <f aca="false">AVERAGE(BN105,BM105,BL105,BK105)</f>
        <v>20057.175</v>
      </c>
      <c r="BO106" s="218" t="n">
        <f aca="false">AVERAGE(BO105,BJ105)</f>
        <v>22157.65</v>
      </c>
      <c r="BP106" s="215" t="n">
        <f aca="false">AVERAGE(BP105,BN105,BM105,BL105)</f>
        <v>22859.1036704451</v>
      </c>
      <c r="BQ106" s="215" t="n">
        <f aca="false">AVERAGE(BQ105,BP105,BN105,BM105)</f>
        <v>25776.4597781313</v>
      </c>
      <c r="BR106" s="215" t="n">
        <f aca="false">AVERAGE(BR105,BQ105,BP105,BN105)</f>
        <v>28920.7275224004</v>
      </c>
      <c r="BS106" s="215" t="n">
        <f aca="false">AVERAGE(BS105,BR105,BQ105,BP105)</f>
        <v>29642.7646596822</v>
      </c>
      <c r="BT106" s="214" t="n">
        <f aca="false">AVERAGE(BT105,BO105)</f>
        <v>25707.9742745637</v>
      </c>
      <c r="BU106" s="215" t="n">
        <f aca="false">AVERAGE(BU105,BS105,BR105,BQ105)</f>
        <v>30396.2042300003</v>
      </c>
      <c r="BV106" s="215" t="n">
        <f aca="false">AVERAGE(BV105,BU105,BS105,BR105)</f>
        <v>30946.4759918552</v>
      </c>
      <c r="BW106" s="215" t="n">
        <f aca="false">AVERAGE(BW105,BV105,BU105,BS105)</f>
        <v>31234.946305394</v>
      </c>
      <c r="BX106" s="215" t="n">
        <f aca="false">AVERAGE(BX105,BW105,BV105,BU105)</f>
        <v>31522.1809875496</v>
      </c>
      <c r="BY106" s="214" t="n">
        <f aca="false">AVERAGE(BY105,BT105)</f>
        <v>27726.5179134385</v>
      </c>
      <c r="BZ106" s="214" t="n">
        <f aca="false">AVERAGE(BZ105,BY105)</f>
        <v>31000.5068504598</v>
      </c>
      <c r="CA106" s="214" t="n">
        <f aca="false">AVERAGE(CA105,BZ105)</f>
        <v>34504.1529455499</v>
      </c>
      <c r="CB106" s="214" t="n">
        <f aca="false">AVERAGE(CB105,CA105)</f>
        <v>36161.4464378507</v>
      </c>
      <c r="CC106" s="48"/>
    </row>
    <row r="107" customFormat="false" ht="15" hidden="true" customHeight="true" outlineLevel="1" collapsed="false">
      <c r="A107" s="145" t="s">
        <v>834</v>
      </c>
      <c r="B107" s="254"/>
      <c r="C107" s="214" t="n">
        <f aca="false">INDEX(SP_BSR_TA_Avg,0,COLUMN())-INDEX(SP_BSR_CL_Avg,0,COLUMN())</f>
        <v>2719.981</v>
      </c>
      <c r="D107" s="214" t="n">
        <f aca="false">INDEX(SP_BSR_TA_Avg,0,COLUMN())-INDEX(SP_BSR_CL_Avg,0,COLUMN())</f>
        <v>3371.547</v>
      </c>
      <c r="E107" s="214" t="n">
        <f aca="false">INDEX(SP_BSR_TA_Avg,0,COLUMN())-INDEX(SP_BSR_CL_Avg,0,COLUMN())</f>
        <v>4525.443</v>
      </c>
      <c r="F107" s="214" t="n">
        <f aca="false">INDEX(SP_BSR_TA_Avg,0,COLUMN())-INDEX(SP_BSR_CL_Avg,0,COLUMN())</f>
        <v>5175.984</v>
      </c>
      <c r="G107" s="214" t="n">
        <f aca="false">INDEX(SP_BSR_TA_Avg,0,COLUMN())-INDEX(SP_BSR_CL_Avg,0,COLUMN())</f>
        <v>6984.632</v>
      </c>
      <c r="H107" s="215"/>
      <c r="I107" s="215"/>
      <c r="J107" s="215"/>
      <c r="K107" s="215" t="n">
        <f aca="false">INDEX(SP_BSR_TA_Avg,0,COLUMN())-INDEX(SP_BSR_CL_Avg,0,COLUMN())</f>
        <v>9027.4435</v>
      </c>
      <c r="L107" s="214" t="n">
        <f aca="false">INDEX(SP_BSR_TA_Avg,0,COLUMN())-INDEX(SP_BSR_CL_Avg,0,COLUMN())</f>
        <v>8980.0715</v>
      </c>
      <c r="M107" s="215" t="n">
        <f aca="false">INDEX(SP_BSR_TA_Avg,0,COLUMN())-INDEX(SP_BSR_CL_Avg,0,COLUMN())</f>
        <v>9301.4435</v>
      </c>
      <c r="N107" s="215" t="n">
        <f aca="false">INDEX(SP_BSR_TA_Avg,0,COLUMN())-INDEX(SP_BSR_CL_Avg,0,COLUMN())</f>
        <v>9550.9685</v>
      </c>
      <c r="O107" s="215" t="n">
        <f aca="false">INDEX(SP_BSR_TA_Avg,0,COLUMN())-INDEX(SP_BSR_CL_Avg,0,COLUMN())</f>
        <v>9756.8935</v>
      </c>
      <c r="P107" s="215" t="n">
        <f aca="false">INDEX(SP_BSR_TA_Avg,0,COLUMN())-INDEX(SP_BSR_CL_Avg,0,COLUMN())</f>
        <v>9975.08975</v>
      </c>
      <c r="Q107" s="214" t="n">
        <f aca="false">INDEX(SP_BSR_TA_Avg,0,COLUMN())-INDEX(SP_BSR_CL_Avg,0,COLUMN())</f>
        <v>9751.4665</v>
      </c>
      <c r="R107" s="215" t="n">
        <f aca="false">INDEX(SP_BSR_TA_Avg,0,COLUMN())-INDEX(SP_BSR_CL_Avg,0,COLUMN())</f>
        <v>9975.08975</v>
      </c>
      <c r="S107" s="215" t="n">
        <f aca="false">INDEX(SP_BSR_TA_Avg,0,COLUMN())-INDEX(SP_BSR_CL_Avg,0,COLUMN())</f>
        <v>9915.58975</v>
      </c>
      <c r="T107" s="215" t="n">
        <f aca="false">INDEX(SP_BSR_TA_Avg,0,COLUMN())-INDEX(SP_BSR_CL_Avg,0,COLUMN())</f>
        <v>10299.51475</v>
      </c>
      <c r="U107" s="215" t="n">
        <f aca="false">INDEX(SP_BSR_TA_Avg,0,COLUMN())-INDEX(SP_BSR_CL_Avg,0,COLUMN())</f>
        <v>11233.875</v>
      </c>
      <c r="V107" s="214" t="n">
        <f aca="false">INDEX(SP_BSR_TA_Avg,0,COLUMN())-INDEX(SP_BSR_CL_Avg,0,COLUMN())</f>
        <v>12056.5795</v>
      </c>
      <c r="W107" s="215" t="n">
        <f aca="false">INDEX(SP_BSR_TA_Avg,0,COLUMN())-INDEX(SP_BSR_CL_Avg,0,COLUMN())</f>
        <v>12372.025</v>
      </c>
      <c r="X107" s="215" t="n">
        <f aca="false">INDEX(SP_BSR_TA_Avg,0,COLUMN())-INDEX(SP_BSR_CL_Avg,0,COLUMN())</f>
        <v>13512.95</v>
      </c>
      <c r="Y107" s="215" t="n">
        <f aca="false">INDEX(SP_BSR_TA_Avg,0,COLUMN())-INDEX(SP_BSR_CL_Avg,0,COLUMN())</f>
        <v>14261</v>
      </c>
      <c r="Z107" s="215" t="n">
        <f aca="false">INDEX(SP_BSR_TA_Avg,0,COLUMN())-INDEX(SP_BSR_CL_Avg,0,COLUMN())</f>
        <v>14493.3</v>
      </c>
      <c r="AA107" s="214" t="n">
        <f aca="false">INDEX(SP_BSR_TA_Avg,0,COLUMN())-INDEX(SP_BSR_CL_Avg,0,COLUMN())</f>
        <v>14389.9</v>
      </c>
      <c r="AB107" s="215" t="n">
        <f aca="false">INDEX(SP_BSR_TA_Avg,0,COLUMN())-INDEX(SP_BSR_CL_Avg,0,COLUMN())</f>
        <v>14758.95</v>
      </c>
      <c r="AC107" s="215" t="n">
        <f aca="false">INDEX(SP_BSR_TA_Avg,0,COLUMN())-INDEX(SP_BSR_CL_Avg,0,COLUMN())</f>
        <v>15061.675</v>
      </c>
      <c r="AD107" s="215" t="n">
        <f aca="false">INDEX(SP_BSR_TA_Avg,0,COLUMN())-INDEX(SP_BSR_CL_Avg,0,COLUMN())</f>
        <v>15409</v>
      </c>
      <c r="AE107" s="215" t="n">
        <f aca="false">INDEX(SP_BSR_TA_Avg,0,COLUMN())-INDEX(SP_BSR_CL_Avg,0,COLUMN())</f>
        <v>15781.625</v>
      </c>
      <c r="AF107" s="214" t="n">
        <f aca="false">INDEX(SP_BSR_TA_Avg,0,COLUMN())-INDEX(SP_BSR_CL_Avg,0,COLUMN())</f>
        <v>15599.75</v>
      </c>
      <c r="AG107" s="215" t="n">
        <f aca="false">INDEX(SP_BSR_TA_Avg,0,COLUMN())-INDEX(SP_BSR_CL_Avg,0,COLUMN())</f>
        <v>16063.475</v>
      </c>
      <c r="AH107" s="215" t="n">
        <f aca="false">INDEX(SP_BSR_TA_Avg,0,COLUMN())-INDEX(SP_BSR_CL_Avg,0,COLUMN())</f>
        <v>16309.325</v>
      </c>
      <c r="AI107" s="215" t="n">
        <f aca="false">INDEX(SP_BSR_TA_Avg,0,COLUMN())-INDEX(SP_BSR_CL_Avg,0,COLUMN())</f>
        <v>16578.125</v>
      </c>
      <c r="AJ107" s="215" t="n">
        <f aca="false">INDEX(SP_BSR_TA_Avg,0,COLUMN())-INDEX(SP_BSR_CL_Avg,0,COLUMN())</f>
        <v>16975.75</v>
      </c>
      <c r="AK107" s="214" t="n">
        <f aca="false">INDEX(SP_BSR_TA_Avg,0,COLUMN())-INDEX(SP_BSR_CL_Avg,0,COLUMN())</f>
        <v>17140.25</v>
      </c>
      <c r="AL107" s="215" t="n">
        <f aca="false">INDEX(SP_BSR_TA_Avg,0,COLUMN())-INDEX(SP_BSR_CL_Avg,0,COLUMN())</f>
        <v>17465.95</v>
      </c>
      <c r="AM107" s="215" t="n">
        <f aca="false">INDEX(SP_BSR_TA_Avg,0,COLUMN())-INDEX(SP_BSR_CL_Avg,0,COLUMN())</f>
        <v>18299.3</v>
      </c>
      <c r="AN107" s="215" t="n">
        <f aca="false">INDEX(SP_BSR_TA_Avg,0,COLUMN())-INDEX(SP_BSR_CL_Avg,0,COLUMN())</f>
        <v>19170.75</v>
      </c>
      <c r="AO107" s="215" t="n">
        <f aca="false">INDEX(SP_BSR_TA_Avg,0,COLUMN())-INDEX(SP_BSR_CL_Avg,0,COLUMN())</f>
        <v>19852.85</v>
      </c>
      <c r="AP107" s="214" t="n">
        <f aca="false">INDEX(SP_BSR_TA_Avg,0,COLUMN())-INDEX(SP_BSR_CL_Avg,0,COLUMN())</f>
        <v>19299.7</v>
      </c>
      <c r="AQ107" s="215" t="n">
        <f aca="false">INDEX(SP_BSR_TA_Avg,0,COLUMN())-INDEX(SP_BSR_CL_Avg,0,COLUMN())</f>
        <v>20288.4</v>
      </c>
      <c r="AR107" s="215" t="n">
        <f aca="false">INDEX(SP_BSR_TA_Avg,0,COLUMN())-INDEX(SP_BSR_CL_Avg,0,COLUMN())</f>
        <v>20135.05</v>
      </c>
      <c r="AS107" s="215" t="n">
        <f aca="false">INDEX(SP_BSR_TA_Avg,0,COLUMN())-INDEX(SP_BSR_CL_Avg,0,COLUMN())</f>
        <v>19550.775</v>
      </c>
      <c r="AT107" s="215" t="n">
        <f aca="false">INDEX(SP_BSR_TA_Avg,0,COLUMN())-INDEX(SP_BSR_CL_Avg,0,COLUMN())</f>
        <v>18868.05</v>
      </c>
      <c r="AU107" s="214" t="n">
        <f aca="false">INDEX(SP_BSR_TA_Avg,0,COLUMN())-INDEX(SP_BSR_CL_Avg,0,COLUMN())</f>
        <v>19298.45</v>
      </c>
      <c r="AV107" s="215" t="n">
        <f aca="false">INDEX(SP_BSR_TA_Avg,0,COLUMN())-INDEX(SP_BSR_CL_Avg,0,COLUMN())</f>
        <v>17937.2</v>
      </c>
      <c r="AW107" s="215" t="n">
        <f aca="false">INDEX(SP_BSR_TA_Avg,0,COLUMN())-INDEX(SP_BSR_CL_Avg,0,COLUMN())</f>
        <v>17490.75</v>
      </c>
      <c r="AX107" s="215" t="n">
        <f aca="false">INDEX(SP_BSR_TA_Avg,0,COLUMN())-INDEX(SP_BSR_CL_Avg,0,COLUMN())</f>
        <v>17240.625</v>
      </c>
      <c r="AY107" s="215" t="n">
        <f aca="false">INDEX(SP_BSR_TA_Avg,0,COLUMN())-INDEX(SP_BSR_CL_Avg,0,COLUMN())</f>
        <v>17336.575</v>
      </c>
      <c r="AZ107" s="214" t="n">
        <f aca="false">INDEX(SP_BSR_TA_Avg,0,COLUMN())-INDEX(SP_BSR_CL_Avg,0,COLUMN())</f>
        <v>18124.9</v>
      </c>
      <c r="BA107" s="215" t="n">
        <f aca="false">INDEX(SP_BSR_TA_Avg,0,COLUMN())-INDEX(SP_BSR_CL_Avg,0,COLUMN())</f>
        <v>17731.7</v>
      </c>
      <c r="BB107" s="215" t="n">
        <f aca="false">INDEX(SP_BSR_TA_Avg,0,COLUMN())-INDEX(SP_BSR_CL_Avg,0,COLUMN())</f>
        <v>18456.35</v>
      </c>
      <c r="BC107" s="215" t="n">
        <f aca="false">INDEX(SP_BSR_TA_Avg,0,COLUMN())-INDEX(SP_BSR_CL_Avg,0,COLUMN())</f>
        <v>19473.625</v>
      </c>
      <c r="BD107" s="215" t="n">
        <f aca="false">INDEX(SP_BSR_TA_Avg,0,COLUMN())-INDEX(SP_BSR_CL_Avg,0,COLUMN())</f>
        <v>20815.125</v>
      </c>
      <c r="BE107" s="214" t="n">
        <f aca="false">INDEX(SP_BSR_TA_Avg,0,COLUMN())-INDEX(SP_BSR_CL_Avg,0,COLUMN())</f>
        <v>20999.8</v>
      </c>
      <c r="BF107" s="215" t="n">
        <f aca="false">INDEX(SP_BSR_TA_Avg,0,COLUMN())-INDEX(SP_BSR_CL_Avg,0,COLUMN())</f>
        <v>22263.725</v>
      </c>
      <c r="BG107" s="215" t="n">
        <f aca="false">INDEX(SP_BSR_TA_Avg,0,COLUMN())-INDEX(SP_BSR_CL_Avg,0,COLUMN())</f>
        <v>23372.35</v>
      </c>
      <c r="BH107" s="215" t="n">
        <f aca="false">INDEX(SP_BSR_TA_Avg,0,COLUMN())-INDEX(SP_BSR_CL_Avg,0,COLUMN())</f>
        <v>24506.425</v>
      </c>
      <c r="BI107" s="215" t="n">
        <f aca="false">INDEX(SP_BSR_TA_Avg,0,COLUMN())-INDEX(SP_BSR_CL_Avg,0,COLUMN())</f>
        <v>25720.275</v>
      </c>
      <c r="BJ107" s="214" t="n">
        <f aca="false">INDEX(SP_BSR_TA_Avg,0,COLUMN())-INDEX(SP_BSR_CL_Avg,0,COLUMN())</f>
        <v>26110.5</v>
      </c>
      <c r="BK107" s="215" t="n">
        <f aca="false">INDEX(SP_BSR_TA_Avg,0,COLUMN())-INDEX(SP_BSR_CL_Avg,0,COLUMN())</f>
        <v>26560.525</v>
      </c>
      <c r="BL107" s="215" t="n">
        <f aca="false">INDEX(SP_BSR_TA_Avg,0,COLUMN())-INDEX(SP_BSR_CL_Avg,0,COLUMN())</f>
        <v>26966.625</v>
      </c>
      <c r="BM107" s="215" t="n">
        <f aca="false">INDEX(SP_BSR_TA_Avg,0,COLUMN())-INDEX(SP_BSR_CL_Avg,0,COLUMN())</f>
        <v>26999.6</v>
      </c>
      <c r="BN107" s="215" t="n">
        <f aca="false">INDEX(SP_BSR_TA_Avg,0,COLUMN())-INDEX(SP_BSR_CL_Avg,0,COLUMN())</f>
        <v>26440.725</v>
      </c>
      <c r="BO107" s="218" t="n">
        <f aca="false">INDEX(SP_BSR_TA_Avg,0,COLUMN())-INDEX(SP_BSR_CL_Avg,0,COLUMN())</f>
        <v>27420.45</v>
      </c>
      <c r="BP107" s="215" t="n">
        <f aca="false">INDEX(SP_BSR_TA_Avg,0,COLUMN())-INDEX(SP_BSR_CL_Avg,0,COLUMN())</f>
        <v>26610.4078026761</v>
      </c>
      <c r="BQ107" s="215" t="n">
        <f aca="false">INDEX(SP_BSR_TA_Avg,0,COLUMN())-INDEX(SP_BSR_CL_Avg,0,COLUMN())</f>
        <v>27575.7119235076</v>
      </c>
      <c r="BR107" s="215" t="n">
        <f aca="false">INDEX(SP_BSR_TA_Avg,0,COLUMN())-INDEX(SP_BSR_CL_Avg,0,COLUMN())</f>
        <v>29131.3338901736</v>
      </c>
      <c r="BS107" s="215" t="n">
        <f aca="false">INDEX(SP_BSR_TA_Avg,0,COLUMN())-INDEX(SP_BSR_CL_Avg,0,COLUMN())</f>
        <v>31152.2712579582</v>
      </c>
      <c r="BT107" s="214" t="n">
        <f aca="false">INDEX(SP_BSR_TA_Avg,0,COLUMN())-INDEX(SP_BSR_CL_Avg,0,COLUMN())</f>
        <v>30344.5747355692</v>
      </c>
      <c r="BU107" s="215" t="n">
        <f aca="false">INDEX(SP_BSR_TA_Avg,0,COLUMN())-INDEX(SP_BSR_CL_Avg,0,COLUMN())</f>
        <v>33204.5480847085</v>
      </c>
      <c r="BV107" s="215" t="n">
        <f aca="false">INDEX(SP_BSR_TA_Avg,0,COLUMN())-INDEX(SP_BSR_CL_Avg,0,COLUMN())</f>
        <v>35397.1072035667</v>
      </c>
      <c r="BW107" s="215" t="n">
        <f aca="false">INDEX(SP_BSR_TA_Avg,0,COLUMN())-INDEX(SP_BSR_CL_Avg,0,COLUMN())</f>
        <v>37713.7275705017</v>
      </c>
      <c r="BX107" s="215" t="n">
        <f aca="false">INDEX(SP_BSR_TA_Avg,0,COLUMN())-INDEX(SP_BSR_CL_Avg,0,COLUMN())</f>
        <v>40118.5596182286</v>
      </c>
      <c r="BY107" s="214" t="n">
        <f aca="false">INDEX(SP_BSR_TA_Avg,0,COLUMN())-INDEX(SP_BSR_CL_Avg,0,COLUMN())</f>
        <v>39196.1135665923</v>
      </c>
      <c r="BZ107" s="214" t="n">
        <f aca="false">INDEX(SP_BSR_TA_Avg,0,COLUMN())-INDEX(SP_BSR_CL_Avg,0,COLUMN())</f>
        <v>50067.732522924</v>
      </c>
      <c r="CA107" s="214" t="n">
        <f aca="false">INDEX(SP_BSR_TA_Avg,0,COLUMN())-INDEX(SP_BSR_CL_Avg,0,COLUMN())</f>
        <v>62681.9377956811</v>
      </c>
      <c r="CB107" s="214" t="n">
        <f aca="false">INDEX(SP_BSR_TA_Avg,0,COLUMN())-INDEX(SP_BSR_CL_Avg,0,COLUMN())</f>
        <v>76311.4916133167</v>
      </c>
      <c r="CC107" s="48"/>
    </row>
    <row r="108" s="84" customFormat="true" ht="15" hidden="false" customHeight="true" outlineLevel="0" collapsed="false">
      <c r="A108" s="140" t="s">
        <v>835</v>
      </c>
      <c r="B108" s="374"/>
      <c r="C108" s="142" t="n">
        <f aca="false">IF(C107&lt;0,"NMF",IF(ABS(C104/C107)&gt;1,"NMF",C104/C107))</f>
        <v>-0.0599728453985525</v>
      </c>
      <c r="D108" s="142" t="n">
        <f aca="false">IF(D107&lt;0,"NMF",IF(ABS(D104/D107)&gt;1,"NMF",D104/D107))</f>
        <v>0.370957011721919</v>
      </c>
      <c r="E108" s="142" t="n">
        <f aca="false">IF(E107&lt;0,"NMF",IF(ABS(E104/E107)&gt;1,"NMF",E104/E107))</f>
        <v>0.362664163486315</v>
      </c>
      <c r="F108" s="142" t="n">
        <f aca="false">IF(F107&lt;0,"NMF",IF(ABS(F104/F107)&gt;1,"NMF",F104/F107))</f>
        <v>0.223488712484428</v>
      </c>
      <c r="G108" s="142" t="n">
        <f aca="false">IF(G107&lt;0,"NMF",IF(ABS(G104/G107)&gt;1,"NMF",G104/G107))</f>
        <v>0.150036251015086</v>
      </c>
      <c r="H108" s="143"/>
      <c r="I108" s="143"/>
      <c r="J108" s="143"/>
      <c r="K108" s="143" t="n">
        <f aca="false">IF(K107&lt;0,"NMF",IF(ABS(K104/K107)&gt;1,"NMF",K104/K107))</f>
        <v>0.142033566867519</v>
      </c>
      <c r="L108" s="142" t="n">
        <f aca="false">IF(L107&lt;0,"NMF",IF(ABS(L104/L107)&gt;1,"NMF",L104/L107))</f>
        <v>0.142786725027746</v>
      </c>
      <c r="M108" s="143" t="n">
        <f aca="false">IF(M107&lt;0,"NMF",IF(ABS(M104/M107)&gt;1,"NMF",M104/M107))</f>
        <v>0.158276508372061</v>
      </c>
      <c r="N108" s="143" t="n">
        <f aca="false">IF(N107&lt;0,"NMF",IF(ABS(N104/N107)&gt;1,"NMF",N104/N107))</f>
        <v>0.153460876768675</v>
      </c>
      <c r="O108" s="143" t="n">
        <f aca="false">IF(O107&lt;0,"NMF",IF(ABS(O104/O107)&gt;1,"NMF",O104/O107))</f>
        <v>0.161598566182976</v>
      </c>
      <c r="P108" s="143" t="n">
        <f aca="false">IF(P107&lt;0,"NMF",IF(ABS(P104/P107)&gt;1,"NMF",P104/P107))</f>
        <v>0.156900843924738</v>
      </c>
      <c r="Q108" s="142" t="n">
        <f aca="false">IF(Q107&lt;0,"NMF",IF(ABS(Q104/Q107)&gt;1,"NMF",Q104/Q107))</f>
        <v>0.160502525440661</v>
      </c>
      <c r="R108" s="143" t="n">
        <f aca="false">IF(R107&lt;0,"NMF",IF(ABS(R104/R107)&gt;1,"NMF",R104/R107))</f>
        <v>0.134073981640115</v>
      </c>
      <c r="S108" s="143" t="n">
        <f aca="false">IF(S107&lt;0,"NMF",IF(ABS(S104/S107)&gt;1,"NMF",S104/S107))</f>
        <v>0.133395998962139</v>
      </c>
      <c r="T108" s="143" t="n">
        <f aca="false">IF(T107&lt;0,"NMF",IF(ABS(T104/T107)&gt;1,"NMF",T104/T107))</f>
        <v>0.140385254557745</v>
      </c>
      <c r="U108" s="143" t="n">
        <f aca="false">IF(U107&lt;0,"NMF",IF(ABS(U104/U107)&gt;1,"NMF",U104/U107))</f>
        <v>0.14756261752957</v>
      </c>
      <c r="V108" s="142" t="n">
        <f aca="false">IF(V107&lt;0,"NMF",IF(ABS(V104/V107)&gt;1,"NMF",V104/V107))</f>
        <v>0.137493391056726</v>
      </c>
      <c r="W108" s="143" t="n">
        <f aca="false">IF(W107&lt;0,"NMF",IF(ABS(W104/W107)&gt;1,"NMF",W104/W107))</f>
        <v>0.158785647458682</v>
      </c>
      <c r="X108" s="143" t="n">
        <f aca="false">IF(X107&lt;0,"NMF",IF(ABS(X104/X107)&gt;1,"NMF",X104/X107))</f>
        <v>0.156597930133687</v>
      </c>
      <c r="Y108" s="143" t="n">
        <f aca="false">IF(Y107&lt;0,"NMF",IF(ABS(Y104/Y107)&gt;1,"NMF",Y104/Y107))</f>
        <v>0.159603113386158</v>
      </c>
      <c r="Z108" s="143" t="n">
        <f aca="false">IF(Z107&lt;0,"NMF",IF(ABS(Z104/Z107)&gt;1,"NMF",Z104/Z107))</f>
        <v>0.172231306879731</v>
      </c>
      <c r="AA108" s="142" t="n">
        <f aca="false">IF(AA107&lt;0,"NMF",IF(ABS(AA104/AA107)&gt;1,"NMF",AA104/AA107))</f>
        <v>0.173468891375201</v>
      </c>
      <c r="AB108" s="143" t="n">
        <f aca="false">IF(AB107&lt;0,"NMF",IF(ABS(AB104/AB107)&gt;1,"NMF",AB104/AB107))</f>
        <v>0.176408213321408</v>
      </c>
      <c r="AC108" s="143" t="n">
        <f aca="false">IF(AC107&lt;0,"NMF",IF(ABS(AC104/AC107)&gt;1,"NMF",AC104/AC107))</f>
        <v>0.181732775405126</v>
      </c>
      <c r="AD108" s="143" t="n">
        <f aca="false">IF(AD107&lt;0,"NMF",IF(ABS(AD104/AD107)&gt;1,"NMF",AD104/AD107))</f>
        <v>0.188162762022195</v>
      </c>
      <c r="AE108" s="143" t="n">
        <f aca="false">IF(AE107&lt;0,"NMF",IF(ABS(AE104/AE107)&gt;1,"NMF",AE104/AE107))</f>
        <v>0.187895733170697</v>
      </c>
      <c r="AF108" s="142" t="n">
        <f aca="false">IF(AF107&lt;0,"NMF",IF(ABS(AF104/AF107)&gt;1,"NMF",AF104/AF107))</f>
        <v>0.190086379589417</v>
      </c>
      <c r="AG108" s="143" t="n">
        <f aca="false">IF(AG107&lt;0,"NMF",IF(ABS(AG104/AG107)&gt;1,"NMF",AG104/AG107))</f>
        <v>0.16543120339777</v>
      </c>
      <c r="AH108" s="143" t="n">
        <f aca="false">IF(AH107&lt;0,"NMF",IF(ABS(AH104/AH107)&gt;1,"NMF",AH104/AH107))</f>
        <v>0.150974979038066</v>
      </c>
      <c r="AI108" s="143" t="n">
        <f aca="false">IF(AI107&lt;0,"NMF",IF(ABS(AI104/AI107)&gt;1,"NMF",AI104/AI107))</f>
        <v>0.140552686145146</v>
      </c>
      <c r="AJ108" s="143" t="n">
        <f aca="false">IF(AJ107&lt;0,"NMF",IF(ABS(AJ104/AJ107)&gt;1,"NMF",AJ104/AJ107))</f>
        <v>0.164399216529461</v>
      </c>
      <c r="AK108" s="142" t="n">
        <f aca="false">IF(AK107&lt;0,"NMF",IF(ABS(AK104/AK107)&gt;1,"NMF",AK104/AK107))</f>
        <v>0.162821429092341</v>
      </c>
      <c r="AL108" s="143" t="n">
        <f aca="false">IF(AL107&lt;0,"NMF",IF(ABS(AL104/AL107)&gt;1,"NMF",AL104/AL107))</f>
        <v>0.165075475425041</v>
      </c>
      <c r="AM108" s="143" t="n">
        <f aca="false">IF(AM107&lt;0,"NMF",IF(ABS(AM104/AM107)&gt;1,"NMF",AM104/AM107))</f>
        <v>0.180006885509282</v>
      </c>
      <c r="AN108" s="143" t="n">
        <f aca="false">IF(AN107&lt;0,"NMF",IF(ABS(AN104/AN107)&gt;1,"NMF",AN104/AN107))</f>
        <v>0.199486196419024</v>
      </c>
      <c r="AO108" s="143" t="n">
        <f aca="false">IF(AO107&lt;0,"NMF",IF(ABS(AO104/AO107)&gt;1,"NMF",AO104/AO107))</f>
        <v>0.204076492795745</v>
      </c>
      <c r="AP108" s="142" t="n">
        <f aca="false">IF(AP107&lt;0,"NMF",IF(ABS(AP104/AP107)&gt;1,"NMF",AP104/AP107))</f>
        <v>0.209925542884086</v>
      </c>
      <c r="AQ108" s="143" t="n">
        <f aca="false">IF(AQ107&lt;0,"NMF",IF(ABS(AQ104/AQ107)&gt;1,"NMF",AQ104/AQ107))</f>
        <v>0.255584471914986</v>
      </c>
      <c r="AR108" s="143" t="n">
        <f aca="false">IF(AR107&lt;0,"NMF",IF(ABS(AR104/AR107)&gt;1,"NMF",AR104/AR107))</f>
        <v>0.274114044911734</v>
      </c>
      <c r="AS108" s="143" t="n">
        <f aca="false">IF(AS107&lt;0,"NMF",IF(ABS(AS104/AS107)&gt;1,"NMF",AS104/AS107))</f>
        <v>0.318284057793105</v>
      </c>
      <c r="AT108" s="143" t="n">
        <f aca="false">IF(AT107&lt;0,"NMF",IF(ABS(AT104/AT107)&gt;1,"NMF",AT104/AT107))</f>
        <v>0.357752920943076</v>
      </c>
      <c r="AU108" s="142" t="n">
        <f aca="false">IF(AU107&lt;0,"NMF",IF(ABS(AU104/AU107)&gt;1,"NMF",AU104/AU107))</f>
        <v>0.349774204664105</v>
      </c>
      <c r="AV108" s="143" t="n">
        <f aca="false">IF(AV107&lt;0,"NMF",IF(ABS(AV104/AV107)&gt;1,"NMF",AV104/AV107))</f>
        <v>0.333056441362085</v>
      </c>
      <c r="AW108" s="143" t="n">
        <f aca="false">IF(AW107&lt;0,"NMF",IF(ABS(AW104/AW107)&gt;1,"NMF",AW104/AW107))</f>
        <v>0.365250203679087</v>
      </c>
      <c r="AX108" s="143" t="n">
        <f aca="false">IF(AX107&lt;0,"NMF",IF(ABS(AX104/AX107)&gt;1,"NMF",AX104/AX107))</f>
        <v>0.371662860250136</v>
      </c>
      <c r="AY108" s="143" t="n">
        <f aca="false">IF(AY107&lt;0,"NMF",IF(ABS(AY104/AY107)&gt;1,"NMF",AY104/AY107))</f>
        <v>0.374970257966178</v>
      </c>
      <c r="AZ108" s="142" t="n">
        <f aca="false">IF(AZ107&lt;0,"NMF",IF(ABS(AZ104/AZ107)&gt;1,"NMF",AZ104/AZ107))</f>
        <v>0.358661289165734</v>
      </c>
      <c r="BA108" s="143" t="n">
        <f aca="false">IF(BA107&lt;0,"NMF",IF(ABS(BA104/BA107)&gt;1,"NMF",BA104/BA107))</f>
        <v>0.446719716665633</v>
      </c>
      <c r="BB108" s="143" t="n">
        <f aca="false">IF(BB107&lt;0,"NMF",IF(ABS(BB104/BB107)&gt;1,"NMF",BB104/BB107))</f>
        <v>0.462209483456913</v>
      </c>
      <c r="BC108" s="143" t="n">
        <f aca="false">IF(BC107&lt;0,"NMF",IF(ABS(BC104/BC107)&gt;1,"NMF",BC104/BC107))</f>
        <v>0.4505889376015</v>
      </c>
      <c r="BD108" s="143" t="n">
        <f aca="false">IF(BD107&lt;0,"NMF",IF(ABS(BD104/BD107)&gt;1,"NMF",BD104/BD107))</f>
        <v>0.43441007440503</v>
      </c>
      <c r="BE108" s="142" t="n">
        <f aca="false">IF(BE107&lt;0,"NMF",IF(ABS(BE104/BE107)&gt;1,"NMF",BE104/BE107))</f>
        <v>0.430589815141097</v>
      </c>
      <c r="BF108" s="143" t="n">
        <f aca="false">IF(BF107&lt;0,"NMF",IF(ABS(BF104/BF107)&gt;1,"NMF",BF104/BF107))</f>
        <v>0.369601223514933</v>
      </c>
      <c r="BG108" s="143" t="n">
        <f aca="false">IF(BG107&lt;0,"NMF",IF(ABS(BG104/BG107)&gt;1,"NMF",BG104/BG107))</f>
        <v>0.333740509619272</v>
      </c>
      <c r="BH108" s="143" t="n">
        <f aca="false">IF(BH107&lt;0,"NMF",IF(ABS(BH104/BH107)&gt;1,"NMF",BH104/BH107))</f>
        <v>0.328856616173106</v>
      </c>
      <c r="BI108" s="143" t="n">
        <f aca="false">IF(BI107&lt;0,"NMF",IF(ABS(BI104/BI107)&gt;1,"NMF",BI104/BI107))</f>
        <v>0.350797182378493</v>
      </c>
      <c r="BJ108" s="142" t="n">
        <f aca="false">IF(BJ107&lt;0,"NMF",IF(ABS(BJ104/BJ107)&gt;1,"NMF",BJ104/BJ107))</f>
        <v>0.345554470423776</v>
      </c>
      <c r="BK108" s="143" t="n">
        <f aca="false">IF(BK107&lt;0,"NMF",IF(ABS(BK104/BK107)&gt;1,"NMF",BK104/BK107))</f>
        <v>0.390395144674286</v>
      </c>
      <c r="BL108" s="143" t="n">
        <f aca="false">IF(BL107&lt;0,"NMF",IF(ABS(BL104/BL107)&gt;1,"NMF",BL104/BL107))</f>
        <v>0.415276290599955</v>
      </c>
      <c r="BM108" s="143" t="n">
        <f aca="false">IF(BM107&lt;0,"NMF",IF(ABS(BM104/BM107)&gt;1,"NMF",BM104/BM107))</f>
        <v>0.415776530022667</v>
      </c>
      <c r="BN108" s="143" t="n">
        <f aca="false">IF(BN107&lt;0,"NMF",IF(ABS(BN104/BN107)&gt;1,"NMF",BN104/BN107))</f>
        <v>0.427423983268235</v>
      </c>
      <c r="BO108" s="144" t="n">
        <f aca="false">IF(BO107&lt;0,"NMF",IF(ABS(BO104/BO107)&gt;1,"NMF",BO104/BO107))</f>
        <v>0.412152244036841</v>
      </c>
      <c r="BP108" s="143" t="n">
        <f aca="false">IF(BP107&lt;0,"NMF",IF(ABS(BP104/BP107)&gt;1,"NMF",BP104/BP107))</f>
        <v>0.433064127943513</v>
      </c>
      <c r="BQ108" s="143" t="n">
        <f aca="false">IF(BQ107&lt;0,"NMF",IF(ABS(BQ104/BQ107)&gt;1,"NMF",BQ104/BQ107))</f>
        <v>0.448050406867446</v>
      </c>
      <c r="BR108" s="143" t="n">
        <f aca="false">IF(BR107&lt;0,"NMF",IF(ABS(BR104/BR107)&gt;1,"NMF",BR104/BR107))</f>
        <v>0.451245481422122</v>
      </c>
      <c r="BS108" s="143" t="n">
        <f aca="false">IF(BS107&lt;0,"NMF",IF(ABS(BS104/BS107)&gt;1,"NMF",BS104/BS107))</f>
        <v>0.428043725586173</v>
      </c>
      <c r="BT108" s="142" t="n">
        <f aca="false">IF(BT107&lt;0,"NMF",IF(ABS(BT104/BT107)&gt;1,"NMF",BT104/BT107))</f>
        <v>0.439437176692314</v>
      </c>
      <c r="BU108" s="143" t="n">
        <f aca="false">IF(BU107&lt;0,"NMF",IF(ABS(BU104/BU107)&gt;1,"NMF",BU104/BU107))</f>
        <v>0.406341281391056</v>
      </c>
      <c r="BV108" s="143" t="n">
        <f aca="false">IF(BV107&lt;0,"NMF",IF(ABS(BV104/BV107)&gt;1,"NMF",BV104/BV107))</f>
        <v>0.401229745582525</v>
      </c>
      <c r="BW108" s="143" t="n">
        <f aca="false">IF(BW107&lt;0,"NMF",IF(ABS(BW104/BW107)&gt;1,"NMF",BW104/BW107))</f>
        <v>0.392982296918803</v>
      </c>
      <c r="BX108" s="143" t="n">
        <f aca="false">IF(BX107&lt;0,"NMF",IF(ABS(BX104/BX107)&gt;1,"NMF",BX104/BX107))</f>
        <v>0.376725189821035</v>
      </c>
      <c r="BY108" s="142" t="n">
        <f aca="false">IF(BY107&lt;0,"NMF",IF(ABS(BY104/BY107)&gt;1,"NMF",BY104/BY107))</f>
        <v>0.385591085755129</v>
      </c>
      <c r="BZ108" s="142" t="n">
        <f aca="false">IF(BZ107&lt;0,"NMF",IF(ABS(BZ104/BZ107)&gt;1,"NMF",BZ104/BZ107))</f>
        <v>0.369527018808278</v>
      </c>
      <c r="CA108" s="142" t="n">
        <f aca="false">IF(CA107&lt;0,"NMF",IF(ABS(CA104/CA107)&gt;1,"NMF",CA104/CA107))</f>
        <v>0.314842861211182</v>
      </c>
      <c r="CB108" s="142" t="n">
        <f aca="false">IF(CB107&lt;0,"NMF",IF(ABS(CB104/CB107)&gt;1,"NMF",CB104/CB107))</f>
        <v>0.275921584235307</v>
      </c>
      <c r="CC108" s="374"/>
    </row>
    <row r="109" customFormat="false" ht="15" hidden="false" customHeight="true" outlineLevel="0" collapsed="false">
      <c r="A109" s="252"/>
      <c r="B109" s="266"/>
      <c r="C109" s="267"/>
      <c r="D109" s="267"/>
      <c r="E109" s="267"/>
      <c r="F109" s="267"/>
      <c r="G109" s="267"/>
      <c r="H109" s="268"/>
      <c r="I109" s="268"/>
      <c r="J109" s="268"/>
      <c r="K109" s="268"/>
      <c r="L109" s="267"/>
      <c r="M109" s="268"/>
      <c r="N109" s="268"/>
      <c r="O109" s="268"/>
      <c r="P109" s="268"/>
      <c r="Q109" s="267"/>
      <c r="R109" s="268"/>
      <c r="S109" s="268"/>
      <c r="T109" s="268"/>
      <c r="U109" s="268"/>
      <c r="V109" s="267"/>
      <c r="W109" s="268"/>
      <c r="X109" s="268"/>
      <c r="Y109" s="268"/>
      <c r="Z109" s="268"/>
      <c r="AA109" s="267"/>
      <c r="AB109" s="268"/>
      <c r="AC109" s="268"/>
      <c r="AD109" s="268"/>
      <c r="AE109" s="268"/>
      <c r="AF109" s="267"/>
      <c r="AG109" s="268"/>
      <c r="AH109" s="268"/>
      <c r="AI109" s="268"/>
      <c r="AJ109" s="268"/>
      <c r="AK109" s="267"/>
      <c r="AL109" s="268"/>
      <c r="AM109" s="268"/>
      <c r="AN109" s="268"/>
      <c r="AO109" s="268"/>
      <c r="AP109" s="267"/>
      <c r="AQ109" s="268"/>
      <c r="AR109" s="268"/>
      <c r="AS109" s="268"/>
      <c r="AT109" s="268"/>
      <c r="AU109" s="267"/>
      <c r="AV109" s="268"/>
      <c r="AW109" s="268"/>
      <c r="AX109" s="268"/>
      <c r="AY109" s="268"/>
      <c r="AZ109" s="267"/>
      <c r="BA109" s="268"/>
      <c r="BB109" s="268"/>
      <c r="BC109" s="268"/>
      <c r="BD109" s="268"/>
      <c r="BE109" s="267"/>
      <c r="BF109" s="268"/>
      <c r="BG109" s="268"/>
      <c r="BH109" s="268"/>
      <c r="BI109" s="268"/>
      <c r="BJ109" s="267"/>
      <c r="BK109" s="268"/>
      <c r="BL109" s="268"/>
      <c r="BM109" s="268"/>
      <c r="BN109" s="268"/>
      <c r="BO109" s="269"/>
      <c r="BP109" s="268"/>
      <c r="BQ109" s="268"/>
      <c r="BR109" s="268"/>
      <c r="BS109" s="268"/>
      <c r="BT109" s="267"/>
      <c r="BU109" s="268"/>
      <c r="BV109" s="268"/>
      <c r="BW109" s="268"/>
      <c r="BX109" s="268"/>
      <c r="BY109" s="267"/>
      <c r="BZ109" s="267"/>
      <c r="CA109" s="267"/>
      <c r="CB109" s="267"/>
      <c r="CC109" s="268"/>
    </row>
    <row r="110" customFormat="false" ht="15" hidden="false" customHeight="true" outlineLevel="0" collapsed="false">
      <c r="A110" s="219" t="s">
        <v>836</v>
      </c>
      <c r="B110" s="716"/>
      <c r="C110" s="716"/>
      <c r="D110" s="716"/>
      <c r="E110" s="716"/>
      <c r="F110" s="716"/>
      <c r="G110" s="716"/>
      <c r="H110" s="716"/>
      <c r="I110" s="716"/>
      <c r="J110" s="716"/>
      <c r="K110" s="716"/>
      <c r="L110" s="716"/>
      <c r="M110" s="716"/>
      <c r="N110" s="716"/>
      <c r="O110" s="716"/>
      <c r="P110" s="716"/>
      <c r="Q110" s="716"/>
      <c r="R110" s="716"/>
      <c r="S110" s="716"/>
      <c r="T110" s="716"/>
      <c r="U110" s="716"/>
      <c r="V110" s="716"/>
      <c r="W110" s="716"/>
      <c r="X110" s="716"/>
      <c r="Y110" s="716"/>
      <c r="Z110" s="716"/>
      <c r="AA110" s="716"/>
      <c r="AB110" s="716"/>
      <c r="AC110" s="716"/>
      <c r="AD110" s="716"/>
      <c r="AE110" s="716"/>
      <c r="AF110" s="716"/>
      <c r="AG110" s="716"/>
      <c r="AH110" s="716"/>
      <c r="AI110" s="716"/>
      <c r="AJ110" s="716"/>
      <c r="AK110" s="716"/>
      <c r="AL110" s="716"/>
      <c r="AM110" s="716"/>
      <c r="AN110" s="716"/>
      <c r="AO110" s="716"/>
      <c r="AP110" s="716"/>
      <c r="AQ110" s="716"/>
      <c r="AR110" s="716"/>
      <c r="AS110" s="716"/>
      <c r="AT110" s="716"/>
      <c r="AU110" s="716"/>
      <c r="AV110" s="716"/>
      <c r="AW110" s="716"/>
      <c r="AX110" s="716"/>
      <c r="AY110" s="716"/>
      <c r="AZ110" s="716"/>
      <c r="BA110" s="716"/>
      <c r="BB110" s="716"/>
      <c r="BC110" s="716"/>
      <c r="BD110" s="716"/>
      <c r="BE110" s="716"/>
      <c r="BF110" s="716"/>
      <c r="BG110" s="716"/>
      <c r="BH110" s="716"/>
      <c r="BI110" s="716"/>
      <c r="BJ110" s="716"/>
      <c r="BK110" s="716"/>
      <c r="BL110" s="716"/>
      <c r="BM110" s="716"/>
      <c r="BN110" s="716"/>
      <c r="BO110" s="717"/>
      <c r="BP110" s="716"/>
      <c r="BQ110" s="716"/>
      <c r="BR110" s="716"/>
      <c r="BS110" s="716"/>
      <c r="BT110" s="716"/>
      <c r="BU110" s="716"/>
      <c r="BV110" s="716"/>
      <c r="BW110" s="716"/>
      <c r="BX110" s="716"/>
      <c r="BY110" s="716"/>
      <c r="BZ110" s="716"/>
      <c r="CA110" s="716"/>
      <c r="CB110" s="716"/>
      <c r="CC110" s="48"/>
    </row>
    <row r="111" s="237" customFormat="true" ht="15" hidden="false" customHeight="true" outlineLevel="0" collapsed="false">
      <c r="A111" s="231" t="s">
        <v>837</v>
      </c>
      <c r="B111" s="625"/>
      <c r="C111" s="233"/>
      <c r="D111" s="233" t="n">
        <f aca="false">IF(OR(INDEX(SP_GF_Rev,0,COLUMN())&lt;=0,C24&lt;=0),"NMF",IF(ABS((INDEX(SP_GF_Rev,0,COLUMN())/INDEX(SP_GF_ShareCount,0,COLUMN()))/(C24/C43)-1)&gt;10,"NMF",(INDEX(SP_GF_Rev,0,COLUMN())/INDEX(SP_GF_ShareCount,0,COLUMN()))/(C24/C43)-1))</f>
        <v>1.7834965021287</v>
      </c>
      <c r="E111" s="233" t="n">
        <f aca="false">IF(OR(INDEX(SP_GF_Rev,0,COLUMN())&lt;=0,D24&lt;=0),"NMF",IF(ABS((INDEX(SP_GF_Rev,0,COLUMN())/INDEX(SP_GF_ShareCount,0,COLUMN()))/(D24/D43)-1)&gt;10,"NMF",(INDEX(SP_GF_Rev,0,COLUMN())/INDEX(SP_GF_ShareCount,0,COLUMN()))/(D24/D43)-1))</f>
        <v>0.282560669831055</v>
      </c>
      <c r="F111" s="233" t="n">
        <f aca="false">IF(OR(INDEX(SP_GF_Rev,0,COLUMN())&lt;=0,E24&lt;=0),"NMF",IF(ABS((INDEX(SP_GF_Rev,0,COLUMN())/INDEX(SP_GF_ShareCount,0,COLUMN()))/(E24/E43)-1)&gt;10,"NMF",(INDEX(SP_GF_Rev,0,COLUMN())/INDEX(SP_GF_ShareCount,0,COLUMN()))/(E24/E43)-1))</f>
        <v>-0.158656772948605</v>
      </c>
      <c r="G111" s="233" t="n">
        <f aca="false">IF(OR(INDEX(SP_GF_Rev,0,COLUMN())&lt;=0,F24&lt;=0),"NMF",IF(ABS((INDEX(SP_GF_Rev,0,COLUMN())/INDEX(SP_GF_ShareCount,0,COLUMN()))/(F24/F43)-1)&gt;10,"NMF",(INDEX(SP_GF_Rev,0,COLUMN())/INDEX(SP_GF_ShareCount,0,COLUMN()))/(F24/F43)-1))</f>
        <v>0.092061831583355</v>
      </c>
      <c r="H111" s="234"/>
      <c r="I111" s="234"/>
      <c r="J111" s="234"/>
      <c r="K111" s="234"/>
      <c r="L111" s="233" t="n">
        <f aca="false">IF(OR(INDEX(SP_GF_Rev,0,COLUMN())&lt;=0,G24&lt;=0),"NMF",IF(ABS((INDEX(SP_GF_Rev,0,COLUMN())/INDEX(SP_GF_ShareCount,0,COLUMN()))/(G24/G43)-1)&gt;10,"NMF",(INDEX(SP_GF_Rev,0,COLUMN())/INDEX(SP_GF_ShareCount,0,COLUMN()))/(G24/G43)-1))</f>
        <v>0.100612835638065</v>
      </c>
      <c r="M111" s="234" t="n">
        <f aca="false">IF(OR(INDEX(SP_GF_Rev,0,COLUMN())&lt;=0,H24&lt;=0),"NMF",IF(ABS((INDEX(SP_GF_Rev,0,COLUMN())/INDEX(SP_GF_ShareCount,0,COLUMN()))/(H24/H43)-1)&gt;10,"NMF",(INDEX(SP_GF_Rev,0,COLUMN())/INDEX(SP_GF_ShareCount,0,COLUMN()))/(H24/H43)-1))</f>
        <v>0.20370936530391</v>
      </c>
      <c r="N111" s="234" t="n">
        <f aca="false">IF(OR(INDEX(SP_GF_Rev,0,COLUMN())&lt;=0,I24&lt;=0),"NMF",IF(ABS((INDEX(SP_GF_Rev,0,COLUMN())/INDEX(SP_GF_ShareCount,0,COLUMN()))/(I24/I43)-1)&gt;10,"NMF",(INDEX(SP_GF_Rev,0,COLUMN())/INDEX(SP_GF_ShareCount,0,COLUMN()))/(I24/I43)-1))</f>
        <v>0.024483919689162</v>
      </c>
      <c r="O111" s="234" t="n">
        <f aca="false">IF(OR(INDEX(SP_GF_Rev,0,COLUMN())&lt;=0,J24&lt;=0),"NMF",IF(ABS((INDEX(SP_GF_Rev,0,COLUMN())/INDEX(SP_GF_ShareCount,0,COLUMN()))/(J24/J43)-1)&gt;10,"NMF",(INDEX(SP_GF_Rev,0,COLUMN())/INDEX(SP_GF_ShareCount,0,COLUMN()))/(J24/J43)-1))</f>
        <v>0.189842891124932</v>
      </c>
      <c r="P111" s="234" t="n">
        <f aca="false">IF(OR(INDEX(SP_GF_Rev,0,COLUMN())&lt;=0,K24&lt;=0),"NMF",IF(ABS((INDEX(SP_GF_Rev,0,COLUMN())/INDEX(SP_GF_ShareCount,0,COLUMN()))/(K24/K43)-1)&gt;10,"NMF",(INDEX(SP_GF_Rev,0,COLUMN())/INDEX(SP_GF_ShareCount,0,COLUMN()))/(K24/K43)-1))</f>
        <v>-0.0268795081284595</v>
      </c>
      <c r="Q111" s="233" t="n">
        <f aca="false">IF(OR(INDEX(SP_GF_Rev,0,COLUMN())&lt;=0,L24&lt;=0),"NMF",IF(ABS((INDEX(SP_GF_Rev,0,COLUMN())/INDEX(SP_GF_ShareCount,0,COLUMN()))/(L24/L43)-1)&gt;10,"NMF",(INDEX(SP_GF_Rev,0,COLUMN())/INDEX(SP_GF_ShareCount,0,COLUMN()))/(L24/L43)-1))</f>
        <v>0.0911051855320895</v>
      </c>
      <c r="R111" s="234" t="n">
        <f aca="false">IF(OR(INDEX(SP_GF_Rev,0,COLUMN())&lt;=0,M24&lt;=0),"NMF",IF(ABS((INDEX(SP_GF_Rev,0,COLUMN())/INDEX(SP_GF_ShareCount,0,COLUMN()))/(M24/M43)-1)&gt;10,"NMF",(INDEX(SP_GF_Rev,0,COLUMN())/INDEX(SP_GF_ShareCount,0,COLUMN()))/(M24/M43)-1))</f>
        <v>-0.180275651826896</v>
      </c>
      <c r="S111" s="234" t="n">
        <f aca="false">IF(OR(INDEX(SP_GF_Rev,0,COLUMN())&lt;=0,N24&lt;=0),"NMF",IF(ABS((INDEX(SP_GF_Rev,0,COLUMN())/INDEX(SP_GF_ShareCount,0,COLUMN()))/(N24/N43)-1)&gt;10,"NMF",(INDEX(SP_GF_Rev,0,COLUMN())/INDEX(SP_GF_ShareCount,0,COLUMN()))/(N24/N43)-1))</f>
        <v>0.0696905263577174</v>
      </c>
      <c r="T111" s="234" t="n">
        <f aca="false">IF(OR(INDEX(SP_GF_Rev,0,COLUMN())&lt;=0,O24&lt;=0),"NMF",IF(ABS((INDEX(SP_GF_Rev,0,COLUMN())/INDEX(SP_GF_ShareCount,0,COLUMN()))/(O24/O43)-1)&gt;10,"NMF",(INDEX(SP_GF_Rev,0,COLUMN())/INDEX(SP_GF_ShareCount,0,COLUMN()))/(O24/O43)-1))</f>
        <v>0.189194786757619</v>
      </c>
      <c r="U111" s="234" t="n">
        <f aca="false">IF(OR(INDEX(SP_GF_Rev,0,COLUMN())&lt;=0,P24&lt;=0),"NMF",IF(ABS((INDEX(SP_GF_Rev,0,COLUMN())/INDEX(SP_GF_ShareCount,0,COLUMN()))/(P24/P43)-1)&gt;10,"NMF",(INDEX(SP_GF_Rev,0,COLUMN())/INDEX(SP_GF_ShareCount,0,COLUMN()))/(P24/P43)-1))</f>
        <v>0.334897874230147</v>
      </c>
      <c r="V111" s="233" t="n">
        <f aca="false">IF(OR(INDEX(SP_GF_Rev,0,COLUMN())&lt;=0,Q24&lt;=0),"NMF",IF(ABS((INDEX(SP_GF_Rev,0,COLUMN())/INDEX(SP_GF_ShareCount,0,COLUMN()))/(Q24/Q43)-1)&gt;10,"NMF",(INDEX(SP_GF_Rev,0,COLUMN())/INDEX(SP_GF_ShareCount,0,COLUMN()))/(Q24/Q43)-1))</f>
        <v>0.0931978003523963</v>
      </c>
      <c r="W111" s="234" t="n">
        <f aca="false">IF(OR(INDEX(SP_GF_Rev,0,COLUMN())&lt;=0,R24&lt;=0),"NMF",IF(ABS((INDEX(SP_GF_Rev,0,COLUMN())/INDEX(SP_GF_ShareCount,0,COLUMN()))/(R24/R43)-1)&gt;10,"NMF",(INDEX(SP_GF_Rev,0,COLUMN())/INDEX(SP_GF_ShareCount,0,COLUMN()))/(R24/R43)-1))</f>
        <v>0.447054420917456</v>
      </c>
      <c r="X111" s="234" t="n">
        <f aca="false">IF(OR(INDEX(SP_GF_Rev,0,COLUMN())&lt;=0,S24&lt;=0),"NMF",IF(ABS((INDEX(SP_GF_Rev,0,COLUMN())/INDEX(SP_GF_ShareCount,0,COLUMN()))/(S24/S43)-1)&gt;10,"NMF",(INDEX(SP_GF_Rev,0,COLUMN())/INDEX(SP_GF_ShareCount,0,COLUMN()))/(S24/S43)-1))</f>
        <v>0.191496248140661</v>
      </c>
      <c r="Y111" s="234" t="n">
        <f aca="false">IF(OR(INDEX(SP_GF_Rev,0,COLUMN())&lt;=0,T24&lt;=0),"NMF",IF(ABS((INDEX(SP_GF_Rev,0,COLUMN())/INDEX(SP_GF_ShareCount,0,COLUMN()))/(T24/T43)-1)&gt;10,"NMF",(INDEX(SP_GF_Rev,0,COLUMN())/INDEX(SP_GF_ShareCount,0,COLUMN()))/(T24/T43)-1))</f>
        <v>0.329370262194301</v>
      </c>
      <c r="Z111" s="234" t="n">
        <f aca="false">IF(OR(INDEX(SP_GF_Rev,0,COLUMN())&lt;=0,U24&lt;=0),"NMF",IF(ABS((INDEX(SP_GF_Rev,0,COLUMN())/INDEX(SP_GF_ShareCount,0,COLUMN()))/(U24/U43)-1)&gt;10,"NMF",(INDEX(SP_GF_Rev,0,COLUMN())/INDEX(SP_GF_ShareCount,0,COLUMN()))/(U24/U43)-1))</f>
        <v>0.338919317405398</v>
      </c>
      <c r="AA111" s="233" t="n">
        <f aca="false">IF(OR(INDEX(SP_GF_Rev,0,COLUMN())&lt;=0,V24&lt;=0),"NMF",IF(ABS((INDEX(SP_GF_Rev,0,COLUMN())/INDEX(SP_GF_ShareCount,0,COLUMN()))/(V24/V43)-1)&gt;10,"NMF",(INDEX(SP_GF_Rev,0,COLUMN())/INDEX(SP_GF_ShareCount,0,COLUMN()))/(V24/V43)-1))</f>
        <v>0.320273972797057</v>
      </c>
      <c r="AB111" s="234" t="n">
        <f aca="false">IF(OR(INDEX(SP_GF_Rev,0,COLUMN())&lt;=0,W24&lt;=0),"NMF",IF(ABS((INDEX(SP_GF_Rev,0,COLUMN())/INDEX(SP_GF_ShareCount,0,COLUMN()))/(W24/W43)-1)&gt;10,"NMF",(INDEX(SP_GF_Rev,0,COLUMN())/INDEX(SP_GF_ShareCount,0,COLUMN()))/(W24/W43)-1))</f>
        <v>0.184973132041452</v>
      </c>
      <c r="AC111" s="234" t="n">
        <f aca="false">IF(OR(INDEX(SP_GF_Rev,0,COLUMN())&lt;=0,X24&lt;=0),"NMF",IF(ABS((INDEX(SP_GF_Rev,0,COLUMN())/INDEX(SP_GF_ShareCount,0,COLUMN()))/(X24/X43)-1)&gt;10,"NMF",(INDEX(SP_GF_Rev,0,COLUMN())/INDEX(SP_GF_ShareCount,0,COLUMN()))/(X24/X43)-1))</f>
        <v>0.318721903336214</v>
      </c>
      <c r="AD111" s="234" t="n">
        <f aca="false">IF(OR(INDEX(SP_GF_Rev,0,COLUMN())&lt;=0,Y24&lt;=0),"NMF",IF(ABS((INDEX(SP_GF_Rev,0,COLUMN())/INDEX(SP_GF_ShareCount,0,COLUMN()))/(Y24/Y43)-1)&gt;10,"NMF",(INDEX(SP_GF_Rev,0,COLUMN())/INDEX(SP_GF_ShareCount,0,COLUMN()))/(Y24/Y43)-1))</f>
        <v>0.150552014478547</v>
      </c>
      <c r="AE111" s="234" t="n">
        <f aca="false">IF(OR(INDEX(SP_GF_Rev,0,COLUMN())&lt;=0,Z24&lt;=0),"NMF",IF(ABS((INDEX(SP_GF_Rev,0,COLUMN())/INDEX(SP_GF_ShareCount,0,COLUMN()))/(Z24/Z43)-1)&gt;10,"NMF",(INDEX(SP_GF_Rev,0,COLUMN())/INDEX(SP_GF_ShareCount,0,COLUMN()))/(Z24/Z43)-1))</f>
        <v>0.24676000629328</v>
      </c>
      <c r="AF111" s="233" t="n">
        <f aca="false">IF(OR(INDEX(SP_GF_Rev,0,COLUMN())&lt;=0,AA24&lt;=0),"NMF",IF(ABS((INDEX(SP_GF_Rev,0,COLUMN())/INDEX(SP_GF_ShareCount,0,COLUMN()))/(AA24/AA43)-1)&gt;10,"NMF",(INDEX(SP_GF_Rev,0,COLUMN())/INDEX(SP_GF_ShareCount,0,COLUMN()))/(AA24/AA43)-1))</f>
        <v>0.223650518583659</v>
      </c>
      <c r="AG111" s="234" t="n">
        <f aca="false">IF(OR(INDEX(SP_GF_Rev,0,COLUMN())&lt;=0,AB24&lt;=0),"NMF",IF(ABS((INDEX(SP_GF_Rev,0,COLUMN())/INDEX(SP_GF_ShareCount,0,COLUMN()))/(AB24/AB43)-1)&gt;10,"NMF",(INDEX(SP_GF_Rev,0,COLUMN())/INDEX(SP_GF_ShareCount,0,COLUMN()))/(AB24/AB43)-1))</f>
        <v>-0.00968654331697594</v>
      </c>
      <c r="AH111" s="234" t="n">
        <f aca="false">IF(OR(INDEX(SP_GF_Rev,0,COLUMN())&lt;=0,AC24&lt;=0),"NMF",IF(ABS((INDEX(SP_GF_Rev,0,COLUMN())/INDEX(SP_GF_ShareCount,0,COLUMN()))/(AC24/AC43)-1)&gt;10,"NMF",(INDEX(SP_GF_Rev,0,COLUMN())/INDEX(SP_GF_ShareCount,0,COLUMN()))/(AC24/AC43)-1))</f>
        <v>-0.0500619811016295</v>
      </c>
      <c r="AI111" s="234" t="n">
        <f aca="false">IF(OR(INDEX(SP_GF_Rev,0,COLUMN())&lt;=0,AD24&lt;=0),"NMF",IF(ABS((INDEX(SP_GF_Rev,0,COLUMN())/INDEX(SP_GF_ShareCount,0,COLUMN()))/(AD24/AD43)-1)&gt;10,"NMF",(INDEX(SP_GF_Rev,0,COLUMN())/INDEX(SP_GF_ShareCount,0,COLUMN()))/(AD24/AD43)-1))</f>
        <v>0.0865043064621418</v>
      </c>
      <c r="AJ111" s="234" t="n">
        <f aca="false">IF(OR(INDEX(SP_GF_Rev,0,COLUMN())&lt;=0,AE24&lt;=0),"NMF",IF(ABS((INDEX(SP_GF_Rev,0,COLUMN())/INDEX(SP_GF_ShareCount,0,COLUMN()))/(AE24/AE43)-1)&gt;10,"NMF",(INDEX(SP_GF_Rev,0,COLUMN())/INDEX(SP_GF_ShareCount,0,COLUMN()))/(AE24/AE43)-1))</f>
        <v>0.292112656419232</v>
      </c>
      <c r="AK111" s="233" t="n">
        <f aca="false">IF(OR(INDEX(SP_GF_Rev,0,COLUMN())&lt;=0,AF24&lt;=0),"NMF",IF(ABS((INDEX(SP_GF_Rev,0,COLUMN())/INDEX(SP_GF_ShareCount,0,COLUMN()))/(AF24/AF43)-1)&gt;10,"NMF",(INDEX(SP_GF_Rev,0,COLUMN())/INDEX(SP_GF_ShareCount,0,COLUMN()))/(AF24/AF43)-1))</f>
        <v>0.0923403741802322</v>
      </c>
      <c r="AL111" s="234" t="n">
        <f aca="false">IF(OR(INDEX(SP_GF_Rev,0,COLUMN())&lt;=0,AG24&lt;=0),"NMF",IF(ABS((INDEX(SP_GF_Rev,0,COLUMN())/INDEX(SP_GF_ShareCount,0,COLUMN()))/(AG24/AG43)-1)&gt;10,"NMF",(INDEX(SP_GF_Rev,0,COLUMN())/INDEX(SP_GF_ShareCount,0,COLUMN()))/(AG24/AG43)-1))</f>
        <v>0.10218576864148</v>
      </c>
      <c r="AM111" s="234" t="n">
        <f aca="false">IF(OR(INDEX(SP_GF_Rev,0,COLUMN())&lt;=0,AH24&lt;=0),"NMF",IF(ABS((INDEX(SP_GF_Rev,0,COLUMN())/INDEX(SP_GF_ShareCount,0,COLUMN()))/(AH24/AH43)-1)&gt;10,"NMF",(INDEX(SP_GF_Rev,0,COLUMN())/INDEX(SP_GF_ShareCount,0,COLUMN()))/(AH24/AH43)-1))</f>
        <v>0.303759588850821</v>
      </c>
      <c r="AN111" s="234" t="n">
        <f aca="false">IF(OR(INDEX(SP_GF_Rev,0,COLUMN())&lt;=0,AI24&lt;=0),"NMF",IF(ABS((INDEX(SP_GF_Rev,0,COLUMN())/INDEX(SP_GF_ShareCount,0,COLUMN()))/(AI24/AI43)-1)&gt;10,"NMF",(INDEX(SP_GF_Rev,0,COLUMN())/INDEX(SP_GF_ShareCount,0,COLUMN()))/(AI24/AI43)-1))</f>
        <v>0.333200898956245</v>
      </c>
      <c r="AO111" s="234" t="n">
        <f aca="false">IF(OR(INDEX(SP_GF_Rev,0,COLUMN())&lt;=0,AJ24&lt;=0),"NMF",IF(ABS((INDEX(SP_GF_Rev,0,COLUMN())/INDEX(SP_GF_ShareCount,0,COLUMN()))/(AJ24/AJ43)-1)&gt;10,"NMF",(INDEX(SP_GF_Rev,0,COLUMN())/INDEX(SP_GF_ShareCount,0,COLUMN()))/(AJ24/AJ43)-1))</f>
        <v>0.0607340546196644</v>
      </c>
      <c r="AP111" s="233" t="n">
        <f aca="false">IF(OR(INDEX(SP_GF_Rev,0,COLUMN())&lt;=0,AK24&lt;=0),"NMF",IF(ABS((INDEX(SP_GF_Rev,0,COLUMN())/INDEX(SP_GF_ShareCount,0,COLUMN()))/(AK24/AK43)-1)&gt;10,"NMF",(INDEX(SP_GF_Rev,0,COLUMN())/INDEX(SP_GF_ShareCount,0,COLUMN()))/(AK24/AK43)-1))</f>
        <v>0.189668700272641</v>
      </c>
      <c r="AQ111" s="234" t="n">
        <f aca="false">IF(OR(INDEX(SP_GF_Rev,0,COLUMN())&lt;=0,AL24&lt;=0),"NMF",IF(ABS((INDEX(SP_GF_Rev,0,COLUMN())/INDEX(SP_GF_ShareCount,0,COLUMN()))/(AL24/AL43)-1)&gt;10,"NMF",(INDEX(SP_GF_Rev,0,COLUMN())/INDEX(SP_GF_ShareCount,0,COLUMN()))/(AL24/AL43)-1))</f>
        <v>0.804814898377956</v>
      </c>
      <c r="AR111" s="234" t="n">
        <f aca="false">IF(OR(INDEX(SP_GF_Rev,0,COLUMN())&lt;=0,AM24&lt;=0),"NMF",IF(ABS((INDEX(SP_GF_Rev,0,COLUMN())/INDEX(SP_GF_ShareCount,0,COLUMN()))/(AM24/AM43)-1)&gt;10,"NMF",(INDEX(SP_GF_Rev,0,COLUMN())/INDEX(SP_GF_ShareCount,0,COLUMN()))/(AM24/AM43)-1))</f>
        <v>0.229366560102246</v>
      </c>
      <c r="AS111" s="234" t="n">
        <f aca="false">IF(OR(INDEX(SP_GF_Rev,0,COLUMN())&lt;=0,AN24&lt;=0),"NMF",IF(ABS((INDEX(SP_GF_Rev,0,COLUMN())/INDEX(SP_GF_ShareCount,0,COLUMN()))/(AN24/AN43)-1)&gt;10,"NMF",(INDEX(SP_GF_Rev,0,COLUMN())/INDEX(SP_GF_ShareCount,0,COLUMN()))/(AN24/AN43)-1))</f>
        <v>0.358582888315566</v>
      </c>
      <c r="AT111" s="234" t="n">
        <f aca="false">IF(OR(INDEX(SP_GF_Rev,0,COLUMN())&lt;=0,AO24&lt;=0),"NMF",IF(ABS((INDEX(SP_GF_Rev,0,COLUMN())/INDEX(SP_GF_ShareCount,0,COLUMN()))/(AO24/AO43)-1)&gt;10,"NMF",(INDEX(SP_GF_Rev,0,COLUMN())/INDEX(SP_GF_ShareCount,0,COLUMN()))/(AO24/AO43)-1))</f>
        <v>0.210698992600486</v>
      </c>
      <c r="AU111" s="233" t="n">
        <f aca="false">IF(OR(INDEX(SP_GF_Rev,0,COLUMN())&lt;=0,AP24&lt;=0),"NMF",IF(ABS((INDEX(SP_GF_Rev,0,COLUMN())/INDEX(SP_GF_ShareCount,0,COLUMN()))/(AP24/AP43)-1)&gt;10,"NMF",(INDEX(SP_GF_Rev,0,COLUMN())/INDEX(SP_GF_ShareCount,0,COLUMN()))/(AP24/AP43)-1))</f>
        <v>0.359625956486643</v>
      </c>
      <c r="AV111" s="234" t="n">
        <f aca="false">IF(OR(INDEX(SP_GF_Rev,0,COLUMN())&lt;=0,AQ24&lt;=0),"NMF",IF(ABS((INDEX(SP_GF_Rev,0,COLUMN())/INDEX(SP_GF_ShareCount,0,COLUMN()))/(AQ24/AQ43)-1)&gt;10,"NMF",(INDEX(SP_GF_Rev,0,COLUMN())/INDEX(SP_GF_ShareCount,0,COLUMN()))/(AQ24/AQ43)-1))</f>
        <v>-0.161235880811653</v>
      </c>
      <c r="AW111" s="234" t="n">
        <f aca="false">IF(OR(INDEX(SP_GF_Rev,0,COLUMN())&lt;=0,AR24&lt;=0),"NMF",IF(ABS((INDEX(SP_GF_Rev,0,COLUMN())/INDEX(SP_GF_ShareCount,0,COLUMN()))/(AR24/AR43)-1)&gt;10,"NMF",(INDEX(SP_GF_Rev,0,COLUMN())/INDEX(SP_GF_ShareCount,0,COLUMN()))/(AR24/AR43)-1))</f>
        <v>0.396214295928991</v>
      </c>
      <c r="AX111" s="234" t="n">
        <f aca="false">IF(OR(INDEX(SP_GF_Rev,0,COLUMN())&lt;=0,AS24&lt;=0),"NMF",IF(ABS((INDEX(SP_GF_Rev,0,COLUMN())/INDEX(SP_GF_ShareCount,0,COLUMN()))/(AS24/AS43)-1)&gt;10,"NMF",(INDEX(SP_GF_Rev,0,COLUMN())/INDEX(SP_GF_ShareCount,0,COLUMN()))/(AS24/AS43)-1))</f>
        <v>0.13581269882202</v>
      </c>
      <c r="AY111" s="234" t="n">
        <f aca="false">IF(OR(INDEX(SP_GF_Rev,0,COLUMN())&lt;=0,AT24&lt;=0),"NMF",IF(ABS((INDEX(SP_GF_Rev,0,COLUMN())/INDEX(SP_GF_ShareCount,0,COLUMN()))/(AT24/AT43)-1)&gt;10,"NMF",(INDEX(SP_GF_Rev,0,COLUMN())/INDEX(SP_GF_ShareCount,0,COLUMN()))/(AT24/AT43)-1))</f>
        <v>0.321737271357704</v>
      </c>
      <c r="AZ111" s="233" t="n">
        <f aca="false">IF(OR(INDEX(SP_GF_Rev,0,COLUMN())&lt;=0,AU24&lt;=0),"NMF",IF(ABS((INDEX(SP_GF_Rev,0,COLUMN())/INDEX(SP_GF_ShareCount,0,COLUMN()))/(AU24/AU43)-1)&gt;10,"NMF",(INDEX(SP_GF_Rev,0,COLUMN())/INDEX(SP_GF_ShareCount,0,COLUMN()))/(AU24/AU43)-1))</f>
        <v>0.172832703771262</v>
      </c>
      <c r="BA111" s="234" t="n">
        <f aca="false">IF(OR(INDEX(SP_GF_Rev,0,COLUMN())&lt;=0,AV24&lt;=0),"NMF",IF(ABS((INDEX(SP_GF_Rev,0,COLUMN())/INDEX(SP_GF_ShareCount,0,COLUMN()))/(AV24/AV43)-1)&gt;10,"NMF",(INDEX(SP_GF_Rev,0,COLUMN())/INDEX(SP_GF_ShareCount,0,COLUMN()))/(AV24/AV43)-1))</f>
        <v>0.941117921962425</v>
      </c>
      <c r="BB111" s="234" t="n">
        <f aca="false">IF(OR(INDEX(SP_GF_Rev,0,COLUMN())&lt;=0,AW24&lt;=0),"NMF",IF(ABS((INDEX(SP_GF_Rev,0,COLUMN())/INDEX(SP_GF_ShareCount,0,COLUMN()))/(AW24/AW43)-1)&gt;10,"NMF",(INDEX(SP_GF_Rev,0,COLUMN())/INDEX(SP_GF_ShareCount,0,COLUMN()))/(AW24/AW43)-1))</f>
        <v>0.285864142975121</v>
      </c>
      <c r="BC111" s="234" t="n">
        <f aca="false">IF(OR(INDEX(SP_GF_Rev,0,COLUMN())&lt;=0,AX24&lt;=0),"NMF",IF(ABS((INDEX(SP_GF_Rev,0,COLUMN())/INDEX(SP_GF_ShareCount,0,COLUMN()))/(AX24/AX43)-1)&gt;10,"NMF",(INDEX(SP_GF_Rev,0,COLUMN())/INDEX(SP_GF_ShareCount,0,COLUMN()))/(AX24/AX43)-1))</f>
        <v>0.163344481301911</v>
      </c>
      <c r="BD111" s="234" t="n">
        <f aca="false">IF(OR(INDEX(SP_GF_Rev,0,COLUMN())&lt;=0,AY24&lt;=0),"NMF",IF(ABS((INDEX(SP_GF_Rev,0,COLUMN())/INDEX(SP_GF_ShareCount,0,COLUMN()))/(AY24/AY43)-1)&gt;10,"NMF",(INDEX(SP_GF_Rev,0,COLUMN())/INDEX(SP_GF_ShareCount,0,COLUMN()))/(AY24/AY43)-1))</f>
        <v>0.129471600956627</v>
      </c>
      <c r="BE111" s="233" t="n">
        <f aca="false">IF(OR(INDEX(SP_GF_Rev,0,COLUMN())&lt;=0,AZ24&lt;=0),"NMF",IF(ABS((INDEX(SP_GF_Rev,0,COLUMN())/INDEX(SP_GF_ShareCount,0,COLUMN()))/(AZ24/AZ43)-1)&gt;10,"NMF",(INDEX(SP_GF_Rev,0,COLUMN())/INDEX(SP_GF_ShareCount,0,COLUMN()))/(AZ24/AZ43)-1))</f>
        <v>0.314772815575978</v>
      </c>
      <c r="BF111" s="234" t="n">
        <f aca="false">IF(OR(INDEX(SP_GF_Rev,0,COLUMN())&lt;=0,BA24&lt;=0),"NMF",IF(ABS((INDEX(SP_GF_Rev,0,COLUMN())/INDEX(SP_GF_ShareCount,0,COLUMN()))/(BA24/BA43)-1)&gt;10,"NMF",(INDEX(SP_GF_Rev,0,COLUMN())/INDEX(SP_GF_ShareCount,0,COLUMN()))/(BA24/BA43)-1))</f>
        <v>-0.213663945693786</v>
      </c>
      <c r="BG111" s="234" t="n">
        <f aca="false">IF(OR(INDEX(SP_GF_Rev,0,COLUMN())&lt;=0,BB24&lt;=0),"NMF",IF(ABS((INDEX(SP_GF_Rev,0,COLUMN())/INDEX(SP_GF_ShareCount,0,COLUMN()))/(BB24/BB43)-1)&gt;10,"NMF",(INDEX(SP_GF_Rev,0,COLUMN())/INDEX(SP_GF_ShareCount,0,COLUMN()))/(BB24/BB43)-1))</f>
        <v>-0.0943986205286966</v>
      </c>
      <c r="BH111" s="234" t="n">
        <f aca="false">IF(OR(INDEX(SP_GF_Rev,0,COLUMN())&lt;=0,BC24&lt;=0),"NMF",IF(ABS((INDEX(SP_GF_Rev,0,COLUMN())/INDEX(SP_GF_ShareCount,0,COLUMN()))/(BC24/BC43)-1)&gt;10,"NMF",(INDEX(SP_GF_Rev,0,COLUMN())/INDEX(SP_GF_ShareCount,0,COLUMN()))/(BC24/BC43)-1))</f>
        <v>0.119316226566469</v>
      </c>
      <c r="BI111" s="234" t="n">
        <f aca="false">IF(OR(INDEX(SP_GF_Rev,0,COLUMN())&lt;=0,BD24&lt;=0),"NMF",IF(ABS((INDEX(SP_GF_Rev,0,COLUMN())/INDEX(SP_GF_ShareCount,0,COLUMN()))/(BD24/BD43)-1)&gt;10,"NMF",(INDEX(SP_GF_Rev,0,COLUMN())/INDEX(SP_GF_ShareCount,0,COLUMN()))/(BD24/BD43)-1))</f>
        <v>0.280572987055006</v>
      </c>
      <c r="BJ111" s="233" t="n">
        <f aca="false">IF(OR(INDEX(SP_GF_Rev,0,COLUMN())&lt;=0,BE24&lt;=0),"NMF",IF(ABS((INDEX(SP_GF_Rev,0,COLUMN())/INDEX(SP_GF_ShareCount,0,COLUMN()))/(BE24/BE43)-1)&gt;10,"NMF",(INDEX(SP_GF_Rev,0,COLUMN())/INDEX(SP_GF_ShareCount,0,COLUMN()))/(BE24/BE43)-1))</f>
        <v>0.0268629669316907</v>
      </c>
      <c r="BK111" s="234" t="n">
        <f aca="false">IF(OR(INDEX(SP_GF_Rev,0,COLUMN())&lt;=0,BF24&lt;=0),"NMF",IF(ABS((INDEX(SP_GF_Rev,0,COLUMN())/INDEX(SP_GF_ShareCount,0,COLUMN()))/(BF24/BF43)-1)&gt;10,"NMF",(INDEX(SP_GF_Rev,0,COLUMN())/INDEX(SP_GF_ShareCount,0,COLUMN()))/(BF24/BF43)-1))</f>
        <v>0.467895705152132</v>
      </c>
      <c r="BL111" s="234" t="n">
        <f aca="false">IF(OR(INDEX(SP_GF_Rev,0,COLUMN())&lt;=0,BG24&lt;=0),"NMF",IF(ABS((INDEX(SP_GF_Rev,0,COLUMN())/INDEX(SP_GF_ShareCount,0,COLUMN()))/(BG24/BG43)-1)&gt;10,"NMF",(INDEX(SP_GF_Rev,0,COLUMN())/INDEX(SP_GF_ShareCount,0,COLUMN()))/(BG24/BG43)-1))</f>
        <v>0.248269705980384</v>
      </c>
      <c r="BM111" s="234" t="n">
        <f aca="false">IF(OR(INDEX(SP_GF_Rev,0,COLUMN())&lt;=0,BH24&lt;=0),"NMF",IF(ABS((INDEX(SP_GF_Rev,0,COLUMN())/INDEX(SP_GF_ShareCount,0,COLUMN()))/(BH24/BH43)-1)&gt;10,"NMF",(INDEX(SP_GF_Rev,0,COLUMN())/INDEX(SP_GF_ShareCount,0,COLUMN()))/(BH24/BH43)-1))</f>
        <v>0.0221026005686131</v>
      </c>
      <c r="BN111" s="234" t="n">
        <f aca="false">IF(OR(INDEX(SP_GF_Rev,0,COLUMN())&lt;=0,BI24&lt;=0),"NMF",IF(ABS((INDEX(SP_GF_Rev,0,COLUMN())/INDEX(SP_GF_ShareCount,0,COLUMN()))/(BI24/BI43)-1)&gt;10,"NMF",(INDEX(SP_GF_Rev,0,COLUMN())/INDEX(SP_GF_ShareCount,0,COLUMN()))/(BI24/BI43)-1))</f>
        <v>0.0670461457399156</v>
      </c>
      <c r="BO111" s="235" t="n">
        <f aca="false">IF(OR(INDEX(SP_GF_Rev,0,COLUMN())&lt;=0,BJ24&lt;=0),"NMF",IF(ABS((INDEX(SP_GF_Rev,0,COLUMN())/INDEX(SP_GF_ShareCount,0,COLUMN()))/(BJ24/BJ43)-1)&gt;10,"NMF",(INDEX(SP_GF_Rev,0,COLUMN())/INDEX(SP_GF_ShareCount,0,COLUMN()))/(BJ24/BJ43)-1))</f>
        <v>0.169805517989637</v>
      </c>
      <c r="BP111" s="234" t="n">
        <f aca="false">IF(OR(INDEX(SP_GF_Rev,0,COLUMN())&lt;=0,BK24&lt;=0),"NMF",IF(ABS((INDEX(SP_GF_Rev,0,COLUMN())/INDEX(SP_GF_ShareCount,0,COLUMN()))/(BK24/BK43)-1)&gt;10,"NMF",(INDEX(SP_GF_Rev,0,COLUMN())/INDEX(SP_GF_ShareCount,0,COLUMN()))/(BK24/BK43)-1))</f>
        <v>0.119763694315492</v>
      </c>
      <c r="BQ111" s="234" t="n">
        <f aca="false">IF(OR(INDEX(SP_GF_Rev,0,COLUMN())&lt;=0,BL24&lt;=0),"NMF",IF(ABS((INDEX(SP_GF_Rev,0,COLUMN())/INDEX(SP_GF_ShareCount,0,COLUMN()))/(BL24/BL43)-1)&gt;10,"NMF",(INDEX(SP_GF_Rev,0,COLUMN())/INDEX(SP_GF_ShareCount,0,COLUMN()))/(BL24/BL43)-1))</f>
        <v>0.150993246624346</v>
      </c>
      <c r="BR111" s="234" t="n">
        <f aca="false">IF(OR(INDEX(SP_GF_Rev,0,COLUMN())&lt;=0,BM24&lt;=0),"NMF",IF(ABS((INDEX(SP_GF_Rev,0,COLUMN())/INDEX(SP_GF_ShareCount,0,COLUMN()))/(BM24/BM43)-1)&gt;10,"NMF",(INDEX(SP_GF_Rev,0,COLUMN())/INDEX(SP_GF_ShareCount,0,COLUMN()))/(BM24/BM43)-1))</f>
        <v>0.243731269844463</v>
      </c>
      <c r="BS111" s="234" t="n">
        <f aca="false">IF(OR(INDEX(SP_GF_Rev,0,COLUMN())&lt;=0,BN24&lt;=0),"NMF",IF(ABS((INDEX(SP_GF_Rev,0,COLUMN())/INDEX(SP_GF_ShareCount,0,COLUMN()))/(BN24/BN43)-1)&gt;10,"NMF",(INDEX(SP_GF_Rev,0,COLUMN())/INDEX(SP_GF_ShareCount,0,COLUMN()))/(BN24/BN43)-1))</f>
        <v>0.0323435465575175</v>
      </c>
      <c r="BT111" s="233" t="n">
        <f aca="false">IF(OR(INDEX(SP_GF_Rev,0,COLUMN())&lt;=0,BO24&lt;=0),"NMF",IF(ABS((INDEX(SP_GF_Rev,0,COLUMN())/INDEX(SP_GF_ShareCount,0,COLUMN()))/(BO24/BO43)-1)&gt;10,"NMF",(INDEX(SP_GF_Rev,0,COLUMN())/INDEX(SP_GF_ShareCount,0,COLUMN()))/(BO24/BO43)-1))</f>
        <v>0.130017564770476</v>
      </c>
      <c r="BU111" s="234" t="n">
        <f aca="false">IF(OR(INDEX(SP_GF_Rev,0,COLUMN())&lt;=0,BP24&lt;=0),"NMF",IF(ABS((INDEX(SP_GF_Rev,0,COLUMN())/INDEX(SP_GF_ShareCount,0,COLUMN()))/(BP24/BP43)-1)&gt;10,"NMF",(INDEX(SP_GF_Rev,0,COLUMN())/INDEX(SP_GF_ShareCount,0,COLUMN()))/(BP24/BP43)-1))</f>
        <v>0.0351510828513753</v>
      </c>
      <c r="BV111" s="234" t="n">
        <f aca="false">IF(OR(INDEX(SP_GF_Rev,0,COLUMN())&lt;=0,BQ24&lt;=0),"NMF",IF(ABS((INDEX(SP_GF_Rev,0,COLUMN())/INDEX(SP_GF_ShareCount,0,COLUMN()))/(BQ24/BQ43)-1)&gt;10,"NMF",(INDEX(SP_GF_Rev,0,COLUMN())/INDEX(SP_GF_ShareCount,0,COLUMN()))/(BQ24/BQ43)-1))</f>
        <v>0.0191544918825963</v>
      </c>
      <c r="BW111" s="234" t="n">
        <f aca="false">IF(OR(INDEX(SP_GF_Rev,0,COLUMN())&lt;=0,BR24&lt;=0),"NMF",IF(ABS((INDEX(SP_GF_Rev,0,COLUMN())/INDEX(SP_GF_ShareCount,0,COLUMN()))/(BR24/BR43)-1)&gt;10,"NMF",(INDEX(SP_GF_Rev,0,COLUMN())/INDEX(SP_GF_ShareCount,0,COLUMN()))/(BR24/BR43)-1))</f>
        <v>0.0610512400072853</v>
      </c>
      <c r="BX111" s="234" t="n">
        <f aca="false">IF(OR(INDEX(SP_GF_Rev,0,COLUMN())&lt;=0,BS24&lt;=0),"NMF",IF(ABS((INDEX(SP_GF_Rev,0,COLUMN())/INDEX(SP_GF_ShareCount,0,COLUMN()))/(BS24/BS43)-1)&gt;10,"NMF",(INDEX(SP_GF_Rev,0,COLUMN())/INDEX(SP_GF_ShareCount,0,COLUMN()))/(BS24/BS43)-1))</f>
        <v>0.0627022517507569</v>
      </c>
      <c r="BY111" s="233" t="n">
        <f aca="false">IF(OR(INDEX(SP_GF_Rev,0,COLUMN())&lt;=0,BT24&lt;=0),"NMF",IF(ABS((INDEX(SP_GF_Rev,0,COLUMN())/INDEX(SP_GF_ShareCount,0,COLUMN()))/(BT24/BT43)-1)&gt;10,"NMF",(INDEX(SP_GF_Rev,0,COLUMN())/INDEX(SP_GF_ShareCount,0,COLUMN()))/(BT24/BT43)-1))</f>
        <v>0.0454202814312785</v>
      </c>
      <c r="BZ111" s="233" t="n">
        <f aca="false">IF(OR(INDEX(SP_GF_Rev,0,COLUMN())&lt;=0,BY24&lt;=0),"NMF",IF(ABS((INDEX(SP_GF_Rev,0,COLUMN())/INDEX(SP_GF_ShareCount,0,COLUMN()))/(BY24/BY43)-1)&gt;10,"NMF",(INDEX(SP_GF_Rev,0,COLUMN())/INDEX(SP_GF_ShareCount,0,COLUMN()))/(BY24/BY43)-1))</f>
        <v>0.205190040707778</v>
      </c>
      <c r="CA111" s="233" t="n">
        <f aca="false">IF(OR(INDEX(SP_GF_Rev,0,COLUMN())&lt;=0,BZ24&lt;=0),"NMF",IF(ABS((INDEX(SP_GF_Rev,0,COLUMN())/INDEX(SP_GF_ShareCount,0,COLUMN()))/(BZ24/BZ43)-1)&gt;10,"NMF",(INDEX(SP_GF_Rev,0,COLUMN())/INDEX(SP_GF_ShareCount,0,COLUMN()))/(BZ24/BZ43)-1))</f>
        <v>0.050393700743447</v>
      </c>
      <c r="CB111" s="233" t="n">
        <f aca="false">IF(OR(INDEX(SP_GF_Rev,0,COLUMN())&lt;=0,CA24&lt;=0),"NMF",IF(ABS((INDEX(SP_GF_Rev,0,COLUMN())/INDEX(SP_GF_ShareCount,0,COLUMN()))/(CA24/CA43)-1)&gt;10,"NMF",(INDEX(SP_GF_Rev,0,COLUMN())/INDEX(SP_GF_ShareCount,0,COLUMN()))/(CA24/CA43)-1))</f>
        <v>0.05088539420699</v>
      </c>
      <c r="CC111" s="625"/>
    </row>
    <row r="112" s="237" customFormat="true" ht="15" hidden="false" customHeight="true" outlineLevel="0" collapsed="false">
      <c r="A112" s="231" t="s">
        <v>838</v>
      </c>
      <c r="B112" s="625"/>
      <c r="C112" s="233"/>
      <c r="D112" s="233" t="str">
        <f aca="false">IF(OR(INDEX(SP_NGF_EBITDA,0,COLUMN())&lt;=0,C46&lt;=0),"NMF",IF(ABS((INDEX(SP_NGF_EBITDA,0,COLUMN())/INDEX(SP_GF_ShareCount,0,COLUMN()))/(C46/C43)-1)&gt;10,"NMF",(INDEX(SP_NGF_EBITDA,0,COLUMN())/INDEX(SP_GF_ShareCount,0,COLUMN()))/(C46/C43)-1))</f>
        <v>NMF</v>
      </c>
      <c r="E112" s="233" t="n">
        <f aca="false">IF(OR(INDEX(SP_NGF_EBITDA,0,COLUMN())&lt;=0,D46&lt;=0),"NMF",IF(ABS((INDEX(SP_NGF_EBITDA,0,COLUMN())/INDEX(SP_GF_ShareCount,0,COLUMN()))/(D46/D43)-1)&gt;10,"NMF",(INDEX(SP_NGF_EBITDA,0,COLUMN())/INDEX(SP_GF_ShareCount,0,COLUMN()))/(D46/D43)-1))</f>
        <v>0.315810662404064</v>
      </c>
      <c r="F112" s="233" t="n">
        <f aca="false">IF(OR(INDEX(SP_NGF_EBITDA,0,COLUMN())&lt;=0,E46&lt;=0),"NMF",IF(ABS((INDEX(SP_NGF_EBITDA,0,COLUMN())/INDEX(SP_GF_ShareCount,0,COLUMN()))/(E46/E43)-1)&gt;10,"NMF",(INDEX(SP_NGF_EBITDA,0,COLUMN())/INDEX(SP_GF_ShareCount,0,COLUMN()))/(E46/E43)-1))</f>
        <v>-0.247482674478839</v>
      </c>
      <c r="G112" s="233" t="n">
        <f aca="false">IF(OR(INDEX(SP_NGF_EBITDA,0,COLUMN())&lt;=0,F46&lt;=0),"NMF",IF(ABS((INDEX(SP_NGF_EBITDA,0,COLUMN())/INDEX(SP_GF_ShareCount,0,COLUMN()))/(F46/F43)-1)&gt;10,"NMF",(INDEX(SP_NGF_EBITDA,0,COLUMN())/INDEX(SP_GF_ShareCount,0,COLUMN()))/(F46/F43)-1))</f>
        <v>-0.0387800190371959</v>
      </c>
      <c r="H112" s="234"/>
      <c r="I112" s="234"/>
      <c r="J112" s="234"/>
      <c r="K112" s="234"/>
      <c r="L112" s="233" t="n">
        <f aca="false">IF(OR(INDEX(SP_NGF_EBITDA,0,COLUMN())&lt;=0,G46&lt;=0),"NMF",IF(ABS((INDEX(SP_NGF_EBITDA,0,COLUMN())/INDEX(SP_GF_ShareCount,0,COLUMN()))/(G46/G43)-1)&gt;10,"NMF",(INDEX(SP_NGF_EBITDA,0,COLUMN())/INDEX(SP_GF_ShareCount,0,COLUMN()))/(G46/G43)-1))</f>
        <v>0.18691612157738</v>
      </c>
      <c r="M112" s="234" t="n">
        <f aca="false">IF(OR(INDEX(SP_NGF_EBITDA,0,COLUMN())&lt;=0,H46&lt;=0),"NMF",IF(ABS((INDEX(SP_NGF_EBITDA,0,COLUMN())/INDEX(SP_GF_ShareCount,0,COLUMN()))/(H46/H43)-1)&gt;10,"NMF",(INDEX(SP_NGF_EBITDA,0,COLUMN())/INDEX(SP_GF_ShareCount,0,COLUMN()))/(H46/H43)-1))</f>
        <v>0.54598155493407</v>
      </c>
      <c r="N112" s="234" t="n">
        <f aca="false">IF(OR(INDEX(SP_NGF_EBITDA,0,COLUMN())&lt;=0,I46&lt;=0),"NMF",IF(ABS((INDEX(SP_NGF_EBITDA,0,COLUMN())/INDEX(SP_GF_ShareCount,0,COLUMN()))/(I46/I43)-1)&gt;10,"NMF",(INDEX(SP_NGF_EBITDA,0,COLUMN())/INDEX(SP_GF_ShareCount,0,COLUMN()))/(I46/I43)-1))</f>
        <v>0.0195904099263546</v>
      </c>
      <c r="O112" s="234" t="n">
        <f aca="false">IF(OR(INDEX(SP_NGF_EBITDA,0,COLUMN())&lt;=0,J46&lt;=0),"NMF",IF(ABS((INDEX(SP_NGF_EBITDA,0,COLUMN())/INDEX(SP_GF_ShareCount,0,COLUMN()))/(J46/J43)-1)&gt;10,"NMF",(INDEX(SP_NGF_EBITDA,0,COLUMN())/INDEX(SP_GF_ShareCount,0,COLUMN()))/(J46/J43)-1))</f>
        <v>0.406563789221551</v>
      </c>
      <c r="P112" s="234" t="n">
        <f aca="false">IF(OR(INDEX(SP_NGF_EBITDA,0,COLUMN())&lt;=0,K46&lt;=0),"NMF",IF(ABS((INDEX(SP_NGF_EBITDA,0,COLUMN())/INDEX(SP_GF_ShareCount,0,COLUMN()))/(K46/K43)-1)&gt;10,"NMF",(INDEX(SP_NGF_EBITDA,0,COLUMN())/INDEX(SP_GF_ShareCount,0,COLUMN()))/(K46/K43)-1))</f>
        <v>0.0335279915045685</v>
      </c>
      <c r="Q112" s="233" t="n">
        <f aca="false">IF(OR(INDEX(SP_NGF_EBITDA,0,COLUMN())&lt;=0,L46&lt;=0),"NMF",IF(ABS((INDEX(SP_NGF_EBITDA,0,COLUMN())/INDEX(SP_GF_ShareCount,0,COLUMN()))/(L46/L43)-1)&gt;10,"NMF",(INDEX(SP_NGF_EBITDA,0,COLUMN())/INDEX(SP_GF_ShareCount,0,COLUMN()))/(L46/L43)-1))</f>
        <v>0.220045628901798</v>
      </c>
      <c r="R112" s="234" t="n">
        <f aca="false">IF(OR(INDEX(SP_NGF_EBITDA,0,COLUMN())&lt;=0,M46&lt;=0),"NMF",IF(ABS((INDEX(SP_NGF_EBITDA,0,COLUMN())/INDEX(SP_GF_ShareCount,0,COLUMN()))/(M46/M43)-1)&gt;10,"NMF",(INDEX(SP_NGF_EBITDA,0,COLUMN())/INDEX(SP_GF_ShareCount,0,COLUMN()))/(M46/M43)-1))</f>
        <v>-0.38875863690561</v>
      </c>
      <c r="S112" s="234" t="n">
        <f aca="false">IF(OR(INDEX(SP_NGF_EBITDA,0,COLUMN())&lt;=0,N46&lt;=0),"NMF",IF(ABS((INDEX(SP_NGF_EBITDA,0,COLUMN())/INDEX(SP_GF_ShareCount,0,COLUMN()))/(N46/N43)-1)&gt;10,"NMF",(INDEX(SP_NGF_EBITDA,0,COLUMN())/INDEX(SP_GF_ShareCount,0,COLUMN()))/(N46/N43)-1))</f>
        <v>0.00206105709865301</v>
      </c>
      <c r="T112" s="234" t="n">
        <f aca="false">IF(OR(INDEX(SP_NGF_EBITDA,0,COLUMN())&lt;=0,O46&lt;=0),"NMF",IF(ABS((INDEX(SP_NGF_EBITDA,0,COLUMN())/INDEX(SP_GF_ShareCount,0,COLUMN()))/(O46/O43)-1)&gt;10,"NMF",(INDEX(SP_NGF_EBITDA,0,COLUMN())/INDEX(SP_GF_ShareCount,0,COLUMN()))/(O46/O43)-1))</f>
        <v>0.299723211174894</v>
      </c>
      <c r="U112" s="234" t="n">
        <f aca="false">IF(OR(INDEX(SP_NGF_EBITDA,0,COLUMN())&lt;=0,P46&lt;=0),"NMF",IF(ABS((INDEX(SP_NGF_EBITDA,0,COLUMN())/INDEX(SP_GF_ShareCount,0,COLUMN()))/(P46/P43)-1)&gt;10,"NMF",(INDEX(SP_NGF_EBITDA,0,COLUMN())/INDEX(SP_GF_ShareCount,0,COLUMN()))/(P46/P43)-1))</f>
        <v>0.566601831897468</v>
      </c>
      <c r="V112" s="233" t="n">
        <f aca="false">IF(OR(INDEX(SP_NGF_EBITDA,0,COLUMN())&lt;=0,Q46&lt;=0),"NMF",IF(ABS((INDEX(SP_NGF_EBITDA,0,COLUMN())/INDEX(SP_GF_ShareCount,0,COLUMN()))/(Q46/Q43)-1)&gt;10,"NMF",(INDEX(SP_NGF_EBITDA,0,COLUMN())/INDEX(SP_GF_ShareCount,0,COLUMN()))/(Q46/Q43)-1))</f>
        <v>0.0859148981491231</v>
      </c>
      <c r="W112" s="234" t="n">
        <f aca="false">IF(OR(INDEX(SP_NGF_EBITDA,0,COLUMN())&lt;=0,R46&lt;=0),"NMF",IF(ABS((INDEX(SP_NGF_EBITDA,0,COLUMN())/INDEX(SP_GF_ShareCount,0,COLUMN()))/(R46/R43)-1)&gt;10,"NMF",(INDEX(SP_NGF_EBITDA,0,COLUMN())/INDEX(SP_GF_ShareCount,0,COLUMN()))/(R46/R43)-1))</f>
        <v>1.02204934233882</v>
      </c>
      <c r="X112" s="234" t="n">
        <f aca="false">IF(OR(INDEX(SP_NGF_EBITDA,0,COLUMN())&lt;=0,S46&lt;=0),"NMF",IF(ABS((INDEX(SP_NGF_EBITDA,0,COLUMN())/INDEX(SP_GF_ShareCount,0,COLUMN()))/(S46/S43)-1)&gt;10,"NMF",(INDEX(SP_NGF_EBITDA,0,COLUMN())/INDEX(SP_GF_ShareCount,0,COLUMN()))/(S46/S43)-1))</f>
        <v>0.323438963951943</v>
      </c>
      <c r="Y112" s="234" t="n">
        <f aca="false">IF(OR(INDEX(SP_NGF_EBITDA,0,COLUMN())&lt;=0,T46&lt;=0),"NMF",IF(ABS((INDEX(SP_NGF_EBITDA,0,COLUMN())/INDEX(SP_GF_ShareCount,0,COLUMN()))/(T46/T43)-1)&gt;10,"NMF",(INDEX(SP_NGF_EBITDA,0,COLUMN())/INDEX(SP_GF_ShareCount,0,COLUMN()))/(T46/T43)-1))</f>
        <v>0.278410003548683</v>
      </c>
      <c r="Z112" s="234" t="n">
        <f aca="false">IF(OR(INDEX(SP_NGF_EBITDA,0,COLUMN())&lt;=0,U46&lt;=0),"NMF",IF(ABS((INDEX(SP_NGF_EBITDA,0,COLUMN())/INDEX(SP_GF_ShareCount,0,COLUMN()))/(U46/U43)-1)&gt;10,"NMF",(INDEX(SP_NGF_EBITDA,0,COLUMN())/INDEX(SP_GF_ShareCount,0,COLUMN()))/(U46/U43)-1))</f>
        <v>0.340749828405278</v>
      </c>
      <c r="AA112" s="233" t="n">
        <f aca="false">IF(OR(INDEX(SP_NGF_EBITDA,0,COLUMN())&lt;=0,V46&lt;=0),"NMF",IF(ABS((INDEX(SP_NGF_EBITDA,0,COLUMN())/INDEX(SP_GF_ShareCount,0,COLUMN()))/(V46/V43)-1)&gt;10,"NMF",(INDEX(SP_NGF_EBITDA,0,COLUMN())/INDEX(SP_GF_ShareCount,0,COLUMN()))/(V46/V43)-1))</f>
        <v>0.425588695274721</v>
      </c>
      <c r="AB112" s="234" t="n">
        <f aca="false">IF(OR(INDEX(SP_NGF_EBITDA,0,COLUMN())&lt;=0,W46&lt;=0),"NMF",IF(ABS((INDEX(SP_NGF_EBITDA,0,COLUMN())/INDEX(SP_GF_ShareCount,0,COLUMN()))/(W46/W43)-1)&gt;10,"NMF",(INDEX(SP_NGF_EBITDA,0,COLUMN())/INDEX(SP_GF_ShareCount,0,COLUMN()))/(W46/W43)-1))</f>
        <v>0.158871404341322</v>
      </c>
      <c r="AC112" s="234" t="n">
        <f aca="false">IF(OR(INDEX(SP_NGF_EBITDA,0,COLUMN())&lt;=0,X46&lt;=0),"NMF",IF(ABS((INDEX(SP_NGF_EBITDA,0,COLUMN())/INDEX(SP_GF_ShareCount,0,COLUMN()))/(X46/X43)-1)&gt;10,"NMF",(INDEX(SP_NGF_EBITDA,0,COLUMN())/INDEX(SP_GF_ShareCount,0,COLUMN()))/(X46/X43)-1))</f>
        <v>0.205227339828346</v>
      </c>
      <c r="AD112" s="234" t="n">
        <f aca="false">IF(OR(INDEX(SP_NGF_EBITDA,0,COLUMN())&lt;=0,Y46&lt;=0),"NMF",IF(ABS((INDEX(SP_NGF_EBITDA,0,COLUMN())/INDEX(SP_GF_ShareCount,0,COLUMN()))/(Y46/Y43)-1)&gt;10,"NMF",(INDEX(SP_NGF_EBITDA,0,COLUMN())/INDEX(SP_GF_ShareCount,0,COLUMN()))/(Y46/Y43)-1))</f>
        <v>0.241480396284586</v>
      </c>
      <c r="AE112" s="234" t="n">
        <f aca="false">IF(OR(INDEX(SP_NGF_EBITDA,0,COLUMN())&lt;=0,Z46&lt;=0),"NMF",IF(ABS((INDEX(SP_NGF_EBITDA,0,COLUMN())/INDEX(SP_GF_ShareCount,0,COLUMN()))/(Z46/Z43)-1)&gt;10,"NMF",(INDEX(SP_NGF_EBITDA,0,COLUMN())/INDEX(SP_GF_ShareCount,0,COLUMN()))/(Z46/Z43)-1))</f>
        <v>0.0950200565700929</v>
      </c>
      <c r="AF112" s="233" t="n">
        <f aca="false">IF(OR(INDEX(SP_NGF_EBITDA,0,COLUMN())&lt;=0,AA46&lt;=0),"NMF",IF(ABS((INDEX(SP_NGF_EBITDA,0,COLUMN())/INDEX(SP_GF_ShareCount,0,COLUMN()))/(AA46/AA43)-1)&gt;10,"NMF",(INDEX(SP_NGF_EBITDA,0,COLUMN())/INDEX(SP_GF_ShareCount,0,COLUMN()))/(AA46/AA43)-1))</f>
        <v>0.17169398251216</v>
      </c>
      <c r="AG112" s="234" t="n">
        <f aca="false">IF(OR(INDEX(SP_NGF_EBITDA,0,COLUMN())&lt;=0,AB46&lt;=0),"NMF",IF(ABS((INDEX(SP_NGF_EBITDA,0,COLUMN())/INDEX(SP_GF_ShareCount,0,COLUMN()))/(AB46/AB43)-1)&gt;10,"NMF",(INDEX(SP_NGF_EBITDA,0,COLUMN())/INDEX(SP_GF_ShareCount,0,COLUMN()))/(AB46/AB43)-1))</f>
        <v>-0.391179445490999</v>
      </c>
      <c r="AH112" s="234" t="n">
        <f aca="false">IF(OR(INDEX(SP_NGF_EBITDA,0,COLUMN())&lt;=0,AC46&lt;=0),"NMF",IF(ABS((INDEX(SP_NGF_EBITDA,0,COLUMN())/INDEX(SP_GF_ShareCount,0,COLUMN()))/(AC46/AC43)-1)&gt;10,"NMF",(INDEX(SP_NGF_EBITDA,0,COLUMN())/INDEX(SP_GF_ShareCount,0,COLUMN()))/(AC46/AC43)-1))</f>
        <v>-0.21876567126671</v>
      </c>
      <c r="AI112" s="234" t="n">
        <f aca="false">IF(OR(INDEX(SP_NGF_EBITDA,0,COLUMN())&lt;=0,AD46&lt;=0),"NMF",IF(ABS((INDEX(SP_NGF_EBITDA,0,COLUMN())/INDEX(SP_GF_ShareCount,0,COLUMN()))/(AD46/AD43)-1)&gt;10,"NMF",(INDEX(SP_NGF_EBITDA,0,COLUMN())/INDEX(SP_GF_ShareCount,0,COLUMN()))/(AD46/AD43)-1))</f>
        <v>-0.127353764742997</v>
      </c>
      <c r="AJ112" s="234" t="n">
        <f aca="false">IF(OR(INDEX(SP_NGF_EBITDA,0,COLUMN())&lt;=0,AE46&lt;=0),"NMF",IF(ABS((INDEX(SP_NGF_EBITDA,0,COLUMN())/INDEX(SP_GF_ShareCount,0,COLUMN()))/(AE46/AE43)-1)&gt;10,"NMF",(INDEX(SP_NGF_EBITDA,0,COLUMN())/INDEX(SP_GF_ShareCount,0,COLUMN()))/(AE46/AE43)-1))</f>
        <v>0.537750858153645</v>
      </c>
      <c r="AK112" s="233" t="n">
        <f aca="false">IF(OR(INDEX(SP_NGF_EBITDA,0,COLUMN())&lt;=0,AF46&lt;=0),"NMF",IF(ABS((INDEX(SP_NGF_EBITDA,0,COLUMN())/INDEX(SP_GF_ShareCount,0,COLUMN()))/(AF46/AF43)-1)&gt;10,"NMF",(INDEX(SP_NGF_EBITDA,0,COLUMN())/INDEX(SP_GF_ShareCount,0,COLUMN()))/(AF46/AF43)-1))</f>
        <v>-0.0240720345442433</v>
      </c>
      <c r="AL112" s="234" t="n">
        <f aca="false">IF(OR(INDEX(SP_NGF_EBITDA,0,COLUMN())&lt;=0,AG46&lt;=0),"NMF",IF(ABS((INDEX(SP_NGF_EBITDA,0,COLUMN())/INDEX(SP_GF_ShareCount,0,COLUMN()))/(AG46/AG43)-1)&gt;10,"NMF",(INDEX(SP_NGF_EBITDA,0,COLUMN())/INDEX(SP_GF_ShareCount,0,COLUMN()))/(AG46/AG43)-1))</f>
        <v>0.241487521504242</v>
      </c>
      <c r="AM112" s="234" t="n">
        <f aca="false">IF(OR(INDEX(SP_NGF_EBITDA,0,COLUMN())&lt;=0,AH46&lt;=0),"NMF",IF(ABS((INDEX(SP_NGF_EBITDA,0,COLUMN())/INDEX(SP_GF_ShareCount,0,COLUMN()))/(AH46/AH43)-1)&gt;10,"NMF",(INDEX(SP_NGF_EBITDA,0,COLUMN())/INDEX(SP_GF_ShareCount,0,COLUMN()))/(AH46/AH43)-1))</f>
        <v>0.7026222723619</v>
      </c>
      <c r="AN112" s="234" t="n">
        <f aca="false">IF(OR(INDEX(SP_NGF_EBITDA,0,COLUMN())&lt;=0,AI46&lt;=0),"NMF",IF(ABS((INDEX(SP_NGF_EBITDA,0,COLUMN())/INDEX(SP_GF_ShareCount,0,COLUMN()))/(AI46/AI43)-1)&gt;10,"NMF",(INDEX(SP_NGF_EBITDA,0,COLUMN())/INDEX(SP_GF_ShareCount,0,COLUMN()))/(AI46/AI43)-1))</f>
        <v>0.677099353577308</v>
      </c>
      <c r="AO112" s="234" t="n">
        <f aca="false">IF(OR(INDEX(SP_NGF_EBITDA,0,COLUMN())&lt;=0,AJ46&lt;=0),"NMF",IF(ABS((INDEX(SP_NGF_EBITDA,0,COLUMN())/INDEX(SP_GF_ShareCount,0,COLUMN()))/(AJ46/AJ43)-1)&gt;10,"NMF",(INDEX(SP_NGF_EBITDA,0,COLUMN())/INDEX(SP_GF_ShareCount,0,COLUMN()))/(AJ46/AJ43)-1))</f>
        <v>0.152063756900502</v>
      </c>
      <c r="AP112" s="233" t="n">
        <f aca="false">IF(OR(INDEX(SP_NGF_EBITDA,0,COLUMN())&lt;=0,AK46&lt;=0),"NMF",IF(ABS((INDEX(SP_NGF_EBITDA,0,COLUMN())/INDEX(SP_GF_ShareCount,0,COLUMN()))/(AK46/AK43)-1)&gt;10,"NMF",(INDEX(SP_NGF_EBITDA,0,COLUMN())/INDEX(SP_GF_ShareCount,0,COLUMN()))/(AK46/AK43)-1))</f>
        <v>0.395219253516433</v>
      </c>
      <c r="AQ112" s="234" t="n">
        <f aca="false">IF(OR(INDEX(SP_NGF_EBITDA,0,COLUMN())&lt;=0,AL46&lt;=0),"NMF",IF(ABS((INDEX(SP_NGF_EBITDA,0,COLUMN())/INDEX(SP_GF_ShareCount,0,COLUMN()))/(AL46/AL43)-1)&gt;10,"NMF",(INDEX(SP_NGF_EBITDA,0,COLUMN())/INDEX(SP_GF_ShareCount,0,COLUMN()))/(AL46/AL43)-1))</f>
        <v>2.0638336777826</v>
      </c>
      <c r="AR112" s="234" t="n">
        <f aca="false">IF(OR(INDEX(SP_NGF_EBITDA,0,COLUMN())&lt;=0,AM46&lt;=0),"NMF",IF(ABS((INDEX(SP_NGF_EBITDA,0,COLUMN())/INDEX(SP_GF_ShareCount,0,COLUMN()))/(AM46/AM43)-1)&gt;10,"NMF",(INDEX(SP_NGF_EBITDA,0,COLUMN())/INDEX(SP_GF_ShareCount,0,COLUMN()))/(AM46/AM43)-1))</f>
        <v>0.349503599371102</v>
      </c>
      <c r="AS112" s="234" t="n">
        <f aca="false">IF(OR(INDEX(SP_NGF_EBITDA,0,COLUMN())&lt;=0,AN46&lt;=0),"NMF",IF(ABS((INDEX(SP_NGF_EBITDA,0,COLUMN())/INDEX(SP_GF_ShareCount,0,COLUMN()))/(AN46/AN43)-1)&gt;10,"NMF",(INDEX(SP_NGF_EBITDA,0,COLUMN())/INDEX(SP_GF_ShareCount,0,COLUMN()))/(AN46/AN43)-1))</f>
        <v>0.560708225086543</v>
      </c>
      <c r="AT112" s="234" t="n">
        <f aca="false">IF(OR(INDEX(SP_NGF_EBITDA,0,COLUMN())&lt;=0,AO46&lt;=0),"NMF",IF(ABS((INDEX(SP_NGF_EBITDA,0,COLUMN())/INDEX(SP_GF_ShareCount,0,COLUMN()))/(AO46/AO43)-1)&gt;10,"NMF",(INDEX(SP_NGF_EBITDA,0,COLUMN())/INDEX(SP_GF_ShareCount,0,COLUMN()))/(AO46/AO43)-1))</f>
        <v>0.382733804694588</v>
      </c>
      <c r="AU112" s="233" t="n">
        <f aca="false">IF(OR(INDEX(SP_NGF_EBITDA,0,COLUMN())&lt;=0,AP46&lt;=0),"NMF",IF(ABS((INDEX(SP_NGF_EBITDA,0,COLUMN())/INDEX(SP_GF_ShareCount,0,COLUMN()))/(AP46/AP43)-1)&gt;10,"NMF",(INDEX(SP_NGF_EBITDA,0,COLUMN())/INDEX(SP_GF_ShareCount,0,COLUMN()))/(AP46/AP43)-1))</f>
        <v>0.630514280675799</v>
      </c>
      <c r="AV112" s="234" t="n">
        <f aca="false">IF(OR(INDEX(SP_NGF_EBITDA,0,COLUMN())&lt;=0,AQ46&lt;=0),"NMF",IF(ABS((INDEX(SP_NGF_EBITDA,0,COLUMN())/INDEX(SP_GF_ShareCount,0,COLUMN()))/(AQ46/AQ43)-1)&gt;10,"NMF",(INDEX(SP_NGF_EBITDA,0,COLUMN())/INDEX(SP_GF_ShareCount,0,COLUMN()))/(AQ46/AQ43)-1))</f>
        <v>-0.435057369814652</v>
      </c>
      <c r="AW112" s="234" t="n">
        <f aca="false">IF(OR(INDEX(SP_NGF_EBITDA,0,COLUMN())&lt;=0,AR46&lt;=0),"NMF",IF(ABS((INDEX(SP_NGF_EBITDA,0,COLUMN())/INDEX(SP_GF_ShareCount,0,COLUMN()))/(AR46/AR43)-1)&gt;10,"NMF",(INDEX(SP_NGF_EBITDA,0,COLUMN())/INDEX(SP_GF_ShareCount,0,COLUMN()))/(AR46/AR43)-1))</f>
        <v>0.346615086604812</v>
      </c>
      <c r="AX112" s="234" t="n">
        <f aca="false">IF(OR(INDEX(SP_NGF_EBITDA,0,COLUMN())&lt;=0,AS46&lt;=0),"NMF",IF(ABS((INDEX(SP_NGF_EBITDA,0,COLUMN())/INDEX(SP_GF_ShareCount,0,COLUMN()))/(AS46/AS43)-1)&gt;10,"NMF",(INDEX(SP_NGF_EBITDA,0,COLUMN())/INDEX(SP_GF_ShareCount,0,COLUMN()))/(AS46/AS43)-1))</f>
        <v>0.0448933596844008</v>
      </c>
      <c r="AY112" s="234" t="n">
        <f aca="false">IF(OR(INDEX(SP_NGF_EBITDA,0,COLUMN())&lt;=0,AT46&lt;=0),"NMF",IF(ABS((INDEX(SP_NGF_EBITDA,0,COLUMN())/INDEX(SP_GF_ShareCount,0,COLUMN()))/(AT46/AT43)-1)&gt;10,"NMF",(INDEX(SP_NGF_EBITDA,0,COLUMN())/INDEX(SP_GF_ShareCount,0,COLUMN()))/(AT46/AT43)-1))</f>
        <v>0.0901085768959808</v>
      </c>
      <c r="AZ112" s="233" t="n">
        <f aca="false">IF(OR(INDEX(SP_NGF_EBITDA,0,COLUMN())&lt;=0,AU46&lt;=0),"NMF",IF(ABS((INDEX(SP_NGF_EBITDA,0,COLUMN())/INDEX(SP_GF_ShareCount,0,COLUMN()))/(AU46/AU43)-1)&gt;10,"NMF",(INDEX(SP_NGF_EBITDA,0,COLUMN())/INDEX(SP_GF_ShareCount,0,COLUMN()))/(AU46/AU43)-1))</f>
        <v>0.00485251966709432</v>
      </c>
      <c r="BA112" s="234" t="n">
        <f aca="false">IF(OR(INDEX(SP_NGF_EBITDA,0,COLUMN())&lt;=0,AV46&lt;=0),"NMF",IF(ABS((INDEX(SP_NGF_EBITDA,0,COLUMN())/INDEX(SP_GF_ShareCount,0,COLUMN()))/(AV46/AV43)-1)&gt;10,"NMF",(INDEX(SP_NGF_EBITDA,0,COLUMN())/INDEX(SP_GF_ShareCount,0,COLUMN()))/(AV46/AV43)-1))</f>
        <v>1.62562924315312</v>
      </c>
      <c r="BB112" s="234" t="n">
        <f aca="false">IF(OR(INDEX(SP_NGF_EBITDA,0,COLUMN())&lt;=0,AW46&lt;=0),"NMF",IF(ABS((INDEX(SP_NGF_EBITDA,0,COLUMN())/INDEX(SP_GF_ShareCount,0,COLUMN()))/(AW46/AW43)-1)&gt;10,"NMF",(INDEX(SP_NGF_EBITDA,0,COLUMN())/INDEX(SP_GF_ShareCount,0,COLUMN()))/(AW46/AW43)-1))</f>
        <v>0.393443570389284</v>
      </c>
      <c r="BC112" s="234" t="n">
        <f aca="false">IF(OR(INDEX(SP_NGF_EBITDA,0,COLUMN())&lt;=0,AX46&lt;=0),"NMF",IF(ABS((INDEX(SP_NGF_EBITDA,0,COLUMN())/INDEX(SP_GF_ShareCount,0,COLUMN()))/(AX46/AX43)-1)&gt;10,"NMF",(INDEX(SP_NGF_EBITDA,0,COLUMN())/INDEX(SP_GF_ShareCount,0,COLUMN()))/(AX46/AX43)-1))</f>
        <v>0.151926805449685</v>
      </c>
      <c r="BD112" s="234" t="n">
        <f aca="false">IF(OR(INDEX(SP_NGF_EBITDA,0,COLUMN())&lt;=0,AY46&lt;=0),"NMF",IF(ABS((INDEX(SP_NGF_EBITDA,0,COLUMN())/INDEX(SP_GF_ShareCount,0,COLUMN()))/(AY46/AY43)-1)&gt;10,"NMF",(INDEX(SP_NGF_EBITDA,0,COLUMN())/INDEX(SP_GF_ShareCount,0,COLUMN()))/(AY46/AY43)-1))</f>
        <v>0.14027030726824</v>
      </c>
      <c r="BE112" s="233" t="n">
        <f aca="false">IF(OR(INDEX(SP_NGF_EBITDA,0,COLUMN())&lt;=0,AZ46&lt;=0),"NMF",IF(ABS((INDEX(SP_NGF_EBITDA,0,COLUMN())/INDEX(SP_GF_ShareCount,0,COLUMN()))/(AZ46/AZ43)-1)&gt;10,"NMF",(INDEX(SP_NGF_EBITDA,0,COLUMN())/INDEX(SP_GF_ShareCount,0,COLUMN()))/(AZ46/AZ43)-1))</f>
        <v>0.400429687581476</v>
      </c>
      <c r="BF112" s="234" t="n">
        <f aca="false">IF(OR(INDEX(SP_NGF_EBITDA,0,COLUMN())&lt;=0,BA46&lt;=0),"NMF",IF(ABS((INDEX(SP_NGF_EBITDA,0,COLUMN())/INDEX(SP_GF_ShareCount,0,COLUMN()))/(BA46/BA43)-1)&gt;10,"NMF",(INDEX(SP_NGF_EBITDA,0,COLUMN())/INDEX(SP_GF_ShareCount,0,COLUMN()))/(BA46/BA43)-1))</f>
        <v>-0.318958081766431</v>
      </c>
      <c r="BG112" s="234" t="n">
        <f aca="false">IF(OR(INDEX(SP_NGF_EBITDA,0,COLUMN())&lt;=0,BB46&lt;=0),"NMF",IF(ABS((INDEX(SP_NGF_EBITDA,0,COLUMN())/INDEX(SP_GF_ShareCount,0,COLUMN()))/(BB46/BB43)-1)&gt;10,"NMF",(INDEX(SP_NGF_EBITDA,0,COLUMN())/INDEX(SP_GF_ShareCount,0,COLUMN()))/(BB46/BB43)-1))</f>
        <v>-0.147853047934653</v>
      </c>
      <c r="BH112" s="234" t="n">
        <f aca="false">IF(OR(INDEX(SP_NGF_EBITDA,0,COLUMN())&lt;=0,BC46&lt;=0),"NMF",IF(ABS((INDEX(SP_NGF_EBITDA,0,COLUMN())/INDEX(SP_GF_ShareCount,0,COLUMN()))/(BC46/BC43)-1)&gt;10,"NMF",(INDEX(SP_NGF_EBITDA,0,COLUMN())/INDEX(SP_GF_ShareCount,0,COLUMN()))/(BC46/BC43)-1))</f>
        <v>0.137824944116489</v>
      </c>
      <c r="BI112" s="234" t="n">
        <f aca="false">IF(OR(INDEX(SP_NGF_EBITDA,0,COLUMN())&lt;=0,BD46&lt;=0),"NMF",IF(ABS((INDEX(SP_NGF_EBITDA,0,COLUMN())/INDEX(SP_GF_ShareCount,0,COLUMN()))/(BD46/BD43)-1)&gt;10,"NMF",(INDEX(SP_NGF_EBITDA,0,COLUMN())/INDEX(SP_GF_ShareCount,0,COLUMN()))/(BD46/BD43)-1))</f>
        <v>0.3801233632895</v>
      </c>
      <c r="BJ112" s="233" t="n">
        <f aca="false">IF(OR(INDEX(SP_NGF_EBITDA,0,COLUMN())&lt;=0,BE46&lt;=0),"NMF",IF(ABS((INDEX(SP_NGF_EBITDA,0,COLUMN())/INDEX(SP_GF_ShareCount,0,COLUMN()))/(BE46/BE43)-1)&gt;10,"NMF",(INDEX(SP_NGF_EBITDA,0,COLUMN())/INDEX(SP_GF_ShareCount,0,COLUMN()))/(BE46/BE43)-1))</f>
        <v>0.0211505425123428</v>
      </c>
      <c r="BK112" s="234" t="n">
        <f aca="false">IF(OR(INDEX(SP_NGF_EBITDA,0,COLUMN())&lt;=0,BF46&lt;=0),"NMF",IF(ABS((INDEX(SP_NGF_EBITDA,0,COLUMN())/INDEX(SP_GF_ShareCount,0,COLUMN()))/(BF46/BF43)-1)&gt;10,"NMF",(INDEX(SP_NGF_EBITDA,0,COLUMN())/INDEX(SP_GF_ShareCount,0,COLUMN()))/(BF46/BF43)-1))</f>
        <v>0.862961783439491</v>
      </c>
      <c r="BL112" s="234" t="n">
        <f aca="false">IF(OR(INDEX(SP_NGF_EBITDA,0,COLUMN())&lt;=0,BG46&lt;=0),"NMF",IF(ABS((INDEX(SP_NGF_EBITDA,0,COLUMN())/INDEX(SP_GF_ShareCount,0,COLUMN()))/(BG46/BG43)-1)&gt;10,"NMF",(INDEX(SP_NGF_EBITDA,0,COLUMN())/INDEX(SP_GF_ShareCount,0,COLUMN()))/(BG46/BG43)-1))</f>
        <v>0.426051500339008</v>
      </c>
      <c r="BM112" s="234" t="n">
        <f aca="false">IF(OR(INDEX(SP_NGF_EBITDA,0,COLUMN())&lt;=0,BH46&lt;=0),"NMF",IF(ABS((INDEX(SP_NGF_EBITDA,0,COLUMN())/INDEX(SP_GF_ShareCount,0,COLUMN()))/(BH46/BH43)-1)&gt;10,"NMF",(INDEX(SP_NGF_EBITDA,0,COLUMN())/INDEX(SP_GF_ShareCount,0,COLUMN()))/(BH46/BH43)-1))</f>
        <v>0.0417018860025225</v>
      </c>
      <c r="BN112" s="234" t="n">
        <f aca="false">IF(OR(INDEX(SP_NGF_EBITDA,0,COLUMN())&lt;=0,BI46&lt;=0),"NMF",IF(ABS((INDEX(SP_NGF_EBITDA,0,COLUMN())/INDEX(SP_GF_ShareCount,0,COLUMN()))/(BI46/BI43)-1)&gt;10,"NMF",(INDEX(SP_NGF_EBITDA,0,COLUMN())/INDEX(SP_GF_ShareCount,0,COLUMN()))/(BI46/BI43)-1))</f>
        <v>0.0427774258739786</v>
      </c>
      <c r="BO112" s="235" t="n">
        <f aca="false">IF(OR(INDEX(SP_NGF_EBITDA,0,COLUMN())&lt;=0,BJ46&lt;=0),"NMF",IF(ABS((INDEX(SP_NGF_EBITDA,0,COLUMN())/INDEX(SP_GF_ShareCount,0,COLUMN()))/(BJ46/BJ43)-1)&gt;10,"NMF",(INDEX(SP_NGF_EBITDA,0,COLUMN())/INDEX(SP_GF_ShareCount,0,COLUMN()))/(BJ46/BJ43)-1))</f>
        <v>0.253833854662966</v>
      </c>
      <c r="BP112" s="234" t="n">
        <f aca="false">IF(OR(INDEX(SP_NGF_EBITDA,0,COLUMN())&lt;=0,BK46&lt;=0),"NMF",IF(ABS((INDEX(SP_NGF_EBITDA,0,COLUMN())/INDEX(SP_GF_ShareCount,0,COLUMN()))/(BK46/BK43)-1)&gt;10,"NMF",(INDEX(SP_NGF_EBITDA,0,COLUMN())/INDEX(SP_GF_ShareCount,0,COLUMN()))/(BK46/BK43)-1))</f>
        <v>0.096473105407578</v>
      </c>
      <c r="BQ112" s="234" t="n">
        <f aca="false">IF(OR(INDEX(SP_NGF_EBITDA,0,COLUMN())&lt;=0,BL46&lt;=0),"NMF",IF(ABS((INDEX(SP_NGF_EBITDA,0,COLUMN())/INDEX(SP_GF_ShareCount,0,COLUMN()))/(BL46/BL43)-1)&gt;10,"NMF",(INDEX(SP_NGF_EBITDA,0,COLUMN())/INDEX(SP_GF_ShareCount,0,COLUMN()))/(BL46/BL43)-1))</f>
        <v>0.283359842570274</v>
      </c>
      <c r="BR112" s="234" t="n">
        <f aca="false">IF(OR(INDEX(SP_NGF_EBITDA,0,COLUMN())&lt;=0,BM46&lt;=0),"NMF",IF(ABS((INDEX(SP_NGF_EBITDA,0,COLUMN())/INDEX(SP_GF_ShareCount,0,COLUMN()))/(BM46/BM43)-1)&gt;10,"NMF",(INDEX(SP_NGF_EBITDA,0,COLUMN())/INDEX(SP_GF_ShareCount,0,COLUMN()))/(BM46/BM43)-1))</f>
        <v>0.272422787621857</v>
      </c>
      <c r="BS112" s="234" t="n">
        <f aca="false">IF(OR(INDEX(SP_NGF_EBITDA,0,COLUMN())&lt;=0,BN46&lt;=0),"NMF",IF(ABS((INDEX(SP_NGF_EBITDA,0,COLUMN())/INDEX(SP_GF_ShareCount,0,COLUMN()))/(BN46/BN43)-1)&gt;10,"NMF",(INDEX(SP_NGF_EBITDA,0,COLUMN())/INDEX(SP_GF_ShareCount,0,COLUMN()))/(BN46/BN43)-1))</f>
        <v>0.0460983785257505</v>
      </c>
      <c r="BT112" s="233" t="n">
        <f aca="false">IF(OR(INDEX(SP_NGF_EBITDA,0,COLUMN())&lt;=0,BO46&lt;=0),"NMF",IF(ABS((INDEX(SP_NGF_EBITDA,0,COLUMN())/INDEX(SP_GF_ShareCount,0,COLUMN()))/(BO46/BO43)-1)&gt;10,"NMF",(INDEX(SP_NGF_EBITDA,0,COLUMN())/INDEX(SP_GF_ShareCount,0,COLUMN()))/(BO46/BO43)-1))</f>
        <v>0.165483479389021</v>
      </c>
      <c r="BU112" s="234" t="n">
        <f aca="false">IF(OR(INDEX(SP_NGF_EBITDA,0,COLUMN())&lt;=0,BP46&lt;=0),"NMF",IF(ABS((INDEX(SP_NGF_EBITDA,0,COLUMN())/INDEX(SP_GF_ShareCount,0,COLUMN()))/(BP46/BP43)-1)&gt;10,"NMF",(INDEX(SP_NGF_EBITDA,0,COLUMN())/INDEX(SP_GF_ShareCount,0,COLUMN()))/(BP46/BP43)-1))</f>
        <v>0.0415229960454266</v>
      </c>
      <c r="BV112" s="234" t="n">
        <f aca="false">IF(OR(INDEX(SP_NGF_EBITDA,0,COLUMN())&lt;=0,BQ46&lt;=0),"NMF",IF(ABS((INDEX(SP_NGF_EBITDA,0,COLUMN())/INDEX(SP_GF_ShareCount,0,COLUMN()))/(BQ46/BQ43)-1)&gt;10,"NMF",(INDEX(SP_NGF_EBITDA,0,COLUMN())/INDEX(SP_GF_ShareCount,0,COLUMN()))/(BQ46/BQ43)-1))</f>
        <v>0.180195077832223</v>
      </c>
      <c r="BW112" s="234" t="n">
        <f aca="false">IF(OR(INDEX(SP_NGF_EBITDA,0,COLUMN())&lt;=0,BR46&lt;=0),"NMF",IF(ABS((INDEX(SP_NGF_EBITDA,0,COLUMN())/INDEX(SP_GF_ShareCount,0,COLUMN()))/(BR46/BR43)-1)&gt;10,"NMF",(INDEX(SP_NGF_EBITDA,0,COLUMN())/INDEX(SP_GF_ShareCount,0,COLUMN()))/(BR46/BR43)-1))</f>
        <v>0.167106369790787</v>
      </c>
      <c r="BX112" s="234" t="n">
        <f aca="false">IF(OR(INDEX(SP_NGF_EBITDA,0,COLUMN())&lt;=0,BS46&lt;=0),"NMF",IF(ABS((INDEX(SP_NGF_EBITDA,0,COLUMN())/INDEX(SP_GF_ShareCount,0,COLUMN()))/(BS46/BS43)-1)&gt;10,"NMF",(INDEX(SP_NGF_EBITDA,0,COLUMN())/INDEX(SP_GF_ShareCount,0,COLUMN()))/(BS46/BS43)-1))</f>
        <v>0.0693498229290341</v>
      </c>
      <c r="BY112" s="233" t="n">
        <f aca="false">IF(OR(INDEX(SP_NGF_EBITDA,0,COLUMN())&lt;=0,BT46&lt;=0),"NMF",IF(ABS((INDEX(SP_NGF_EBITDA,0,COLUMN())/INDEX(SP_GF_ShareCount,0,COLUMN()))/(BT46/BT43)-1)&gt;10,"NMF",(INDEX(SP_NGF_EBITDA,0,COLUMN())/INDEX(SP_GF_ShareCount,0,COLUMN()))/(BT46/BT43)-1))</f>
        <v>0.115992130851302</v>
      </c>
      <c r="BZ112" s="233" t="n">
        <f aca="false">IF(OR(INDEX(SP_NGF_EBITDA,0,COLUMN())&lt;=0,BY46&lt;=0),"NMF",IF(ABS((INDEX(SP_NGF_EBITDA,0,COLUMN())/INDEX(SP_GF_ShareCount,0,COLUMN()))/(BY46/BY43)-1)&gt;10,"NMF",(INDEX(SP_NGF_EBITDA,0,COLUMN())/INDEX(SP_GF_ShareCount,0,COLUMN()))/(BY46/BY43)-1))</f>
        <v>0.205854404366342</v>
      </c>
      <c r="CA112" s="233" t="n">
        <f aca="false">IF(OR(INDEX(SP_NGF_EBITDA,0,COLUMN())&lt;=0,BZ46&lt;=0),"NMF",IF(ABS((INDEX(SP_NGF_EBITDA,0,COLUMN())/INDEX(SP_GF_ShareCount,0,COLUMN()))/(BZ46/BZ43)-1)&gt;10,"NMF",(INDEX(SP_NGF_EBITDA,0,COLUMN())/INDEX(SP_GF_ShareCount,0,COLUMN()))/(BZ46/BZ43)-1))</f>
        <v>0.0596116408236955</v>
      </c>
      <c r="CB112" s="233" t="n">
        <f aca="false">IF(OR(INDEX(SP_NGF_EBITDA,0,COLUMN())&lt;=0,CA46&lt;=0),"NMF",IF(ABS((INDEX(SP_NGF_EBITDA,0,COLUMN())/INDEX(SP_GF_ShareCount,0,COLUMN()))/(CA46/CA43)-1)&gt;10,"NMF",(INDEX(SP_NGF_EBITDA,0,COLUMN())/INDEX(SP_GF_ShareCount,0,COLUMN()))/(CA46/CA43)-1))</f>
        <v>0.0608331610504671</v>
      </c>
      <c r="CC112" s="625"/>
    </row>
    <row r="113" s="237" customFormat="true" ht="15" hidden="false" customHeight="true" outlineLevel="0" collapsed="false">
      <c r="A113" s="231" t="s">
        <v>839</v>
      </c>
      <c r="B113" s="625"/>
      <c r="C113" s="233"/>
      <c r="D113" s="233" t="str">
        <f aca="false">IF(OR(INDEX(SP_NGF_NI,0,COLUMN())&lt;=0,C48&lt;=0),"NMF",IF(ABS((INDEX(SP_NGF_NI,0,COLUMN())/INDEX(SP_GF_ShareCount,0,COLUMN()))/(C48/C43)-1)&gt;10,"NMF",(INDEX(SP_NGF_NI,0,COLUMN())/INDEX(SP_GF_ShareCount,0,COLUMN()))/(C48/C43)-1))</f>
        <v>NMF</v>
      </c>
      <c r="E113" s="233" t="n">
        <f aca="false">IF(OR(INDEX(SP_NGF_NI,0,COLUMN())&lt;=0,D48&lt;=0),"NMF",IF(ABS((INDEX(SP_NGF_NI,0,COLUMN())/INDEX(SP_GF_ShareCount,0,COLUMN()))/(D48/D43)-1)&gt;10,"NMF",(INDEX(SP_NGF_NI,0,COLUMN())/INDEX(SP_GF_ShareCount,0,COLUMN()))/(D48/D43)-1))</f>
        <v>0.468830656728214</v>
      </c>
      <c r="F113" s="233" t="n">
        <f aca="false">IF(OR(INDEX(SP_NGF_NI,0,COLUMN())&lt;=0,E48&lt;=0),"NMF",IF(ABS((INDEX(SP_NGF_NI,0,COLUMN())/INDEX(SP_GF_ShareCount,0,COLUMN()))/(E48/E43)-1)&gt;10,"NMF",(INDEX(SP_NGF_NI,0,COLUMN())/INDEX(SP_GF_ShareCount,0,COLUMN()))/(E48/E43)-1))</f>
        <v>-0.214794397633759</v>
      </c>
      <c r="G113" s="233" t="n">
        <f aca="false">IF(OR(INDEX(SP_NGF_NI,0,COLUMN())&lt;=0,F48&lt;=0),"NMF",IF(ABS((INDEX(SP_NGF_NI,0,COLUMN())/INDEX(SP_GF_ShareCount,0,COLUMN()))/(F48/F43)-1)&gt;10,"NMF",(INDEX(SP_NGF_NI,0,COLUMN())/INDEX(SP_GF_ShareCount,0,COLUMN()))/(F48/F43)-1))</f>
        <v>-0.1273302278302</v>
      </c>
      <c r="H113" s="234"/>
      <c r="I113" s="234"/>
      <c r="J113" s="234"/>
      <c r="K113" s="234"/>
      <c r="L113" s="233" t="n">
        <f aca="false">IF(OR(INDEX(SP_NGF_NI,0,COLUMN())&lt;=0,G48&lt;=0),"NMF",IF(ABS((INDEX(SP_NGF_NI,0,COLUMN())/INDEX(SP_GF_ShareCount,0,COLUMN()))/(G48/G43)-1)&gt;10,"NMF",(INDEX(SP_NGF_NI,0,COLUMN())/INDEX(SP_GF_ShareCount,0,COLUMN()))/(G48/G43)-1))</f>
        <v>0.161644692980208</v>
      </c>
      <c r="M113" s="234" t="n">
        <f aca="false">IF(OR(INDEX(SP_NGF_NI,0,COLUMN())&lt;=0,H48&lt;=0),"NMF",IF(ABS((INDEX(SP_NGF_NI,0,COLUMN())/INDEX(SP_GF_ShareCount,0,COLUMN()))/(H48/H43)-1)&gt;10,"NMF",(INDEX(SP_NGF_NI,0,COLUMN())/INDEX(SP_GF_ShareCount,0,COLUMN()))/(H48/H43)-1))</f>
        <v>0.647073042092356</v>
      </c>
      <c r="N113" s="234" t="n">
        <f aca="false">IF(OR(INDEX(SP_NGF_NI,0,COLUMN())&lt;=0,I48&lt;=0),"NMF",IF(ABS((INDEX(SP_NGF_NI,0,COLUMN())/INDEX(SP_GF_ShareCount,0,COLUMN()))/(I48/I43)-1)&gt;10,"NMF",(INDEX(SP_NGF_NI,0,COLUMN())/INDEX(SP_GF_ShareCount,0,COLUMN()))/(I48/I43)-1))</f>
        <v>-0.0560636036690472</v>
      </c>
      <c r="O113" s="234" t="n">
        <f aca="false">IF(OR(INDEX(SP_NGF_NI,0,COLUMN())&lt;=0,J48&lt;=0),"NMF",IF(ABS((INDEX(SP_NGF_NI,0,COLUMN())/INDEX(SP_GF_ShareCount,0,COLUMN()))/(J48/J43)-1)&gt;10,"NMF",(INDEX(SP_NGF_NI,0,COLUMN())/INDEX(SP_GF_ShareCount,0,COLUMN()))/(J48/J43)-1))</f>
        <v>0.341789816573948</v>
      </c>
      <c r="P113" s="234" t="n">
        <f aca="false">IF(OR(INDEX(SP_NGF_NI,0,COLUMN())&lt;=0,K48&lt;=0),"NMF",IF(ABS((INDEX(SP_NGF_NI,0,COLUMN())/INDEX(SP_GF_ShareCount,0,COLUMN()))/(K48/K43)-1)&gt;10,"NMF",(INDEX(SP_NGF_NI,0,COLUMN())/INDEX(SP_GF_ShareCount,0,COLUMN()))/(K48/K43)-1))</f>
        <v>-0.0275441283627854</v>
      </c>
      <c r="Q113" s="233" t="n">
        <f aca="false">IF(OR(INDEX(SP_NGF_NI,0,COLUMN())&lt;=0,L48&lt;=0),"NMF",IF(ABS((INDEX(SP_NGF_NI,0,COLUMN())/INDEX(SP_GF_ShareCount,0,COLUMN()))/(L48/L43)-1)&gt;10,"NMF",(INDEX(SP_NGF_NI,0,COLUMN())/INDEX(SP_GF_ShareCount,0,COLUMN()))/(L48/L43)-1))</f>
        <v>0.178111216186003</v>
      </c>
      <c r="R113" s="234" t="n">
        <f aca="false">IF(OR(INDEX(SP_NGF_NI,0,COLUMN())&lt;=0,M48&lt;=0),"NMF",IF(ABS((INDEX(SP_NGF_NI,0,COLUMN())/INDEX(SP_GF_ShareCount,0,COLUMN()))/(M48/M43)-1)&gt;10,"NMF",(INDEX(SP_NGF_NI,0,COLUMN())/INDEX(SP_GF_ShareCount,0,COLUMN()))/(M48/M43)-1))</f>
        <v>-0.501214622320081</v>
      </c>
      <c r="S113" s="234" t="n">
        <f aca="false">IF(OR(INDEX(SP_NGF_NI,0,COLUMN())&lt;=0,N48&lt;=0),"NMF",IF(ABS((INDEX(SP_NGF_NI,0,COLUMN())/INDEX(SP_GF_ShareCount,0,COLUMN()))/(N48/N43)-1)&gt;10,"NMF",(INDEX(SP_NGF_NI,0,COLUMN())/INDEX(SP_GF_ShareCount,0,COLUMN()))/(N48/N43)-1))</f>
        <v>-0.0266279081197929</v>
      </c>
      <c r="T113" s="234" t="n">
        <f aca="false">IF(OR(INDEX(SP_NGF_NI,0,COLUMN())&lt;=0,O48&lt;=0),"NMF",IF(ABS((INDEX(SP_NGF_NI,0,COLUMN())/INDEX(SP_GF_ShareCount,0,COLUMN()))/(O48/O43)-1)&gt;10,"NMF",(INDEX(SP_NGF_NI,0,COLUMN())/INDEX(SP_GF_ShareCount,0,COLUMN()))/(O48/O43)-1))</f>
        <v>0.246723216668785</v>
      </c>
      <c r="U113" s="234" t="n">
        <f aca="false">IF(OR(INDEX(SP_NGF_NI,0,COLUMN())&lt;=0,P48&lt;=0),"NMF",IF(ABS((INDEX(SP_NGF_NI,0,COLUMN())/INDEX(SP_GF_ShareCount,0,COLUMN()))/(P48/P43)-1)&gt;10,"NMF",(INDEX(SP_NGF_NI,0,COLUMN())/INDEX(SP_GF_ShareCount,0,COLUMN()))/(P48/P43)-1))</f>
        <v>0.799432788135086</v>
      </c>
      <c r="V113" s="233" t="n">
        <f aca="false">IF(OR(INDEX(SP_NGF_NI,0,COLUMN())&lt;=0,Q48&lt;=0),"NMF",IF(ABS((INDEX(SP_NGF_NI,0,COLUMN())/INDEX(SP_GF_ShareCount,0,COLUMN()))/(Q48/Q43)-1)&gt;10,"NMF",(INDEX(SP_NGF_NI,0,COLUMN())/INDEX(SP_GF_ShareCount,0,COLUMN()))/(Q48/Q43)-1))</f>
        <v>0.0733436716782812</v>
      </c>
      <c r="W113" s="234" t="n">
        <f aca="false">IF(OR(INDEX(SP_NGF_NI,0,COLUMN())&lt;=0,R48&lt;=0),"NMF",IF(ABS((INDEX(SP_NGF_NI,0,COLUMN())/INDEX(SP_GF_ShareCount,0,COLUMN()))/(R48/R43)-1)&gt;10,"NMF",(INDEX(SP_NGF_NI,0,COLUMN())/INDEX(SP_GF_ShareCount,0,COLUMN()))/(R48/R43)-1))</f>
        <v>1.26643149047729</v>
      </c>
      <c r="X113" s="234" t="n">
        <f aca="false">IF(OR(INDEX(SP_NGF_NI,0,COLUMN())&lt;=0,S48&lt;=0),"NMF",IF(ABS((INDEX(SP_NGF_NI,0,COLUMN())/INDEX(SP_GF_ShareCount,0,COLUMN()))/(S48/S43)-1)&gt;10,"NMF",(INDEX(SP_NGF_NI,0,COLUMN())/INDEX(SP_GF_ShareCount,0,COLUMN()))/(S48/S43)-1))</f>
        <v>0.299992770444215</v>
      </c>
      <c r="Y113" s="234" t="n">
        <f aca="false">IF(OR(INDEX(SP_NGF_NI,0,COLUMN())&lt;=0,T48&lt;=0),"NMF",IF(ABS((INDEX(SP_NGF_NI,0,COLUMN())/INDEX(SP_GF_ShareCount,0,COLUMN()))/(T48/T43)-1)&gt;10,"NMF",(INDEX(SP_NGF_NI,0,COLUMN())/INDEX(SP_GF_ShareCount,0,COLUMN()))/(T48/T43)-1))</f>
        <v>0.386977982655553</v>
      </c>
      <c r="Z113" s="234" t="n">
        <f aca="false">IF(OR(INDEX(SP_NGF_NI,0,COLUMN())&lt;=0,U48&lt;=0),"NMF",IF(ABS((INDEX(SP_NGF_NI,0,COLUMN())/INDEX(SP_GF_ShareCount,0,COLUMN()))/(U48/U43)-1)&gt;10,"NMF",(INDEX(SP_NGF_NI,0,COLUMN())/INDEX(SP_GF_ShareCount,0,COLUMN()))/(U48/U43)-1))</f>
        <v>0.223495351148942</v>
      </c>
      <c r="AA113" s="233" t="n">
        <f aca="false">IF(OR(INDEX(SP_NGF_NI,0,COLUMN())&lt;=0,V48&lt;=0),"NMF",IF(ABS((INDEX(SP_NGF_NI,0,COLUMN())/INDEX(SP_GF_ShareCount,0,COLUMN()))/(V48/V43)-1)&gt;10,"NMF",(INDEX(SP_NGF_NI,0,COLUMN())/INDEX(SP_GF_ShareCount,0,COLUMN()))/(V48/V43)-1))</f>
        <v>0.426290459753272</v>
      </c>
      <c r="AB113" s="234" t="n">
        <f aca="false">IF(OR(INDEX(SP_NGF_NI,0,COLUMN())&lt;=0,W48&lt;=0),"NMF",IF(ABS((INDEX(SP_NGF_NI,0,COLUMN())/INDEX(SP_GF_ShareCount,0,COLUMN()))/(W48/W43)-1)&gt;10,"NMF",(INDEX(SP_NGF_NI,0,COLUMN())/INDEX(SP_GF_ShareCount,0,COLUMN()))/(W48/W43)-1))</f>
        <v>0.203225702144171</v>
      </c>
      <c r="AC113" s="234" t="n">
        <f aca="false">IF(OR(INDEX(SP_NGF_NI,0,COLUMN())&lt;=0,X48&lt;=0),"NMF",IF(ABS((INDEX(SP_NGF_NI,0,COLUMN())/INDEX(SP_GF_ShareCount,0,COLUMN()))/(X48/X43)-1)&gt;10,"NMF",(INDEX(SP_NGF_NI,0,COLUMN())/INDEX(SP_GF_ShareCount,0,COLUMN()))/(X48/X43)-1))</f>
        <v>0.266471497951653</v>
      </c>
      <c r="AD113" s="234" t="n">
        <f aca="false">IF(OR(INDEX(SP_NGF_NI,0,COLUMN())&lt;=0,Y48&lt;=0),"NMF",IF(ABS((INDEX(SP_NGF_NI,0,COLUMN())/INDEX(SP_GF_ShareCount,0,COLUMN()))/(Y48/Y43)-1)&gt;10,"NMF",(INDEX(SP_NGF_NI,0,COLUMN())/INDEX(SP_GF_ShareCount,0,COLUMN()))/(Y48/Y43)-1))</f>
        <v>0.238817276044913</v>
      </c>
      <c r="AE113" s="234" t="n">
        <f aca="false">IF(OR(INDEX(SP_NGF_NI,0,COLUMN())&lt;=0,Z48&lt;=0),"NMF",IF(ABS((INDEX(SP_NGF_NI,0,COLUMN())/INDEX(SP_GF_ShareCount,0,COLUMN()))/(Z48/Z43)-1)&gt;10,"NMF",(INDEX(SP_NGF_NI,0,COLUMN())/INDEX(SP_GF_ShareCount,0,COLUMN()))/(Z48/Z43)-1))</f>
        <v>0.24409912370748</v>
      </c>
      <c r="AF113" s="233" t="n">
        <f aca="false">IF(OR(INDEX(SP_NGF_NI,0,COLUMN())&lt;=0,AA48&lt;=0),"NMF",IF(ABS((INDEX(SP_NGF_NI,0,COLUMN())/INDEX(SP_GF_ShareCount,0,COLUMN()))/(AA48/AA43)-1)&gt;10,"NMF",(INDEX(SP_NGF_NI,0,COLUMN())/INDEX(SP_GF_ShareCount,0,COLUMN()))/(AA48/AA43)-1))</f>
        <v>0.238236902548399</v>
      </c>
      <c r="AG113" s="234" t="n">
        <f aca="false">IF(OR(INDEX(SP_NGF_NI,0,COLUMN())&lt;=0,AB48&lt;=0),"NMF",IF(ABS((INDEX(SP_NGF_NI,0,COLUMN())/INDEX(SP_GF_ShareCount,0,COLUMN()))/(AB48/AB43)-1)&gt;10,"NMF",(INDEX(SP_NGF_NI,0,COLUMN())/INDEX(SP_GF_ShareCount,0,COLUMN()))/(AB48/AB43)-1))</f>
        <v>-0.331510887595892</v>
      </c>
      <c r="AH113" s="234" t="n">
        <f aca="false">IF(OR(INDEX(SP_NGF_NI,0,COLUMN())&lt;=0,AC48&lt;=0),"NMF",IF(ABS((INDEX(SP_NGF_NI,0,COLUMN())/INDEX(SP_GF_ShareCount,0,COLUMN()))/(AC48/AC43)-1)&gt;10,"NMF",(INDEX(SP_NGF_NI,0,COLUMN())/INDEX(SP_GF_ShareCount,0,COLUMN()))/(AC48/AC43)-1))</f>
        <v>-0.173723831979059</v>
      </c>
      <c r="AI113" s="234" t="n">
        <f aca="false">IF(OR(INDEX(SP_NGF_NI,0,COLUMN())&lt;=0,AD48&lt;=0),"NMF",IF(ABS((INDEX(SP_NGF_NI,0,COLUMN())/INDEX(SP_GF_ShareCount,0,COLUMN()))/(AD48/AD43)-1)&gt;10,"NMF",(INDEX(SP_NGF_NI,0,COLUMN())/INDEX(SP_GF_ShareCount,0,COLUMN()))/(AD48/AD43)-1))</f>
        <v>-0.0696020990595855</v>
      </c>
      <c r="AJ113" s="234" t="n">
        <f aca="false">IF(OR(INDEX(SP_NGF_NI,0,COLUMN())&lt;=0,AE48&lt;=0),"NMF",IF(ABS((INDEX(SP_NGF_NI,0,COLUMN())/INDEX(SP_GF_ShareCount,0,COLUMN()))/(AE48/AE43)-1)&gt;10,"NMF",(INDEX(SP_NGF_NI,0,COLUMN())/INDEX(SP_GF_ShareCount,0,COLUMN()))/(AE48/AE43)-1))</f>
        <v>0.448676776243625</v>
      </c>
      <c r="AK113" s="233" t="n">
        <f aca="false">IF(OR(INDEX(SP_NGF_NI,0,COLUMN())&lt;=0,AF48&lt;=0),"NMF",IF(ABS((INDEX(SP_NGF_NI,0,COLUMN())/INDEX(SP_GF_ShareCount,0,COLUMN()))/(AF48/AF43)-1)&gt;10,"NMF",(INDEX(SP_NGF_NI,0,COLUMN())/INDEX(SP_GF_ShareCount,0,COLUMN()))/(AF48/AF43)-1))</f>
        <v>0.0116583778331567</v>
      </c>
      <c r="AL113" s="234" t="n">
        <f aca="false">IF(OR(INDEX(SP_NGF_NI,0,COLUMN())&lt;=0,AG48&lt;=0),"NMF",IF(ABS((INDEX(SP_NGF_NI,0,COLUMN())/INDEX(SP_GF_ShareCount,0,COLUMN()))/(AG48/AG43)-1)&gt;10,"NMF",(INDEX(SP_NGF_NI,0,COLUMN())/INDEX(SP_GF_ShareCount,0,COLUMN()))/(AG48/AG43)-1))</f>
        <v>0.106375524281151</v>
      </c>
      <c r="AM113" s="234" t="n">
        <f aca="false">IF(OR(INDEX(SP_NGF_NI,0,COLUMN())&lt;=0,AH48&lt;=0),"NMF",IF(ABS((INDEX(SP_NGF_NI,0,COLUMN())/INDEX(SP_GF_ShareCount,0,COLUMN()))/(AH48/AH43)-1)&gt;10,"NMF",(INDEX(SP_NGF_NI,0,COLUMN())/INDEX(SP_GF_ShareCount,0,COLUMN()))/(AH48/AH43)-1))</f>
        <v>0.588274402839895</v>
      </c>
      <c r="AN113" s="234" t="n">
        <f aca="false">IF(OR(INDEX(SP_NGF_NI,0,COLUMN())&lt;=0,AI48&lt;=0),"NMF",IF(ABS((INDEX(SP_NGF_NI,0,COLUMN())/INDEX(SP_GF_ShareCount,0,COLUMN()))/(AI48/AI43)-1)&gt;10,"NMF",(INDEX(SP_NGF_NI,0,COLUMN())/INDEX(SP_GF_ShareCount,0,COLUMN()))/(AI48/AI43)-1))</f>
        <v>0.703622384327031</v>
      </c>
      <c r="AO113" s="234" t="n">
        <f aca="false">IF(OR(INDEX(SP_NGF_NI,0,COLUMN())&lt;=0,AJ48&lt;=0),"NMF",IF(ABS((INDEX(SP_NGF_NI,0,COLUMN())/INDEX(SP_GF_ShareCount,0,COLUMN()))/(AJ48/AJ43)-1)&gt;10,"NMF",(INDEX(SP_NGF_NI,0,COLUMN())/INDEX(SP_GF_ShareCount,0,COLUMN()))/(AJ48/AJ43)-1))</f>
        <v>0.198585337249928</v>
      </c>
      <c r="AP113" s="233" t="n">
        <f aca="false">IF(OR(INDEX(SP_NGF_NI,0,COLUMN())&lt;=0,AK48&lt;=0),"NMF",IF(ABS((INDEX(SP_NGF_NI,0,COLUMN())/INDEX(SP_GF_ShareCount,0,COLUMN()))/(AK48/AK43)-1)&gt;10,"NMF",(INDEX(SP_NGF_NI,0,COLUMN())/INDEX(SP_GF_ShareCount,0,COLUMN()))/(AK48/AK43)-1))</f>
        <v>0.379045018453187</v>
      </c>
      <c r="AQ113" s="234" t="n">
        <f aca="false">IF(OR(INDEX(SP_NGF_NI,0,COLUMN())&lt;=0,AL48&lt;=0),"NMF",IF(ABS((INDEX(SP_NGF_NI,0,COLUMN())/INDEX(SP_GF_ShareCount,0,COLUMN()))/(AL48/AL43)-1)&gt;10,"NMF",(INDEX(SP_NGF_NI,0,COLUMN())/INDEX(SP_GF_ShareCount,0,COLUMN()))/(AL48/AL43)-1))</f>
        <v>2.44057316637962</v>
      </c>
      <c r="AR113" s="234" t="n">
        <f aca="false">IF(OR(INDEX(SP_NGF_NI,0,COLUMN())&lt;=0,AM48&lt;=0),"NMF",IF(ABS((INDEX(SP_NGF_NI,0,COLUMN())/INDEX(SP_GF_ShareCount,0,COLUMN()))/(AM48/AM43)-1)&gt;10,"NMF",(INDEX(SP_NGF_NI,0,COLUMN())/INDEX(SP_GF_ShareCount,0,COLUMN()))/(AM48/AM43)-1))</f>
        <v>0.40591121223482</v>
      </c>
      <c r="AS113" s="234" t="n">
        <f aca="false">IF(OR(INDEX(SP_NGF_NI,0,COLUMN())&lt;=0,AN48&lt;=0),"NMF",IF(ABS((INDEX(SP_NGF_NI,0,COLUMN())/INDEX(SP_GF_ShareCount,0,COLUMN()))/(AN48/AN43)-1)&gt;10,"NMF",(INDEX(SP_NGF_NI,0,COLUMN())/INDEX(SP_GF_ShareCount,0,COLUMN()))/(AN48/AN43)-1))</f>
        <v>0.681907385004781</v>
      </c>
      <c r="AT113" s="234" t="n">
        <f aca="false">IF(OR(INDEX(SP_NGF_NI,0,COLUMN())&lt;=0,AO48&lt;=0),"NMF",IF(ABS((INDEX(SP_NGF_NI,0,COLUMN())/INDEX(SP_GF_ShareCount,0,COLUMN()))/(AO48/AO43)-1)&gt;10,"NMF",(INDEX(SP_NGF_NI,0,COLUMN())/INDEX(SP_GF_ShareCount,0,COLUMN()))/(AO48/AO43)-1))</f>
        <v>0.356490046490539</v>
      </c>
      <c r="AU113" s="233" t="n">
        <f aca="false">IF(OR(INDEX(SP_NGF_NI,0,COLUMN())&lt;=0,AP48&lt;=0),"NMF",IF(ABS((INDEX(SP_NGF_NI,0,COLUMN())/INDEX(SP_GF_ShareCount,0,COLUMN()))/(AP48/AP43)-1)&gt;10,"NMF",(INDEX(SP_NGF_NI,0,COLUMN())/INDEX(SP_GF_ShareCount,0,COLUMN()))/(AP48/AP43)-1))</f>
        <v>0.690608931272851</v>
      </c>
      <c r="AV113" s="234" t="n">
        <f aca="false">IF(OR(INDEX(SP_NGF_NI,0,COLUMN())&lt;=0,AQ48&lt;=0),"NMF",IF(ABS((INDEX(SP_NGF_NI,0,COLUMN())/INDEX(SP_GF_ShareCount,0,COLUMN()))/(AQ48/AQ43)-1)&gt;10,"NMF",(INDEX(SP_NGF_NI,0,COLUMN())/INDEX(SP_GF_ShareCount,0,COLUMN()))/(AQ48/AQ43)-1))</f>
        <v>-0.459167710989154</v>
      </c>
      <c r="AW113" s="234" t="n">
        <f aca="false">IF(OR(INDEX(SP_NGF_NI,0,COLUMN())&lt;=0,AR48&lt;=0),"NMF",IF(ABS((INDEX(SP_NGF_NI,0,COLUMN())/INDEX(SP_GF_ShareCount,0,COLUMN()))/(AR48/AR43)-1)&gt;10,"NMF",(INDEX(SP_NGF_NI,0,COLUMN())/INDEX(SP_GF_ShareCount,0,COLUMN()))/(AR48/AR43)-1))</f>
        <v>0.404672663317953</v>
      </c>
      <c r="AX113" s="234" t="n">
        <f aca="false">IF(OR(INDEX(SP_NGF_NI,0,COLUMN())&lt;=0,AS48&lt;=0),"NMF",IF(ABS((INDEX(SP_NGF_NI,0,COLUMN())/INDEX(SP_GF_ShareCount,0,COLUMN()))/(AS48/AS43)-1)&gt;10,"NMF",(INDEX(SP_NGF_NI,0,COLUMN())/INDEX(SP_GF_ShareCount,0,COLUMN()))/(AS48/AS43)-1))</f>
        <v>0.00734547874842106</v>
      </c>
      <c r="AY113" s="234" t="n">
        <f aca="false">IF(OR(INDEX(SP_NGF_NI,0,COLUMN())&lt;=0,AT48&lt;=0),"NMF",IF(ABS((INDEX(SP_NGF_NI,0,COLUMN())/INDEX(SP_GF_ShareCount,0,COLUMN()))/(AT48/AT43)-1)&gt;10,"NMF",(INDEX(SP_NGF_NI,0,COLUMN())/INDEX(SP_GF_ShareCount,0,COLUMN()))/(AT48/AT43)-1))</f>
        <v>0.049703838642942</v>
      </c>
      <c r="AZ113" s="233" t="n">
        <f aca="false">IF(OR(INDEX(SP_NGF_NI,0,COLUMN())&lt;=0,AU48&lt;=0),"NMF",IF(ABS((INDEX(SP_NGF_NI,0,COLUMN())/INDEX(SP_GF_ShareCount,0,COLUMN()))/(AU48/AU43)-1)&gt;10,"NMF",(INDEX(SP_NGF_NI,0,COLUMN())/INDEX(SP_GF_ShareCount,0,COLUMN()))/(AU48/AU43)-1))</f>
        <v>-0.014487089443144</v>
      </c>
      <c r="BA113" s="234" t="n">
        <f aca="false">IF(OR(INDEX(SP_NGF_NI,0,COLUMN())&lt;=0,AV48&lt;=0),"NMF",IF(ABS((INDEX(SP_NGF_NI,0,COLUMN())/INDEX(SP_GF_ShareCount,0,COLUMN()))/(AV48/AV43)-1)&gt;10,"NMF",(INDEX(SP_NGF_NI,0,COLUMN())/INDEX(SP_GF_ShareCount,0,COLUMN()))/(AV48/AV43)-1))</f>
        <v>1.86062294657238</v>
      </c>
      <c r="BB113" s="234" t="n">
        <f aca="false">IF(OR(INDEX(SP_NGF_NI,0,COLUMN())&lt;=0,AW48&lt;=0),"NMF",IF(ABS((INDEX(SP_NGF_NI,0,COLUMN())/INDEX(SP_GF_ShareCount,0,COLUMN()))/(AW48/AW43)-1)&gt;10,"NMF",(INDEX(SP_NGF_NI,0,COLUMN())/INDEX(SP_GF_ShareCount,0,COLUMN()))/(AW48/AW43)-1))</f>
        <v>0.392281234608143</v>
      </c>
      <c r="BC113" s="234" t="n">
        <f aca="false">IF(OR(INDEX(SP_NGF_NI,0,COLUMN())&lt;=0,AX48&lt;=0),"NMF",IF(ABS((INDEX(SP_NGF_NI,0,COLUMN())/INDEX(SP_GF_ShareCount,0,COLUMN()))/(AX48/AX43)-1)&gt;10,"NMF",(INDEX(SP_NGF_NI,0,COLUMN())/INDEX(SP_GF_ShareCount,0,COLUMN()))/(AX48/AX43)-1))</f>
        <v>0.120979613454966</v>
      </c>
      <c r="BD113" s="234" t="n">
        <f aca="false">IF(OR(INDEX(SP_NGF_NI,0,COLUMN())&lt;=0,AY48&lt;=0),"NMF",IF(ABS((INDEX(SP_NGF_NI,0,COLUMN())/INDEX(SP_GF_ShareCount,0,COLUMN()))/(AY48/AY43)-1)&gt;10,"NMF",(INDEX(SP_NGF_NI,0,COLUMN())/INDEX(SP_GF_ShareCount,0,COLUMN()))/(AY48/AY43)-1))</f>
        <v>0.131506308139498</v>
      </c>
      <c r="BE113" s="233" t="n">
        <f aca="false">IF(OR(INDEX(SP_NGF_NI,0,COLUMN())&lt;=0,AZ48&lt;=0),"NMF",IF(ABS((INDEX(SP_NGF_NI,0,COLUMN())/INDEX(SP_GF_ShareCount,0,COLUMN()))/(AZ48/AZ43)-1)&gt;10,"NMF",(INDEX(SP_NGF_NI,0,COLUMN())/INDEX(SP_GF_ShareCount,0,COLUMN()))/(AZ48/AZ43)-1))</f>
        <v>0.407944874390593</v>
      </c>
      <c r="BF113" s="234" t="n">
        <f aca="false">IF(OR(INDEX(SP_NGF_NI,0,COLUMN())&lt;=0,BA48&lt;=0),"NMF",IF(ABS((INDEX(SP_NGF_NI,0,COLUMN())/INDEX(SP_GF_ShareCount,0,COLUMN()))/(BA48/BA43)-1)&gt;10,"NMF",(INDEX(SP_NGF_NI,0,COLUMN())/INDEX(SP_GF_ShareCount,0,COLUMN()))/(BA48/BA43)-1))</f>
        <v>-0.372523108682581</v>
      </c>
      <c r="BG113" s="234" t="n">
        <f aca="false">IF(OR(INDEX(SP_NGF_NI,0,COLUMN())&lt;=0,BB48&lt;=0),"NMF",IF(ABS((INDEX(SP_NGF_NI,0,COLUMN())/INDEX(SP_GF_ShareCount,0,COLUMN()))/(BB48/BB43)-1)&gt;10,"NMF",(INDEX(SP_NGF_NI,0,COLUMN())/INDEX(SP_GF_ShareCount,0,COLUMN()))/(BB48/BB43)-1))</f>
        <v>-0.186329012964248</v>
      </c>
      <c r="BH113" s="234" t="n">
        <f aca="false">IF(OR(INDEX(SP_NGF_NI,0,COLUMN())&lt;=0,BC48&lt;=0),"NMF",IF(ABS((INDEX(SP_NGF_NI,0,COLUMN())/INDEX(SP_GF_ShareCount,0,COLUMN()))/(BC48/BC43)-1)&gt;10,"NMF",(INDEX(SP_NGF_NI,0,COLUMN())/INDEX(SP_GF_ShareCount,0,COLUMN()))/(BC48/BC43)-1))</f>
        <v>0.0969829756295082</v>
      </c>
      <c r="BI113" s="234" t="n">
        <f aca="false">IF(OR(INDEX(SP_NGF_NI,0,COLUMN())&lt;=0,BD48&lt;=0),"NMF",IF(ABS((INDEX(SP_NGF_NI,0,COLUMN())/INDEX(SP_GF_ShareCount,0,COLUMN()))/(BD48/BD43)-1)&gt;10,"NMF",(INDEX(SP_NGF_NI,0,COLUMN())/INDEX(SP_GF_ShareCount,0,COLUMN()))/(BD48/BD43)-1))</f>
        <v>0.315740734124788</v>
      </c>
      <c r="BJ113" s="233" t="n">
        <f aca="false">IF(OR(INDEX(SP_NGF_NI,0,COLUMN())&lt;=0,BE48&lt;=0),"NMF",IF(ABS((INDEX(SP_NGF_NI,0,COLUMN())/INDEX(SP_GF_ShareCount,0,COLUMN()))/(BE48/BE43)-1)&gt;10,"NMF",(INDEX(SP_NGF_NI,0,COLUMN())/INDEX(SP_GF_ShareCount,0,COLUMN()))/(BE48/BE43)-1))</f>
        <v>-0.0328845013000451</v>
      </c>
      <c r="BK113" s="234" t="n">
        <f aca="false">IF(OR(INDEX(SP_NGF_NI,0,COLUMN())&lt;=0,BF48&lt;=0),"NMF",IF(ABS((INDEX(SP_NGF_NI,0,COLUMN())/INDEX(SP_GF_ShareCount,0,COLUMN()))/(BF48/BF43)-1)&gt;10,"NMF",(INDEX(SP_NGF_NI,0,COLUMN())/INDEX(SP_GF_ShareCount,0,COLUMN()))/(BF48/BF43)-1))</f>
        <v>0.930217355777087</v>
      </c>
      <c r="BL113" s="234" t="n">
        <f aca="false">IF(OR(INDEX(SP_NGF_NI,0,COLUMN())&lt;=0,BG48&lt;=0),"NMF",IF(ABS((INDEX(SP_NGF_NI,0,COLUMN())/INDEX(SP_GF_ShareCount,0,COLUMN()))/(BG48/BG43)-1)&gt;10,"NMF",(INDEX(SP_NGF_NI,0,COLUMN())/INDEX(SP_GF_ShareCount,0,COLUMN()))/(BG48/BG43)-1))</f>
        <v>0.470545316687258</v>
      </c>
      <c r="BM113" s="234" t="n">
        <f aca="false">IF(OR(INDEX(SP_NGF_NI,0,COLUMN())&lt;=0,BH48&lt;=0),"NMF",IF(ABS((INDEX(SP_NGF_NI,0,COLUMN())/INDEX(SP_GF_ShareCount,0,COLUMN()))/(BH48/BH43)-1)&gt;10,"NMF",(INDEX(SP_NGF_NI,0,COLUMN())/INDEX(SP_GF_ShareCount,0,COLUMN()))/(BH48/BH43)-1))</f>
        <v>0.0389535260794729</v>
      </c>
      <c r="BN113" s="234" t="n">
        <f aca="false">IF(OR(INDEX(SP_NGF_NI,0,COLUMN())&lt;=0,BI48&lt;=0),"NMF",IF(ABS((INDEX(SP_NGF_NI,0,COLUMN())/INDEX(SP_GF_ShareCount,0,COLUMN()))/(BI48/BI43)-1)&gt;10,"NMF",(INDEX(SP_NGF_NI,0,COLUMN())/INDEX(SP_GF_ShareCount,0,COLUMN()))/(BI48/BI43)-1))</f>
        <v>0.0722608178591022</v>
      </c>
      <c r="BO113" s="235" t="n">
        <f aca="false">IF(OR(INDEX(SP_NGF_NI,0,COLUMN())&lt;=0,BJ48&lt;=0),"NMF",IF(ABS((INDEX(SP_NGF_NI,0,COLUMN())/INDEX(SP_GF_ShareCount,0,COLUMN()))/(BJ48/BJ43)-1)&gt;10,"NMF",(INDEX(SP_NGF_NI,0,COLUMN())/INDEX(SP_GF_ShareCount,0,COLUMN()))/(BJ48/BJ43)-1))</f>
        <v>0.284475295151261</v>
      </c>
      <c r="BP113" s="234" t="n">
        <f aca="false">IF(OR(INDEX(SP_NGF_NI,0,COLUMN())&lt;=0,BK48&lt;=0),"NMF",IF(ABS((INDEX(SP_NGF_NI,0,COLUMN())/INDEX(SP_GF_ShareCount,0,COLUMN()))/(BK48/BK43)-1)&gt;10,"NMF",(INDEX(SP_NGF_NI,0,COLUMN())/INDEX(SP_GF_ShareCount,0,COLUMN()))/(BK48/BK43)-1))</f>
        <v>0.0476110359333093</v>
      </c>
      <c r="BQ113" s="234" t="n">
        <f aca="false">IF(OR(INDEX(SP_NGF_NI,0,COLUMN())&lt;=0,BL48&lt;=0),"NMF",IF(ABS((INDEX(SP_NGF_NI,0,COLUMN())/INDEX(SP_GF_ShareCount,0,COLUMN()))/(BL48/BL43)-1)&gt;10,"NMF",(INDEX(SP_NGF_NI,0,COLUMN())/INDEX(SP_GF_ShareCount,0,COLUMN()))/(BL48/BL43)-1))</f>
        <v>0.259598171404998</v>
      </c>
      <c r="BR113" s="234" t="n">
        <f aca="false">IF(OR(INDEX(SP_NGF_NI,0,COLUMN())&lt;=0,BM48&lt;=0),"NMF",IF(ABS((INDEX(SP_NGF_NI,0,COLUMN())/INDEX(SP_GF_ShareCount,0,COLUMN()))/(BM48/BM43)-1)&gt;10,"NMF",(INDEX(SP_NGF_NI,0,COLUMN())/INDEX(SP_GF_ShareCount,0,COLUMN()))/(BM48/BM43)-1))</f>
        <v>0.277773580828334</v>
      </c>
      <c r="BS113" s="234" t="n">
        <f aca="false">IF(OR(INDEX(SP_NGF_NI,0,COLUMN())&lt;=0,BN48&lt;=0),"NMF",IF(ABS((INDEX(SP_NGF_NI,0,COLUMN())/INDEX(SP_GF_ShareCount,0,COLUMN()))/(BN48/BN43)-1)&gt;10,"NMF",(INDEX(SP_NGF_NI,0,COLUMN())/INDEX(SP_GF_ShareCount,0,COLUMN()))/(BN48/BN43)-1))</f>
        <v>0.041929372391923</v>
      </c>
      <c r="BT113" s="233" t="n">
        <f aca="false">IF(OR(INDEX(SP_NGF_NI,0,COLUMN())&lt;=0,BO48&lt;=0),"NMF",IF(ABS((INDEX(SP_NGF_NI,0,COLUMN())/INDEX(SP_GF_ShareCount,0,COLUMN()))/(BO48/BO43)-1)&gt;10,"NMF",(INDEX(SP_NGF_NI,0,COLUMN())/INDEX(SP_GF_ShareCount,0,COLUMN()))/(BO48/BO43)-1))</f>
        <v>0.147832183838612</v>
      </c>
      <c r="BU113" s="234" t="n">
        <f aca="false">IF(OR(INDEX(SP_NGF_NI,0,COLUMN())&lt;=0,BP48&lt;=0),"NMF",IF(ABS((INDEX(SP_NGF_NI,0,COLUMN())/INDEX(SP_GF_ShareCount,0,COLUMN()))/(BP48/BP43)-1)&gt;10,"NMF",(INDEX(SP_NGF_NI,0,COLUMN())/INDEX(SP_GF_ShareCount,0,COLUMN()))/(BP48/BP43)-1))</f>
        <v>0.0661385152536556</v>
      </c>
      <c r="BV113" s="234" t="n">
        <f aca="false">IF(OR(INDEX(SP_NGF_NI,0,COLUMN())&lt;=0,BQ48&lt;=0),"NMF",IF(ABS((INDEX(SP_NGF_NI,0,COLUMN())/INDEX(SP_GF_ShareCount,0,COLUMN()))/(BQ48/BQ43)-1)&gt;10,"NMF",(INDEX(SP_NGF_NI,0,COLUMN())/INDEX(SP_GF_ShareCount,0,COLUMN()))/(BQ48/BQ43)-1))</f>
        <v>0.218052021106659</v>
      </c>
      <c r="BW113" s="234" t="n">
        <f aca="false">IF(OR(INDEX(SP_NGF_NI,0,COLUMN())&lt;=0,BR48&lt;=0),"NMF",IF(ABS((INDEX(SP_NGF_NI,0,COLUMN())/INDEX(SP_GF_ShareCount,0,COLUMN()))/(BR48/BR43)-1)&gt;10,"NMF",(INDEX(SP_NGF_NI,0,COLUMN())/INDEX(SP_GF_ShareCount,0,COLUMN()))/(BR48/BR43)-1))</f>
        <v>0.204428329793368</v>
      </c>
      <c r="BX113" s="234" t="n">
        <f aca="false">IF(OR(INDEX(SP_NGF_NI,0,COLUMN())&lt;=0,BS48&lt;=0),"NMF",IF(ABS((INDEX(SP_NGF_NI,0,COLUMN())/INDEX(SP_GF_ShareCount,0,COLUMN()))/(BS48/BS43)-1)&gt;10,"NMF",(INDEX(SP_NGF_NI,0,COLUMN())/INDEX(SP_GF_ShareCount,0,COLUMN()))/(BS48/BS43)-1))</f>
        <v>0.152873987942073</v>
      </c>
      <c r="BY113" s="233" t="n">
        <f aca="false">IF(OR(INDEX(SP_NGF_NI,0,COLUMN())&lt;=0,BT48&lt;=0),"NMF",IF(ABS((INDEX(SP_NGF_NI,0,COLUMN())/INDEX(SP_GF_ShareCount,0,COLUMN()))/(BT48/BT43)-1)&gt;10,"NMF",(INDEX(SP_NGF_NI,0,COLUMN())/INDEX(SP_GF_ShareCount,0,COLUMN()))/(BT48/BT43)-1))</f>
        <v>0.163461469363653</v>
      </c>
      <c r="BZ113" s="233" t="n">
        <f aca="false">IF(OR(INDEX(SP_NGF_NI,0,COLUMN())&lt;=0,BY48&lt;=0),"NMF",IF(ABS((INDEX(SP_NGF_NI,0,COLUMN())/INDEX(SP_GF_ShareCount,0,COLUMN()))/(BY48/BY43)-1)&gt;10,"NMF",(INDEX(SP_NGF_NI,0,COLUMN())/INDEX(SP_GF_ShareCount,0,COLUMN()))/(BY48/BY43)-1))</f>
        <v>0.206041590719778</v>
      </c>
      <c r="CA113" s="233" t="n">
        <f aca="false">IF(OR(INDEX(SP_NGF_NI,0,COLUMN())&lt;=0,BZ48&lt;=0),"NMF",IF(ABS((INDEX(SP_NGF_NI,0,COLUMN())/INDEX(SP_GF_ShareCount,0,COLUMN()))/(BZ48/BZ43)-1)&gt;10,"NMF",(INDEX(SP_NGF_NI,0,COLUMN())/INDEX(SP_GF_ShareCount,0,COLUMN()))/(BZ48/BZ43)-1))</f>
        <v>0.0664754692027234</v>
      </c>
      <c r="CB113" s="233" t="n">
        <f aca="false">IF(OR(INDEX(SP_NGF_NI,0,COLUMN())&lt;=0,CA48&lt;=0),"NMF",IF(ABS((INDEX(SP_NGF_NI,0,COLUMN())/INDEX(SP_GF_ShareCount,0,COLUMN()))/(CA48/CA43)-1)&gt;10,"NMF",(INDEX(SP_NGF_NI,0,COLUMN())/INDEX(SP_GF_ShareCount,0,COLUMN()))/(CA48/CA43)-1))</f>
        <v>0.0667253275310062</v>
      </c>
      <c r="CC113" s="625"/>
    </row>
    <row r="114" s="237" customFormat="true" ht="15" hidden="false" customHeight="true" outlineLevel="0" collapsed="false">
      <c r="A114" s="231" t="s">
        <v>840</v>
      </c>
      <c r="B114" s="625"/>
      <c r="C114" s="233"/>
      <c r="D114" s="233" t="n">
        <f aca="false">IF(OR(INDEX(SP_CFA_CFO,0,COLUMN())&lt;=0,C63&lt;=0),"NMF",IF(ABS((INDEX(SP_CFA_CFO,0,COLUMN())/INDEX(SP_GF_ShareCount,0,COLUMN()))/(C63/C43)-1)&gt;10,"NMF",(INDEX(SP_CFA_CFO,0,COLUMN())/INDEX(SP_GF_ShareCount,0,COLUMN()))/(C63/C43)-1))</f>
        <v>8.33958118633961</v>
      </c>
      <c r="E114" s="233" t="n">
        <f aca="false">IF(OR(INDEX(SP_CFA_CFO,0,COLUMN())&lt;=0,D63&lt;=0),"NMF",IF(ABS((INDEX(SP_CFA_CFO,0,COLUMN())/INDEX(SP_GF_ShareCount,0,COLUMN()))/(D63/D43)-1)&gt;10,"NMF",(INDEX(SP_CFA_CFO,0,COLUMN())/INDEX(SP_GF_ShareCount,0,COLUMN()))/(D63/D43)-1))</f>
        <v>1.25341133667679</v>
      </c>
      <c r="F114" s="233" t="n">
        <f aca="false">IF(OR(INDEX(SP_CFA_CFO,0,COLUMN())&lt;=0,E63&lt;=0),"NMF",IF(ABS((INDEX(SP_CFA_CFO,0,COLUMN())/INDEX(SP_GF_ShareCount,0,COLUMN()))/(E63/E43)-1)&gt;10,"NMF",(INDEX(SP_CFA_CFO,0,COLUMN())/INDEX(SP_GF_ShareCount,0,COLUMN()))/(E63/E43)-1))</f>
        <v>-0.658582971556066</v>
      </c>
      <c r="G114" s="233" t="n">
        <f aca="false">IF(OR(INDEX(SP_CFA_CFO,0,COLUMN())&lt;=0,F63&lt;=0),"NMF",IF(ABS((INDEX(SP_CFA_CFO,0,COLUMN())/INDEX(SP_GF_ShareCount,0,COLUMN()))/(F63/F43)-1)&gt;10,"NMF",(INDEX(SP_CFA_CFO,0,COLUMN())/INDEX(SP_GF_ShareCount,0,COLUMN()))/(F63/F43)-1))</f>
        <v>0.47618233717244</v>
      </c>
      <c r="H114" s="234"/>
      <c r="I114" s="234"/>
      <c r="J114" s="234"/>
      <c r="K114" s="234"/>
      <c r="L114" s="233" t="n">
        <f aca="false">IF(OR(INDEX(SP_CFA_CFO,0,COLUMN())&lt;=0,G63&lt;=0),"NMF",IF(ABS((INDEX(SP_CFA_CFO,0,COLUMN())/INDEX(SP_GF_ShareCount,0,COLUMN()))/(G63/G43)-1)&gt;10,"NMF",(INDEX(SP_CFA_CFO,0,COLUMN())/INDEX(SP_GF_ShareCount,0,COLUMN()))/(G63/G43)-1))</f>
        <v>-0.0412956489238928</v>
      </c>
      <c r="M114" s="234" t="n">
        <f aca="false">IF(OR(INDEX(SP_CFA_CFO,0,COLUMN())&lt;=0,H63&lt;=0),"NMF",IF(ABS((INDEX(SP_CFA_CFO,0,COLUMN())/INDEX(SP_GF_ShareCount,0,COLUMN()))/(H63/H43)-1)&gt;10,"NMF",(INDEX(SP_CFA_CFO,0,COLUMN())/INDEX(SP_GF_ShareCount,0,COLUMN()))/(H63/H43)-1))</f>
        <v>0.689046376994268</v>
      </c>
      <c r="N114" s="234" t="n">
        <f aca="false">IF(OR(INDEX(SP_CFA_CFO,0,COLUMN())&lt;=0,I63&lt;=0),"NMF",IF(ABS((INDEX(SP_CFA_CFO,0,COLUMN())/INDEX(SP_GF_ShareCount,0,COLUMN()))/(I63/I43)-1)&gt;10,"NMF",(INDEX(SP_CFA_CFO,0,COLUMN())/INDEX(SP_GF_ShareCount,0,COLUMN()))/(I63/I43)-1))</f>
        <v>0.456163833489494</v>
      </c>
      <c r="O114" s="234" t="n">
        <f aca="false">IF(OR(INDEX(SP_CFA_CFO,0,COLUMN())&lt;=0,J63&lt;=0),"NMF",IF(ABS((INDEX(SP_CFA_CFO,0,COLUMN())/INDEX(SP_GF_ShareCount,0,COLUMN()))/(J63/J43)-1)&gt;10,"NMF",(INDEX(SP_CFA_CFO,0,COLUMN())/INDEX(SP_GF_ShareCount,0,COLUMN()))/(J63/J43)-1))</f>
        <v>0.990225344513625</v>
      </c>
      <c r="P114" s="234" t="n">
        <f aca="false">IF(OR(INDEX(SP_CFA_CFO,0,COLUMN())&lt;=0,K63&lt;=0),"NMF",IF(ABS((INDEX(SP_CFA_CFO,0,COLUMN())/INDEX(SP_GF_ShareCount,0,COLUMN()))/(K63/K43)-1)&gt;10,"NMF",(INDEX(SP_CFA_CFO,0,COLUMN())/INDEX(SP_GF_ShareCount,0,COLUMN()))/(K63/K43)-1))</f>
        <v>1.43952191700764</v>
      </c>
      <c r="Q114" s="233" t="n">
        <f aca="false">IF(OR(INDEX(SP_CFA_CFO,0,COLUMN())&lt;=0,L63&lt;=0),"NMF",IF(ABS((INDEX(SP_CFA_CFO,0,COLUMN())/INDEX(SP_GF_ShareCount,0,COLUMN()))/(L63/L43)-1)&gt;10,"NMF",(INDEX(SP_CFA_CFO,0,COLUMN())/INDEX(SP_GF_ShareCount,0,COLUMN()))/(L63/L43)-1))</f>
        <v>1.00796957229421</v>
      </c>
      <c r="R114" s="234" t="str">
        <f aca="false">IF(OR(INDEX(SP_CFA_CFO,0,COLUMN())&lt;=0,M63&lt;=0),"NMF",IF(ABS((INDEX(SP_CFA_CFO,0,COLUMN())/INDEX(SP_GF_ShareCount,0,COLUMN()))/(M63/M43)-1)&gt;10,"NMF",(INDEX(SP_CFA_CFO,0,COLUMN())/INDEX(SP_GF_ShareCount,0,COLUMN()))/(M63/M43)-1))</f>
        <v>NMF</v>
      </c>
      <c r="S114" s="234" t="n">
        <f aca="false">IF(OR(INDEX(SP_CFA_CFO,0,COLUMN())&lt;=0,N63&lt;=0),"NMF",IF(ABS((INDEX(SP_CFA_CFO,0,COLUMN())/INDEX(SP_GF_ShareCount,0,COLUMN()))/(N63/N43)-1)&gt;10,"NMF",(INDEX(SP_CFA_CFO,0,COLUMN())/INDEX(SP_GF_ShareCount,0,COLUMN()))/(N63/N43)-1))</f>
        <v>0.724223174518984</v>
      </c>
      <c r="T114" s="234" t="str">
        <f aca="false">IF(OR(INDEX(SP_CFA_CFO,0,COLUMN())&lt;=0,O63&lt;=0),"NMF",IF(ABS((INDEX(SP_CFA_CFO,0,COLUMN())/INDEX(SP_GF_ShareCount,0,COLUMN()))/(O63/O43)-1)&gt;10,"NMF",(INDEX(SP_CFA_CFO,0,COLUMN())/INDEX(SP_GF_ShareCount,0,COLUMN()))/(O63/O43)-1))</f>
        <v>NMF</v>
      </c>
      <c r="U114" s="234" t="n">
        <f aca="false">IF(OR(INDEX(SP_CFA_CFO,0,COLUMN())&lt;=0,P63&lt;=0),"NMF",IF(ABS((INDEX(SP_CFA_CFO,0,COLUMN())/INDEX(SP_GF_ShareCount,0,COLUMN()))/(P63/P43)-1)&gt;10,"NMF",(INDEX(SP_CFA_CFO,0,COLUMN())/INDEX(SP_GF_ShareCount,0,COLUMN()))/(P63/P43)-1))</f>
        <v>0.216259938519628</v>
      </c>
      <c r="V114" s="233" t="n">
        <f aca="false">IF(OR(INDEX(SP_CFA_CFO,0,COLUMN())&lt;=0,Q63&lt;=0),"NMF",IF(ABS((INDEX(SP_CFA_CFO,0,COLUMN())/INDEX(SP_GF_ShareCount,0,COLUMN()))/(Q63/Q43)-1)&gt;10,"NMF",(INDEX(SP_CFA_CFO,0,COLUMN())/INDEX(SP_GF_ShareCount,0,COLUMN()))/(Q63/Q43)-1))</f>
        <v>-0.168061997918726</v>
      </c>
      <c r="W114" s="234" t="str">
        <f aca="false">IF(OR(INDEX(SP_CFA_CFO,0,COLUMN())&lt;=0,R63&lt;=0),"NMF",IF(ABS((INDEX(SP_CFA_CFO,0,COLUMN())/INDEX(SP_GF_ShareCount,0,COLUMN()))/(R63/R43)-1)&gt;10,"NMF",(INDEX(SP_CFA_CFO,0,COLUMN())/INDEX(SP_GF_ShareCount,0,COLUMN()))/(R63/R43)-1))</f>
        <v>NMF</v>
      </c>
      <c r="X114" s="234" t="n">
        <f aca="false">IF(OR(INDEX(SP_CFA_CFO,0,COLUMN())&lt;=0,S63&lt;=0),"NMF",IF(ABS((INDEX(SP_CFA_CFO,0,COLUMN())/INDEX(SP_GF_ShareCount,0,COLUMN()))/(S63/S43)-1)&gt;10,"NMF",(INDEX(SP_CFA_CFO,0,COLUMN())/INDEX(SP_GF_ShareCount,0,COLUMN()))/(S63/S43)-1))</f>
        <v>0.0872254763838112</v>
      </c>
      <c r="Y114" s="234" t="str">
        <f aca="false">IF(OR(INDEX(SP_CFA_CFO,0,COLUMN())&lt;=0,T63&lt;=0),"NMF",IF(ABS((INDEX(SP_CFA_CFO,0,COLUMN())/INDEX(SP_GF_ShareCount,0,COLUMN()))/(T63/T43)-1)&gt;10,"NMF",(INDEX(SP_CFA_CFO,0,COLUMN())/INDEX(SP_GF_ShareCount,0,COLUMN()))/(T63/T43)-1))</f>
        <v>NMF</v>
      </c>
      <c r="Z114" s="234" t="n">
        <f aca="false">IF(OR(INDEX(SP_CFA_CFO,0,COLUMN())&lt;=0,U63&lt;=0),"NMF",IF(ABS((INDEX(SP_CFA_CFO,0,COLUMN())/INDEX(SP_GF_ShareCount,0,COLUMN()))/(U63/U43)-1)&gt;10,"NMF",(INDEX(SP_CFA_CFO,0,COLUMN())/INDEX(SP_GF_ShareCount,0,COLUMN()))/(U63/U43)-1))</f>
        <v>-0.133453594483368</v>
      </c>
      <c r="AA114" s="233" t="n">
        <f aca="false">IF(OR(INDEX(SP_CFA_CFO,0,COLUMN())&lt;=0,V63&lt;=0),"NMF",IF(ABS((INDEX(SP_CFA_CFO,0,COLUMN())/INDEX(SP_GF_ShareCount,0,COLUMN()))/(V63/V43)-1)&gt;10,"NMF",(INDEX(SP_CFA_CFO,0,COLUMN())/INDEX(SP_GF_ShareCount,0,COLUMN()))/(V63/V43)-1))</f>
        <v>0.0699007085427972</v>
      </c>
      <c r="AB114" s="234" t="str">
        <f aca="false">IF(OR(INDEX(SP_CFA_CFO,0,COLUMN())&lt;=0,W63&lt;=0),"NMF",IF(ABS((INDEX(SP_CFA_CFO,0,COLUMN())/INDEX(SP_GF_ShareCount,0,COLUMN()))/(W63/W43)-1)&gt;10,"NMF",(INDEX(SP_CFA_CFO,0,COLUMN())/INDEX(SP_GF_ShareCount,0,COLUMN()))/(W63/W43)-1))</f>
        <v>NMF</v>
      </c>
      <c r="AC114" s="234" t="n">
        <f aca="false">IF(OR(INDEX(SP_CFA_CFO,0,COLUMN())&lt;=0,X63&lt;=0),"NMF",IF(ABS((INDEX(SP_CFA_CFO,0,COLUMN())/INDEX(SP_GF_ShareCount,0,COLUMN()))/(X63/X43)-1)&gt;10,"NMF",(INDEX(SP_CFA_CFO,0,COLUMN())/INDEX(SP_GF_ShareCount,0,COLUMN()))/(X63/X43)-1))</f>
        <v>0.447522600035598</v>
      </c>
      <c r="AD114" s="234" t="n">
        <f aca="false">IF(OR(INDEX(SP_CFA_CFO,0,COLUMN())&lt;=0,Y63&lt;=0),"NMF",IF(ABS((INDEX(SP_CFA_CFO,0,COLUMN())/INDEX(SP_GF_ShareCount,0,COLUMN()))/(Y63/Y43)-1)&gt;10,"NMF",(INDEX(SP_CFA_CFO,0,COLUMN())/INDEX(SP_GF_ShareCount,0,COLUMN()))/(Y63/Y43)-1))</f>
        <v>0.248123972763559</v>
      </c>
      <c r="AE114" s="234" t="n">
        <f aca="false">IF(OR(INDEX(SP_CFA_CFO,0,COLUMN())&lt;=0,Z63&lt;=0),"NMF",IF(ABS((INDEX(SP_CFA_CFO,0,COLUMN())/INDEX(SP_GF_ShareCount,0,COLUMN()))/(Z63/Z43)-1)&gt;10,"NMF",(INDEX(SP_CFA_CFO,0,COLUMN())/INDEX(SP_GF_ShareCount,0,COLUMN()))/(Z63/Z43)-1))</f>
        <v>0.597557368832042</v>
      </c>
      <c r="AF114" s="233" t="n">
        <f aca="false">IF(OR(INDEX(SP_CFA_CFO,0,COLUMN())&lt;=0,AA63&lt;=0),"NMF",IF(ABS((INDEX(SP_CFA_CFO,0,COLUMN())/INDEX(SP_GF_ShareCount,0,COLUMN()))/(AA63/AA43)-1)&gt;10,"NMF",(INDEX(SP_CFA_CFO,0,COLUMN())/INDEX(SP_GF_ShareCount,0,COLUMN()))/(AA63/AA43)-1))</f>
        <v>0.729218253763768</v>
      </c>
      <c r="AG114" s="234" t="str">
        <f aca="false">IF(OR(INDEX(SP_CFA_CFO,0,COLUMN())&lt;=0,AB63&lt;=0),"NMF",IF(ABS((INDEX(SP_CFA_CFO,0,COLUMN())/INDEX(SP_GF_ShareCount,0,COLUMN()))/(AB63/AB43)-1)&gt;10,"NMF",(INDEX(SP_CFA_CFO,0,COLUMN())/INDEX(SP_GF_ShareCount,0,COLUMN()))/(AB63/AB43)-1))</f>
        <v>NMF</v>
      </c>
      <c r="AH114" s="234" t="n">
        <f aca="false">IF(OR(INDEX(SP_CFA_CFO,0,COLUMN())&lt;=0,AC63&lt;=0),"NMF",IF(ABS((INDEX(SP_CFA_CFO,0,COLUMN())/INDEX(SP_GF_ShareCount,0,COLUMN()))/(AC63/AC43)-1)&gt;10,"NMF",(INDEX(SP_CFA_CFO,0,COLUMN())/INDEX(SP_GF_ShareCount,0,COLUMN()))/(AC63/AC43)-1))</f>
        <v>-0.86712134900086</v>
      </c>
      <c r="AI114" s="234" t="n">
        <f aca="false">IF(OR(INDEX(SP_CFA_CFO,0,COLUMN())&lt;=0,AD63&lt;=0),"NMF",IF(ABS((INDEX(SP_CFA_CFO,0,COLUMN())/INDEX(SP_GF_ShareCount,0,COLUMN()))/(AD63/AD43)-1)&gt;10,"NMF",(INDEX(SP_CFA_CFO,0,COLUMN())/INDEX(SP_GF_ShareCount,0,COLUMN()))/(AD63/AD43)-1))</f>
        <v>-0.857596094521536</v>
      </c>
      <c r="AJ114" s="234" t="n">
        <f aca="false">IF(OR(INDEX(SP_CFA_CFO,0,COLUMN())&lt;=0,AE63&lt;=0),"NMF",IF(ABS((INDEX(SP_CFA_CFO,0,COLUMN())/INDEX(SP_GF_ShareCount,0,COLUMN()))/(AE63/AE43)-1)&gt;10,"NMF",(INDEX(SP_CFA_CFO,0,COLUMN())/INDEX(SP_GF_ShareCount,0,COLUMN()))/(AE63/AE43)-1))</f>
        <v>1.21393715324298</v>
      </c>
      <c r="AK114" s="233" t="n">
        <f aca="false">IF(OR(INDEX(SP_CFA_CFO,0,COLUMN())&lt;=0,AF63&lt;=0),"NMF",IF(ABS((INDEX(SP_CFA_CFO,0,COLUMN())/INDEX(SP_GF_ShareCount,0,COLUMN()))/(AF63/AF43)-1)&gt;10,"NMF",(INDEX(SP_CFA_CFO,0,COLUMN())/INDEX(SP_GF_ShareCount,0,COLUMN()))/(AF63/AF43)-1))</f>
        <v>0.0784334516201286</v>
      </c>
      <c r="AL114" s="234" t="str">
        <f aca="false">IF(OR(INDEX(SP_CFA_CFO,0,COLUMN())&lt;=0,AG63&lt;=0),"NMF",IF(ABS((INDEX(SP_CFA_CFO,0,COLUMN())/INDEX(SP_GF_ShareCount,0,COLUMN()))/(AG63/AG43)-1)&gt;10,"NMF",(INDEX(SP_CFA_CFO,0,COLUMN())/INDEX(SP_GF_ShareCount,0,COLUMN()))/(AG63/AG43)-1))</f>
        <v>NMF</v>
      </c>
      <c r="AM114" s="234" t="n">
        <f aca="false">IF(OR(INDEX(SP_CFA_CFO,0,COLUMN())&lt;=0,AH63&lt;=0),"NMF",IF(ABS((INDEX(SP_CFA_CFO,0,COLUMN())/INDEX(SP_GF_ShareCount,0,COLUMN()))/(AH63/AH43)-1)&gt;10,"NMF",(INDEX(SP_CFA_CFO,0,COLUMN())/INDEX(SP_GF_ShareCount,0,COLUMN()))/(AH63/AH43)-1))</f>
        <v>2.7626658351423</v>
      </c>
      <c r="AN114" s="234" t="n">
        <f aca="false">IF(OR(INDEX(SP_CFA_CFO,0,COLUMN())&lt;=0,AI63&lt;=0),"NMF",IF(ABS((INDEX(SP_CFA_CFO,0,COLUMN())/INDEX(SP_GF_ShareCount,0,COLUMN()))/(AI63/AI43)-1)&gt;10,"NMF",(INDEX(SP_CFA_CFO,0,COLUMN())/INDEX(SP_GF_ShareCount,0,COLUMN()))/(AI63/AI43)-1))</f>
        <v>1.77002407494996</v>
      </c>
      <c r="AO114" s="234" t="n">
        <f aca="false">IF(OR(INDEX(SP_CFA_CFO,0,COLUMN())&lt;=0,AJ63&lt;=0),"NMF",IF(ABS((INDEX(SP_CFA_CFO,0,COLUMN())/INDEX(SP_GF_ShareCount,0,COLUMN()))/(AJ63/AJ43)-1)&gt;10,"NMF",(INDEX(SP_CFA_CFO,0,COLUMN())/INDEX(SP_GF_ShareCount,0,COLUMN()))/(AJ63/AJ43)-1))</f>
        <v>0.309962604724117</v>
      </c>
      <c r="AP114" s="233" t="n">
        <f aca="false">IF(OR(INDEX(SP_CFA_CFO,0,COLUMN())&lt;=0,AK63&lt;=0),"NMF",IF(ABS((INDEX(SP_CFA_CFO,0,COLUMN())/INDEX(SP_GF_ShareCount,0,COLUMN()))/(AK63/AK43)-1)&gt;10,"NMF",(INDEX(SP_CFA_CFO,0,COLUMN())/INDEX(SP_GF_ShareCount,0,COLUMN()))/(AK63/AK43)-1))</f>
        <v>0.420829077756164</v>
      </c>
      <c r="AQ114" s="234" t="str">
        <f aca="false">IF(OR(INDEX(SP_CFA_CFO,0,COLUMN())&lt;=0,AL63&lt;=0),"NMF",IF(ABS((INDEX(SP_CFA_CFO,0,COLUMN())/INDEX(SP_GF_ShareCount,0,COLUMN()))/(AL63/AL43)-1)&gt;10,"NMF",(INDEX(SP_CFA_CFO,0,COLUMN())/INDEX(SP_GF_ShareCount,0,COLUMN()))/(AL63/AL43)-1))</f>
        <v>NMF</v>
      </c>
      <c r="AR114" s="234" t="n">
        <f aca="false">IF(OR(INDEX(SP_CFA_CFO,0,COLUMN())&lt;=0,AM63&lt;=0),"NMF",IF(ABS((INDEX(SP_CFA_CFO,0,COLUMN())/INDEX(SP_GF_ShareCount,0,COLUMN()))/(AM63/AM43)-1)&gt;10,"NMF",(INDEX(SP_CFA_CFO,0,COLUMN())/INDEX(SP_GF_ShareCount,0,COLUMN()))/(AM63/AM43)-1))</f>
        <v>8.7594424589552</v>
      </c>
      <c r="AS114" s="234" t="n">
        <f aca="false">IF(OR(INDEX(SP_CFA_CFO,0,COLUMN())&lt;=0,AN63&lt;=0),"NMF",IF(ABS((INDEX(SP_CFA_CFO,0,COLUMN())/INDEX(SP_GF_ShareCount,0,COLUMN()))/(AN63/AN43)-1)&gt;10,"NMF",(INDEX(SP_CFA_CFO,0,COLUMN())/INDEX(SP_GF_ShareCount,0,COLUMN()))/(AN63/AN43)-1))</f>
        <v>8.67209598550064</v>
      </c>
      <c r="AT114" s="234" t="n">
        <f aca="false">IF(OR(INDEX(SP_CFA_CFO,0,COLUMN())&lt;=0,AO63&lt;=0),"NMF",IF(ABS((INDEX(SP_CFA_CFO,0,COLUMN())/INDEX(SP_GF_ShareCount,0,COLUMN()))/(AO63/AO43)-1)&gt;10,"NMF",(INDEX(SP_CFA_CFO,0,COLUMN())/INDEX(SP_GF_ShareCount,0,COLUMN()))/(AO63/AO43)-1))</f>
        <v>0.419432073388908</v>
      </c>
      <c r="AU114" s="233" t="n">
        <f aca="false">IF(OR(INDEX(SP_CFA_CFO,0,COLUMN())&lt;=0,AP63&lt;=0),"NMF",IF(ABS((INDEX(SP_CFA_CFO,0,COLUMN())/INDEX(SP_GF_ShareCount,0,COLUMN()))/(AP63/AP43)-1)&gt;10,"NMF",(INDEX(SP_CFA_CFO,0,COLUMN())/INDEX(SP_GF_ShareCount,0,COLUMN()))/(AP63/AP43)-1))</f>
        <v>1.39340441586434</v>
      </c>
      <c r="AV114" s="234" t="str">
        <f aca="false">IF(OR(INDEX(SP_CFA_CFO,0,COLUMN())&lt;=0,AQ63&lt;=0),"NMF",IF(ABS((INDEX(SP_CFA_CFO,0,COLUMN())/INDEX(SP_GF_ShareCount,0,COLUMN()))/(AQ63/AQ43)-1)&gt;10,"NMF",(INDEX(SP_CFA_CFO,0,COLUMN())/INDEX(SP_GF_ShareCount,0,COLUMN()))/(AQ63/AQ43)-1))</f>
        <v>NMF</v>
      </c>
      <c r="AW114" s="234" t="n">
        <f aca="false">IF(OR(INDEX(SP_CFA_CFO,0,COLUMN())&lt;=0,AR63&lt;=0),"NMF",IF(ABS((INDEX(SP_CFA_CFO,0,COLUMN())/INDEX(SP_GF_ShareCount,0,COLUMN()))/(AR63/AR43)-1)&gt;10,"NMF",(INDEX(SP_CFA_CFO,0,COLUMN())/INDEX(SP_GF_ShareCount,0,COLUMN()))/(AR63/AR43)-1))</f>
        <v>-0.260634220950159</v>
      </c>
      <c r="AX114" s="234" t="n">
        <f aca="false">IF(OR(INDEX(SP_CFA_CFO,0,COLUMN())&lt;=0,AS63&lt;=0),"NMF",IF(ABS((INDEX(SP_CFA_CFO,0,COLUMN())/INDEX(SP_GF_ShareCount,0,COLUMN()))/(AS63/AS43)-1)&gt;10,"NMF",(INDEX(SP_CFA_CFO,0,COLUMN())/INDEX(SP_GF_ShareCount,0,COLUMN()))/(AS63/AS43)-1))</f>
        <v>-0.331213488497701</v>
      </c>
      <c r="AY114" s="234" t="n">
        <f aca="false">IF(OR(INDEX(SP_CFA_CFO,0,COLUMN())&lt;=0,AT63&lt;=0),"NMF",IF(ABS((INDEX(SP_CFA_CFO,0,COLUMN())/INDEX(SP_GF_ShareCount,0,COLUMN()))/(AT63/AT43)-1)&gt;10,"NMF",(INDEX(SP_CFA_CFO,0,COLUMN())/INDEX(SP_GF_ShareCount,0,COLUMN()))/(AT63/AT43)-1))</f>
        <v>-0.145522923042854</v>
      </c>
      <c r="AZ114" s="233" t="n">
        <f aca="false">IF(OR(INDEX(SP_CFA_CFO,0,COLUMN())&lt;=0,AU63&lt;=0),"NMF",IF(ABS((INDEX(SP_CFA_CFO,0,COLUMN())/INDEX(SP_GF_ShareCount,0,COLUMN()))/(AU63/AU43)-1)&gt;10,"NMF",(INDEX(SP_CFA_CFO,0,COLUMN())/INDEX(SP_GF_ShareCount,0,COLUMN()))/(AU63/AU43)-1))</f>
        <v>-0.193326945043948</v>
      </c>
      <c r="BA114" s="234" t="str">
        <f aca="false">IF(OR(INDEX(SP_CFA_CFO,0,COLUMN())&lt;=0,AV63&lt;=0),"NMF",IF(ABS((INDEX(SP_CFA_CFO,0,COLUMN())/INDEX(SP_GF_ShareCount,0,COLUMN()))/(AV63/AV43)-1)&gt;10,"NMF",(INDEX(SP_CFA_CFO,0,COLUMN())/INDEX(SP_GF_ShareCount,0,COLUMN()))/(AV63/AV43)-1))</f>
        <v>NMF</v>
      </c>
      <c r="BB114" s="234" t="n">
        <f aca="false">IF(OR(INDEX(SP_CFA_CFO,0,COLUMN())&lt;=0,AW63&lt;=0),"NMF",IF(ABS((INDEX(SP_CFA_CFO,0,COLUMN())/INDEX(SP_GF_ShareCount,0,COLUMN()))/(AW63/AW43)-1)&gt;10,"NMF",(INDEX(SP_CFA_CFO,0,COLUMN())/INDEX(SP_GF_ShareCount,0,COLUMN()))/(AW63/AW43)-1))</f>
        <v>-0.847549288526853</v>
      </c>
      <c r="BC114" s="234" t="n">
        <f aca="false">IF(OR(INDEX(SP_CFA_CFO,0,COLUMN())&lt;=0,AX63&lt;=0),"NMF",IF(ABS((INDEX(SP_CFA_CFO,0,COLUMN())/INDEX(SP_GF_ShareCount,0,COLUMN()))/(AX63/AX43)-1)&gt;10,"NMF",(INDEX(SP_CFA_CFO,0,COLUMN())/INDEX(SP_GF_ShareCount,0,COLUMN()))/(AX63/AX43)-1))</f>
        <v>-0.028294483780075</v>
      </c>
      <c r="BD114" s="234" t="n">
        <f aca="false">IF(OR(INDEX(SP_CFA_CFO,0,COLUMN())&lt;=0,AY63&lt;=0),"NMF",IF(ABS((INDEX(SP_CFA_CFO,0,COLUMN())/INDEX(SP_GF_ShareCount,0,COLUMN()))/(AY63/AY43)-1)&gt;10,"NMF",(INDEX(SP_CFA_CFO,0,COLUMN())/INDEX(SP_GF_ShareCount,0,COLUMN()))/(AY63/AY43)-1))</f>
        <v>-0.400361523623642</v>
      </c>
      <c r="BE114" s="233" t="n">
        <f aca="false">IF(OR(INDEX(SP_CFA_CFO,0,COLUMN())&lt;=0,AZ63&lt;=0),"NMF",IF(ABS((INDEX(SP_CFA_CFO,0,COLUMN())/INDEX(SP_GF_ShareCount,0,COLUMN()))/(AZ63/AZ43)-1)&gt;10,"NMF",(INDEX(SP_CFA_CFO,0,COLUMN())/INDEX(SP_GF_ShareCount,0,COLUMN()))/(AZ63/AZ43)-1))</f>
        <v>-0.35209396691409</v>
      </c>
      <c r="BF114" s="234" t="str">
        <f aca="false">IF(OR(INDEX(SP_CFA_CFO,0,COLUMN())&lt;=0,BA63&lt;=0),"NMF",IF(ABS((INDEX(SP_CFA_CFO,0,COLUMN())/INDEX(SP_GF_ShareCount,0,COLUMN()))/(BA63/BA43)-1)&gt;10,"NMF",(INDEX(SP_CFA_CFO,0,COLUMN())/INDEX(SP_GF_ShareCount,0,COLUMN()))/(BA63/BA43)-1))</f>
        <v>NMF</v>
      </c>
      <c r="BG114" s="234" t="n">
        <f aca="false">IF(OR(INDEX(SP_CFA_CFO,0,COLUMN())&lt;=0,BB63&lt;=0),"NMF",IF(ABS((INDEX(SP_CFA_CFO,0,COLUMN())/INDEX(SP_GF_ShareCount,0,COLUMN()))/(BB63/BB43)-1)&gt;10,"NMF",(INDEX(SP_CFA_CFO,0,COLUMN())/INDEX(SP_GF_ShareCount,0,COLUMN()))/(BB63/BB43)-1))</f>
        <v>1.40336188300327</v>
      </c>
      <c r="BH114" s="234" t="n">
        <f aca="false">IF(OR(INDEX(SP_CFA_CFO,0,COLUMN())&lt;=0,BC63&lt;=0),"NMF",IF(ABS((INDEX(SP_CFA_CFO,0,COLUMN())/INDEX(SP_GF_ShareCount,0,COLUMN()))/(BC63/BC43)-1)&gt;10,"NMF",(INDEX(SP_CFA_CFO,0,COLUMN())/INDEX(SP_GF_ShareCount,0,COLUMN()))/(BC63/BC43)-1))</f>
        <v>-0.157750787711981</v>
      </c>
      <c r="BI114" s="234" t="n">
        <f aca="false">IF(OR(INDEX(SP_CFA_CFO,0,COLUMN())&lt;=0,BD63&lt;=0),"NMF",IF(ABS((INDEX(SP_CFA_CFO,0,COLUMN())/INDEX(SP_GF_ShareCount,0,COLUMN()))/(BD63/BD43)-1)&gt;10,"NMF",(INDEX(SP_CFA_CFO,0,COLUMN())/INDEX(SP_GF_ShareCount,0,COLUMN()))/(BD63/BD43)-1))</f>
        <v>1.98706599937441</v>
      </c>
      <c r="BJ114" s="233" t="n">
        <f aca="false">IF(OR(INDEX(SP_CFA_CFO,0,COLUMN())&lt;=0,BE63&lt;=0),"NMF",IF(ABS((INDEX(SP_CFA_CFO,0,COLUMN())/INDEX(SP_GF_ShareCount,0,COLUMN()))/(BE63/BE43)-1)&gt;10,"NMF",(INDEX(SP_CFA_CFO,0,COLUMN())/INDEX(SP_GF_ShareCount,0,COLUMN()))/(BE63/BE43)-1))</f>
        <v>1.05393406791427</v>
      </c>
      <c r="BK114" s="234" t="str">
        <f aca="false">IF(OR(INDEX(SP_CFA_CFO,0,COLUMN())&lt;=0,BF63&lt;=0),"NMF",IF(ABS((INDEX(SP_CFA_CFO,0,COLUMN())/INDEX(SP_GF_ShareCount,0,COLUMN()))/(BF63/BF43)-1)&gt;10,"NMF",(INDEX(SP_CFA_CFO,0,COLUMN())/INDEX(SP_GF_ShareCount,0,COLUMN()))/(BF63/BF43)-1))</f>
        <v>NMF</v>
      </c>
      <c r="BL114" s="234" t="n">
        <f aca="false">IF(OR(INDEX(SP_CFA_CFO,0,COLUMN())&lt;=0,BG63&lt;=0),"NMF",IF(ABS((INDEX(SP_CFA_CFO,0,COLUMN())/INDEX(SP_GF_ShareCount,0,COLUMN()))/(BG63/BG43)-1)&gt;10,"NMF",(INDEX(SP_CFA_CFO,0,COLUMN())/INDEX(SP_GF_ShareCount,0,COLUMN()))/(BG63/BG43)-1))</f>
        <v>-0.179642739956908</v>
      </c>
      <c r="BM114" s="234" t="n">
        <f aca="false">IF(OR(INDEX(SP_CFA_CFO,0,COLUMN())&lt;=0,BH63&lt;=0),"NMF",IF(ABS((INDEX(SP_CFA_CFO,0,COLUMN())/INDEX(SP_GF_ShareCount,0,COLUMN()))/(BH63/BH43)-1)&gt;10,"NMF",(INDEX(SP_CFA_CFO,0,COLUMN())/INDEX(SP_GF_ShareCount,0,COLUMN()))/(BH63/BH43)-1))</f>
        <v>-0.402300453982935</v>
      </c>
      <c r="BN114" s="234" t="n">
        <f aca="false">IF(OR(INDEX(SP_CFA_CFO,0,COLUMN())&lt;=0,BI63&lt;=0),"NMF",IF(ABS((INDEX(SP_CFA_CFO,0,COLUMN())/INDEX(SP_GF_ShareCount,0,COLUMN()))/(BI63/BI43)-1)&gt;10,"NMF",(INDEX(SP_CFA_CFO,0,COLUMN())/INDEX(SP_GF_ShareCount,0,COLUMN()))/(BI63/BI43)-1))</f>
        <v>0.215834199099603</v>
      </c>
      <c r="BO114" s="235" t="n">
        <f aca="false">IF(OR(INDEX(SP_CFA_CFO,0,COLUMN())&lt;=0,BJ63&lt;=0),"NMF",IF(ABS((INDEX(SP_CFA_CFO,0,COLUMN())/INDEX(SP_GF_ShareCount,0,COLUMN()))/(BJ63/BJ43)-1)&gt;10,"NMF",(INDEX(SP_CFA_CFO,0,COLUMN())/INDEX(SP_GF_ShareCount,0,COLUMN()))/(BJ63/BJ43)-1))</f>
        <v>0.147344901878262</v>
      </c>
      <c r="BP114" s="234" t="str">
        <f aca="false">IF(OR(INDEX(SP_CFA_CFO,0,COLUMN())&lt;=0,BK63&lt;=0),"NMF",IF(ABS((INDEX(SP_CFA_CFO,0,COLUMN())/INDEX(SP_GF_ShareCount,0,COLUMN()))/(BK63/BK43)-1)&gt;10,"NMF",(INDEX(SP_CFA_CFO,0,COLUMN())/INDEX(SP_GF_ShareCount,0,COLUMN()))/(BK63/BK43)-1))</f>
        <v>NMF</v>
      </c>
      <c r="BQ114" s="234" t="n">
        <f aca="false">IF(OR(INDEX(SP_CFA_CFO,0,COLUMN())&lt;=0,BL63&lt;=0),"NMF",IF(ABS((INDEX(SP_CFA_CFO,0,COLUMN())/INDEX(SP_GF_ShareCount,0,COLUMN()))/(BL63/BL43)-1)&gt;10,"NMF",(INDEX(SP_CFA_CFO,0,COLUMN())/INDEX(SP_GF_ShareCount,0,COLUMN()))/(BL63/BL43)-1))</f>
        <v>2.9208644490374</v>
      </c>
      <c r="BR114" s="234" t="n">
        <f aca="false">IF(OR(INDEX(SP_CFA_CFO,0,COLUMN())&lt;=0,BM63&lt;=0),"NMF",IF(ABS((INDEX(SP_CFA_CFO,0,COLUMN())/INDEX(SP_GF_ShareCount,0,COLUMN()))/(BM63/BM43)-1)&gt;10,"NMF",(INDEX(SP_CFA_CFO,0,COLUMN())/INDEX(SP_GF_ShareCount,0,COLUMN()))/(BM63/BM43)-1))</f>
        <v>4.37851674685565</v>
      </c>
      <c r="BS114" s="234" t="n">
        <f aca="false">IF(OR(INDEX(SP_CFA_CFO,0,COLUMN())&lt;=0,BN63&lt;=0),"NMF",IF(ABS((INDEX(SP_CFA_CFO,0,COLUMN())/INDEX(SP_GF_ShareCount,0,COLUMN()))/(BN63/BN43)-1)&gt;10,"NMF",(INDEX(SP_CFA_CFO,0,COLUMN())/INDEX(SP_GF_ShareCount,0,COLUMN()))/(BN63/BN43)-1))</f>
        <v>-0.836041968994048</v>
      </c>
      <c r="BT114" s="233" t="n">
        <f aca="false">IF(OR(INDEX(SP_CFA_CFO,0,COLUMN())&lt;=0,BO63&lt;=0),"NMF",IF(ABS((INDEX(SP_CFA_CFO,0,COLUMN())/INDEX(SP_GF_ShareCount,0,COLUMN()))/(BO63/BO43)-1)&gt;10,"NMF",(INDEX(SP_CFA_CFO,0,COLUMN())/INDEX(SP_GF_ShareCount,0,COLUMN()))/(BO63/BO43)-1))</f>
        <v>-0.00740799997958797</v>
      </c>
      <c r="BU114" s="234" t="n">
        <f aca="false">IF(OR(INDEX(SP_CFA_CFO,0,COLUMN())&lt;=0,BP63&lt;=0),"NMF",IF(ABS((INDEX(SP_CFA_CFO,0,COLUMN())/INDEX(SP_GF_ShareCount,0,COLUMN()))/(BP63/BP43)-1)&gt;10,"NMF",(INDEX(SP_CFA_CFO,0,COLUMN())/INDEX(SP_GF_ShareCount,0,COLUMN()))/(BP63/BP43)-1))</f>
        <v>0.04681565276071</v>
      </c>
      <c r="BV114" s="234" t="n">
        <f aca="false">IF(OR(INDEX(SP_CFA_CFO,0,COLUMN())&lt;=0,BQ63&lt;=0),"NMF",IF(ABS((INDEX(SP_CFA_CFO,0,COLUMN())/INDEX(SP_GF_ShareCount,0,COLUMN()))/(BQ63/BQ43)-1)&gt;10,"NMF",(INDEX(SP_CFA_CFO,0,COLUMN())/INDEX(SP_GF_ShareCount,0,COLUMN()))/(BQ63/BQ43)-1))</f>
        <v>0.0935764953481459</v>
      </c>
      <c r="BW114" s="234" t="n">
        <f aca="false">IF(OR(INDEX(SP_CFA_CFO,0,COLUMN())&lt;=0,BR63&lt;=0),"NMF",IF(ABS((INDEX(SP_CFA_CFO,0,COLUMN())/INDEX(SP_GF_ShareCount,0,COLUMN()))/(BR63/BR43)-1)&gt;10,"NMF",(INDEX(SP_CFA_CFO,0,COLUMN())/INDEX(SP_GF_ShareCount,0,COLUMN()))/(BR63/BR43)-1))</f>
        <v>0.0589662344081485</v>
      </c>
      <c r="BX114" s="234" t="n">
        <f aca="false">IF(OR(INDEX(SP_CFA_CFO,0,COLUMN())&lt;=0,BS63&lt;=0),"NMF",IF(ABS((INDEX(SP_CFA_CFO,0,COLUMN())/INDEX(SP_GF_ShareCount,0,COLUMN()))/(BS63/BS43)-1)&gt;10,"NMF",(INDEX(SP_CFA_CFO,0,COLUMN())/INDEX(SP_GF_ShareCount,0,COLUMN()))/(BS63/BS43)-1))</f>
        <v>0.1733918569873</v>
      </c>
      <c r="BY114" s="233" t="n">
        <f aca="false">IF(OR(INDEX(SP_CFA_CFO,0,COLUMN())&lt;=0,BT63&lt;=0),"NMF",IF(ABS((INDEX(SP_CFA_CFO,0,COLUMN())/INDEX(SP_GF_ShareCount,0,COLUMN()))/(BT63/BT43)-1)&gt;10,"NMF",(INDEX(SP_CFA_CFO,0,COLUMN())/INDEX(SP_GF_ShareCount,0,COLUMN()))/(BT63/BT43)-1))</f>
        <v>0.079563501873686</v>
      </c>
      <c r="BZ114" s="233" t="n">
        <f aca="false">IF(OR(INDEX(SP_CFA_CFO,0,COLUMN())&lt;=0,BY63&lt;=0),"NMF",IF(ABS((INDEX(SP_CFA_CFO,0,COLUMN())/INDEX(SP_GF_ShareCount,0,COLUMN()))/(BY63/BY43)-1)&gt;10,"NMF",(INDEX(SP_CFA_CFO,0,COLUMN())/INDEX(SP_GF_ShareCount,0,COLUMN()))/(BY63/BY43)-1))</f>
        <v>0.261219859272968</v>
      </c>
      <c r="CA114" s="233" t="n">
        <f aca="false">IF(OR(INDEX(SP_CFA_CFO,0,COLUMN())&lt;=0,BZ63&lt;=0),"NMF",IF(ABS((INDEX(SP_CFA_CFO,0,COLUMN())/INDEX(SP_GF_ShareCount,0,COLUMN()))/(BZ63/BZ43)-1)&gt;10,"NMF",(INDEX(SP_CFA_CFO,0,COLUMN())/INDEX(SP_GF_ShareCount,0,COLUMN()))/(BZ63/BZ43)-1))</f>
        <v>-0.00353428917840426</v>
      </c>
      <c r="CB114" s="233" t="n">
        <f aca="false">IF(OR(INDEX(SP_CFA_CFO,0,COLUMN())&lt;=0,CA63&lt;=0),"NMF",IF(ABS((INDEX(SP_CFA_CFO,0,COLUMN())/INDEX(SP_GF_ShareCount,0,COLUMN()))/(CA63/CA43)-1)&gt;10,"NMF",(INDEX(SP_CFA_CFO,0,COLUMN())/INDEX(SP_GF_ShareCount,0,COLUMN()))/(CA63/CA43)-1))</f>
        <v>0.0596255416856051</v>
      </c>
      <c r="CC114" s="625"/>
    </row>
    <row r="115" s="237" customFormat="true" ht="15" hidden="false" customHeight="true" outlineLevel="0" collapsed="false">
      <c r="A115" s="231" t="s">
        <v>841</v>
      </c>
      <c r="B115" s="625"/>
      <c r="C115" s="233"/>
      <c r="D115" s="233" t="str">
        <f aca="false">IF(OR(INDEX(SP_CFA_FCF_PreDiv,0,COLUMN())&lt;=0,C65&lt;=0),"NMF",IF(ABS((INDEX(SP_CFA_FCF_PreDiv,0,COLUMN())/INDEX(SP_GF_ShareCount,0,COLUMN()))/(C65/C43)-1)&gt;10,"NMF",(INDEX(SP_CFA_FCF_PreDiv,0,COLUMN())/INDEX(SP_GF_ShareCount,0,COLUMN()))/(C65/C43)-1))</f>
        <v>NMF</v>
      </c>
      <c r="E115" s="233" t="n">
        <f aca="false">IF(OR(INDEX(SP_CFA_FCF_PreDiv,0,COLUMN())&lt;=0,D65&lt;=0),"NMF",IF(ABS((INDEX(SP_CFA_FCF_PreDiv,0,COLUMN())/INDEX(SP_GF_ShareCount,0,COLUMN()))/(D65/D43)-1)&gt;10,"NMF",(INDEX(SP_CFA_FCF_PreDiv,0,COLUMN())/INDEX(SP_GF_ShareCount,0,COLUMN()))/(D65/D43)-1))</f>
        <v>1.23149823808099</v>
      </c>
      <c r="F115" s="233" t="n">
        <f aca="false">IF(OR(INDEX(SP_CFA_FCF_PreDiv,0,COLUMN())&lt;=0,E65&lt;=0),"NMF",IF(ABS((INDEX(SP_CFA_FCF_PreDiv,0,COLUMN())/INDEX(SP_GF_ShareCount,0,COLUMN()))/(E65/E43)-1)&gt;10,"NMF",(INDEX(SP_CFA_FCF_PreDiv,0,COLUMN())/INDEX(SP_GF_ShareCount,0,COLUMN()))/(E65/E43)-1))</f>
        <v>-0.702477615626571</v>
      </c>
      <c r="G115" s="233" t="n">
        <f aca="false">IF(OR(INDEX(SP_CFA_FCF_PreDiv,0,COLUMN())&lt;=0,F65&lt;=0),"NMF",IF(ABS((INDEX(SP_CFA_FCF_PreDiv,0,COLUMN())/INDEX(SP_GF_ShareCount,0,COLUMN()))/(F65/F43)-1)&gt;10,"NMF",(INDEX(SP_CFA_FCF_PreDiv,0,COLUMN())/INDEX(SP_GF_ShareCount,0,COLUMN()))/(F65/F43)-1))</f>
        <v>0.578150249004595</v>
      </c>
      <c r="H115" s="234"/>
      <c r="I115" s="234"/>
      <c r="J115" s="234"/>
      <c r="K115" s="234"/>
      <c r="L115" s="233" t="n">
        <f aca="false">IF(OR(INDEX(SP_CFA_FCF_PreDiv,0,COLUMN())&lt;=0,G65&lt;=0),"NMF",IF(ABS((INDEX(SP_CFA_FCF_PreDiv,0,COLUMN())/INDEX(SP_GF_ShareCount,0,COLUMN()))/(G65/G43)-1)&gt;10,"NMF",(INDEX(SP_CFA_FCF_PreDiv,0,COLUMN())/INDEX(SP_GF_ShareCount,0,COLUMN()))/(G65/G43)-1))</f>
        <v>-0.220199344723295</v>
      </c>
      <c r="M115" s="234" t="n">
        <f aca="false">IF(OR(INDEX(SP_CFA_FCF_PreDiv,0,COLUMN())&lt;=0,H65&lt;=0),"NMF",IF(ABS((INDEX(SP_CFA_FCF_PreDiv,0,COLUMN())/INDEX(SP_GF_ShareCount,0,COLUMN()))/(H65/H43)-1)&gt;10,"NMF",(INDEX(SP_CFA_FCF_PreDiv,0,COLUMN())/INDEX(SP_GF_ShareCount,0,COLUMN()))/(H65/H43)-1))</f>
        <v>0.995455939097837</v>
      </c>
      <c r="N115" s="234" t="n">
        <f aca="false">IF(OR(INDEX(SP_CFA_FCF_PreDiv,0,COLUMN())&lt;=0,I65&lt;=0),"NMF",IF(ABS((INDEX(SP_CFA_FCF_PreDiv,0,COLUMN())/INDEX(SP_GF_ShareCount,0,COLUMN()))/(I65/I43)-1)&gt;10,"NMF",(INDEX(SP_CFA_FCF_PreDiv,0,COLUMN())/INDEX(SP_GF_ShareCount,0,COLUMN()))/(I65/I43)-1))</f>
        <v>0.670239279665389</v>
      </c>
      <c r="O115" s="234" t="n">
        <f aca="false">IF(OR(INDEX(SP_CFA_FCF_PreDiv,0,COLUMN())&lt;=0,J65&lt;=0),"NMF",IF(ABS((INDEX(SP_CFA_FCF_PreDiv,0,COLUMN())/INDEX(SP_GF_ShareCount,0,COLUMN()))/(J65/J43)-1)&gt;10,"NMF",(INDEX(SP_CFA_FCF_PreDiv,0,COLUMN())/INDEX(SP_GF_ShareCount,0,COLUMN()))/(J65/J43)-1))</f>
        <v>1.60358191426894</v>
      </c>
      <c r="P115" s="234" t="n">
        <f aca="false">IF(OR(INDEX(SP_CFA_FCF_PreDiv,0,COLUMN())&lt;=0,K65&lt;=0),"NMF",IF(ABS((INDEX(SP_CFA_FCF_PreDiv,0,COLUMN())/INDEX(SP_GF_ShareCount,0,COLUMN()))/(K65/K43)-1)&gt;10,"NMF",(INDEX(SP_CFA_FCF_PreDiv,0,COLUMN())/INDEX(SP_GF_ShareCount,0,COLUMN()))/(K65/K43)-1))</f>
        <v>2.11378807248281</v>
      </c>
      <c r="Q115" s="233" t="n">
        <f aca="false">IF(OR(INDEX(SP_CFA_FCF_PreDiv,0,COLUMN())&lt;=0,L65&lt;=0),"NMF",IF(ABS((INDEX(SP_CFA_FCF_PreDiv,0,COLUMN())/INDEX(SP_GF_ShareCount,0,COLUMN()))/(L65/L43)-1)&gt;10,"NMF",(INDEX(SP_CFA_FCF_PreDiv,0,COLUMN())/INDEX(SP_GF_ShareCount,0,COLUMN()))/(L65/L43)-1))</f>
        <v>1.52966111817971</v>
      </c>
      <c r="R115" s="234" t="str">
        <f aca="false">IF(OR(INDEX(SP_CFA_FCF_PreDiv,0,COLUMN())&lt;=0,M65&lt;=0),"NMF",IF(ABS((INDEX(SP_CFA_FCF_PreDiv,0,COLUMN())/INDEX(SP_GF_ShareCount,0,COLUMN()))/(M65/M43)-1)&gt;10,"NMF",(INDEX(SP_CFA_FCF_PreDiv,0,COLUMN())/INDEX(SP_GF_ShareCount,0,COLUMN()))/(M65/M43)-1))</f>
        <v>NMF</v>
      </c>
      <c r="S115" s="234" t="n">
        <f aca="false">IF(OR(INDEX(SP_CFA_FCF_PreDiv,0,COLUMN())&lt;=0,N65&lt;=0),"NMF",IF(ABS((INDEX(SP_CFA_FCF_PreDiv,0,COLUMN())/INDEX(SP_GF_ShareCount,0,COLUMN()))/(N65/N43)-1)&gt;10,"NMF",(INDEX(SP_CFA_FCF_PreDiv,0,COLUMN())/INDEX(SP_GF_ShareCount,0,COLUMN()))/(N65/N43)-1))</f>
        <v>0.893545980548212</v>
      </c>
      <c r="T115" s="234" t="str">
        <f aca="false">IF(OR(INDEX(SP_CFA_FCF_PreDiv,0,COLUMN())&lt;=0,O65&lt;=0),"NMF",IF(ABS((INDEX(SP_CFA_FCF_PreDiv,0,COLUMN())/INDEX(SP_GF_ShareCount,0,COLUMN()))/(O65/O43)-1)&gt;10,"NMF",(INDEX(SP_CFA_FCF_PreDiv,0,COLUMN())/INDEX(SP_GF_ShareCount,0,COLUMN()))/(O65/O43)-1))</f>
        <v>NMF</v>
      </c>
      <c r="U115" s="234" t="n">
        <f aca="false">IF(OR(INDEX(SP_CFA_FCF_PreDiv,0,COLUMN())&lt;=0,P65&lt;=0),"NMF",IF(ABS((INDEX(SP_CFA_FCF_PreDiv,0,COLUMN())/INDEX(SP_GF_ShareCount,0,COLUMN()))/(P65/P43)-1)&gt;10,"NMF",(INDEX(SP_CFA_FCF_PreDiv,0,COLUMN())/INDEX(SP_GF_ShareCount,0,COLUMN()))/(P65/P43)-1))</f>
        <v>0.273383151775914</v>
      </c>
      <c r="V115" s="233" t="n">
        <f aca="false">IF(OR(INDEX(SP_CFA_FCF_PreDiv,0,COLUMN())&lt;=0,Q65&lt;=0),"NMF",IF(ABS((INDEX(SP_CFA_FCF_PreDiv,0,COLUMN())/INDEX(SP_GF_ShareCount,0,COLUMN()))/(Q65/Q43)-1)&gt;10,"NMF",(INDEX(SP_CFA_FCF_PreDiv,0,COLUMN())/INDEX(SP_GF_ShareCount,0,COLUMN()))/(Q65/Q43)-1))</f>
        <v>-0.179099676044859</v>
      </c>
      <c r="W115" s="234" t="str">
        <f aca="false">IF(OR(INDEX(SP_CFA_FCF_PreDiv,0,COLUMN())&lt;=0,R65&lt;=0),"NMF",IF(ABS((INDEX(SP_CFA_FCF_PreDiv,0,COLUMN())/INDEX(SP_GF_ShareCount,0,COLUMN()))/(R65/R43)-1)&gt;10,"NMF",(INDEX(SP_CFA_FCF_PreDiv,0,COLUMN())/INDEX(SP_GF_ShareCount,0,COLUMN()))/(R65/R43)-1))</f>
        <v>NMF</v>
      </c>
      <c r="X115" s="234" t="n">
        <f aca="false">IF(OR(INDEX(SP_CFA_FCF_PreDiv,0,COLUMN())&lt;=0,S65&lt;=0),"NMF",IF(ABS((INDEX(SP_CFA_FCF_PreDiv,0,COLUMN())/INDEX(SP_GF_ShareCount,0,COLUMN()))/(S65/S43)-1)&gt;10,"NMF",(INDEX(SP_CFA_FCF_PreDiv,0,COLUMN())/INDEX(SP_GF_ShareCount,0,COLUMN()))/(S65/S43)-1))</f>
        <v>0.214493571265679</v>
      </c>
      <c r="Y115" s="234" t="str">
        <f aca="false">IF(OR(INDEX(SP_CFA_FCF_PreDiv,0,COLUMN())&lt;=0,T65&lt;=0),"NMF",IF(ABS((INDEX(SP_CFA_FCF_PreDiv,0,COLUMN())/INDEX(SP_GF_ShareCount,0,COLUMN()))/(T65/T43)-1)&gt;10,"NMF",(INDEX(SP_CFA_FCF_PreDiv,0,COLUMN())/INDEX(SP_GF_ShareCount,0,COLUMN()))/(T65/T43)-1))</f>
        <v>NMF</v>
      </c>
      <c r="Z115" s="234" t="n">
        <f aca="false">IF(OR(INDEX(SP_CFA_FCF_PreDiv,0,COLUMN())&lt;=0,U65&lt;=0),"NMF",IF(ABS((INDEX(SP_CFA_FCF_PreDiv,0,COLUMN())/INDEX(SP_GF_ShareCount,0,COLUMN()))/(U65/U43)-1)&gt;10,"NMF",(INDEX(SP_CFA_FCF_PreDiv,0,COLUMN())/INDEX(SP_GF_ShareCount,0,COLUMN()))/(U65/U43)-1))</f>
        <v>-0.1980425749901</v>
      </c>
      <c r="AA115" s="233" t="n">
        <f aca="false">IF(OR(INDEX(SP_CFA_FCF_PreDiv,0,COLUMN())&lt;=0,V65&lt;=0),"NMF",IF(ABS((INDEX(SP_CFA_FCF_PreDiv,0,COLUMN())/INDEX(SP_GF_ShareCount,0,COLUMN()))/(V65/V43)-1)&gt;10,"NMF",(INDEX(SP_CFA_FCF_PreDiv,0,COLUMN())/INDEX(SP_GF_ShareCount,0,COLUMN()))/(V65/V43)-1))</f>
        <v>0.0644068968986591</v>
      </c>
      <c r="AB115" s="234" t="str">
        <f aca="false">IF(OR(INDEX(SP_CFA_FCF_PreDiv,0,COLUMN())&lt;=0,W65&lt;=0),"NMF",IF(ABS((INDEX(SP_CFA_FCF_PreDiv,0,COLUMN())/INDEX(SP_GF_ShareCount,0,COLUMN()))/(W65/W43)-1)&gt;10,"NMF",(INDEX(SP_CFA_FCF_PreDiv,0,COLUMN())/INDEX(SP_GF_ShareCount,0,COLUMN()))/(W65/W43)-1))</f>
        <v>NMF</v>
      </c>
      <c r="AC115" s="234" t="n">
        <f aca="false">IF(OR(INDEX(SP_CFA_FCF_PreDiv,0,COLUMN())&lt;=0,X65&lt;=0),"NMF",IF(ABS((INDEX(SP_CFA_FCF_PreDiv,0,COLUMN())/INDEX(SP_GF_ShareCount,0,COLUMN()))/(X65/X43)-1)&gt;10,"NMF",(INDEX(SP_CFA_FCF_PreDiv,0,COLUMN())/INDEX(SP_GF_ShareCount,0,COLUMN()))/(X65/X43)-1))</f>
        <v>0.344778911802075</v>
      </c>
      <c r="AD115" s="234" t="n">
        <f aca="false">IF(OR(INDEX(SP_CFA_FCF_PreDiv,0,COLUMN())&lt;=0,Y65&lt;=0),"NMF",IF(ABS((INDEX(SP_CFA_FCF_PreDiv,0,COLUMN())/INDEX(SP_GF_ShareCount,0,COLUMN()))/(Y65/Y43)-1)&gt;10,"NMF",(INDEX(SP_CFA_FCF_PreDiv,0,COLUMN())/INDEX(SP_GF_ShareCount,0,COLUMN()))/(Y65/Y43)-1))</f>
        <v>0.201277506472454</v>
      </c>
      <c r="AE115" s="234" t="n">
        <f aca="false">IF(OR(INDEX(SP_CFA_FCF_PreDiv,0,COLUMN())&lt;=0,Z65&lt;=0),"NMF",IF(ABS((INDEX(SP_CFA_FCF_PreDiv,0,COLUMN())/INDEX(SP_GF_ShareCount,0,COLUMN()))/(Z65/Z43)-1)&gt;10,"NMF",(INDEX(SP_CFA_FCF_PreDiv,0,COLUMN())/INDEX(SP_GF_ShareCount,0,COLUMN()))/(Z65/Z43)-1))</f>
        <v>0.642982290118919</v>
      </c>
      <c r="AF115" s="233" t="n">
        <f aca="false">IF(OR(INDEX(SP_CFA_FCF_PreDiv,0,COLUMN())&lt;=0,AA65&lt;=0),"NMF",IF(ABS((INDEX(SP_CFA_FCF_PreDiv,0,COLUMN())/INDEX(SP_GF_ShareCount,0,COLUMN()))/(AA65/AA43)-1)&gt;10,"NMF",(INDEX(SP_CFA_FCF_PreDiv,0,COLUMN())/INDEX(SP_GF_ShareCount,0,COLUMN()))/(AA65/AA43)-1))</f>
        <v>0.730694866298934</v>
      </c>
      <c r="AG115" s="234" t="str">
        <f aca="false">IF(OR(INDEX(SP_CFA_FCF_PreDiv,0,COLUMN())&lt;=0,AB65&lt;=0),"NMF",IF(ABS((INDEX(SP_CFA_FCF_PreDiv,0,COLUMN())/INDEX(SP_GF_ShareCount,0,COLUMN()))/(AB65/AB43)-1)&gt;10,"NMF",(INDEX(SP_CFA_FCF_PreDiv,0,COLUMN())/INDEX(SP_GF_ShareCount,0,COLUMN()))/(AB65/AB43)-1))</f>
        <v>NMF</v>
      </c>
      <c r="AH115" s="234" t="str">
        <f aca="false">IF(OR(INDEX(SP_CFA_FCF_PreDiv,0,COLUMN())&lt;=0,AC65&lt;=0),"NMF",IF(ABS((INDEX(SP_CFA_FCF_PreDiv,0,COLUMN())/INDEX(SP_GF_ShareCount,0,COLUMN()))/(AC65/AC43)-1)&gt;10,"NMF",(INDEX(SP_CFA_FCF_PreDiv,0,COLUMN())/INDEX(SP_GF_ShareCount,0,COLUMN()))/(AC65/AC43)-1))</f>
        <v>NMF</v>
      </c>
      <c r="AI115" s="234" t="str">
        <f aca="false">IF(OR(INDEX(SP_CFA_FCF_PreDiv,0,COLUMN())&lt;=0,AD65&lt;=0),"NMF",IF(ABS((INDEX(SP_CFA_FCF_PreDiv,0,COLUMN())/INDEX(SP_GF_ShareCount,0,COLUMN()))/(AD65/AD43)-1)&gt;10,"NMF",(INDEX(SP_CFA_FCF_PreDiv,0,COLUMN())/INDEX(SP_GF_ShareCount,0,COLUMN()))/(AD65/AD43)-1))</f>
        <v>NMF</v>
      </c>
      <c r="AJ115" s="234" t="n">
        <f aca="false">IF(OR(INDEX(SP_CFA_FCF_PreDiv,0,COLUMN())&lt;=0,AE65&lt;=0),"NMF",IF(ABS((INDEX(SP_CFA_FCF_PreDiv,0,COLUMN())/INDEX(SP_GF_ShareCount,0,COLUMN()))/(AE65/AE43)-1)&gt;10,"NMF",(INDEX(SP_CFA_FCF_PreDiv,0,COLUMN())/INDEX(SP_GF_ShareCount,0,COLUMN()))/(AE65/AE43)-1))</f>
        <v>1.30909029046035</v>
      </c>
      <c r="AK115" s="233" t="n">
        <f aca="false">IF(OR(INDEX(SP_CFA_FCF_PreDiv,0,COLUMN())&lt;=0,AF65&lt;=0),"NMF",IF(ABS((INDEX(SP_CFA_FCF_PreDiv,0,COLUMN())/INDEX(SP_GF_ShareCount,0,COLUMN()))/(AF65/AF43)-1)&gt;10,"NMF",(INDEX(SP_CFA_FCF_PreDiv,0,COLUMN())/INDEX(SP_GF_ShareCount,0,COLUMN()))/(AF65/AF43)-1))</f>
        <v>-0.0184652814283945</v>
      </c>
      <c r="AL115" s="234" t="str">
        <f aca="false">IF(OR(INDEX(SP_CFA_FCF_PreDiv,0,COLUMN())&lt;=0,AG65&lt;=0),"NMF",IF(ABS((INDEX(SP_CFA_FCF_PreDiv,0,COLUMN())/INDEX(SP_GF_ShareCount,0,COLUMN()))/(AG65/AG43)-1)&gt;10,"NMF",(INDEX(SP_CFA_FCF_PreDiv,0,COLUMN())/INDEX(SP_GF_ShareCount,0,COLUMN()))/(AG65/AG43)-1))</f>
        <v>NMF</v>
      </c>
      <c r="AM115" s="234" t="str">
        <f aca="false">IF(OR(INDEX(SP_CFA_FCF_PreDiv,0,COLUMN())&lt;=0,AH65&lt;=0),"NMF",IF(ABS((INDEX(SP_CFA_FCF_PreDiv,0,COLUMN())/INDEX(SP_GF_ShareCount,0,COLUMN()))/(AH65/AH43)-1)&gt;10,"NMF",(INDEX(SP_CFA_FCF_PreDiv,0,COLUMN())/INDEX(SP_GF_ShareCount,0,COLUMN()))/(AH65/AH43)-1))</f>
        <v>NMF</v>
      </c>
      <c r="AN115" s="234" t="str">
        <f aca="false">IF(OR(INDEX(SP_CFA_FCF_PreDiv,0,COLUMN())&lt;=0,AI65&lt;=0),"NMF",IF(ABS((INDEX(SP_CFA_FCF_PreDiv,0,COLUMN())/INDEX(SP_GF_ShareCount,0,COLUMN()))/(AI65/AI43)-1)&gt;10,"NMF",(INDEX(SP_CFA_FCF_PreDiv,0,COLUMN())/INDEX(SP_GF_ShareCount,0,COLUMN()))/(AI65/AI43)-1))</f>
        <v>NMF</v>
      </c>
      <c r="AO115" s="234" t="n">
        <f aca="false">IF(OR(INDEX(SP_CFA_FCF_PreDiv,0,COLUMN())&lt;=0,AJ65&lt;=0),"NMF",IF(ABS((INDEX(SP_CFA_FCF_PreDiv,0,COLUMN())/INDEX(SP_GF_ShareCount,0,COLUMN()))/(AJ65/AJ43)-1)&gt;10,"NMF",(INDEX(SP_CFA_FCF_PreDiv,0,COLUMN())/INDEX(SP_GF_ShareCount,0,COLUMN()))/(AJ65/AJ43)-1))</f>
        <v>0.342296280889361</v>
      </c>
      <c r="AP115" s="233" t="n">
        <f aca="false">IF(OR(INDEX(SP_CFA_FCF_PreDiv,0,COLUMN())&lt;=0,AK65&lt;=0),"NMF",IF(ABS((INDEX(SP_CFA_FCF_PreDiv,0,COLUMN())/INDEX(SP_GF_ShareCount,0,COLUMN()))/(AK65/AK43)-1)&gt;10,"NMF",(INDEX(SP_CFA_FCF_PreDiv,0,COLUMN())/INDEX(SP_GF_ShareCount,0,COLUMN()))/(AK65/AK43)-1))</f>
        <v>0.526222319508078</v>
      </c>
      <c r="AQ115" s="234" t="str">
        <f aca="false">IF(OR(INDEX(SP_CFA_FCF_PreDiv,0,COLUMN())&lt;=0,AL65&lt;=0),"NMF",IF(ABS((INDEX(SP_CFA_FCF_PreDiv,0,COLUMN())/INDEX(SP_GF_ShareCount,0,COLUMN()))/(AL65/AL43)-1)&gt;10,"NMF",(INDEX(SP_CFA_FCF_PreDiv,0,COLUMN())/INDEX(SP_GF_ShareCount,0,COLUMN()))/(AL65/AL43)-1))</f>
        <v>NMF</v>
      </c>
      <c r="AR115" s="234" t="str">
        <f aca="false">IF(OR(INDEX(SP_CFA_FCF_PreDiv,0,COLUMN())&lt;=0,AM65&lt;=0),"NMF",IF(ABS((INDEX(SP_CFA_FCF_PreDiv,0,COLUMN())/INDEX(SP_GF_ShareCount,0,COLUMN()))/(AM65/AM43)-1)&gt;10,"NMF",(INDEX(SP_CFA_FCF_PreDiv,0,COLUMN())/INDEX(SP_GF_ShareCount,0,COLUMN()))/(AM65/AM43)-1))</f>
        <v>NMF</v>
      </c>
      <c r="AS115" s="234" t="str">
        <f aca="false">IF(OR(INDEX(SP_CFA_FCF_PreDiv,0,COLUMN())&lt;=0,AN65&lt;=0),"NMF",IF(ABS((INDEX(SP_CFA_FCF_PreDiv,0,COLUMN())/INDEX(SP_GF_ShareCount,0,COLUMN()))/(AN65/AN43)-1)&gt;10,"NMF",(INDEX(SP_CFA_FCF_PreDiv,0,COLUMN())/INDEX(SP_GF_ShareCount,0,COLUMN()))/(AN65/AN43)-1))</f>
        <v>NMF</v>
      </c>
      <c r="AT115" s="234" t="n">
        <f aca="false">IF(OR(INDEX(SP_CFA_FCF_PreDiv,0,COLUMN())&lt;=0,AO65&lt;=0),"NMF",IF(ABS((INDEX(SP_CFA_FCF_PreDiv,0,COLUMN())/INDEX(SP_GF_ShareCount,0,COLUMN()))/(AO65/AO43)-1)&gt;10,"NMF",(INDEX(SP_CFA_FCF_PreDiv,0,COLUMN())/INDEX(SP_GF_ShareCount,0,COLUMN()))/(AO65/AO43)-1))</f>
        <v>0.449866135655123</v>
      </c>
      <c r="AU115" s="233" t="n">
        <f aca="false">IF(OR(INDEX(SP_CFA_FCF_PreDiv,0,COLUMN())&lt;=0,AP65&lt;=0),"NMF",IF(ABS((INDEX(SP_CFA_FCF_PreDiv,0,COLUMN())/INDEX(SP_GF_ShareCount,0,COLUMN()))/(AP65/AP43)-1)&gt;10,"NMF",(INDEX(SP_CFA_FCF_PreDiv,0,COLUMN())/INDEX(SP_GF_ShareCount,0,COLUMN()))/(AP65/AP43)-1))</f>
        <v>1.78909369543947</v>
      </c>
      <c r="AV115" s="234" t="str">
        <f aca="false">IF(OR(INDEX(SP_CFA_FCF_PreDiv,0,COLUMN())&lt;=0,AQ65&lt;=0),"NMF",IF(ABS((INDEX(SP_CFA_FCF_PreDiv,0,COLUMN())/INDEX(SP_GF_ShareCount,0,COLUMN()))/(AQ65/AQ43)-1)&gt;10,"NMF",(INDEX(SP_CFA_FCF_PreDiv,0,COLUMN())/INDEX(SP_GF_ShareCount,0,COLUMN()))/(AQ65/AQ43)-1))</f>
        <v>NMF</v>
      </c>
      <c r="AW115" s="234" t="n">
        <f aca="false">IF(OR(INDEX(SP_CFA_FCF_PreDiv,0,COLUMN())&lt;=0,AR65&lt;=0),"NMF",IF(ABS((INDEX(SP_CFA_FCF_PreDiv,0,COLUMN())/INDEX(SP_GF_ShareCount,0,COLUMN()))/(AR65/AR43)-1)&gt;10,"NMF",(INDEX(SP_CFA_FCF_PreDiv,0,COLUMN())/INDEX(SP_GF_ShareCount,0,COLUMN()))/(AR65/AR43)-1))</f>
        <v>-0.279470620451726</v>
      </c>
      <c r="AX115" s="234" t="n">
        <f aca="false">IF(OR(INDEX(SP_CFA_FCF_PreDiv,0,COLUMN())&lt;=0,AS65&lt;=0),"NMF",IF(ABS((INDEX(SP_CFA_FCF_PreDiv,0,COLUMN())/INDEX(SP_GF_ShareCount,0,COLUMN()))/(AS65/AS43)-1)&gt;10,"NMF",(INDEX(SP_CFA_FCF_PreDiv,0,COLUMN())/INDEX(SP_GF_ShareCount,0,COLUMN()))/(AS65/AS43)-1))</f>
        <v>-0.480418961397357</v>
      </c>
      <c r="AY115" s="234" t="n">
        <f aca="false">IF(OR(INDEX(SP_CFA_FCF_PreDiv,0,COLUMN())&lt;=0,AT65&lt;=0),"NMF",IF(ABS((INDEX(SP_CFA_FCF_PreDiv,0,COLUMN())/INDEX(SP_GF_ShareCount,0,COLUMN()))/(AT65/AT43)-1)&gt;10,"NMF",(INDEX(SP_CFA_FCF_PreDiv,0,COLUMN())/INDEX(SP_GF_ShareCount,0,COLUMN()))/(AT65/AT43)-1))</f>
        <v>-0.182925337135202</v>
      </c>
      <c r="AZ115" s="233" t="n">
        <f aca="false">IF(OR(INDEX(SP_CFA_FCF_PreDiv,0,COLUMN())&lt;=0,AU65&lt;=0),"NMF",IF(ABS((INDEX(SP_CFA_FCF_PreDiv,0,COLUMN())/INDEX(SP_GF_ShareCount,0,COLUMN()))/(AU65/AU43)-1)&gt;10,"NMF",(INDEX(SP_CFA_FCF_PreDiv,0,COLUMN())/INDEX(SP_GF_ShareCount,0,COLUMN()))/(AU65/AU43)-1))</f>
        <v>-0.254055572713005</v>
      </c>
      <c r="BA115" s="234" t="str">
        <f aca="false">IF(OR(INDEX(SP_CFA_FCF_PreDiv,0,COLUMN())&lt;=0,AV65&lt;=0),"NMF",IF(ABS((INDEX(SP_CFA_FCF_PreDiv,0,COLUMN())/INDEX(SP_GF_ShareCount,0,COLUMN()))/(AV65/AV43)-1)&gt;10,"NMF",(INDEX(SP_CFA_FCF_PreDiv,0,COLUMN())/INDEX(SP_GF_ShareCount,0,COLUMN()))/(AV65/AV43)-1))</f>
        <v>NMF</v>
      </c>
      <c r="BB115" s="234" t="str">
        <f aca="false">IF(OR(INDEX(SP_CFA_FCF_PreDiv,0,COLUMN())&lt;=0,AW65&lt;=0),"NMF",IF(ABS((INDEX(SP_CFA_FCF_PreDiv,0,COLUMN())/INDEX(SP_GF_ShareCount,0,COLUMN()))/(AW65/AW43)-1)&gt;10,"NMF",(INDEX(SP_CFA_FCF_PreDiv,0,COLUMN())/INDEX(SP_GF_ShareCount,0,COLUMN()))/(AW65/AW43)-1))</f>
        <v>NMF</v>
      </c>
      <c r="BC115" s="234" t="n">
        <f aca="false">IF(OR(INDEX(SP_CFA_FCF_PreDiv,0,COLUMN())&lt;=0,AX65&lt;=0),"NMF",IF(ABS((INDEX(SP_CFA_FCF_PreDiv,0,COLUMN())/INDEX(SP_GF_ShareCount,0,COLUMN()))/(AX65/AX43)-1)&gt;10,"NMF",(INDEX(SP_CFA_FCF_PreDiv,0,COLUMN())/INDEX(SP_GF_ShareCount,0,COLUMN()))/(AX65/AX43)-1))</f>
        <v>-0.22683532401342</v>
      </c>
      <c r="BD115" s="234" t="n">
        <f aca="false">IF(OR(INDEX(SP_CFA_FCF_PreDiv,0,COLUMN())&lt;=0,AY65&lt;=0),"NMF",IF(ABS((INDEX(SP_CFA_FCF_PreDiv,0,COLUMN())/INDEX(SP_GF_ShareCount,0,COLUMN()))/(AY65/AY43)-1)&gt;10,"NMF",(INDEX(SP_CFA_FCF_PreDiv,0,COLUMN())/INDEX(SP_GF_ShareCount,0,COLUMN()))/(AY65/AY43)-1))</f>
        <v>-0.46691143007739</v>
      </c>
      <c r="BE115" s="233" t="n">
        <f aca="false">IF(OR(INDEX(SP_CFA_FCF_PreDiv,0,COLUMN())&lt;=0,AZ65&lt;=0),"NMF",IF(ABS((INDEX(SP_CFA_FCF_PreDiv,0,COLUMN())/INDEX(SP_GF_ShareCount,0,COLUMN()))/(AZ65/AZ43)-1)&gt;10,"NMF",(INDEX(SP_CFA_FCF_PreDiv,0,COLUMN())/INDEX(SP_GF_ShareCount,0,COLUMN()))/(AZ65/AZ43)-1))</f>
        <v>-0.542356730735446</v>
      </c>
      <c r="BF115" s="234" t="str">
        <f aca="false">IF(OR(INDEX(SP_CFA_FCF_PreDiv,0,COLUMN())&lt;=0,BA65&lt;=0),"NMF",IF(ABS((INDEX(SP_CFA_FCF_PreDiv,0,COLUMN())/INDEX(SP_GF_ShareCount,0,COLUMN()))/(BA65/BA43)-1)&gt;10,"NMF",(INDEX(SP_CFA_FCF_PreDiv,0,COLUMN())/INDEX(SP_GF_ShareCount,0,COLUMN()))/(BA65/BA43)-1))</f>
        <v>NMF</v>
      </c>
      <c r="BG115" s="234" t="str">
        <f aca="false">IF(OR(INDEX(SP_CFA_FCF_PreDiv,0,COLUMN())&lt;=0,BB65&lt;=0),"NMF",IF(ABS((INDEX(SP_CFA_FCF_PreDiv,0,COLUMN())/INDEX(SP_GF_ShareCount,0,COLUMN()))/(BB65/BB43)-1)&gt;10,"NMF",(INDEX(SP_CFA_FCF_PreDiv,0,COLUMN())/INDEX(SP_GF_ShareCount,0,COLUMN()))/(BB65/BB43)-1))</f>
        <v>NMF</v>
      </c>
      <c r="BH115" s="234" t="n">
        <f aca="false">IF(OR(INDEX(SP_CFA_FCF_PreDiv,0,COLUMN())&lt;=0,BC65&lt;=0),"NMF",IF(ABS((INDEX(SP_CFA_FCF_PreDiv,0,COLUMN())/INDEX(SP_GF_ShareCount,0,COLUMN()))/(BC65/BC43)-1)&gt;10,"NMF",(INDEX(SP_CFA_FCF_PreDiv,0,COLUMN())/INDEX(SP_GF_ShareCount,0,COLUMN()))/(BC65/BC43)-1))</f>
        <v>-0.135540944760175</v>
      </c>
      <c r="BI115" s="234" t="n">
        <f aca="false">IF(OR(INDEX(SP_CFA_FCF_PreDiv,0,COLUMN())&lt;=0,BD65&lt;=0),"NMF",IF(ABS((INDEX(SP_CFA_FCF_PreDiv,0,COLUMN())/INDEX(SP_GF_ShareCount,0,COLUMN()))/(BD65/BD43)-1)&gt;10,"NMF",(INDEX(SP_CFA_FCF_PreDiv,0,COLUMN())/INDEX(SP_GF_ShareCount,0,COLUMN()))/(BD65/BD43)-1))</f>
        <v>2.40840617960752</v>
      </c>
      <c r="BJ115" s="233" t="n">
        <f aca="false">IF(OR(INDEX(SP_CFA_FCF_PreDiv,0,COLUMN())&lt;=0,BE65&lt;=0),"NMF",IF(ABS((INDEX(SP_CFA_FCF_PreDiv,0,COLUMN())/INDEX(SP_GF_ShareCount,0,COLUMN()))/(BE65/BE43)-1)&gt;10,"NMF",(INDEX(SP_CFA_FCF_PreDiv,0,COLUMN())/INDEX(SP_GF_ShareCount,0,COLUMN()))/(BE65/BE43)-1))</f>
        <v>1.80076327015695</v>
      </c>
      <c r="BK115" s="234" t="str">
        <f aca="false">IF(OR(INDEX(SP_CFA_FCF_PreDiv,0,COLUMN())&lt;=0,BF65&lt;=0),"NMF",IF(ABS((INDEX(SP_CFA_FCF_PreDiv,0,COLUMN())/INDEX(SP_GF_ShareCount,0,COLUMN()))/(BF65/BF43)-1)&gt;10,"NMF",(INDEX(SP_CFA_FCF_PreDiv,0,COLUMN())/INDEX(SP_GF_ShareCount,0,COLUMN()))/(BF65/BF43)-1))</f>
        <v>NMF</v>
      </c>
      <c r="BL115" s="234" t="n">
        <f aca="false">IF(OR(INDEX(SP_CFA_FCF_PreDiv,0,COLUMN())&lt;=0,BG65&lt;=0),"NMF",IF(ABS((INDEX(SP_CFA_FCF_PreDiv,0,COLUMN())/INDEX(SP_GF_ShareCount,0,COLUMN()))/(BG65/BG43)-1)&gt;10,"NMF",(INDEX(SP_CFA_FCF_PreDiv,0,COLUMN())/INDEX(SP_GF_ShareCount,0,COLUMN()))/(BG65/BG43)-1))</f>
        <v>-0.161945778911739</v>
      </c>
      <c r="BM115" s="234" t="n">
        <f aca="false">IF(OR(INDEX(SP_CFA_FCF_PreDiv,0,COLUMN())&lt;=0,BH65&lt;=0),"NMF",IF(ABS((INDEX(SP_CFA_FCF_PreDiv,0,COLUMN())/INDEX(SP_GF_ShareCount,0,COLUMN()))/(BH65/BH43)-1)&gt;10,"NMF",(INDEX(SP_CFA_FCF_PreDiv,0,COLUMN())/INDEX(SP_GF_ShareCount,0,COLUMN()))/(BH65/BH43)-1))</f>
        <v>-0.536655222204768</v>
      </c>
      <c r="BN115" s="234" t="n">
        <f aca="false">IF(OR(INDEX(SP_CFA_FCF_PreDiv,0,COLUMN())&lt;=0,BI65&lt;=0),"NMF",IF(ABS((INDEX(SP_CFA_FCF_PreDiv,0,COLUMN())/INDEX(SP_GF_ShareCount,0,COLUMN()))/(BI65/BI43)-1)&gt;10,"NMF",(INDEX(SP_CFA_FCF_PreDiv,0,COLUMN())/INDEX(SP_GF_ShareCount,0,COLUMN()))/(BI65/BI43)-1))</f>
        <v>0.258750346518898</v>
      </c>
      <c r="BO115" s="235" t="n">
        <f aca="false">IF(OR(INDEX(SP_CFA_FCF_PreDiv,0,COLUMN())&lt;=0,BJ65&lt;=0),"NMF",IF(ABS((INDEX(SP_CFA_FCF_PreDiv,0,COLUMN())/INDEX(SP_GF_ShareCount,0,COLUMN()))/(BJ65/BJ43)-1)&gt;10,"NMF",(INDEX(SP_CFA_FCF_PreDiv,0,COLUMN())/INDEX(SP_GF_ShareCount,0,COLUMN()))/(BJ65/BJ43)-1))</f>
        <v>0.228718057651842</v>
      </c>
      <c r="BP115" s="234" t="str">
        <f aca="false">IF(OR(INDEX(SP_CFA_FCF_PreDiv,0,COLUMN())&lt;=0,BK65&lt;=0),"NMF",IF(ABS((INDEX(SP_CFA_FCF_PreDiv,0,COLUMN())/INDEX(SP_GF_ShareCount,0,COLUMN()))/(BK65/BK43)-1)&gt;10,"NMF",(INDEX(SP_CFA_FCF_PreDiv,0,COLUMN())/INDEX(SP_GF_ShareCount,0,COLUMN()))/(BK65/BK43)-1))</f>
        <v>NMF</v>
      </c>
      <c r="BQ115" s="234" t="n">
        <f aca="false">IF(OR(INDEX(SP_CFA_FCF_PreDiv,0,COLUMN())&lt;=0,BL65&lt;=0),"NMF",IF(ABS((INDEX(SP_CFA_FCF_PreDiv,0,COLUMN())/INDEX(SP_GF_ShareCount,0,COLUMN()))/(BL65/BL43)-1)&gt;10,"NMF",(INDEX(SP_CFA_FCF_PreDiv,0,COLUMN())/INDEX(SP_GF_ShareCount,0,COLUMN()))/(BL65/BL43)-1))</f>
        <v>7.78617691313749</v>
      </c>
      <c r="BR115" s="234" t="str">
        <f aca="false">IF(OR(INDEX(SP_CFA_FCF_PreDiv,0,COLUMN())&lt;=0,BM65&lt;=0),"NMF",IF(ABS((INDEX(SP_CFA_FCF_PreDiv,0,COLUMN())/INDEX(SP_GF_ShareCount,0,COLUMN()))/(BM65/BM43)-1)&gt;10,"NMF",(INDEX(SP_CFA_FCF_PreDiv,0,COLUMN())/INDEX(SP_GF_ShareCount,0,COLUMN()))/(BM65/BM43)-1))</f>
        <v>NMF</v>
      </c>
      <c r="BS115" s="234" t="n">
        <f aca="false">IF(OR(INDEX(SP_CFA_FCF_PreDiv,0,COLUMN())&lt;=0,BN65&lt;=0),"NMF",IF(ABS((INDEX(SP_CFA_FCF_PreDiv,0,COLUMN())/INDEX(SP_GF_ShareCount,0,COLUMN()))/(BN65/BN43)-1)&gt;10,"NMF",(INDEX(SP_CFA_FCF_PreDiv,0,COLUMN())/INDEX(SP_GF_ShareCount,0,COLUMN()))/(BN65/BN43)-1))</f>
        <v>-0.840884291862561</v>
      </c>
      <c r="BT115" s="233" t="n">
        <f aca="false">IF(OR(INDEX(SP_CFA_FCF_PreDiv,0,COLUMN())&lt;=0,BO65&lt;=0),"NMF",IF(ABS((INDEX(SP_CFA_FCF_PreDiv,0,COLUMN())/INDEX(SP_GF_ShareCount,0,COLUMN()))/(BO65/BO43)-1)&gt;10,"NMF",(INDEX(SP_CFA_FCF_PreDiv,0,COLUMN())/INDEX(SP_GF_ShareCount,0,COLUMN()))/(BO65/BO43)-1))</f>
        <v>0.0919921637573908</v>
      </c>
      <c r="BU115" s="234" t="n">
        <f aca="false">IF(OR(INDEX(SP_CFA_FCF_PreDiv,0,COLUMN())&lt;=0,BP65&lt;=0),"NMF",IF(ABS((INDEX(SP_CFA_FCF_PreDiv,0,COLUMN())/INDEX(SP_GF_ShareCount,0,COLUMN()))/(BP65/BP43)-1)&gt;10,"NMF",(INDEX(SP_CFA_FCF_PreDiv,0,COLUMN())/INDEX(SP_GF_ShareCount,0,COLUMN()))/(BP65/BP43)-1))</f>
        <v>0.048149800330521</v>
      </c>
      <c r="BV115" s="234" t="n">
        <f aca="false">IF(OR(INDEX(SP_CFA_FCF_PreDiv,0,COLUMN())&lt;=0,BQ65&lt;=0),"NMF",IF(ABS((INDEX(SP_CFA_FCF_PreDiv,0,COLUMN())/INDEX(SP_GF_ShareCount,0,COLUMN()))/(BQ65/BQ43)-1)&gt;10,"NMF",(INDEX(SP_CFA_FCF_PreDiv,0,COLUMN())/INDEX(SP_GF_ShareCount,0,COLUMN()))/(BQ65/BQ43)-1))</f>
        <v>0.0979581104159955</v>
      </c>
      <c r="BW115" s="234" t="n">
        <f aca="false">IF(OR(INDEX(SP_CFA_FCF_PreDiv,0,COLUMN())&lt;=0,BR65&lt;=0),"NMF",IF(ABS((INDEX(SP_CFA_FCF_PreDiv,0,COLUMN())/INDEX(SP_GF_ShareCount,0,COLUMN()))/(BR65/BR43)-1)&gt;10,"NMF",(INDEX(SP_CFA_FCF_PreDiv,0,COLUMN())/INDEX(SP_GF_ShareCount,0,COLUMN()))/(BR65/BR43)-1))</f>
        <v>0.061655426739706</v>
      </c>
      <c r="BX115" s="234" t="n">
        <f aca="false">IF(OR(INDEX(SP_CFA_FCF_PreDiv,0,COLUMN())&lt;=0,BS65&lt;=0),"NMF",IF(ABS((INDEX(SP_CFA_FCF_PreDiv,0,COLUMN())/INDEX(SP_GF_ShareCount,0,COLUMN()))/(BS65/BS43)-1)&gt;10,"NMF",(INDEX(SP_CFA_FCF_PreDiv,0,COLUMN())/INDEX(SP_GF_ShareCount,0,COLUMN()))/(BS65/BS43)-1))</f>
        <v>0.186381025465984</v>
      </c>
      <c r="BY115" s="233" t="n">
        <f aca="false">IF(OR(INDEX(SP_CFA_FCF_PreDiv,0,COLUMN())&lt;=0,BT65&lt;=0),"NMF",IF(ABS((INDEX(SP_CFA_FCF_PreDiv,0,COLUMN())/INDEX(SP_GF_ShareCount,0,COLUMN()))/(BT65/BT43)-1)&gt;10,"NMF",(INDEX(SP_CFA_FCF_PreDiv,0,COLUMN())/INDEX(SP_GF_ShareCount,0,COLUMN()))/(BT65/BT43)-1))</f>
        <v>0.0830336975391517</v>
      </c>
      <c r="BZ115" s="233" t="n">
        <f aca="false">IF(OR(INDEX(SP_CFA_FCF_PreDiv,0,COLUMN())&lt;=0,BY65&lt;=0),"NMF",IF(ABS((INDEX(SP_CFA_FCF_PreDiv,0,COLUMN())/INDEX(SP_GF_ShareCount,0,COLUMN()))/(BY65/BY43)-1)&gt;10,"NMF",(INDEX(SP_CFA_FCF_PreDiv,0,COLUMN())/INDEX(SP_GF_ShareCount,0,COLUMN()))/(BY65/BY43)-1))</f>
        <v>0.265808051615597</v>
      </c>
      <c r="CA115" s="233" t="n">
        <f aca="false">IF(OR(INDEX(SP_CFA_FCF_PreDiv,0,COLUMN())&lt;=0,BZ65&lt;=0),"NMF",IF(ABS((INDEX(SP_CFA_FCF_PreDiv,0,COLUMN())/INDEX(SP_GF_ShareCount,0,COLUMN()))/(BZ65/BZ43)-1)&gt;10,"NMF",(INDEX(SP_CFA_FCF_PreDiv,0,COLUMN())/INDEX(SP_GF_ShareCount,0,COLUMN()))/(BZ65/BZ43)-1))</f>
        <v>-0.00364812934734193</v>
      </c>
      <c r="CB115" s="233" t="n">
        <f aca="false">IF(OR(INDEX(SP_CFA_FCF_PreDiv,0,COLUMN())&lt;=0,CA65&lt;=0),"NMF",IF(ABS((INDEX(SP_CFA_FCF_PreDiv,0,COLUMN())/INDEX(SP_GF_ShareCount,0,COLUMN()))/(CA65/CA43)-1)&gt;10,"NMF",(INDEX(SP_CFA_FCF_PreDiv,0,COLUMN())/INDEX(SP_GF_ShareCount,0,COLUMN()))/(CA65/CA43)-1))</f>
        <v>0.061812713068782</v>
      </c>
      <c r="CC115" s="625"/>
    </row>
    <row r="116" customFormat="false" ht="15" hidden="false" customHeight="true" outlineLevel="0" collapsed="false">
      <c r="A116" s="252"/>
      <c r="B116" s="266"/>
      <c r="C116" s="267"/>
      <c r="D116" s="267"/>
      <c r="E116" s="267"/>
      <c r="F116" s="267"/>
      <c r="G116" s="267"/>
      <c r="H116" s="268"/>
      <c r="I116" s="268"/>
      <c r="J116" s="268"/>
      <c r="K116" s="268"/>
      <c r="L116" s="267"/>
      <c r="M116" s="268"/>
      <c r="N116" s="268"/>
      <c r="O116" s="268"/>
      <c r="P116" s="268"/>
      <c r="Q116" s="267"/>
      <c r="R116" s="268"/>
      <c r="S116" s="268"/>
      <c r="T116" s="268"/>
      <c r="U116" s="268"/>
      <c r="V116" s="267"/>
      <c r="W116" s="268"/>
      <c r="X116" s="268"/>
      <c r="Y116" s="268"/>
      <c r="Z116" s="268"/>
      <c r="AA116" s="267"/>
      <c r="AB116" s="268"/>
      <c r="AC116" s="268"/>
      <c r="AD116" s="268"/>
      <c r="AE116" s="268"/>
      <c r="AF116" s="267"/>
      <c r="AG116" s="268"/>
      <c r="AH116" s="268"/>
      <c r="AI116" s="268"/>
      <c r="AJ116" s="268"/>
      <c r="AK116" s="267"/>
      <c r="AL116" s="268"/>
      <c r="AM116" s="268"/>
      <c r="AN116" s="268"/>
      <c r="AO116" s="268"/>
      <c r="AP116" s="267"/>
      <c r="AQ116" s="268"/>
      <c r="AR116" s="268"/>
      <c r="AS116" s="268"/>
      <c r="AT116" s="268"/>
      <c r="AU116" s="267"/>
      <c r="AV116" s="268"/>
      <c r="AW116" s="268"/>
      <c r="AX116" s="268"/>
      <c r="AY116" s="268"/>
      <c r="AZ116" s="267"/>
      <c r="BA116" s="268"/>
      <c r="BB116" s="268"/>
      <c r="BC116" s="268"/>
      <c r="BD116" s="268"/>
      <c r="BE116" s="267"/>
      <c r="BF116" s="268"/>
      <c r="BG116" s="268"/>
      <c r="BH116" s="268"/>
      <c r="BI116" s="268"/>
      <c r="BJ116" s="267"/>
      <c r="BK116" s="268"/>
      <c r="BL116" s="268"/>
      <c r="BM116" s="268"/>
      <c r="BN116" s="268"/>
      <c r="BO116" s="269"/>
      <c r="BP116" s="268"/>
      <c r="BQ116" s="268"/>
      <c r="BR116" s="268"/>
      <c r="BS116" s="268"/>
      <c r="BT116" s="267"/>
      <c r="BU116" s="268"/>
      <c r="BV116" s="268"/>
      <c r="BW116" s="268"/>
      <c r="BX116" s="268"/>
      <c r="BY116" s="267"/>
      <c r="BZ116" s="267"/>
      <c r="CA116" s="267"/>
      <c r="CB116" s="267"/>
      <c r="CC116" s="268"/>
    </row>
    <row r="117" customFormat="false" ht="15" hidden="false" customHeight="true" outlineLevel="0" collapsed="false">
      <c r="A117" s="219" t="s">
        <v>842</v>
      </c>
      <c r="B117" s="716"/>
      <c r="C117" s="716"/>
      <c r="D117" s="716"/>
      <c r="E117" s="716"/>
      <c r="F117" s="716"/>
      <c r="G117" s="716"/>
      <c r="H117" s="716"/>
      <c r="I117" s="716"/>
      <c r="J117" s="716"/>
      <c r="K117" s="716"/>
      <c r="L117" s="716"/>
      <c r="M117" s="716"/>
      <c r="N117" s="716"/>
      <c r="O117" s="716"/>
      <c r="P117" s="716"/>
      <c r="Q117" s="716"/>
      <c r="R117" s="716"/>
      <c r="S117" s="716"/>
      <c r="T117" s="716"/>
      <c r="U117" s="716"/>
      <c r="V117" s="716"/>
      <c r="W117" s="716"/>
      <c r="X117" s="716"/>
      <c r="Y117" s="716"/>
      <c r="Z117" s="716"/>
      <c r="AA117" s="716"/>
      <c r="AB117" s="716"/>
      <c r="AC117" s="716"/>
      <c r="AD117" s="716"/>
      <c r="AE117" s="716"/>
      <c r="AF117" s="716"/>
      <c r="AG117" s="716"/>
      <c r="AH117" s="716"/>
      <c r="AI117" s="716"/>
      <c r="AJ117" s="716"/>
      <c r="AK117" s="716"/>
      <c r="AL117" s="716"/>
      <c r="AM117" s="716"/>
      <c r="AN117" s="716"/>
      <c r="AO117" s="716"/>
      <c r="AP117" s="716"/>
      <c r="AQ117" s="716"/>
      <c r="AR117" s="716"/>
      <c r="AS117" s="716"/>
      <c r="AT117" s="716"/>
      <c r="AU117" s="716"/>
      <c r="AV117" s="716"/>
      <c r="AW117" s="716"/>
      <c r="AX117" s="716"/>
      <c r="AY117" s="716"/>
      <c r="AZ117" s="716"/>
      <c r="BA117" s="716"/>
      <c r="BB117" s="716"/>
      <c r="BC117" s="716"/>
      <c r="BD117" s="716"/>
      <c r="BE117" s="716"/>
      <c r="BF117" s="716"/>
      <c r="BG117" s="716"/>
      <c r="BH117" s="716"/>
      <c r="BI117" s="716"/>
      <c r="BJ117" s="716"/>
      <c r="BK117" s="716"/>
      <c r="BL117" s="716"/>
      <c r="BM117" s="716"/>
      <c r="BN117" s="716"/>
      <c r="BO117" s="717"/>
      <c r="BP117" s="716"/>
      <c r="BQ117" s="716"/>
      <c r="BR117" s="716"/>
      <c r="BS117" s="716"/>
      <c r="BT117" s="716"/>
      <c r="BU117" s="716"/>
      <c r="BV117" s="716"/>
      <c r="BW117" s="716"/>
      <c r="BX117" s="716"/>
      <c r="BY117" s="716"/>
      <c r="BZ117" s="716"/>
      <c r="CA117" s="716"/>
      <c r="CB117" s="716"/>
      <c r="CC117" s="48"/>
    </row>
    <row r="118" s="523" customFormat="true" ht="15" hidden="false" customHeight="true" outlineLevel="0" collapsed="false">
      <c r="A118" s="517" t="str">
        <f aca="false">"P/E - "&amp;SP.ValuationToggle</f>
        <v>P/E - EoP</v>
      </c>
      <c r="B118" s="518"/>
      <c r="C118" s="519" t="n">
        <f aca="false">INDEX(SP_CS_StockPrice,0,COLUMN())/INDEX(SP_NGF_EPS,0,COLUMN())</f>
        <v>-89.1569452909722</v>
      </c>
      <c r="D118" s="519" t="n">
        <f aca="false">INDEX(SP_CS_StockPrice,0,COLUMN())/INDEX(SP_NGF_EPS,0,COLUMN())</f>
        <v>16.1825345162494</v>
      </c>
      <c r="E118" s="519" t="n">
        <f aca="false">INDEX(SP_CS_StockPrice,0,COLUMN())/INDEX(SP_NGF_EPS,0,COLUMN())</f>
        <v>12.3353395574692</v>
      </c>
      <c r="F118" s="519" t="n">
        <f aca="false">INDEX(SP_CS_StockPrice,0,COLUMN())/INDEX(SP_NGF_EPS,0,COLUMN())</f>
        <v>17.8364644740194</v>
      </c>
      <c r="G118" s="519" t="n">
        <f aca="false">INDEX(SP_CS_StockPrice,0,COLUMN())/INDEX(SP_NGF_EPS,0,COLUMN())</f>
        <v>28.9948564535348</v>
      </c>
      <c r="H118" s="520"/>
      <c r="I118" s="520"/>
      <c r="J118" s="520"/>
      <c r="K118" s="520"/>
      <c r="L118" s="519" t="n">
        <f aca="false">INDEX(SP_CS_StockPrice,0,COLUMN())/INDEX(SP_NGF_EPS,0,COLUMN())</f>
        <v>32.6359909914427</v>
      </c>
      <c r="M118" s="520"/>
      <c r="N118" s="520"/>
      <c r="O118" s="520"/>
      <c r="P118" s="520"/>
      <c r="Q118" s="519" t="n">
        <f aca="false">INDEX(SP_CS_StockPrice,0,COLUMN())/INDEX(SP_NGF_EPS,0,COLUMN())</f>
        <v>26.2267271157043</v>
      </c>
      <c r="R118" s="520"/>
      <c r="S118" s="520"/>
      <c r="T118" s="520"/>
      <c r="U118" s="520"/>
      <c r="V118" s="519" t="n">
        <f aca="false">INDEX(SP_CS_StockPrice,0,COLUMN())/INDEX(SP_NGF_EPS,0,COLUMN())</f>
        <v>30.9900163054555</v>
      </c>
      <c r="W118" s="517"/>
      <c r="X118" s="517"/>
      <c r="Y118" s="517"/>
      <c r="Z118" s="517"/>
      <c r="AA118" s="519" t="n">
        <f aca="false">INDEX(SP_CS_StockPrice,0,COLUMN())/INDEX(SP_NGF_EPS,0,COLUMN())</f>
        <v>29.5916450318622</v>
      </c>
      <c r="AB118" s="517"/>
      <c r="AC118" s="517"/>
      <c r="AD118" s="517"/>
      <c r="AE118" s="517"/>
      <c r="AF118" s="519" t="n">
        <f aca="false">INDEX(SP_CS_StockPrice,0,COLUMN())/INDEX(SP_NGF_EPS,0,COLUMN())</f>
        <v>22.4783022071307</v>
      </c>
      <c r="AG118" s="517"/>
      <c r="AH118" s="517"/>
      <c r="AI118" s="517"/>
      <c r="AJ118" s="517"/>
      <c r="AK118" s="519" t="n">
        <f aca="false">INDEX(SP_CS_StockPrice,0,COLUMN())/INDEX(SP_NGF_EPS,0,COLUMN())</f>
        <v>42.7568722755854</v>
      </c>
      <c r="AL118" s="517"/>
      <c r="AM118" s="517"/>
      <c r="AN118" s="517"/>
      <c r="AO118" s="517"/>
      <c r="AP118" s="519" t="n">
        <f aca="false">INDEX(SP_CS_StockPrice,0,COLUMN())/INDEX(SP_NGF_EPS,0,COLUMN())</f>
        <v>46.9964684694825</v>
      </c>
      <c r="AQ118" s="517"/>
      <c r="AR118" s="517"/>
      <c r="AS118" s="517"/>
      <c r="AT118" s="517"/>
      <c r="AU118" s="519" t="n">
        <f aca="false">INDEX(SP_CS_StockPrice,0,COLUMN())/INDEX(SP_NGF_EPS,0,COLUMN())</f>
        <v>49.5560511286375</v>
      </c>
      <c r="AV118" s="517"/>
      <c r="AW118" s="517"/>
      <c r="AX118" s="517"/>
      <c r="AY118" s="517"/>
      <c r="AZ118" s="519" t="n">
        <f aca="false">INDEX(SP_CS_StockPrice,0,COLUMN())/INDEX(SP_NGF_EPS,0,COLUMN())</f>
        <v>35.6606770740727</v>
      </c>
      <c r="BA118" s="517"/>
      <c r="BB118" s="517"/>
      <c r="BC118" s="517"/>
      <c r="BD118" s="517"/>
      <c r="BE118" s="519" t="n">
        <f aca="false">INDEX(SP_CS_StockPrice,0,COLUMN())/INDEX(SP_NGF_EPS,0,COLUMN())</f>
        <v>34.2719696389846</v>
      </c>
      <c r="BF118" s="517"/>
      <c r="BG118" s="517"/>
      <c r="BH118" s="517"/>
      <c r="BI118" s="517"/>
      <c r="BJ118" s="519" t="n">
        <f aca="false">INDEX(SP_CS_StockPrice,0,COLUMN())/INDEX(SP_NGF_EPS,0,COLUMN())</f>
        <v>34.9278672935707</v>
      </c>
      <c r="BK118" s="517"/>
      <c r="BL118" s="517"/>
      <c r="BM118" s="517"/>
      <c r="BN118" s="517"/>
      <c r="BO118" s="521" t="n">
        <f aca="false">INDEX(SP_CS_StockPrice,0,COLUMN())/INDEX(SP_NGF_EPS,0,COLUMN())</f>
        <v>37.1683726351281</v>
      </c>
      <c r="BP118" s="517"/>
      <c r="BQ118" s="517"/>
      <c r="BR118" s="517"/>
      <c r="BS118" s="517"/>
      <c r="BT118" s="519" t="n">
        <f aca="false">INDEX(SP_CS_StockPrice,0,COLUMN())/INDEX(SP_NGF_EPS,0,COLUMN())</f>
        <v>42.9306944024206</v>
      </c>
      <c r="BU118" s="517"/>
      <c r="BV118" s="517"/>
      <c r="BW118" s="517"/>
      <c r="BX118" s="517"/>
      <c r="BY118" s="519" t="n">
        <f aca="false">INDEX(SP_CS_StockPrice,0,COLUMN())/INDEX(SP_NGF_EPS,0,COLUMN())</f>
        <v>36.8991114298793</v>
      </c>
      <c r="BZ118" s="519" t="n">
        <f aca="false">INDEX(SP_CS_StockPrice,0,COLUMN())/INDEX(SP_NGF_EPS,0,COLUMN())</f>
        <v>30.5952230120502</v>
      </c>
      <c r="CA118" s="519" t="n">
        <f aca="false">INDEX(SP_CS_StockPrice,0,COLUMN())/INDEX(SP_NGF_EPS,0,COLUMN())</f>
        <v>28.6881638589611</v>
      </c>
      <c r="CB118" s="519" t="n">
        <f aca="false">INDEX(SP_CS_StockPrice,0,COLUMN())/INDEX(SP_NGF_EPS,0,COLUMN())</f>
        <v>26.8936746119654</v>
      </c>
      <c r="CC118" s="517"/>
    </row>
    <row r="119" s="523" customFormat="true" ht="15" hidden="false" customHeight="true" outlineLevel="0" collapsed="false">
      <c r="A119" s="517" t="str">
        <f aca="false">"EV/Sales - "&amp;SP.ValuationToggle</f>
        <v>EV/Sales - EoP</v>
      </c>
      <c r="B119" s="518"/>
      <c r="C119" s="519" t="n">
        <f aca="false">INDEX(SP_CS_EV,0,COLUMN())/INDEX(SP_GF_Rev,0,COLUMN())</f>
        <v>8.23936374131253</v>
      </c>
      <c r="D119" s="519" t="n">
        <f aca="false">INDEX(SP_CS_EV,0,COLUMN())/INDEX(SP_GF_Rev,0,COLUMN())</f>
        <v>3.40518639855378</v>
      </c>
      <c r="E119" s="519" t="n">
        <f aca="false">INDEX(SP_CS_EV,0,COLUMN())/INDEX(SP_GF_Rev,0,COLUMN())</f>
        <v>2.75986498010692</v>
      </c>
      <c r="F119" s="519" t="n">
        <f aca="false">INDEX(SP_CS_EV,0,COLUMN())/INDEX(SP_GF_Rev,0,COLUMN())</f>
        <v>3.74028902920604</v>
      </c>
      <c r="G119" s="519" t="n">
        <f aca="false">INDEX(SP_CS_EV,0,COLUMN())/INDEX(SP_GF_Rev,0,COLUMN())</f>
        <v>5.38780654026461</v>
      </c>
      <c r="H119" s="520"/>
      <c r="I119" s="520"/>
      <c r="J119" s="520"/>
      <c r="K119" s="520"/>
      <c r="L119" s="519" t="n">
        <f aca="false">INDEX(SP_CS_EV,0,COLUMN())/INDEX(SP_GF_Rev,0,COLUMN())</f>
        <v>6.33235591147072</v>
      </c>
      <c r="M119" s="520"/>
      <c r="N119" s="520"/>
      <c r="O119" s="520"/>
      <c r="P119" s="520"/>
      <c r="Q119" s="519" t="n">
        <f aca="false">INDEX(SP_CS_EV,0,COLUMN())/INDEX(SP_GF_Rev,0,COLUMN())</f>
        <v>5.38834538887533</v>
      </c>
      <c r="R119" s="520"/>
      <c r="S119" s="520"/>
      <c r="T119" s="520"/>
      <c r="U119" s="520"/>
      <c r="V119" s="519" t="n">
        <f aca="false">INDEX(SP_CS_EV,0,COLUMN())/INDEX(SP_GF_Rev,0,COLUMN())</f>
        <v>6.67271993183022</v>
      </c>
      <c r="W119" s="517"/>
      <c r="X119" s="517"/>
      <c r="Y119" s="517"/>
      <c r="Z119" s="517"/>
      <c r="AA119" s="519" t="n">
        <f aca="false">INDEX(SP_CS_EV,0,COLUMN())/INDEX(SP_GF_Rev,0,COLUMN())</f>
        <v>6.85886071027749</v>
      </c>
      <c r="AB119" s="517"/>
      <c r="AC119" s="517"/>
      <c r="AD119" s="517"/>
      <c r="AE119" s="517"/>
      <c r="AF119" s="519" t="n">
        <f aca="false">INDEX(SP_CS_EV,0,COLUMN())/INDEX(SP_GF_Rev,0,COLUMN())</f>
        <v>5.18217651096309</v>
      </c>
      <c r="AG119" s="517"/>
      <c r="AH119" s="517"/>
      <c r="AI119" s="517"/>
      <c r="AJ119" s="517"/>
      <c r="AK119" s="519" t="n">
        <f aca="false">INDEX(SP_CS_EV,0,COLUMN())/INDEX(SP_GF_Rev,0,COLUMN())</f>
        <v>9.22346316475465</v>
      </c>
      <c r="AL119" s="517"/>
      <c r="AM119" s="517"/>
      <c r="AN119" s="517"/>
      <c r="AO119" s="517"/>
      <c r="AP119" s="519" t="n">
        <f aca="false">INDEX(SP_CS_EV,0,COLUMN())/INDEX(SP_GF_Rev,0,COLUMN())</f>
        <v>11.70841596373</v>
      </c>
      <c r="AQ119" s="517"/>
      <c r="AR119" s="517"/>
      <c r="AS119" s="517"/>
      <c r="AT119" s="517"/>
      <c r="AU119" s="519" t="n">
        <f aca="false">INDEX(SP_CS_EV,0,COLUMN())/INDEX(SP_GF_Rev,0,COLUMN())</f>
        <v>15.2328873179947</v>
      </c>
      <c r="AV119" s="517"/>
      <c r="AW119" s="517"/>
      <c r="AX119" s="517"/>
      <c r="AY119" s="517"/>
      <c r="AZ119" s="519" t="n">
        <f aca="false">INDEX(SP_CS_EV,0,COLUMN())/INDEX(SP_GF_Rev,0,COLUMN())</f>
        <v>9.24885399897041</v>
      </c>
      <c r="BA119" s="517"/>
      <c r="BB119" s="517"/>
      <c r="BC119" s="517"/>
      <c r="BD119" s="517"/>
      <c r="BE119" s="519" t="n">
        <f aca="false">INDEX(SP_CS_EV,0,COLUMN())/INDEX(SP_GF_Rev,0,COLUMN())</f>
        <v>9.65545175556362</v>
      </c>
      <c r="BF119" s="517"/>
      <c r="BG119" s="517"/>
      <c r="BH119" s="517"/>
      <c r="BI119" s="517"/>
      <c r="BJ119" s="519" t="n">
        <f aca="false">INDEX(SP_CS_EV,0,COLUMN())/INDEX(SP_GF_Rev,0,COLUMN())</f>
        <v>9.07179381691192</v>
      </c>
      <c r="BK119" s="517"/>
      <c r="BL119" s="517"/>
      <c r="BM119" s="517"/>
      <c r="BN119" s="517"/>
      <c r="BO119" s="521" t="n">
        <f aca="false">INDEX(SP_CS_EV,0,COLUMN())/INDEX(SP_GF_Rev,0,COLUMN())</f>
        <v>10.6741247669688</v>
      </c>
      <c r="BP119" s="517"/>
      <c r="BQ119" s="517"/>
      <c r="BR119" s="517"/>
      <c r="BS119" s="517"/>
      <c r="BT119" s="519" t="n">
        <f aca="false">INDEX(SP_CS_EV,0,COLUMN())/INDEX(SP_GF_Rev,0,COLUMN())</f>
        <v>12.3410161661765</v>
      </c>
      <c r="BU119" s="517"/>
      <c r="BV119" s="517"/>
      <c r="BW119" s="517"/>
      <c r="BX119" s="517"/>
      <c r="BY119" s="519" t="n">
        <f aca="false">INDEX(SP_CS_EV,0,COLUMN())/INDEX(SP_GF_Rev,0,COLUMN())</f>
        <v>11.5347078625334</v>
      </c>
      <c r="BZ119" s="519" t="n">
        <f aca="false">INDEX(SP_CS_EV,0,COLUMN())/INDEX(SP_GF_Rev,0,COLUMN())</f>
        <v>9.27165610244006</v>
      </c>
      <c r="CA119" s="519" t="n">
        <f aca="false">INDEX(SP_CS_EV,0,COLUMN())/INDEX(SP_GF_Rev,0,COLUMN())</f>
        <v>8.54332587983628</v>
      </c>
      <c r="CB119" s="519" t="n">
        <f aca="false">INDEX(SP_CS_EV,0,COLUMN())/INDEX(SP_GF_Rev,0,COLUMN())</f>
        <v>7.84016524361678</v>
      </c>
      <c r="CC119" s="517"/>
    </row>
    <row r="120" s="523" customFormat="true" ht="15" hidden="false" customHeight="true" outlineLevel="0" collapsed="false">
      <c r="A120" s="517" t="str">
        <f aca="false">"EV/EBITDA - "&amp;SP.ValuationToggle</f>
        <v>EV/EBITDA - EoP</v>
      </c>
      <c r="B120" s="518"/>
      <c r="C120" s="519" t="n">
        <f aca="false">INDEX(SP_CS_EV,0,COLUMN())/INDEX(SP_NGF_EBITDA,0,COLUMN())</f>
        <v>-1623.52390259878</v>
      </c>
      <c r="D120" s="519" t="n">
        <f aca="false">INDEX(SP_CS_EV,0,COLUMN())/INDEX(SP_NGF_EBITDA,0,COLUMN())</f>
        <v>10.8540551210985</v>
      </c>
      <c r="E120" s="519" t="n">
        <f aca="false">INDEX(SP_CS_EV,0,COLUMN())/INDEX(SP_NGF_EBITDA,0,COLUMN())</f>
        <v>8.57478985010621</v>
      </c>
      <c r="F120" s="519" t="n">
        <f aca="false">INDEX(SP_CS_EV,0,COLUMN())/INDEX(SP_NGF_EBITDA,0,COLUMN())</f>
        <v>12.9926432100722</v>
      </c>
      <c r="G120" s="519" t="n">
        <f aca="false">INDEX(SP_CS_EV,0,COLUMN())/INDEX(SP_NGF_EBITDA,0,COLUMN())</f>
        <v>21.2632076652366</v>
      </c>
      <c r="H120" s="520"/>
      <c r="I120" s="520"/>
      <c r="J120" s="520"/>
      <c r="K120" s="520"/>
      <c r="L120" s="519" t="n">
        <f aca="false">INDEX(SP_CS_EV,0,COLUMN())/INDEX(SP_NGF_EBITDA,0,COLUMN())</f>
        <v>23.1737676714582</v>
      </c>
      <c r="M120" s="520"/>
      <c r="N120" s="520"/>
      <c r="O120" s="520"/>
      <c r="P120" s="520"/>
      <c r="Q120" s="519" t="n">
        <f aca="false">INDEX(SP_CS_EV,0,COLUMN())/INDEX(SP_NGF_EBITDA,0,COLUMN())</f>
        <v>17.6350747359336</v>
      </c>
      <c r="R120" s="520"/>
      <c r="S120" s="520"/>
      <c r="T120" s="520"/>
      <c r="U120" s="520"/>
      <c r="V120" s="519" t="n">
        <f aca="false">INDEX(SP_CS_EV,0,COLUMN())/INDEX(SP_NGF_EBITDA,0,COLUMN())</f>
        <v>21.9850639542259</v>
      </c>
      <c r="W120" s="517"/>
      <c r="X120" s="517"/>
      <c r="Y120" s="517"/>
      <c r="Z120" s="517"/>
      <c r="AA120" s="519" t="n">
        <f aca="false">INDEX(SP_CS_EV,0,COLUMN())/INDEX(SP_NGF_EBITDA,0,COLUMN())</f>
        <v>20.9289113651072</v>
      </c>
      <c r="AB120" s="517"/>
      <c r="AC120" s="517"/>
      <c r="AD120" s="517"/>
      <c r="AE120" s="517"/>
      <c r="AF120" s="519" t="n">
        <f aca="false">INDEX(SP_CS_EV,0,COLUMN())/INDEX(SP_NGF_EBITDA,0,COLUMN())</f>
        <v>16.5139154226422</v>
      </c>
      <c r="AG120" s="517"/>
      <c r="AH120" s="517"/>
      <c r="AI120" s="517"/>
      <c r="AJ120" s="517"/>
      <c r="AK120" s="519" t="n">
        <f aca="false">INDEX(SP_CS_EV,0,COLUMN())/INDEX(SP_NGF_EBITDA,0,COLUMN())</f>
        <v>32.8981968699719</v>
      </c>
      <c r="AL120" s="517"/>
      <c r="AM120" s="517"/>
      <c r="AN120" s="517"/>
      <c r="AO120" s="517"/>
      <c r="AP120" s="519" t="n">
        <f aca="false">INDEX(SP_CS_EV,0,COLUMN())/INDEX(SP_NGF_EBITDA,0,COLUMN())</f>
        <v>35.6090014683869</v>
      </c>
      <c r="AQ120" s="517"/>
      <c r="AR120" s="517"/>
      <c r="AS120" s="517"/>
      <c r="AT120" s="517"/>
      <c r="AU120" s="519" t="n">
        <f aca="false">INDEX(SP_CS_EV,0,COLUMN())/INDEX(SP_NGF_EBITDA,0,COLUMN())</f>
        <v>38.6312465422833</v>
      </c>
      <c r="AV120" s="517"/>
      <c r="AW120" s="517"/>
      <c r="AX120" s="517"/>
      <c r="AY120" s="517"/>
      <c r="AZ120" s="519" t="n">
        <f aca="false">INDEX(SP_CS_EV,0,COLUMN())/INDEX(SP_NGF_EBITDA,0,COLUMN())</f>
        <v>27.3765147433037</v>
      </c>
      <c r="BA120" s="517"/>
      <c r="BB120" s="517"/>
      <c r="BC120" s="517"/>
      <c r="BD120" s="517"/>
      <c r="BE120" s="519" t="n">
        <f aca="false">INDEX(SP_CS_EV,0,COLUMN())/INDEX(SP_NGF_EBITDA,0,COLUMN())</f>
        <v>26.831950226956</v>
      </c>
      <c r="BF120" s="517"/>
      <c r="BG120" s="517"/>
      <c r="BH120" s="517"/>
      <c r="BI120" s="517"/>
      <c r="BJ120" s="519" t="n">
        <f aca="false">INDEX(SP_CS_EV,0,COLUMN())/INDEX(SP_NGF_EBITDA,0,COLUMN())</f>
        <v>25.3510254768732</v>
      </c>
      <c r="BK120" s="517"/>
      <c r="BL120" s="517"/>
      <c r="BM120" s="517"/>
      <c r="BN120" s="517"/>
      <c r="BO120" s="521" t="n">
        <f aca="false">INDEX(SP_CS_EV,0,COLUMN())/INDEX(SP_NGF_EBITDA,0,COLUMN())</f>
        <v>27.8296861831184</v>
      </c>
      <c r="BP120" s="517"/>
      <c r="BQ120" s="517"/>
      <c r="BR120" s="517"/>
      <c r="BS120" s="517"/>
      <c r="BT120" s="519" t="n">
        <f aca="false">INDEX(SP_CS_EV,0,COLUMN())/INDEX(SP_NGF_EBITDA,0,COLUMN())</f>
        <v>31.1965111652191</v>
      </c>
      <c r="BU120" s="517"/>
      <c r="BV120" s="517"/>
      <c r="BW120" s="517"/>
      <c r="BX120" s="517"/>
      <c r="BY120" s="519" t="n">
        <f aca="false">INDEX(SP_CS_EV,0,COLUMN())/INDEX(SP_NGF_EBITDA,0,COLUMN())</f>
        <v>27.3143893202442</v>
      </c>
      <c r="BZ120" s="519" t="n">
        <f aca="false">INDEX(SP_CS_EV,0,COLUMN())/INDEX(SP_NGF_EBITDA,0,COLUMN())</f>
        <v>21.94334697894</v>
      </c>
      <c r="CA120" s="519" t="n">
        <f aca="false">INDEX(SP_CS_EV,0,COLUMN())/INDEX(SP_NGF_EBITDA,0,COLUMN())</f>
        <v>20.04370102524</v>
      </c>
      <c r="CB120" s="519" t="n">
        <f aca="false">INDEX(SP_CS_EV,0,COLUMN())/INDEX(SP_NGF_EBITDA,0,COLUMN())</f>
        <v>18.2215127261682</v>
      </c>
      <c r="CC120" s="517"/>
    </row>
    <row r="121" s="523" customFormat="true" ht="15" hidden="false" customHeight="true" outlineLevel="0" collapsed="false">
      <c r="A121" s="517" t="str">
        <f aca="false">"P/CF - "&amp;SP.ValuationToggle</f>
        <v>P/CF - EoP</v>
      </c>
      <c r="B121" s="518"/>
      <c r="C121" s="519" t="n">
        <f aca="false">INDEX(SP_CS_StockPrice,0,COLUMN())/INDEX(SP_CFA_CFO_PerShare,0,COLUMN())</f>
        <v>135.653486783878</v>
      </c>
      <c r="D121" s="519" t="n">
        <f aca="false">INDEX(SP_CS_StockPrice,0,COLUMN())/INDEX(SP_CFA_CFO_PerShare,0,COLUMN())</f>
        <v>17.590205414398</v>
      </c>
      <c r="E121" s="519" t="n">
        <f aca="false">INDEX(SP_CS_StockPrice,0,COLUMN())/INDEX(SP_CFA_CFO_PerShare,0,COLUMN())</f>
        <v>8.73990539075028</v>
      </c>
      <c r="F121" s="519" t="n">
        <f aca="false">INDEX(SP_CS_StockPrice,0,COLUMN())/INDEX(SP_CFA_CFO_PerShare,0,COLUMN())</f>
        <v>29.0644833384981</v>
      </c>
      <c r="G121" s="519" t="n">
        <f aca="false">INDEX(SP_CS_StockPrice,0,COLUMN())/INDEX(SP_CFA_CFO_PerShare,0,COLUMN())</f>
        <v>27.9308868468458</v>
      </c>
      <c r="H121" s="520"/>
      <c r="I121" s="520"/>
      <c r="J121" s="520"/>
      <c r="K121" s="520"/>
      <c r="L121" s="519" t="n">
        <f aca="false">INDEX(SP_CS_StockPrice,0,COLUMN())/INDEX(SP_CFA_CFO_PerShare,0,COLUMN())</f>
        <v>38.093351248432</v>
      </c>
      <c r="M121" s="520"/>
      <c r="N121" s="520"/>
      <c r="O121" s="520"/>
      <c r="P121" s="520"/>
      <c r="Q121" s="519" t="n">
        <f aca="false">INDEX(SP_CS_StockPrice,0,COLUMN())/INDEX(SP_CFA_CFO_PerShare,0,COLUMN())</f>
        <v>17.9607983688623</v>
      </c>
      <c r="R121" s="520"/>
      <c r="S121" s="520"/>
      <c r="T121" s="520"/>
      <c r="U121" s="520"/>
      <c r="V121" s="519" t="n">
        <f aca="false">INDEX(SP_CS_StockPrice,0,COLUMN())/INDEX(SP_CFA_CFO_PerShare,0,COLUMN())</f>
        <v>27.3811183144246</v>
      </c>
      <c r="W121" s="517"/>
      <c r="X121" s="517"/>
      <c r="Y121" s="517"/>
      <c r="Z121" s="517"/>
      <c r="AA121" s="519" t="n">
        <f aca="false">INDEX(SP_CS_StockPrice,0,COLUMN())/INDEX(SP_CFA_CFO_PerShare,0,COLUMN())</f>
        <v>34.8548315356388</v>
      </c>
      <c r="AB121" s="517"/>
      <c r="AC121" s="517"/>
      <c r="AD121" s="517"/>
      <c r="AE121" s="517"/>
      <c r="AF121" s="519" t="n">
        <f aca="false">INDEX(SP_CS_StockPrice,0,COLUMN())/INDEX(SP_CFA_CFO_PerShare,0,COLUMN())</f>
        <v>18.9588205812478</v>
      </c>
      <c r="AG121" s="517"/>
      <c r="AH121" s="517"/>
      <c r="AI121" s="517"/>
      <c r="AJ121" s="517"/>
      <c r="AK121" s="519" t="n">
        <f aca="false">INDEX(SP_CS_StockPrice,0,COLUMN())/INDEX(SP_CFA_CFO_PerShare,0,COLUMN())</f>
        <v>33.8293981198877</v>
      </c>
      <c r="AL121" s="517"/>
      <c r="AM121" s="517"/>
      <c r="AN121" s="517"/>
      <c r="AO121" s="517"/>
      <c r="AP121" s="519" t="n">
        <f aca="false">INDEX(SP_CS_StockPrice,0,COLUMN())/INDEX(SP_CFA_CFO_PerShare,0,COLUMN())</f>
        <v>36.0902735759357</v>
      </c>
      <c r="AQ121" s="517"/>
      <c r="AR121" s="517"/>
      <c r="AS121" s="517"/>
      <c r="AT121" s="517"/>
      <c r="AU121" s="519" t="n">
        <f aca="false">INDEX(SP_CS_StockPrice,0,COLUMN())/INDEX(SP_CFA_CFO_PerShare,0,COLUMN())</f>
        <v>26.8812037839532</v>
      </c>
      <c r="AV121" s="517"/>
      <c r="AW121" s="517"/>
      <c r="AX121" s="517"/>
      <c r="AY121" s="517"/>
      <c r="AZ121" s="519" t="n">
        <f aca="false">INDEX(SP_CS_StockPrice,0,COLUMN())/INDEX(SP_CFA_CFO_PerShare,0,COLUMN())</f>
        <v>23.6323207805062</v>
      </c>
      <c r="BA121" s="517"/>
      <c r="BB121" s="517"/>
      <c r="BC121" s="517"/>
      <c r="BD121" s="517"/>
      <c r="BE121" s="519" t="n">
        <f aca="false">INDEX(SP_CS_StockPrice,0,COLUMN())/INDEX(SP_CFA_CFO_PerShare,0,COLUMN())</f>
        <v>49.3548094940662</v>
      </c>
      <c r="BF121" s="517"/>
      <c r="BG121" s="517"/>
      <c r="BH121" s="517"/>
      <c r="BI121" s="517"/>
      <c r="BJ121" s="519" t="n">
        <f aca="false">INDEX(SP_CS_StockPrice,0,COLUMN())/INDEX(SP_CFA_CFO_PerShare,0,COLUMN())</f>
        <v>23.6839605237234</v>
      </c>
      <c r="BK121" s="517"/>
      <c r="BL121" s="517"/>
      <c r="BM121" s="517"/>
      <c r="BN121" s="517"/>
      <c r="BO121" s="521" t="n">
        <f aca="false">INDEX(SP_CS_StockPrice,0,COLUMN())/INDEX(SP_CFA_CFO_PerShare,0,COLUMN())</f>
        <v>28.2154884069992</v>
      </c>
      <c r="BP121" s="517"/>
      <c r="BQ121" s="517"/>
      <c r="BR121" s="517"/>
      <c r="BS121" s="517"/>
      <c r="BT121" s="519" t="n">
        <f aca="false">INDEX(SP_CS_StockPrice,0,COLUMN())/INDEX(SP_CFA_CFO_PerShare,0,COLUMN())</f>
        <v>37.6868263041828</v>
      </c>
      <c r="BU121" s="517"/>
      <c r="BV121" s="517"/>
      <c r="BW121" s="517"/>
      <c r="BX121" s="517"/>
      <c r="BY121" s="519" t="n">
        <f aca="false">INDEX(SP_CS_StockPrice,0,COLUMN())/INDEX(SP_CFA_CFO_PerShare,0,COLUMN())</f>
        <v>34.9093186633057</v>
      </c>
      <c r="BZ121" s="519" t="n">
        <f aca="false">INDEX(SP_CS_StockPrice,0,COLUMN())/INDEX(SP_CFA_CFO_PerShare,0,COLUMN())</f>
        <v>27.6790112418855</v>
      </c>
      <c r="CA121" s="519" t="n">
        <f aca="false">INDEX(SP_CS_StockPrice,0,COLUMN())/INDEX(SP_CFA_CFO_PerShare,0,COLUMN())</f>
        <v>27.7771838421453</v>
      </c>
      <c r="CB121" s="519" t="n">
        <f aca="false">INDEX(SP_CS_StockPrice,0,COLUMN())/INDEX(SP_CFA_CFO_PerShare,0,COLUMN())</f>
        <v>26.2141508951914</v>
      </c>
      <c r="CC121" s="517"/>
    </row>
    <row r="122" s="237" customFormat="true" ht="15" hidden="false" customHeight="true" outlineLevel="0" collapsed="false">
      <c r="A122" s="231" t="str">
        <f aca="false">"FCF Yield % to "&amp;SP.ValuationToggle&amp;" Market Cap"</f>
        <v>FCF Yield % to EoP Market Cap</v>
      </c>
      <c r="B122" s="625"/>
      <c r="C122" s="233" t="n">
        <f aca="false">IFERROR(INDEX(SP_CFA_FCF_PreDiv,0,COLUMN())/INDEX(SP_CS_MarketCap,0,COLUMN()),"N/A")</f>
        <v>-0.000427421348635193</v>
      </c>
      <c r="D122" s="233" t="n">
        <f aca="false">IFERROR(INDEX(SP_CFA_FCF_PreDiv,0,COLUMN())/INDEX(SP_CS_MarketCap,0,COLUMN()),"N/A")</f>
        <v>0.0489037371180369</v>
      </c>
      <c r="E122" s="233" t="n">
        <f aca="false">IFERROR(INDEX(SP_CFA_FCF_PreDiv,0,COLUMN())/INDEX(SP_CS_MarketCap,0,COLUMN()),"N/A")</f>
        <v>0.100590696400314</v>
      </c>
      <c r="F122" s="233" t="n">
        <f aca="false">IFERROR(INDEX(SP_CFA_FCF_PreDiv,0,COLUMN())/INDEX(SP_CS_MarketCap,0,COLUMN()),"N/A")</f>
        <v>0.0266834128607487</v>
      </c>
      <c r="G122" s="233" t="n">
        <f aca="false">IFERROR(INDEX(SP_CFA_FCF_PreDiv,0,COLUMN())/INDEX(SP_CS_MarketCap,0,COLUMN()),"N/A")</f>
        <v>0.0277966118786536</v>
      </c>
      <c r="H122" s="234"/>
      <c r="I122" s="234"/>
      <c r="J122" s="234"/>
      <c r="K122" s="234"/>
      <c r="L122" s="233" t="n">
        <f aca="false">IFERROR(INDEX(SP_CFA_FCF_PreDiv,0,COLUMN())/INDEX(SP_CS_MarketCap,0,COLUMN()),"N/A")</f>
        <v>0.0171639387651301</v>
      </c>
      <c r="M122" s="234"/>
      <c r="N122" s="234"/>
      <c r="O122" s="234"/>
      <c r="P122" s="234"/>
      <c r="Q122" s="233" t="n">
        <f aca="false">IFERROR(INDEX(SP_CFA_FCF_PreDiv,0,COLUMN())/INDEX(SP_CS_MarketCap,0,COLUMN()),"N/A")</f>
        <v>0.0457083133305545</v>
      </c>
      <c r="R122" s="234"/>
      <c r="S122" s="234"/>
      <c r="T122" s="234"/>
      <c r="U122" s="234"/>
      <c r="V122" s="233" t="n">
        <f aca="false">IFERROR(INDEX(SP_CFA_FCF_PreDiv,0,COLUMN())/INDEX(SP_CS_MarketCap,0,COLUMN()),"N/A")</f>
        <v>0.0291076731201012</v>
      </c>
      <c r="W122" s="234"/>
      <c r="X122" s="234"/>
      <c r="Y122" s="234"/>
      <c r="Z122" s="234"/>
      <c r="AA122" s="233" t="n">
        <f aca="false">IFERROR(INDEX(SP_CFA_FCF_PreDiv,0,COLUMN())/INDEX(SP_CS_MarketCap,0,COLUMN()),"N/A")</f>
        <v>0.0231032386086877</v>
      </c>
      <c r="AB122" s="234"/>
      <c r="AC122" s="234"/>
      <c r="AD122" s="234"/>
      <c r="AE122" s="234"/>
      <c r="AF122" s="233" t="n">
        <f aca="false">IFERROR(INDEX(SP_CFA_FCF_PreDiv,0,COLUMN())/INDEX(SP_CS_MarketCap,0,COLUMN()),"N/A")</f>
        <v>0.0426737703791287</v>
      </c>
      <c r="AG122" s="234"/>
      <c r="AH122" s="234"/>
      <c r="AI122" s="234"/>
      <c r="AJ122" s="234"/>
      <c r="AK122" s="233" t="n">
        <f aca="false">IFERROR(INDEX(SP_CFA_FCF_PreDiv,0,COLUMN())/INDEX(SP_CS_MarketCap,0,COLUMN()),"N/A")</f>
        <v>0.0216078413051013</v>
      </c>
      <c r="AL122" s="234"/>
      <c r="AM122" s="234"/>
      <c r="AN122" s="234"/>
      <c r="AO122" s="234"/>
      <c r="AP122" s="233" t="n">
        <f aca="false">IFERROR(INDEX(SP_CFA_FCF_PreDiv,0,COLUMN())/INDEX(SP_CS_MarketCap,0,COLUMN()),"N/A")</f>
        <v>0.0218036014443871</v>
      </c>
      <c r="AQ122" s="234"/>
      <c r="AR122" s="234"/>
      <c r="AS122" s="234"/>
      <c r="AT122" s="234"/>
      <c r="AU122" s="233" t="n">
        <f aca="false">IFERROR(INDEX(SP_CFA_FCF_PreDiv,0,COLUMN())/INDEX(SP_CS_MarketCap,0,COLUMN()),"N/A")</f>
        <v>0.0345735114328143</v>
      </c>
      <c r="AV122" s="234"/>
      <c r="AW122" s="234"/>
      <c r="AX122" s="234"/>
      <c r="AY122" s="234"/>
      <c r="AZ122" s="233" t="n">
        <f aca="false">IFERROR(INDEX(SP_CFA_FCF_PreDiv,0,COLUMN())/INDEX(SP_CS_MarketCap,0,COLUMN()),"N/A")</f>
        <v>0.0360274936426264</v>
      </c>
      <c r="BA122" s="234"/>
      <c r="BB122" s="234"/>
      <c r="BC122" s="234"/>
      <c r="BD122" s="234"/>
      <c r="BE122" s="233" t="n">
        <f aca="false">IFERROR(INDEX(SP_CFA_FCF_PreDiv,0,COLUMN())/INDEX(SP_CS_MarketCap,0,COLUMN()),"N/A")</f>
        <v>0.0120952842352575</v>
      </c>
      <c r="BF122" s="234"/>
      <c r="BG122" s="234"/>
      <c r="BH122" s="234"/>
      <c r="BI122" s="234"/>
      <c r="BJ122" s="233" t="n">
        <f aca="false">IFERROR(INDEX(SP_CFA_FCF_PreDiv,0,COLUMN())/INDEX(SP_CS_MarketCap,0,COLUMN()),"N/A")</f>
        <v>0.0343472782438429</v>
      </c>
      <c r="BK122" s="234"/>
      <c r="BL122" s="234"/>
      <c r="BM122" s="234"/>
      <c r="BN122" s="234"/>
      <c r="BO122" s="235" t="n">
        <f aca="false">IFERROR(INDEX(SP_CFA_FCF_PreDiv,0,COLUMN())/INDEX(SP_CS_MarketCap,0,COLUMN()),"N/A")</f>
        <v>0.0308665232034252</v>
      </c>
      <c r="BP122" s="234"/>
      <c r="BQ122" s="234"/>
      <c r="BR122" s="234"/>
      <c r="BS122" s="234"/>
      <c r="BT122" s="233" t="n">
        <f aca="false">INDEX(SP_CFA_FCF_PreDiv,0,COLUMN())/INDEX(SP_CS_MarketCap,0,COLUMN())</f>
        <v>0.0254265680520894</v>
      </c>
      <c r="BU122" s="234"/>
      <c r="BV122" s="234"/>
      <c r="BW122" s="234"/>
      <c r="BX122" s="234"/>
      <c r="BY122" s="233" t="n">
        <f aca="false">INDEX(SP_CFA_FCF_PreDiv,0,COLUMN())/INDEX(SP_CS_MarketCap,0,COLUMN())</f>
        <v>0.0275360514015562</v>
      </c>
      <c r="BZ122" s="233" t="n">
        <f aca="false">INDEX(SP_CFA_FCF_PreDiv,0,COLUMN())/INDEX(SP_CS_MarketCap,0,COLUMN())</f>
        <v>0.0348553236337779</v>
      </c>
      <c r="CA122" s="233" t="n">
        <f aca="false">INDEX(SP_CFA_FCF_PreDiv,0,COLUMN())/INDEX(SP_CS_MarketCap,0,COLUMN())</f>
        <v>0.0347281669047184</v>
      </c>
      <c r="CB122" s="233" t="n">
        <f aca="false">INDEX(SP_CFA_FCF_PreDiv,0,COLUMN())/INDEX(SP_CS_MarketCap,0,COLUMN())</f>
        <v>0.0368748091210045</v>
      </c>
      <c r="CC122" s="625"/>
    </row>
    <row r="123" s="237" customFormat="true" ht="15" hidden="false" customHeight="true" outlineLevel="0" collapsed="false">
      <c r="A123" s="231" t="str">
        <f aca="false">"FCF Yield % to "&amp;SP.ValuationToggle&amp;" Enterprise Value"</f>
        <v>FCF Yield % to EoP Enterprise Value</v>
      </c>
      <c r="B123" s="625"/>
      <c r="C123" s="233" t="n">
        <f aca="false">INDEX(SP_CFA_FCF_PreDiv,0,COLUMN())/INDEX(SP_CS_EV,0,COLUMN())</f>
        <v>-0.000438384919324223</v>
      </c>
      <c r="D123" s="233" t="n">
        <f aca="false">INDEX(SP_CFA_FCF_PreDiv,0,COLUMN())/INDEX(SP_CS_EV,0,COLUMN())</f>
        <v>0.0528534520165833</v>
      </c>
      <c r="E123" s="233" t="n">
        <f aca="false">INDEX(SP_CFA_FCF_PreDiv,0,COLUMN())/INDEX(SP_CS_EV,0,COLUMN())</f>
        <v>0.113460591198489</v>
      </c>
      <c r="F123" s="233" t="n">
        <f aca="false">INDEX(SP_CFA_FCF_PreDiv,0,COLUMN())/INDEX(SP_CS_EV,0,COLUMN())</f>
        <v>0.0296056197898885</v>
      </c>
      <c r="G123" s="233" t="n">
        <f aca="false">INDEX(SP_CFA_FCF_PreDiv,0,COLUMN())/INDEX(SP_CS_EV,0,COLUMN())</f>
        <v>0.0297008205237845</v>
      </c>
      <c r="H123" s="234"/>
      <c r="I123" s="234"/>
      <c r="J123" s="234"/>
      <c r="K123" s="234"/>
      <c r="L123" s="233" t="n">
        <f aca="false">INDEX(SP_CFA_FCF_PreDiv,0,COLUMN())/INDEX(SP_CS_EV,0,COLUMN())</f>
        <v>0.0179045803539651</v>
      </c>
      <c r="M123" s="234"/>
      <c r="N123" s="234"/>
      <c r="O123" s="234"/>
      <c r="P123" s="234"/>
      <c r="Q123" s="233" t="n">
        <f aca="false">INDEX(SP_CFA_FCF_PreDiv,0,COLUMN())/INDEX(SP_CS_EV,0,COLUMN())</f>
        <v>0.0487831413447756</v>
      </c>
      <c r="R123" s="234"/>
      <c r="S123" s="234"/>
      <c r="T123" s="234"/>
      <c r="U123" s="234"/>
      <c r="V123" s="233" t="n">
        <f aca="false">INDEX(SP_CFA_FCF_PreDiv,0,COLUMN())/INDEX(SP_CS_EV,0,COLUMN())</f>
        <v>0.0295810761653951</v>
      </c>
      <c r="W123" s="234"/>
      <c r="X123" s="234"/>
      <c r="Y123" s="234"/>
      <c r="Z123" s="234"/>
      <c r="AA123" s="233" t="n">
        <f aca="false">INDEX(SP_CFA_FCF_PreDiv,0,COLUMN())/INDEX(SP_CS_EV,0,COLUMN())</f>
        <v>0.0232010960154982</v>
      </c>
      <c r="AB123" s="234"/>
      <c r="AC123" s="234"/>
      <c r="AD123" s="234"/>
      <c r="AE123" s="234"/>
      <c r="AF123" s="233" t="n">
        <f aca="false">INDEX(SP_CFA_FCF_PreDiv,0,COLUMN())/INDEX(SP_CS_EV,0,COLUMN())</f>
        <v>0.0434321561488796</v>
      </c>
      <c r="AG123" s="234"/>
      <c r="AH123" s="234"/>
      <c r="AI123" s="234"/>
      <c r="AJ123" s="234"/>
      <c r="AK123" s="233" t="n">
        <f aca="false">INDEX(SP_CFA_FCF_PreDiv,0,COLUMN())/INDEX(SP_CS_EV,0,COLUMN())</f>
        <v>0.0219269009007136</v>
      </c>
      <c r="AL123" s="234"/>
      <c r="AM123" s="234"/>
      <c r="AN123" s="234"/>
      <c r="AO123" s="234"/>
      <c r="AP123" s="233" t="n">
        <f aca="false">INDEX(SP_CFA_FCF_PreDiv,0,COLUMN())/INDEX(SP_CS_EV,0,COLUMN())</f>
        <v>0.0221597518674442</v>
      </c>
      <c r="AQ123" s="234"/>
      <c r="AR123" s="234"/>
      <c r="AS123" s="234"/>
      <c r="AT123" s="234"/>
      <c r="AU123" s="233" t="n">
        <f aca="false">INDEX(SP_CFA_FCF_PreDiv,0,COLUMN())/INDEX(SP_CS_EV,0,COLUMN())</f>
        <v>0.0349401257510153</v>
      </c>
      <c r="AV123" s="234"/>
      <c r="AW123" s="234"/>
      <c r="AX123" s="234"/>
      <c r="AY123" s="234"/>
      <c r="AZ123" s="233" t="n">
        <f aca="false">INDEX(SP_CFA_FCF_PreDiv,0,COLUMN())/INDEX(SP_CS_EV,0,COLUMN())</f>
        <v>0.0366006818139852</v>
      </c>
      <c r="BA123" s="234"/>
      <c r="BB123" s="234"/>
      <c r="BC123" s="234"/>
      <c r="BD123" s="234"/>
      <c r="BE123" s="233" t="n">
        <f aca="false">INDEX(SP_CFA_FCF_PreDiv,0,COLUMN())/INDEX(SP_CS_EV,0,COLUMN())</f>
        <v>0.012203400506904</v>
      </c>
      <c r="BF123" s="234"/>
      <c r="BG123" s="234"/>
      <c r="BH123" s="234"/>
      <c r="BI123" s="234"/>
      <c r="BJ123" s="233" t="n">
        <f aca="false">INDEX(SP_CFA_FCF_PreDiv,0,COLUMN())/INDEX(SP_CS_EV,0,COLUMN())</f>
        <v>0.0354261700218818</v>
      </c>
      <c r="BK123" s="234"/>
      <c r="BL123" s="234"/>
      <c r="BM123" s="234"/>
      <c r="BN123" s="234"/>
      <c r="BO123" s="235" t="n">
        <f aca="false">INDEX(SP_CFA_FCF_PreDiv,0,COLUMN())/INDEX(SP_CS_EV,0,COLUMN())</f>
        <v>0.0316245004557509</v>
      </c>
      <c r="BP123" s="234"/>
      <c r="BQ123" s="234"/>
      <c r="BR123" s="234"/>
      <c r="BS123" s="234"/>
      <c r="BT123" s="233" t="n">
        <f aca="false">INDEX(SP_CFA_FCF_PreDiv,0,COLUMN())/INDEX(SP_CS_EV,0,COLUMN())</f>
        <v>0.0264325678343145</v>
      </c>
      <c r="BU123" s="234"/>
      <c r="BV123" s="234"/>
      <c r="BW123" s="234"/>
      <c r="BX123" s="234"/>
      <c r="BY123" s="233" t="n">
        <f aca="false">INDEX(SP_CFA_FCF_PreDiv,0,COLUMN())/INDEX(SP_CS_EV,0,COLUMN())</f>
        <v>0.0292977807848342</v>
      </c>
      <c r="BZ123" s="233" t="n">
        <f aca="false">INDEX(SP_CFA_FCF_PreDiv,0,COLUMN())/INDEX(SP_CS_EV,0,COLUMN())</f>
        <v>0.0382821508109949</v>
      </c>
      <c r="CA123" s="233" t="n">
        <f aca="false">INDEX(SP_CFA_FCF_PreDiv,0,COLUMN())/INDEX(SP_CS_EV,0,COLUMN())</f>
        <v>0.0394082639993371</v>
      </c>
      <c r="CB123" s="233" t="n">
        <f aca="false">INDEX(SP_CFA_FCF_PreDiv,0,COLUMN())/INDEX(SP_CS_EV,0,COLUMN())</f>
        <v>0.0433891982303078</v>
      </c>
      <c r="CC123" s="625"/>
    </row>
    <row r="124" s="237" customFormat="true" ht="15" hidden="false" customHeight="true" outlineLevel="0" collapsed="false">
      <c r="A124" s="231"/>
      <c r="B124" s="625"/>
      <c r="C124" s="233"/>
      <c r="D124" s="233"/>
      <c r="E124" s="233"/>
      <c r="F124" s="233"/>
      <c r="G124" s="233"/>
      <c r="H124" s="234"/>
      <c r="I124" s="234"/>
      <c r="J124" s="234"/>
      <c r="K124" s="234"/>
      <c r="L124" s="233"/>
      <c r="M124" s="234"/>
      <c r="N124" s="234"/>
      <c r="O124" s="234"/>
      <c r="P124" s="234"/>
      <c r="Q124" s="233"/>
      <c r="R124" s="234"/>
      <c r="S124" s="234"/>
      <c r="T124" s="234"/>
      <c r="U124" s="234"/>
      <c r="V124" s="233"/>
      <c r="W124" s="234"/>
      <c r="X124" s="234"/>
      <c r="Y124" s="234"/>
      <c r="Z124" s="234"/>
      <c r="AA124" s="233"/>
      <c r="AB124" s="234"/>
      <c r="AC124" s="234"/>
      <c r="AD124" s="234"/>
      <c r="AE124" s="234"/>
      <c r="AF124" s="233"/>
      <c r="AG124" s="234"/>
      <c r="AH124" s="234"/>
      <c r="AI124" s="234"/>
      <c r="AJ124" s="234"/>
      <c r="AK124" s="233"/>
      <c r="AL124" s="234"/>
      <c r="AM124" s="234"/>
      <c r="AN124" s="234"/>
      <c r="AO124" s="234"/>
      <c r="AP124" s="233"/>
      <c r="AQ124" s="234"/>
      <c r="AR124" s="234"/>
      <c r="AS124" s="234"/>
      <c r="AT124" s="234"/>
      <c r="AU124" s="233"/>
      <c r="AV124" s="234"/>
      <c r="AW124" s="234"/>
      <c r="AX124" s="234"/>
      <c r="AY124" s="234"/>
      <c r="AZ124" s="233"/>
      <c r="BA124" s="234"/>
      <c r="BB124" s="234"/>
      <c r="BC124" s="234"/>
      <c r="BD124" s="234"/>
      <c r="BE124" s="233"/>
      <c r="BF124" s="234"/>
      <c r="BG124" s="234"/>
      <c r="BH124" s="234"/>
      <c r="BI124" s="234"/>
      <c r="BJ124" s="233"/>
      <c r="BK124" s="234"/>
      <c r="BL124" s="234"/>
      <c r="BM124" s="234"/>
      <c r="BN124" s="234"/>
      <c r="BO124" s="235"/>
      <c r="BP124" s="234"/>
      <c r="BQ124" s="234"/>
      <c r="BR124" s="234"/>
      <c r="BS124" s="234"/>
      <c r="BT124" s="233"/>
      <c r="BU124" s="234"/>
      <c r="BV124" s="234"/>
      <c r="BW124" s="234"/>
      <c r="BX124" s="234"/>
      <c r="BY124" s="233"/>
      <c r="BZ124" s="233"/>
      <c r="CA124" s="233"/>
      <c r="CB124" s="233"/>
      <c r="CC124" s="625"/>
    </row>
    <row r="125" s="742" customFormat="true" ht="15" hidden="false" customHeight="true" outlineLevel="0" collapsed="false">
      <c r="A125" s="219" t="s">
        <v>843</v>
      </c>
      <c r="B125" s="716"/>
      <c r="C125" s="716"/>
      <c r="D125" s="716"/>
      <c r="E125" s="716"/>
      <c r="F125" s="716"/>
      <c r="G125" s="716"/>
      <c r="H125" s="716"/>
      <c r="I125" s="716"/>
      <c r="J125" s="716"/>
      <c r="K125" s="716"/>
      <c r="L125" s="716"/>
      <c r="M125" s="716"/>
      <c r="N125" s="716"/>
      <c r="O125" s="716"/>
      <c r="P125" s="716"/>
      <c r="Q125" s="716"/>
      <c r="R125" s="716"/>
      <c r="S125" s="716"/>
      <c r="T125" s="716"/>
      <c r="U125" s="716"/>
      <c r="V125" s="716"/>
      <c r="W125" s="716"/>
      <c r="X125" s="716"/>
      <c r="Y125" s="716"/>
      <c r="Z125" s="716"/>
      <c r="AA125" s="716"/>
      <c r="AB125" s="716"/>
      <c r="AC125" s="716"/>
      <c r="AD125" s="716"/>
      <c r="AE125" s="716"/>
      <c r="AF125" s="716"/>
      <c r="AG125" s="716"/>
      <c r="AH125" s="716"/>
      <c r="AI125" s="716"/>
      <c r="AJ125" s="716"/>
      <c r="AK125" s="716"/>
      <c r="AL125" s="716"/>
      <c r="AM125" s="716"/>
      <c r="AN125" s="716"/>
      <c r="AO125" s="716"/>
      <c r="AP125" s="716"/>
      <c r="AQ125" s="716"/>
      <c r="AR125" s="716"/>
      <c r="AS125" s="716"/>
      <c r="AT125" s="716"/>
      <c r="AU125" s="716"/>
      <c r="AV125" s="716"/>
      <c r="AW125" s="716"/>
      <c r="AX125" s="716"/>
      <c r="AY125" s="716"/>
      <c r="AZ125" s="716"/>
      <c r="BA125" s="716"/>
      <c r="BB125" s="716"/>
      <c r="BC125" s="716"/>
      <c r="BD125" s="716"/>
      <c r="BE125" s="716"/>
      <c r="BF125" s="716"/>
      <c r="BG125" s="716"/>
      <c r="BH125" s="716"/>
      <c r="BI125" s="716"/>
      <c r="BJ125" s="716"/>
      <c r="BK125" s="716"/>
      <c r="BL125" s="716"/>
      <c r="BM125" s="716"/>
      <c r="BN125" s="716"/>
      <c r="BO125" s="717"/>
      <c r="BP125" s="716"/>
      <c r="BQ125" s="716"/>
      <c r="BR125" s="716"/>
      <c r="BS125" s="716"/>
      <c r="BT125" s="716"/>
      <c r="BU125" s="716"/>
      <c r="BV125" s="716"/>
      <c r="BW125" s="716"/>
      <c r="BX125" s="716"/>
      <c r="BY125" s="716"/>
      <c r="BZ125" s="716"/>
      <c r="CA125" s="716"/>
      <c r="CB125" s="716"/>
      <c r="CC125" s="625"/>
    </row>
    <row r="126" customFormat="false" ht="15" hidden="true" customHeight="true" outlineLevel="1" collapsed="false">
      <c r="A126" s="48" t="s">
        <v>112</v>
      </c>
      <c r="B126" s="55"/>
      <c r="C126" s="417" t="n">
        <f aca="false">ROUND(INDEX(SP_GF_EBIT,0,COLUMN())-INDEX(MO_RIS_EBIT,0,COLUMN()),6)</f>
        <v>0</v>
      </c>
      <c r="D126" s="417" t="n">
        <f aca="false">ROUND(INDEX(SP_GF_EBIT,0,COLUMN())-INDEX(MO_RIS_EBIT,0,COLUMN()),6)</f>
        <v>0</v>
      </c>
      <c r="E126" s="417" t="n">
        <f aca="false">ROUND(INDEX(SP_GF_EBIT,0,COLUMN())-INDEX(MO_RIS_EBIT,0,COLUMN()),6)</f>
        <v>0</v>
      </c>
      <c r="F126" s="417" t="n">
        <f aca="false">ROUND(INDEX(SP_GF_EBIT,0,COLUMN())-INDEX(MO_RIS_EBIT,0,COLUMN()),6)</f>
        <v>0</v>
      </c>
      <c r="G126" s="417" t="n">
        <f aca="false">ROUND(INDEX(SP_GF_EBIT,0,COLUMN())-INDEX(MO_RIS_EBIT,0,COLUMN()),6)</f>
        <v>0</v>
      </c>
      <c r="H126" s="417" t="n">
        <f aca="false">ROUND(INDEX(SP_GF_EBIT,0,COLUMN())-INDEX(MO_RIS_EBIT,0,COLUMN()),6)</f>
        <v>0</v>
      </c>
      <c r="I126" s="417" t="n">
        <f aca="false">ROUND(INDEX(SP_GF_EBIT,0,COLUMN())-INDEX(MO_RIS_EBIT,0,COLUMN()),6)</f>
        <v>0</v>
      </c>
      <c r="J126" s="417" t="n">
        <f aca="false">ROUND(INDEX(SP_GF_EBIT,0,COLUMN())-INDEX(MO_RIS_EBIT,0,COLUMN()),6)</f>
        <v>0</v>
      </c>
      <c r="K126" s="417" t="n">
        <f aca="false">ROUND(INDEX(SP_GF_EBIT,0,COLUMN())-INDEX(MO_RIS_EBIT,0,COLUMN()),6)</f>
        <v>0</v>
      </c>
      <c r="L126" s="417" t="n">
        <f aca="false">ROUND(INDEX(SP_GF_EBIT,0,COLUMN())-INDEX(MO_RIS_EBIT,0,COLUMN()),6)</f>
        <v>0</v>
      </c>
      <c r="M126" s="417" t="n">
        <f aca="false">ROUND(INDEX(SP_GF_EBIT,0,COLUMN())-INDEX(MO_RIS_EBIT,0,COLUMN()),6)</f>
        <v>0</v>
      </c>
      <c r="N126" s="417" t="n">
        <f aca="false">ROUND(INDEX(SP_GF_EBIT,0,COLUMN())-INDEX(MO_RIS_EBIT,0,COLUMN()),6)</f>
        <v>0</v>
      </c>
      <c r="O126" s="417" t="n">
        <f aca="false">ROUND(INDEX(SP_GF_EBIT,0,COLUMN())-INDEX(MO_RIS_EBIT,0,COLUMN()),6)</f>
        <v>0</v>
      </c>
      <c r="P126" s="417" t="n">
        <f aca="false">ROUND(INDEX(SP_GF_EBIT,0,COLUMN())-INDEX(MO_RIS_EBIT,0,COLUMN()),6)</f>
        <v>0</v>
      </c>
      <c r="Q126" s="417" t="n">
        <f aca="false">ROUND(INDEX(SP_GF_EBIT,0,COLUMN())-INDEX(MO_RIS_EBIT,0,COLUMN()),6)</f>
        <v>0</v>
      </c>
      <c r="R126" s="417" t="n">
        <f aca="false">ROUND(INDEX(SP_GF_EBIT,0,COLUMN())-INDEX(MO_RIS_EBIT,0,COLUMN()),6)</f>
        <v>0</v>
      </c>
      <c r="S126" s="417" t="n">
        <f aca="false">ROUND(INDEX(SP_GF_EBIT,0,COLUMN())-INDEX(MO_RIS_EBIT,0,COLUMN()),6)</f>
        <v>0</v>
      </c>
      <c r="T126" s="417" t="n">
        <f aca="false">ROUND(INDEX(SP_GF_EBIT,0,COLUMN())-INDEX(MO_RIS_EBIT,0,COLUMN()),6)</f>
        <v>0</v>
      </c>
      <c r="U126" s="417" t="n">
        <f aca="false">ROUND(INDEX(SP_GF_EBIT,0,COLUMN())-INDEX(MO_RIS_EBIT,0,COLUMN()),6)</f>
        <v>0</v>
      </c>
      <c r="V126" s="417" t="n">
        <f aca="false">ROUND(INDEX(SP_GF_EBIT,0,COLUMN())-INDEX(MO_RIS_EBIT,0,COLUMN()),6)</f>
        <v>0</v>
      </c>
      <c r="W126" s="417" t="n">
        <f aca="false">ROUND(INDEX(SP_GF_EBIT,0,COLUMN())-INDEX(MO_RIS_EBIT,0,COLUMN()),6)</f>
        <v>0</v>
      </c>
      <c r="X126" s="417" t="n">
        <f aca="false">ROUND(INDEX(SP_GF_EBIT,0,COLUMN())-INDEX(MO_RIS_EBIT,0,COLUMN()),6)</f>
        <v>0</v>
      </c>
      <c r="Y126" s="417" t="n">
        <f aca="false">ROUND(INDEX(SP_GF_EBIT,0,COLUMN())-INDEX(MO_RIS_EBIT,0,COLUMN()),6)</f>
        <v>0</v>
      </c>
      <c r="Z126" s="417" t="n">
        <f aca="false">ROUND(INDEX(SP_GF_EBIT,0,COLUMN())-INDEX(MO_RIS_EBIT,0,COLUMN()),6)</f>
        <v>0</v>
      </c>
      <c r="AA126" s="417" t="n">
        <f aca="false">ROUND(INDEX(SP_GF_EBIT,0,COLUMN())-INDEX(MO_RIS_EBIT,0,COLUMN()),6)</f>
        <v>0</v>
      </c>
      <c r="AB126" s="417" t="n">
        <f aca="false">ROUND(INDEX(SP_GF_EBIT,0,COLUMN())-INDEX(MO_RIS_EBIT,0,COLUMN()),6)</f>
        <v>0</v>
      </c>
      <c r="AC126" s="417" t="n">
        <f aca="false">ROUND(INDEX(SP_GF_EBIT,0,COLUMN())-INDEX(MO_RIS_EBIT,0,COLUMN()),6)</f>
        <v>0</v>
      </c>
      <c r="AD126" s="417" t="n">
        <f aca="false">ROUND(INDEX(SP_GF_EBIT,0,COLUMN())-INDEX(MO_RIS_EBIT,0,COLUMN()),6)</f>
        <v>0</v>
      </c>
      <c r="AE126" s="417" t="n">
        <f aca="false">ROUND(INDEX(SP_GF_EBIT,0,COLUMN())-INDEX(MO_RIS_EBIT,0,COLUMN()),6)</f>
        <v>0</v>
      </c>
      <c r="AF126" s="417" t="n">
        <f aca="false">ROUND(INDEX(SP_GF_EBIT,0,COLUMN())-INDEX(MO_RIS_EBIT,0,COLUMN()),6)</f>
        <v>0</v>
      </c>
      <c r="AG126" s="417" t="n">
        <f aca="false">ROUND(INDEX(SP_GF_EBIT,0,COLUMN())-INDEX(MO_RIS_EBIT,0,COLUMN()),6)</f>
        <v>0</v>
      </c>
      <c r="AH126" s="417" t="n">
        <f aca="false">ROUND(INDEX(SP_GF_EBIT,0,COLUMN())-INDEX(MO_RIS_EBIT,0,COLUMN()),6)</f>
        <v>0</v>
      </c>
      <c r="AI126" s="417" t="n">
        <f aca="false">ROUND(INDEX(SP_GF_EBIT,0,COLUMN())-INDEX(MO_RIS_EBIT,0,COLUMN()),6)</f>
        <v>0</v>
      </c>
      <c r="AJ126" s="417" t="n">
        <f aca="false">ROUND(INDEX(SP_GF_EBIT,0,COLUMN())-INDEX(MO_RIS_EBIT,0,COLUMN()),6)</f>
        <v>0</v>
      </c>
      <c r="AK126" s="417" t="n">
        <f aca="false">ROUND(INDEX(SP_GF_EBIT,0,COLUMN())-INDEX(MO_RIS_EBIT,0,COLUMN()),6)</f>
        <v>0</v>
      </c>
      <c r="AL126" s="417" t="n">
        <f aca="false">ROUND(INDEX(SP_GF_EBIT,0,COLUMN())-INDEX(MO_RIS_EBIT,0,COLUMN()),6)</f>
        <v>0</v>
      </c>
      <c r="AM126" s="417" t="n">
        <f aca="false">ROUND(INDEX(SP_GF_EBIT,0,COLUMN())-INDEX(MO_RIS_EBIT,0,COLUMN()),6)</f>
        <v>0</v>
      </c>
      <c r="AN126" s="417" t="n">
        <f aca="false">ROUND(INDEX(SP_GF_EBIT,0,COLUMN())-INDEX(MO_RIS_EBIT,0,COLUMN()),6)</f>
        <v>0</v>
      </c>
      <c r="AO126" s="417" t="n">
        <f aca="false">ROUND(INDEX(SP_GF_EBIT,0,COLUMN())-INDEX(MO_RIS_EBIT,0,COLUMN()),6)</f>
        <v>0</v>
      </c>
      <c r="AP126" s="417" t="n">
        <f aca="false">ROUND(INDEX(SP_GF_EBIT,0,COLUMN())-INDEX(MO_RIS_EBIT,0,COLUMN()),6)</f>
        <v>0</v>
      </c>
      <c r="AQ126" s="417" t="n">
        <f aca="false">ROUND(INDEX(SP_GF_EBIT,0,COLUMN())-INDEX(MO_RIS_EBIT,0,COLUMN()),6)</f>
        <v>0</v>
      </c>
      <c r="AR126" s="417" t="n">
        <f aca="false">ROUND(INDEX(SP_GF_EBIT,0,COLUMN())-INDEX(MO_RIS_EBIT,0,COLUMN()),6)</f>
        <v>0</v>
      </c>
      <c r="AS126" s="417" t="n">
        <f aca="false">ROUND(INDEX(SP_GF_EBIT,0,COLUMN())-INDEX(MO_RIS_EBIT,0,COLUMN()),6)</f>
        <v>0</v>
      </c>
      <c r="AT126" s="417" t="n">
        <f aca="false">ROUND(INDEX(SP_GF_EBIT,0,COLUMN())-INDEX(MO_RIS_EBIT,0,COLUMN()),6)</f>
        <v>0</v>
      </c>
      <c r="AU126" s="417" t="n">
        <f aca="false">ROUND(INDEX(SP_GF_EBIT,0,COLUMN())-INDEX(MO_RIS_EBIT,0,COLUMN()),6)</f>
        <v>0</v>
      </c>
      <c r="AV126" s="417" t="n">
        <f aca="false">ROUND(INDEX(SP_GF_EBIT,0,COLUMN())-INDEX(MO_RIS_EBIT,0,COLUMN()),6)</f>
        <v>0</v>
      </c>
      <c r="AW126" s="417" t="n">
        <f aca="false">ROUND(INDEX(SP_GF_EBIT,0,COLUMN())-INDEX(MO_RIS_EBIT,0,COLUMN()),6)</f>
        <v>0</v>
      </c>
      <c r="AX126" s="417" t="n">
        <f aca="false">ROUND(INDEX(SP_GF_EBIT,0,COLUMN())-INDEX(MO_RIS_EBIT,0,COLUMN()),6)</f>
        <v>0</v>
      </c>
      <c r="AY126" s="417" t="n">
        <f aca="false">ROUND(INDEX(SP_GF_EBIT,0,COLUMN())-INDEX(MO_RIS_EBIT,0,COLUMN()),6)</f>
        <v>0</v>
      </c>
      <c r="AZ126" s="417" t="n">
        <f aca="false">ROUND(INDEX(SP_GF_EBIT,0,COLUMN())-INDEX(MO_RIS_EBIT,0,COLUMN()),6)</f>
        <v>0</v>
      </c>
      <c r="BA126" s="417" t="n">
        <f aca="false">ROUND(INDEX(SP_GF_EBIT,0,COLUMN())-INDEX(MO_RIS_EBIT,0,COLUMN()),6)</f>
        <v>0</v>
      </c>
      <c r="BB126" s="417" t="n">
        <f aca="false">ROUND(INDEX(SP_GF_EBIT,0,COLUMN())-INDEX(MO_RIS_EBIT,0,COLUMN()),6)</f>
        <v>0</v>
      </c>
      <c r="BC126" s="417" t="n">
        <f aca="false">ROUND(INDEX(SP_GF_EBIT,0,COLUMN())-INDEX(MO_RIS_EBIT,0,COLUMN()),6)</f>
        <v>0</v>
      </c>
      <c r="BD126" s="417" t="n">
        <f aca="false">ROUND(INDEX(SP_GF_EBIT,0,COLUMN())-INDEX(MO_RIS_EBIT,0,COLUMN()),6)</f>
        <v>0</v>
      </c>
      <c r="BE126" s="417" t="n">
        <f aca="false">ROUND(INDEX(SP_GF_EBIT,0,COLUMN())-INDEX(MO_RIS_EBIT,0,COLUMN()),6)</f>
        <v>0</v>
      </c>
      <c r="BF126" s="417" t="n">
        <f aca="false">ROUND(INDEX(SP_GF_EBIT,0,COLUMN())-INDEX(MO_RIS_EBIT,0,COLUMN()),6)</f>
        <v>0</v>
      </c>
      <c r="BG126" s="417" t="n">
        <f aca="false">ROUND(INDEX(SP_GF_EBIT,0,COLUMN())-INDEX(MO_RIS_EBIT,0,COLUMN()),6)</f>
        <v>0</v>
      </c>
      <c r="BH126" s="417" t="n">
        <f aca="false">ROUND(INDEX(SP_GF_EBIT,0,COLUMN())-INDEX(MO_RIS_EBIT,0,COLUMN()),6)</f>
        <v>0</v>
      </c>
      <c r="BI126" s="417" t="n">
        <f aca="false">ROUND(INDEX(SP_GF_EBIT,0,COLUMN())-INDEX(MO_RIS_EBIT,0,COLUMN()),6)</f>
        <v>0</v>
      </c>
      <c r="BJ126" s="417" t="n">
        <f aca="false">ROUND(INDEX(SP_GF_EBIT,0,COLUMN())-INDEX(MO_RIS_EBIT,0,COLUMN()),6)</f>
        <v>0</v>
      </c>
      <c r="BK126" s="417" t="n">
        <f aca="false">ROUND(INDEX(SP_GF_EBIT,0,COLUMN())-INDEX(MO_RIS_EBIT,0,COLUMN()),6)</f>
        <v>0</v>
      </c>
      <c r="BL126" s="417" t="n">
        <f aca="false">ROUND(INDEX(SP_GF_EBIT,0,COLUMN())-INDEX(MO_RIS_EBIT,0,COLUMN()),6)</f>
        <v>0</v>
      </c>
      <c r="BM126" s="417" t="n">
        <f aca="false">ROUND(INDEX(SP_GF_EBIT,0,COLUMN())-INDEX(MO_RIS_EBIT,0,COLUMN()),6)</f>
        <v>0</v>
      </c>
      <c r="BN126" s="417" t="n">
        <f aca="false">ROUND(INDEX(SP_GF_EBIT,0,COLUMN())-INDEX(MO_RIS_EBIT,0,COLUMN()),6)</f>
        <v>0</v>
      </c>
      <c r="BO126" s="418" t="n">
        <f aca="false">ROUND(INDEX(SP_GF_EBIT,0,COLUMN())-INDEX(MO_RIS_EBIT,0,COLUMN()),6)</f>
        <v>0</v>
      </c>
      <c r="BP126" s="417" t="n">
        <f aca="false">ROUND(INDEX(SP_GF_EBIT,0,COLUMN())-INDEX(MO_RIS_EBIT,0,COLUMN()),6)</f>
        <v>0</v>
      </c>
      <c r="BQ126" s="417" t="n">
        <f aca="false">ROUND(INDEX(SP_GF_EBIT,0,COLUMN())-INDEX(MO_RIS_EBIT,0,COLUMN()),6)</f>
        <v>0</v>
      </c>
      <c r="BR126" s="417" t="n">
        <f aca="false">ROUND(INDEX(SP_GF_EBIT,0,COLUMN())-INDEX(MO_RIS_EBIT,0,COLUMN()),6)</f>
        <v>0</v>
      </c>
      <c r="BS126" s="417" t="n">
        <f aca="false">ROUND(INDEX(SP_GF_EBIT,0,COLUMN())-INDEX(MO_RIS_EBIT,0,COLUMN()),6)</f>
        <v>0</v>
      </c>
      <c r="BT126" s="417" t="n">
        <f aca="false">ROUND(INDEX(SP_GF_EBIT,0,COLUMN())-INDEX(MO_RIS_EBIT,0,COLUMN()),6)</f>
        <v>0</v>
      </c>
      <c r="BU126" s="417" t="n">
        <f aca="false">ROUND(INDEX(SP_GF_EBIT,0,COLUMN())-INDEX(MO_RIS_EBIT,0,COLUMN()),6)</f>
        <v>0</v>
      </c>
      <c r="BV126" s="417" t="n">
        <f aca="false">ROUND(INDEX(SP_GF_EBIT,0,COLUMN())-INDEX(MO_RIS_EBIT,0,COLUMN()),6)</f>
        <v>0</v>
      </c>
      <c r="BW126" s="417" t="n">
        <f aca="false">ROUND(INDEX(SP_GF_EBIT,0,COLUMN())-INDEX(MO_RIS_EBIT,0,COLUMN()),6)</f>
        <v>0</v>
      </c>
      <c r="BX126" s="417" t="n">
        <f aca="false">ROUND(INDEX(SP_GF_EBIT,0,COLUMN())-INDEX(MO_RIS_EBIT,0,COLUMN()),6)</f>
        <v>0</v>
      </c>
      <c r="BY126" s="417" t="n">
        <f aca="false">ROUND(INDEX(SP_GF_EBIT,0,COLUMN())-INDEX(MO_RIS_EBIT,0,COLUMN()),6)</f>
        <v>0</v>
      </c>
      <c r="BZ126" s="417" t="n">
        <f aca="false">ROUND(INDEX(SP_GF_EBIT,0,COLUMN())-INDEX(MO_RIS_EBIT,0,COLUMN()),6)</f>
        <v>0</v>
      </c>
      <c r="CA126" s="417" t="n">
        <f aca="false">ROUND(INDEX(SP_GF_EBIT,0,COLUMN())-INDEX(MO_RIS_EBIT,0,COLUMN()),6)</f>
        <v>0</v>
      </c>
      <c r="CB126" s="417" t="n">
        <f aca="false">ROUND(INDEX(SP_GF_EBIT,0,COLUMN())-INDEX(MO_RIS_EBIT,0,COLUMN()),6)</f>
        <v>0</v>
      </c>
      <c r="CC126" s="625"/>
    </row>
    <row r="127" customFormat="false" ht="15" hidden="true" customHeight="true" outlineLevel="1" collapsed="false">
      <c r="A127" s="48" t="s">
        <v>844</v>
      </c>
      <c r="B127" s="55"/>
      <c r="C127" s="417" t="n">
        <f aca="false">ROUND(INDEX(SP_NGF_EBITDA,0,COLUMN())-INDEX(MO_RIS_EBITDA_Adj,0,COLUMN()),6)</f>
        <v>0</v>
      </c>
      <c r="D127" s="417" t="n">
        <f aca="false">ROUND(INDEX(SP_NGF_EBITDA,0,COLUMN())-INDEX(MO_RIS_EBITDA_Adj,0,COLUMN()),6)</f>
        <v>0</v>
      </c>
      <c r="E127" s="417" t="n">
        <f aca="false">ROUND(INDEX(SP_NGF_EBITDA,0,COLUMN())-INDEX(MO_RIS_EBITDA_Adj,0,COLUMN()),6)</f>
        <v>0</v>
      </c>
      <c r="F127" s="417" t="n">
        <f aca="false">ROUND(INDEX(SP_NGF_EBITDA,0,COLUMN())-INDEX(MO_RIS_EBITDA_Adj,0,COLUMN()),6)</f>
        <v>0</v>
      </c>
      <c r="G127" s="417" t="n">
        <f aca="false">ROUND(INDEX(SP_NGF_EBITDA,0,COLUMN())-INDEX(MO_RIS_EBITDA_Adj,0,COLUMN()),6)</f>
        <v>0</v>
      </c>
      <c r="H127" s="417" t="n">
        <f aca="false">ROUND(INDEX(SP_NGF_EBITDA,0,COLUMN())-INDEX(MO_RIS_EBITDA_Adj,0,COLUMN()),6)</f>
        <v>0</v>
      </c>
      <c r="I127" s="417" t="n">
        <f aca="false">ROUND(INDEX(SP_NGF_EBITDA,0,COLUMN())-INDEX(MO_RIS_EBITDA_Adj,0,COLUMN()),6)</f>
        <v>0</v>
      </c>
      <c r="J127" s="417" t="n">
        <f aca="false">ROUND(INDEX(SP_NGF_EBITDA,0,COLUMN())-INDEX(MO_RIS_EBITDA_Adj,0,COLUMN()),6)</f>
        <v>0</v>
      </c>
      <c r="K127" s="417" t="n">
        <f aca="false">ROUND(INDEX(SP_NGF_EBITDA,0,COLUMN())-INDEX(MO_RIS_EBITDA_Adj,0,COLUMN()),6)</f>
        <v>0</v>
      </c>
      <c r="L127" s="417" t="n">
        <f aca="false">ROUND(INDEX(SP_NGF_EBITDA,0,COLUMN())-INDEX(MO_RIS_EBITDA_Adj,0,COLUMN()),6)</f>
        <v>0</v>
      </c>
      <c r="M127" s="417" t="n">
        <f aca="false">ROUND(INDEX(SP_NGF_EBITDA,0,COLUMN())-INDEX(MO_RIS_EBITDA_Adj,0,COLUMN()),6)</f>
        <v>0</v>
      </c>
      <c r="N127" s="417" t="n">
        <f aca="false">ROUND(INDEX(SP_NGF_EBITDA,0,COLUMN())-INDEX(MO_RIS_EBITDA_Adj,0,COLUMN()),6)</f>
        <v>0</v>
      </c>
      <c r="O127" s="417" t="n">
        <f aca="false">ROUND(INDEX(SP_NGF_EBITDA,0,COLUMN())-INDEX(MO_RIS_EBITDA_Adj,0,COLUMN()),6)</f>
        <v>0</v>
      </c>
      <c r="P127" s="417" t="n">
        <f aca="false">ROUND(INDEX(SP_NGF_EBITDA,0,COLUMN())-INDEX(MO_RIS_EBITDA_Adj,0,COLUMN()),6)</f>
        <v>0</v>
      </c>
      <c r="Q127" s="417" t="n">
        <f aca="false">ROUND(INDEX(SP_NGF_EBITDA,0,COLUMN())-INDEX(MO_RIS_EBITDA_Adj,0,COLUMN()),6)</f>
        <v>0</v>
      </c>
      <c r="R127" s="417" t="n">
        <f aca="false">ROUND(INDEX(SP_NGF_EBITDA,0,COLUMN())-INDEX(MO_RIS_EBITDA_Adj,0,COLUMN()),6)</f>
        <v>0</v>
      </c>
      <c r="S127" s="417" t="n">
        <f aca="false">ROUND(INDEX(SP_NGF_EBITDA,0,COLUMN())-INDEX(MO_RIS_EBITDA_Adj,0,COLUMN()),6)</f>
        <v>0</v>
      </c>
      <c r="T127" s="417" t="n">
        <f aca="false">ROUND(INDEX(SP_NGF_EBITDA,0,COLUMN())-INDEX(MO_RIS_EBITDA_Adj,0,COLUMN()),6)</f>
        <v>0</v>
      </c>
      <c r="U127" s="417" t="n">
        <f aca="false">ROUND(INDEX(SP_NGF_EBITDA,0,COLUMN())-INDEX(MO_RIS_EBITDA_Adj,0,COLUMN()),6)</f>
        <v>0</v>
      </c>
      <c r="V127" s="417" t="n">
        <f aca="false">ROUND(INDEX(SP_NGF_EBITDA,0,COLUMN())-INDEX(MO_RIS_EBITDA_Adj,0,COLUMN()),6)</f>
        <v>0</v>
      </c>
      <c r="W127" s="417" t="n">
        <f aca="false">ROUND(INDEX(SP_NGF_EBITDA,0,COLUMN())-INDEX(MO_RIS_EBITDA_Adj,0,COLUMN()),6)</f>
        <v>0</v>
      </c>
      <c r="X127" s="417" t="n">
        <f aca="false">ROUND(INDEX(SP_NGF_EBITDA,0,COLUMN())-INDEX(MO_RIS_EBITDA_Adj,0,COLUMN()),6)</f>
        <v>0</v>
      </c>
      <c r="Y127" s="417" t="n">
        <f aca="false">ROUND(INDEX(SP_NGF_EBITDA,0,COLUMN())-INDEX(MO_RIS_EBITDA_Adj,0,COLUMN()),6)</f>
        <v>0</v>
      </c>
      <c r="Z127" s="417" t="n">
        <f aca="false">ROUND(INDEX(SP_NGF_EBITDA,0,COLUMN())-INDEX(MO_RIS_EBITDA_Adj,0,COLUMN()),6)</f>
        <v>0</v>
      </c>
      <c r="AA127" s="417" t="n">
        <f aca="false">ROUND(INDEX(SP_NGF_EBITDA,0,COLUMN())-INDEX(MO_RIS_EBITDA_Adj,0,COLUMN()),6)</f>
        <v>0</v>
      </c>
      <c r="AB127" s="417" t="n">
        <f aca="false">ROUND(INDEX(SP_NGF_EBITDA,0,COLUMN())-INDEX(MO_RIS_EBITDA_Adj,0,COLUMN()),6)</f>
        <v>0</v>
      </c>
      <c r="AC127" s="417" t="n">
        <f aca="false">ROUND(INDEX(SP_NGF_EBITDA,0,COLUMN())-INDEX(MO_RIS_EBITDA_Adj,0,COLUMN()),6)</f>
        <v>0</v>
      </c>
      <c r="AD127" s="417" t="n">
        <f aca="false">ROUND(INDEX(SP_NGF_EBITDA,0,COLUMN())-INDEX(MO_RIS_EBITDA_Adj,0,COLUMN()),6)</f>
        <v>0</v>
      </c>
      <c r="AE127" s="417" t="n">
        <f aca="false">ROUND(INDEX(SP_NGF_EBITDA,0,COLUMN())-INDEX(MO_RIS_EBITDA_Adj,0,COLUMN()),6)</f>
        <v>0</v>
      </c>
      <c r="AF127" s="417" t="n">
        <f aca="false">ROUND(INDEX(SP_NGF_EBITDA,0,COLUMN())-INDEX(MO_RIS_EBITDA_Adj,0,COLUMN()),6)</f>
        <v>0</v>
      </c>
      <c r="AG127" s="417" t="n">
        <f aca="false">ROUND(INDEX(SP_NGF_EBITDA,0,COLUMN())-INDEX(MO_RIS_EBITDA_Adj,0,COLUMN()),6)</f>
        <v>0</v>
      </c>
      <c r="AH127" s="417" t="n">
        <f aca="false">ROUND(INDEX(SP_NGF_EBITDA,0,COLUMN())-INDEX(MO_RIS_EBITDA_Adj,0,COLUMN()),6)</f>
        <v>0</v>
      </c>
      <c r="AI127" s="417" t="n">
        <f aca="false">ROUND(INDEX(SP_NGF_EBITDA,0,COLUMN())-INDEX(MO_RIS_EBITDA_Adj,0,COLUMN()),6)</f>
        <v>0</v>
      </c>
      <c r="AJ127" s="417" t="n">
        <f aca="false">ROUND(INDEX(SP_NGF_EBITDA,0,COLUMN())-INDEX(MO_RIS_EBITDA_Adj,0,COLUMN()),6)</f>
        <v>0</v>
      </c>
      <c r="AK127" s="417" t="n">
        <f aca="false">ROUND(INDEX(SP_NGF_EBITDA,0,COLUMN())-INDEX(MO_RIS_EBITDA_Adj,0,COLUMN()),6)</f>
        <v>0</v>
      </c>
      <c r="AL127" s="417" t="n">
        <f aca="false">ROUND(INDEX(SP_NGF_EBITDA,0,COLUMN())-INDEX(MO_RIS_EBITDA_Adj,0,COLUMN()),6)</f>
        <v>0</v>
      </c>
      <c r="AM127" s="417" t="n">
        <f aca="false">ROUND(INDEX(SP_NGF_EBITDA,0,COLUMN())-INDEX(MO_RIS_EBITDA_Adj,0,COLUMN()),6)</f>
        <v>0</v>
      </c>
      <c r="AN127" s="417" t="n">
        <f aca="false">ROUND(INDEX(SP_NGF_EBITDA,0,COLUMN())-INDEX(MO_RIS_EBITDA_Adj,0,COLUMN()),6)</f>
        <v>0</v>
      </c>
      <c r="AO127" s="417" t="n">
        <f aca="false">ROUND(INDEX(SP_NGF_EBITDA,0,COLUMN())-INDEX(MO_RIS_EBITDA_Adj,0,COLUMN()),6)</f>
        <v>0</v>
      </c>
      <c r="AP127" s="417" t="n">
        <f aca="false">ROUND(INDEX(SP_NGF_EBITDA,0,COLUMN())-INDEX(MO_RIS_EBITDA_Adj,0,COLUMN()),6)</f>
        <v>0</v>
      </c>
      <c r="AQ127" s="417" t="n">
        <f aca="false">ROUND(INDEX(SP_NGF_EBITDA,0,COLUMN())-INDEX(MO_RIS_EBITDA_Adj,0,COLUMN()),6)</f>
        <v>0</v>
      </c>
      <c r="AR127" s="417" t="n">
        <f aca="false">ROUND(INDEX(SP_NGF_EBITDA,0,COLUMN())-INDEX(MO_RIS_EBITDA_Adj,0,COLUMN()),6)</f>
        <v>0</v>
      </c>
      <c r="AS127" s="417" t="n">
        <f aca="false">ROUND(INDEX(SP_NGF_EBITDA,0,COLUMN())-INDEX(MO_RIS_EBITDA_Adj,0,COLUMN()),6)</f>
        <v>0</v>
      </c>
      <c r="AT127" s="417" t="n">
        <f aca="false">ROUND(INDEX(SP_NGF_EBITDA,0,COLUMN())-INDEX(MO_RIS_EBITDA_Adj,0,COLUMN()),6)</f>
        <v>0</v>
      </c>
      <c r="AU127" s="417" t="n">
        <f aca="false">ROUND(INDEX(SP_NGF_EBITDA,0,COLUMN())-INDEX(MO_RIS_EBITDA_Adj,0,COLUMN()),6)</f>
        <v>0</v>
      </c>
      <c r="AV127" s="417" t="n">
        <f aca="false">ROUND(INDEX(SP_NGF_EBITDA,0,COLUMN())-INDEX(MO_RIS_EBITDA_Adj,0,COLUMN()),6)</f>
        <v>0</v>
      </c>
      <c r="AW127" s="417" t="n">
        <f aca="false">ROUND(INDEX(SP_NGF_EBITDA,0,COLUMN())-INDEX(MO_RIS_EBITDA_Adj,0,COLUMN()),6)</f>
        <v>0</v>
      </c>
      <c r="AX127" s="417" t="n">
        <f aca="false">ROUND(INDEX(SP_NGF_EBITDA,0,COLUMN())-INDEX(MO_RIS_EBITDA_Adj,0,COLUMN()),6)</f>
        <v>0</v>
      </c>
      <c r="AY127" s="417" t="n">
        <f aca="false">ROUND(INDEX(SP_NGF_EBITDA,0,COLUMN())-INDEX(MO_RIS_EBITDA_Adj,0,COLUMN()),6)</f>
        <v>0</v>
      </c>
      <c r="AZ127" s="417" t="n">
        <f aca="false">ROUND(INDEX(SP_NGF_EBITDA,0,COLUMN())-INDEX(MO_RIS_EBITDA_Adj,0,COLUMN()),6)</f>
        <v>0</v>
      </c>
      <c r="BA127" s="417" t="n">
        <f aca="false">ROUND(INDEX(SP_NGF_EBITDA,0,COLUMN())-INDEX(MO_RIS_EBITDA_Adj,0,COLUMN()),6)</f>
        <v>0</v>
      </c>
      <c r="BB127" s="417" t="n">
        <f aca="false">ROUND(INDEX(SP_NGF_EBITDA,0,COLUMN())-INDEX(MO_RIS_EBITDA_Adj,0,COLUMN()),6)</f>
        <v>0</v>
      </c>
      <c r="BC127" s="417" t="n">
        <f aca="false">ROUND(INDEX(SP_NGF_EBITDA,0,COLUMN())-INDEX(MO_RIS_EBITDA_Adj,0,COLUMN()),6)</f>
        <v>0</v>
      </c>
      <c r="BD127" s="417" t="n">
        <f aca="false">ROUND(INDEX(SP_NGF_EBITDA,0,COLUMN())-INDEX(MO_RIS_EBITDA_Adj,0,COLUMN()),6)</f>
        <v>0</v>
      </c>
      <c r="BE127" s="417" t="n">
        <f aca="false">ROUND(INDEX(SP_NGF_EBITDA,0,COLUMN())-INDEX(MO_RIS_EBITDA_Adj,0,COLUMN()),6)</f>
        <v>0</v>
      </c>
      <c r="BF127" s="417" t="n">
        <f aca="false">ROUND(INDEX(SP_NGF_EBITDA,0,COLUMN())-INDEX(MO_RIS_EBITDA_Adj,0,COLUMN()),6)</f>
        <v>0</v>
      </c>
      <c r="BG127" s="417" t="n">
        <f aca="false">ROUND(INDEX(SP_NGF_EBITDA,0,COLUMN())-INDEX(MO_RIS_EBITDA_Adj,0,COLUMN()),6)</f>
        <v>0</v>
      </c>
      <c r="BH127" s="417" t="n">
        <f aca="false">ROUND(INDEX(SP_NGF_EBITDA,0,COLUMN())-INDEX(MO_RIS_EBITDA_Adj,0,COLUMN()),6)</f>
        <v>0</v>
      </c>
      <c r="BI127" s="417" t="n">
        <f aca="false">ROUND(INDEX(SP_NGF_EBITDA,0,COLUMN())-INDEX(MO_RIS_EBITDA_Adj,0,COLUMN()),6)</f>
        <v>0</v>
      </c>
      <c r="BJ127" s="417" t="n">
        <f aca="false">ROUND(INDEX(SP_NGF_EBITDA,0,COLUMN())-INDEX(MO_RIS_EBITDA_Adj,0,COLUMN()),6)</f>
        <v>0</v>
      </c>
      <c r="BK127" s="417" t="n">
        <f aca="false">ROUND(INDEX(SP_NGF_EBITDA,0,COLUMN())-INDEX(MO_RIS_EBITDA_Adj,0,COLUMN()),6)</f>
        <v>0</v>
      </c>
      <c r="BL127" s="417" t="n">
        <f aca="false">ROUND(INDEX(SP_NGF_EBITDA,0,COLUMN())-INDEX(MO_RIS_EBITDA_Adj,0,COLUMN()),6)</f>
        <v>0</v>
      </c>
      <c r="BM127" s="417" t="n">
        <f aca="false">ROUND(INDEX(SP_NGF_EBITDA,0,COLUMN())-INDEX(MO_RIS_EBITDA_Adj,0,COLUMN()),6)</f>
        <v>0</v>
      </c>
      <c r="BN127" s="417" t="n">
        <f aca="false">ROUND(INDEX(SP_NGF_EBITDA,0,COLUMN())-INDEX(MO_RIS_EBITDA_Adj,0,COLUMN()),6)</f>
        <v>0</v>
      </c>
      <c r="BO127" s="418" t="n">
        <f aca="false">ROUND(INDEX(SP_NGF_EBITDA,0,COLUMN())-INDEX(MO_RIS_EBITDA_Adj,0,COLUMN()),6)</f>
        <v>0</v>
      </c>
      <c r="BP127" s="417" t="n">
        <f aca="false">ROUND(INDEX(SP_NGF_EBITDA,0,COLUMN())-INDEX(MO_RIS_EBITDA_Adj,0,COLUMN()),6)</f>
        <v>0</v>
      </c>
      <c r="BQ127" s="417" t="n">
        <f aca="false">ROUND(INDEX(SP_NGF_EBITDA,0,COLUMN())-INDEX(MO_RIS_EBITDA_Adj,0,COLUMN()),6)</f>
        <v>0</v>
      </c>
      <c r="BR127" s="417" t="n">
        <f aca="false">ROUND(INDEX(SP_NGF_EBITDA,0,COLUMN())-INDEX(MO_RIS_EBITDA_Adj,0,COLUMN()),6)</f>
        <v>0</v>
      </c>
      <c r="BS127" s="417" t="n">
        <f aca="false">ROUND(INDEX(SP_NGF_EBITDA,0,COLUMN())-INDEX(MO_RIS_EBITDA_Adj,0,COLUMN()),6)</f>
        <v>0</v>
      </c>
      <c r="BT127" s="417" t="n">
        <f aca="false">ROUND(INDEX(SP_NGF_EBITDA,0,COLUMN())-INDEX(MO_RIS_EBITDA_Adj,0,COLUMN()),6)</f>
        <v>0</v>
      </c>
      <c r="BU127" s="417" t="n">
        <f aca="false">ROUND(INDEX(SP_NGF_EBITDA,0,COLUMN())-INDEX(MO_RIS_EBITDA_Adj,0,COLUMN()),6)</f>
        <v>0</v>
      </c>
      <c r="BV127" s="417" t="n">
        <f aca="false">ROUND(INDEX(SP_NGF_EBITDA,0,COLUMN())-INDEX(MO_RIS_EBITDA_Adj,0,COLUMN()),6)</f>
        <v>0</v>
      </c>
      <c r="BW127" s="417" t="n">
        <f aca="false">ROUND(INDEX(SP_NGF_EBITDA,0,COLUMN())-INDEX(MO_RIS_EBITDA_Adj,0,COLUMN()),6)</f>
        <v>0</v>
      </c>
      <c r="BX127" s="417" t="n">
        <f aca="false">ROUND(INDEX(SP_NGF_EBITDA,0,COLUMN())-INDEX(MO_RIS_EBITDA_Adj,0,COLUMN()),6)</f>
        <v>0</v>
      </c>
      <c r="BY127" s="417" t="n">
        <f aca="false">ROUND(INDEX(SP_NGF_EBITDA,0,COLUMN())-INDEX(MO_RIS_EBITDA_Adj,0,COLUMN()),6)</f>
        <v>0</v>
      </c>
      <c r="BZ127" s="417" t="n">
        <f aca="false">ROUND(INDEX(SP_NGF_EBITDA,0,COLUMN())-INDEX(MO_RIS_EBITDA_Adj,0,COLUMN()),6)</f>
        <v>0</v>
      </c>
      <c r="CA127" s="417" t="n">
        <f aca="false">ROUND(INDEX(SP_NGF_EBITDA,0,COLUMN())-INDEX(MO_RIS_EBITDA_Adj,0,COLUMN()),6)</f>
        <v>0</v>
      </c>
      <c r="CB127" s="417" t="n">
        <f aca="false">ROUND(INDEX(SP_NGF_EBITDA,0,COLUMN())-INDEX(MO_RIS_EBITDA_Adj,0,COLUMN()),6)</f>
        <v>0</v>
      </c>
      <c r="CC127" s="625"/>
    </row>
    <row r="128" customFormat="false" ht="15" hidden="true" customHeight="true" outlineLevel="1" collapsed="false">
      <c r="A128" s="48" t="s">
        <v>845</v>
      </c>
      <c r="B128" s="55"/>
      <c r="C128" s="417" t="n">
        <f aca="false">ROUND(INDEX(SP_NGF_EBIT,0,COLUMN())-INDEX(MO_RIS_EBIT_Adj,0,COLUMN()),6)</f>
        <v>0</v>
      </c>
      <c r="D128" s="417" t="n">
        <f aca="false">ROUND(INDEX(SP_NGF_EBIT,0,COLUMN())-INDEX(MO_RIS_EBIT_Adj,0,COLUMN()),6)</f>
        <v>0</v>
      </c>
      <c r="E128" s="417" t="n">
        <f aca="false">ROUND(INDEX(SP_NGF_EBIT,0,COLUMN())-INDEX(MO_RIS_EBIT_Adj,0,COLUMN()),6)</f>
        <v>0</v>
      </c>
      <c r="F128" s="417" t="n">
        <f aca="false">ROUND(INDEX(SP_NGF_EBIT,0,COLUMN())-INDEX(MO_RIS_EBIT_Adj,0,COLUMN()),6)</f>
        <v>0</v>
      </c>
      <c r="G128" s="417" t="n">
        <f aca="false">ROUND(INDEX(SP_NGF_EBIT,0,COLUMN())-INDEX(MO_RIS_EBIT_Adj,0,COLUMN()),6)</f>
        <v>0</v>
      </c>
      <c r="H128" s="417" t="n">
        <f aca="false">ROUND(INDEX(SP_NGF_EBIT,0,COLUMN())-INDEX(MO_RIS_EBIT_Adj,0,COLUMN()),6)</f>
        <v>0</v>
      </c>
      <c r="I128" s="417" t="n">
        <f aca="false">ROUND(INDEX(SP_NGF_EBIT,0,COLUMN())-INDEX(MO_RIS_EBIT_Adj,0,COLUMN()),6)</f>
        <v>0</v>
      </c>
      <c r="J128" s="417" t="n">
        <f aca="false">ROUND(INDEX(SP_NGF_EBIT,0,COLUMN())-INDEX(MO_RIS_EBIT_Adj,0,COLUMN()),6)</f>
        <v>0</v>
      </c>
      <c r="K128" s="417" t="n">
        <f aca="false">ROUND(INDEX(SP_NGF_EBIT,0,COLUMN())-INDEX(MO_RIS_EBIT_Adj,0,COLUMN()),6)</f>
        <v>0</v>
      </c>
      <c r="L128" s="417" t="n">
        <f aca="false">ROUND(INDEX(SP_NGF_EBIT,0,COLUMN())-INDEX(MO_RIS_EBIT_Adj,0,COLUMN()),6)</f>
        <v>0</v>
      </c>
      <c r="M128" s="417" t="n">
        <f aca="false">ROUND(INDEX(SP_NGF_EBIT,0,COLUMN())-INDEX(MO_RIS_EBIT_Adj,0,COLUMN()),6)</f>
        <v>0</v>
      </c>
      <c r="N128" s="417" t="n">
        <f aca="false">ROUND(INDEX(SP_NGF_EBIT,0,COLUMN())-INDEX(MO_RIS_EBIT_Adj,0,COLUMN()),6)</f>
        <v>0</v>
      </c>
      <c r="O128" s="417" t="n">
        <f aca="false">ROUND(INDEX(SP_NGF_EBIT,0,COLUMN())-INDEX(MO_RIS_EBIT_Adj,0,COLUMN()),6)</f>
        <v>0</v>
      </c>
      <c r="P128" s="417" t="n">
        <f aca="false">ROUND(INDEX(SP_NGF_EBIT,0,COLUMN())-INDEX(MO_RIS_EBIT_Adj,0,COLUMN()),6)</f>
        <v>0</v>
      </c>
      <c r="Q128" s="417" t="n">
        <f aca="false">ROUND(INDEX(SP_NGF_EBIT,0,COLUMN())-INDEX(MO_RIS_EBIT_Adj,0,COLUMN()),6)</f>
        <v>0</v>
      </c>
      <c r="R128" s="417" t="n">
        <f aca="false">ROUND(INDEX(SP_NGF_EBIT,0,COLUMN())-INDEX(MO_RIS_EBIT_Adj,0,COLUMN()),6)</f>
        <v>0</v>
      </c>
      <c r="S128" s="417" t="n">
        <f aca="false">ROUND(INDEX(SP_NGF_EBIT,0,COLUMN())-INDEX(MO_RIS_EBIT_Adj,0,COLUMN()),6)</f>
        <v>0</v>
      </c>
      <c r="T128" s="417" t="n">
        <f aca="false">ROUND(INDEX(SP_NGF_EBIT,0,COLUMN())-INDEX(MO_RIS_EBIT_Adj,0,COLUMN()),6)</f>
        <v>0</v>
      </c>
      <c r="U128" s="417" t="n">
        <f aca="false">ROUND(INDEX(SP_NGF_EBIT,0,COLUMN())-INDEX(MO_RIS_EBIT_Adj,0,COLUMN()),6)</f>
        <v>0</v>
      </c>
      <c r="V128" s="417" t="n">
        <f aca="false">ROUND(INDEX(SP_NGF_EBIT,0,COLUMN())-INDEX(MO_RIS_EBIT_Adj,0,COLUMN()),6)</f>
        <v>0</v>
      </c>
      <c r="W128" s="417" t="n">
        <f aca="false">ROUND(INDEX(SP_NGF_EBIT,0,COLUMN())-INDEX(MO_RIS_EBIT_Adj,0,COLUMN()),6)</f>
        <v>0</v>
      </c>
      <c r="X128" s="417" t="n">
        <f aca="false">ROUND(INDEX(SP_NGF_EBIT,0,COLUMN())-INDEX(MO_RIS_EBIT_Adj,0,COLUMN()),6)</f>
        <v>0</v>
      </c>
      <c r="Y128" s="417" t="n">
        <f aca="false">ROUND(INDEX(SP_NGF_EBIT,0,COLUMN())-INDEX(MO_RIS_EBIT_Adj,0,COLUMN()),6)</f>
        <v>0</v>
      </c>
      <c r="Z128" s="417" t="n">
        <f aca="false">ROUND(INDEX(SP_NGF_EBIT,0,COLUMN())-INDEX(MO_RIS_EBIT_Adj,0,COLUMN()),6)</f>
        <v>0</v>
      </c>
      <c r="AA128" s="417" t="n">
        <f aca="false">ROUND(INDEX(SP_NGF_EBIT,0,COLUMN())-INDEX(MO_RIS_EBIT_Adj,0,COLUMN()),6)</f>
        <v>0</v>
      </c>
      <c r="AB128" s="417" t="n">
        <f aca="false">ROUND(INDEX(SP_NGF_EBIT,0,COLUMN())-INDEX(MO_RIS_EBIT_Adj,0,COLUMN()),6)</f>
        <v>0</v>
      </c>
      <c r="AC128" s="417" t="n">
        <f aca="false">ROUND(INDEX(SP_NGF_EBIT,0,COLUMN())-INDEX(MO_RIS_EBIT_Adj,0,COLUMN()),6)</f>
        <v>0</v>
      </c>
      <c r="AD128" s="417" t="n">
        <f aca="false">ROUND(INDEX(SP_NGF_EBIT,0,COLUMN())-INDEX(MO_RIS_EBIT_Adj,0,COLUMN()),6)</f>
        <v>0</v>
      </c>
      <c r="AE128" s="417" t="n">
        <f aca="false">ROUND(INDEX(SP_NGF_EBIT,0,COLUMN())-INDEX(MO_RIS_EBIT_Adj,0,COLUMN()),6)</f>
        <v>0</v>
      </c>
      <c r="AF128" s="417" t="n">
        <f aca="false">ROUND(INDEX(SP_NGF_EBIT,0,COLUMN())-INDEX(MO_RIS_EBIT_Adj,0,COLUMN()),6)</f>
        <v>0</v>
      </c>
      <c r="AG128" s="417" t="n">
        <f aca="false">ROUND(INDEX(SP_NGF_EBIT,0,COLUMN())-INDEX(MO_RIS_EBIT_Adj,0,COLUMN()),6)</f>
        <v>0</v>
      </c>
      <c r="AH128" s="417" t="n">
        <f aca="false">ROUND(INDEX(SP_NGF_EBIT,0,COLUMN())-INDEX(MO_RIS_EBIT_Adj,0,COLUMN()),6)</f>
        <v>0</v>
      </c>
      <c r="AI128" s="417" t="n">
        <f aca="false">ROUND(INDEX(SP_NGF_EBIT,0,COLUMN())-INDEX(MO_RIS_EBIT_Adj,0,COLUMN()),6)</f>
        <v>0</v>
      </c>
      <c r="AJ128" s="417" t="n">
        <f aca="false">ROUND(INDEX(SP_NGF_EBIT,0,COLUMN())-INDEX(MO_RIS_EBIT_Adj,0,COLUMN()),6)</f>
        <v>0</v>
      </c>
      <c r="AK128" s="417" t="n">
        <f aca="false">ROUND(INDEX(SP_NGF_EBIT,0,COLUMN())-INDEX(MO_RIS_EBIT_Adj,0,COLUMN()),6)</f>
        <v>0</v>
      </c>
      <c r="AL128" s="417" t="n">
        <f aca="false">ROUND(INDEX(SP_NGF_EBIT,0,COLUMN())-INDEX(MO_RIS_EBIT_Adj,0,COLUMN()),6)</f>
        <v>0</v>
      </c>
      <c r="AM128" s="417" t="n">
        <f aca="false">ROUND(INDEX(SP_NGF_EBIT,0,COLUMN())-INDEX(MO_RIS_EBIT_Adj,0,COLUMN()),6)</f>
        <v>0</v>
      </c>
      <c r="AN128" s="417" t="n">
        <f aca="false">ROUND(INDEX(SP_NGF_EBIT,0,COLUMN())-INDEX(MO_RIS_EBIT_Adj,0,COLUMN()),6)</f>
        <v>0</v>
      </c>
      <c r="AO128" s="417" t="n">
        <f aca="false">ROUND(INDEX(SP_NGF_EBIT,0,COLUMN())-INDEX(MO_RIS_EBIT_Adj,0,COLUMN()),6)</f>
        <v>0</v>
      </c>
      <c r="AP128" s="417" t="n">
        <f aca="false">ROUND(INDEX(SP_NGF_EBIT,0,COLUMN())-INDEX(MO_RIS_EBIT_Adj,0,COLUMN()),6)</f>
        <v>0</v>
      </c>
      <c r="AQ128" s="417" t="n">
        <f aca="false">ROUND(INDEX(SP_NGF_EBIT,0,COLUMN())-INDEX(MO_RIS_EBIT_Adj,0,COLUMN()),6)</f>
        <v>0</v>
      </c>
      <c r="AR128" s="417" t="n">
        <f aca="false">ROUND(INDEX(SP_NGF_EBIT,0,COLUMN())-INDEX(MO_RIS_EBIT_Adj,0,COLUMN()),6)</f>
        <v>0</v>
      </c>
      <c r="AS128" s="417" t="n">
        <f aca="false">ROUND(INDEX(SP_NGF_EBIT,0,COLUMN())-INDEX(MO_RIS_EBIT_Adj,0,COLUMN()),6)</f>
        <v>0</v>
      </c>
      <c r="AT128" s="417" t="n">
        <f aca="false">ROUND(INDEX(SP_NGF_EBIT,0,COLUMN())-INDEX(MO_RIS_EBIT_Adj,0,COLUMN()),6)</f>
        <v>0</v>
      </c>
      <c r="AU128" s="417" t="n">
        <f aca="false">ROUND(INDEX(SP_NGF_EBIT,0,COLUMN())-INDEX(MO_RIS_EBIT_Adj,0,COLUMN()),6)</f>
        <v>0</v>
      </c>
      <c r="AV128" s="417" t="n">
        <f aca="false">ROUND(INDEX(SP_NGF_EBIT,0,COLUMN())-INDEX(MO_RIS_EBIT_Adj,0,COLUMN()),6)</f>
        <v>0</v>
      </c>
      <c r="AW128" s="417" t="n">
        <f aca="false">ROUND(INDEX(SP_NGF_EBIT,0,COLUMN())-INDEX(MO_RIS_EBIT_Adj,0,COLUMN()),6)</f>
        <v>0</v>
      </c>
      <c r="AX128" s="417" t="n">
        <f aca="false">ROUND(INDEX(SP_NGF_EBIT,0,COLUMN())-INDEX(MO_RIS_EBIT_Adj,0,COLUMN()),6)</f>
        <v>0</v>
      </c>
      <c r="AY128" s="417" t="n">
        <f aca="false">ROUND(INDEX(SP_NGF_EBIT,0,COLUMN())-INDEX(MO_RIS_EBIT_Adj,0,COLUMN()),6)</f>
        <v>0</v>
      </c>
      <c r="AZ128" s="417" t="n">
        <f aca="false">ROUND(INDEX(SP_NGF_EBIT,0,COLUMN())-INDEX(MO_RIS_EBIT_Adj,0,COLUMN()),6)</f>
        <v>0</v>
      </c>
      <c r="BA128" s="417" t="n">
        <f aca="false">ROUND(INDEX(SP_NGF_EBIT,0,COLUMN())-INDEX(MO_RIS_EBIT_Adj,0,COLUMN()),6)</f>
        <v>0</v>
      </c>
      <c r="BB128" s="417" t="n">
        <f aca="false">ROUND(INDEX(SP_NGF_EBIT,0,COLUMN())-INDEX(MO_RIS_EBIT_Adj,0,COLUMN()),6)</f>
        <v>0</v>
      </c>
      <c r="BC128" s="417" t="n">
        <f aca="false">ROUND(INDEX(SP_NGF_EBIT,0,COLUMN())-INDEX(MO_RIS_EBIT_Adj,0,COLUMN()),6)</f>
        <v>0</v>
      </c>
      <c r="BD128" s="417" t="n">
        <f aca="false">ROUND(INDEX(SP_NGF_EBIT,0,COLUMN())-INDEX(MO_RIS_EBIT_Adj,0,COLUMN()),6)</f>
        <v>0</v>
      </c>
      <c r="BE128" s="417" t="n">
        <f aca="false">ROUND(INDEX(SP_NGF_EBIT,0,COLUMN())-INDEX(MO_RIS_EBIT_Adj,0,COLUMN()),6)</f>
        <v>0</v>
      </c>
      <c r="BF128" s="417" t="n">
        <f aca="false">ROUND(INDEX(SP_NGF_EBIT,0,COLUMN())-INDEX(MO_RIS_EBIT_Adj,0,COLUMN()),6)</f>
        <v>0</v>
      </c>
      <c r="BG128" s="417" t="n">
        <f aca="false">ROUND(INDEX(SP_NGF_EBIT,0,COLUMN())-INDEX(MO_RIS_EBIT_Adj,0,COLUMN()),6)</f>
        <v>0</v>
      </c>
      <c r="BH128" s="417" t="n">
        <f aca="false">ROUND(INDEX(SP_NGF_EBIT,0,COLUMN())-INDEX(MO_RIS_EBIT_Adj,0,COLUMN()),6)</f>
        <v>0</v>
      </c>
      <c r="BI128" s="417" t="n">
        <f aca="false">ROUND(INDEX(SP_NGF_EBIT,0,COLUMN())-INDEX(MO_RIS_EBIT_Adj,0,COLUMN()),6)</f>
        <v>0</v>
      </c>
      <c r="BJ128" s="417" t="n">
        <f aca="false">ROUND(INDEX(SP_NGF_EBIT,0,COLUMN())-INDEX(MO_RIS_EBIT_Adj,0,COLUMN()),6)</f>
        <v>0</v>
      </c>
      <c r="BK128" s="417" t="n">
        <f aca="false">ROUND(INDEX(SP_NGF_EBIT,0,COLUMN())-INDEX(MO_RIS_EBIT_Adj,0,COLUMN()),6)</f>
        <v>0</v>
      </c>
      <c r="BL128" s="417" t="n">
        <f aca="false">ROUND(INDEX(SP_NGF_EBIT,0,COLUMN())-INDEX(MO_RIS_EBIT_Adj,0,COLUMN()),6)</f>
        <v>0</v>
      </c>
      <c r="BM128" s="417" t="n">
        <f aca="false">ROUND(INDEX(SP_NGF_EBIT,0,COLUMN())-INDEX(MO_RIS_EBIT_Adj,0,COLUMN()),6)</f>
        <v>0</v>
      </c>
      <c r="BN128" s="417" t="n">
        <f aca="false">ROUND(INDEX(SP_NGF_EBIT,0,COLUMN())-INDEX(MO_RIS_EBIT_Adj,0,COLUMN()),6)</f>
        <v>0</v>
      </c>
      <c r="BO128" s="418" t="n">
        <f aca="false">ROUND(INDEX(SP_NGF_EBIT,0,COLUMN())-INDEX(MO_RIS_EBIT_Adj,0,COLUMN()),6)</f>
        <v>0</v>
      </c>
      <c r="BP128" s="417" t="n">
        <f aca="false">ROUND(INDEX(SP_NGF_EBIT,0,COLUMN())-INDEX(MO_RIS_EBIT_Adj,0,COLUMN()),6)</f>
        <v>0</v>
      </c>
      <c r="BQ128" s="417" t="n">
        <f aca="false">ROUND(INDEX(SP_NGF_EBIT,0,COLUMN())-INDEX(MO_RIS_EBIT_Adj,0,COLUMN()),6)</f>
        <v>0</v>
      </c>
      <c r="BR128" s="417" t="n">
        <f aca="false">ROUND(INDEX(SP_NGF_EBIT,0,COLUMN())-INDEX(MO_RIS_EBIT_Adj,0,COLUMN()),6)</f>
        <v>0</v>
      </c>
      <c r="BS128" s="417" t="n">
        <f aca="false">ROUND(INDEX(SP_NGF_EBIT,0,COLUMN())-INDEX(MO_RIS_EBIT_Adj,0,COLUMN()),6)</f>
        <v>0</v>
      </c>
      <c r="BT128" s="417" t="n">
        <f aca="false">ROUND(INDEX(SP_NGF_EBIT,0,COLUMN())-INDEX(MO_RIS_EBIT_Adj,0,COLUMN()),6)</f>
        <v>0</v>
      </c>
      <c r="BU128" s="417" t="n">
        <f aca="false">ROUND(INDEX(SP_NGF_EBIT,0,COLUMN())-INDEX(MO_RIS_EBIT_Adj,0,COLUMN()),6)</f>
        <v>0</v>
      </c>
      <c r="BV128" s="417" t="n">
        <f aca="false">ROUND(INDEX(SP_NGF_EBIT,0,COLUMN())-INDEX(MO_RIS_EBIT_Adj,0,COLUMN()),6)</f>
        <v>0</v>
      </c>
      <c r="BW128" s="417" t="n">
        <f aca="false">ROUND(INDEX(SP_NGF_EBIT,0,COLUMN())-INDEX(MO_RIS_EBIT_Adj,0,COLUMN()),6)</f>
        <v>0</v>
      </c>
      <c r="BX128" s="417" t="n">
        <f aca="false">ROUND(INDEX(SP_NGF_EBIT,0,COLUMN())-INDEX(MO_RIS_EBIT_Adj,0,COLUMN()),6)</f>
        <v>0</v>
      </c>
      <c r="BY128" s="417" t="n">
        <f aca="false">ROUND(INDEX(SP_NGF_EBIT,0,COLUMN())-INDEX(MO_RIS_EBIT_Adj,0,COLUMN()),6)</f>
        <v>0</v>
      </c>
      <c r="BZ128" s="417" t="n">
        <f aca="false">ROUND(INDEX(SP_NGF_EBIT,0,COLUMN())-INDEX(MO_RIS_EBIT_Adj,0,COLUMN()),6)</f>
        <v>0</v>
      </c>
      <c r="CA128" s="417" t="n">
        <f aca="false">ROUND(INDEX(SP_NGF_EBIT,0,COLUMN())-INDEX(MO_RIS_EBIT_Adj,0,COLUMN()),6)</f>
        <v>0</v>
      </c>
      <c r="CB128" s="417" t="n">
        <f aca="false">ROUND(INDEX(SP_NGF_EBIT,0,COLUMN())-INDEX(MO_RIS_EBIT_Adj,0,COLUMN()),6)</f>
        <v>0</v>
      </c>
      <c r="CC128" s="625"/>
    </row>
    <row r="129" customFormat="false" ht="15" hidden="true" customHeight="true" outlineLevel="1" collapsed="false">
      <c r="A129" s="48" t="s">
        <v>846</v>
      </c>
      <c r="B129" s="55"/>
      <c r="C129" s="417" t="n">
        <f aca="false">ROUND(INDEX(SP_NGF_NI,0,COLUMN())-INDEX(MO_RIS_NI_NONGAAP_Diluted,0,COLUMN()),6)</f>
        <v>0</v>
      </c>
      <c r="D129" s="417" t="n">
        <f aca="false">ROUND(INDEX(SP_NGF_NI,0,COLUMN())-INDEX(MO_RIS_NI_NONGAAP_Diluted,0,COLUMN()),6)</f>
        <v>0</v>
      </c>
      <c r="E129" s="417" t="n">
        <f aca="false">ROUND(INDEX(SP_NGF_NI,0,COLUMN())-INDEX(MO_RIS_NI_NONGAAP_Diluted,0,COLUMN()),6)</f>
        <v>0</v>
      </c>
      <c r="F129" s="417" t="n">
        <f aca="false">ROUND(INDEX(SP_NGF_NI,0,COLUMN())-INDEX(MO_RIS_NI_NONGAAP_Diluted,0,COLUMN()),6)</f>
        <v>0</v>
      </c>
      <c r="G129" s="417" t="n">
        <f aca="false">ROUND(INDEX(SP_NGF_NI,0,COLUMN())-INDEX(MO_RIS_NI_NONGAAP_Diluted,0,COLUMN()),6)</f>
        <v>0</v>
      </c>
      <c r="H129" s="417" t="n">
        <f aca="false">ROUND(INDEX(SP_NGF_NI,0,COLUMN())-INDEX(MO_RIS_NI_NONGAAP_Diluted,0,COLUMN()),6)</f>
        <v>0</v>
      </c>
      <c r="I129" s="417" t="n">
        <f aca="false">ROUND(INDEX(SP_NGF_NI,0,COLUMN())-INDEX(MO_RIS_NI_NONGAAP_Diluted,0,COLUMN()),6)</f>
        <v>0</v>
      </c>
      <c r="J129" s="417" t="n">
        <f aca="false">ROUND(INDEX(SP_NGF_NI,0,COLUMN())-INDEX(MO_RIS_NI_NONGAAP_Diluted,0,COLUMN()),6)</f>
        <v>0</v>
      </c>
      <c r="K129" s="417" t="n">
        <f aca="false">ROUND(INDEX(SP_NGF_NI,0,COLUMN())-INDEX(MO_RIS_NI_NONGAAP_Diluted,0,COLUMN()),6)</f>
        <v>0</v>
      </c>
      <c r="L129" s="417" t="n">
        <f aca="false">ROUND(INDEX(SP_NGF_NI,0,COLUMN())-INDEX(MO_RIS_NI_NONGAAP_Diluted,0,COLUMN()),6)</f>
        <v>0</v>
      </c>
      <c r="M129" s="417" t="n">
        <f aca="false">ROUND(INDEX(SP_NGF_NI,0,COLUMN())-INDEX(MO_RIS_NI_NONGAAP_Diluted,0,COLUMN()),6)</f>
        <v>0</v>
      </c>
      <c r="N129" s="417" t="n">
        <f aca="false">ROUND(INDEX(SP_NGF_NI,0,COLUMN())-INDEX(MO_RIS_NI_NONGAAP_Diluted,0,COLUMN()),6)</f>
        <v>0</v>
      </c>
      <c r="O129" s="417" t="n">
        <f aca="false">ROUND(INDEX(SP_NGF_NI,0,COLUMN())-INDEX(MO_RIS_NI_NONGAAP_Diluted,0,COLUMN()),6)</f>
        <v>0</v>
      </c>
      <c r="P129" s="417" t="n">
        <f aca="false">ROUND(INDEX(SP_NGF_NI,0,COLUMN())-INDEX(MO_RIS_NI_NONGAAP_Diluted,0,COLUMN()),6)</f>
        <v>0</v>
      </c>
      <c r="Q129" s="417" t="n">
        <f aca="false">ROUND(INDEX(SP_NGF_NI,0,COLUMN())-INDEX(MO_RIS_NI_NONGAAP_Diluted,0,COLUMN()),6)</f>
        <v>0</v>
      </c>
      <c r="R129" s="417" t="n">
        <f aca="false">ROUND(INDEX(SP_NGF_NI,0,COLUMN())-INDEX(MO_RIS_NI_NONGAAP_Diluted,0,COLUMN()),6)</f>
        <v>0</v>
      </c>
      <c r="S129" s="417" t="n">
        <f aca="false">ROUND(INDEX(SP_NGF_NI,0,COLUMN())-INDEX(MO_RIS_NI_NONGAAP_Diluted,0,COLUMN()),6)</f>
        <v>0</v>
      </c>
      <c r="T129" s="417" t="n">
        <f aca="false">ROUND(INDEX(SP_NGF_NI,0,COLUMN())-INDEX(MO_RIS_NI_NONGAAP_Diluted,0,COLUMN()),6)</f>
        <v>0</v>
      </c>
      <c r="U129" s="417" t="n">
        <f aca="false">ROUND(INDEX(SP_NGF_NI,0,COLUMN())-INDEX(MO_RIS_NI_NONGAAP_Diluted,0,COLUMN()),6)</f>
        <v>0</v>
      </c>
      <c r="V129" s="417" t="n">
        <f aca="false">ROUND(INDEX(SP_NGF_NI,0,COLUMN())-INDEX(MO_RIS_NI_NONGAAP_Diluted,0,COLUMN()),6)</f>
        <v>0</v>
      </c>
      <c r="W129" s="417" t="n">
        <f aca="false">ROUND(INDEX(SP_NGF_NI,0,COLUMN())-INDEX(MO_RIS_NI_NONGAAP_Diluted,0,COLUMN()),6)</f>
        <v>0</v>
      </c>
      <c r="X129" s="417" t="n">
        <f aca="false">ROUND(INDEX(SP_NGF_NI,0,COLUMN())-INDEX(MO_RIS_NI_NONGAAP_Diluted,0,COLUMN()),6)</f>
        <v>0</v>
      </c>
      <c r="Y129" s="417" t="n">
        <f aca="false">ROUND(INDEX(SP_NGF_NI,0,COLUMN())-INDEX(MO_RIS_NI_NONGAAP_Diluted,0,COLUMN()),6)</f>
        <v>0</v>
      </c>
      <c r="Z129" s="417" t="n">
        <f aca="false">ROUND(INDEX(SP_NGF_NI,0,COLUMN())-INDEX(MO_RIS_NI_NONGAAP_Diluted,0,COLUMN()),6)</f>
        <v>0</v>
      </c>
      <c r="AA129" s="417" t="n">
        <f aca="false">ROUND(INDEX(SP_NGF_NI,0,COLUMN())-INDEX(MO_RIS_NI_NONGAAP_Diluted,0,COLUMN()),6)</f>
        <v>0</v>
      </c>
      <c r="AB129" s="417" t="n">
        <f aca="false">ROUND(INDEX(SP_NGF_NI,0,COLUMN())-INDEX(MO_RIS_NI_NONGAAP_Diluted,0,COLUMN()),6)</f>
        <v>0</v>
      </c>
      <c r="AC129" s="417" t="n">
        <f aca="false">ROUND(INDEX(SP_NGF_NI,0,COLUMN())-INDEX(MO_RIS_NI_NONGAAP_Diluted,0,COLUMN()),6)</f>
        <v>0</v>
      </c>
      <c r="AD129" s="417" t="n">
        <f aca="false">ROUND(INDEX(SP_NGF_NI,0,COLUMN())-INDEX(MO_RIS_NI_NONGAAP_Diluted,0,COLUMN()),6)</f>
        <v>0</v>
      </c>
      <c r="AE129" s="417" t="n">
        <f aca="false">ROUND(INDEX(SP_NGF_NI,0,COLUMN())-INDEX(MO_RIS_NI_NONGAAP_Diluted,0,COLUMN()),6)</f>
        <v>0</v>
      </c>
      <c r="AF129" s="417" t="n">
        <f aca="false">ROUND(INDEX(SP_NGF_NI,0,COLUMN())-INDEX(MO_RIS_NI_NONGAAP_Diluted,0,COLUMN()),6)</f>
        <v>0</v>
      </c>
      <c r="AG129" s="417" t="n">
        <f aca="false">ROUND(INDEX(SP_NGF_NI,0,COLUMN())-INDEX(MO_RIS_NI_NONGAAP_Diluted,0,COLUMN()),6)</f>
        <v>0</v>
      </c>
      <c r="AH129" s="417" t="n">
        <f aca="false">ROUND(INDEX(SP_NGF_NI,0,COLUMN())-INDEX(MO_RIS_NI_NONGAAP_Diluted,0,COLUMN()),6)</f>
        <v>0</v>
      </c>
      <c r="AI129" s="417" t="n">
        <f aca="false">ROUND(INDEX(SP_NGF_NI,0,COLUMN())-INDEX(MO_RIS_NI_NONGAAP_Diluted,0,COLUMN()),6)</f>
        <v>0</v>
      </c>
      <c r="AJ129" s="417" t="n">
        <f aca="false">ROUND(INDEX(SP_NGF_NI,0,COLUMN())-INDEX(MO_RIS_NI_NONGAAP_Diluted,0,COLUMN()),6)</f>
        <v>0</v>
      </c>
      <c r="AK129" s="417" t="n">
        <f aca="false">ROUND(INDEX(SP_NGF_NI,0,COLUMN())-INDEX(MO_RIS_NI_NONGAAP_Diluted,0,COLUMN()),6)</f>
        <v>0</v>
      </c>
      <c r="AL129" s="417" t="n">
        <f aca="false">ROUND(INDEX(SP_NGF_NI,0,COLUMN())-INDEX(MO_RIS_NI_NONGAAP_Diluted,0,COLUMN()),6)</f>
        <v>0</v>
      </c>
      <c r="AM129" s="417" t="n">
        <f aca="false">ROUND(INDEX(SP_NGF_NI,0,COLUMN())-INDEX(MO_RIS_NI_NONGAAP_Diluted,0,COLUMN()),6)</f>
        <v>0</v>
      </c>
      <c r="AN129" s="417" t="n">
        <f aca="false">ROUND(INDEX(SP_NGF_NI,0,COLUMN())-INDEX(MO_RIS_NI_NONGAAP_Diluted,0,COLUMN()),6)</f>
        <v>0</v>
      </c>
      <c r="AO129" s="417" t="n">
        <f aca="false">ROUND(INDEX(SP_NGF_NI,0,COLUMN())-INDEX(MO_RIS_NI_NONGAAP_Diluted,0,COLUMN()),6)</f>
        <v>0</v>
      </c>
      <c r="AP129" s="417" t="n">
        <f aca="false">ROUND(INDEX(SP_NGF_NI,0,COLUMN())-INDEX(MO_RIS_NI_NONGAAP_Diluted,0,COLUMN()),6)</f>
        <v>0</v>
      </c>
      <c r="AQ129" s="417" t="n">
        <f aca="false">ROUND(INDEX(SP_NGF_NI,0,COLUMN())-INDEX(MO_RIS_NI_NONGAAP_Diluted,0,COLUMN()),6)</f>
        <v>0</v>
      </c>
      <c r="AR129" s="417" t="n">
        <f aca="false">ROUND(INDEX(SP_NGF_NI,0,COLUMN())-INDEX(MO_RIS_NI_NONGAAP_Diluted,0,COLUMN()),6)</f>
        <v>0</v>
      </c>
      <c r="AS129" s="417" t="n">
        <f aca="false">ROUND(INDEX(SP_NGF_NI,0,COLUMN())-INDEX(MO_RIS_NI_NONGAAP_Diluted,0,COLUMN()),6)</f>
        <v>0</v>
      </c>
      <c r="AT129" s="417" t="n">
        <f aca="false">ROUND(INDEX(SP_NGF_NI,0,COLUMN())-INDEX(MO_RIS_NI_NONGAAP_Diluted,0,COLUMN()),6)</f>
        <v>0</v>
      </c>
      <c r="AU129" s="417" t="n">
        <f aca="false">ROUND(INDEX(SP_NGF_NI,0,COLUMN())-INDEX(MO_RIS_NI_NONGAAP_Diluted,0,COLUMN()),6)</f>
        <v>0</v>
      </c>
      <c r="AV129" s="417" t="n">
        <f aca="false">ROUND(INDEX(SP_NGF_NI,0,COLUMN())-INDEX(MO_RIS_NI_NONGAAP_Diluted,0,COLUMN()),6)</f>
        <v>0</v>
      </c>
      <c r="AW129" s="417" t="n">
        <f aca="false">ROUND(INDEX(SP_NGF_NI,0,COLUMN())-INDEX(MO_RIS_NI_NONGAAP_Diluted,0,COLUMN()),6)</f>
        <v>0</v>
      </c>
      <c r="AX129" s="417" t="n">
        <f aca="false">ROUND(INDEX(SP_NGF_NI,0,COLUMN())-INDEX(MO_RIS_NI_NONGAAP_Diluted,0,COLUMN()),6)</f>
        <v>0</v>
      </c>
      <c r="AY129" s="417" t="n">
        <f aca="false">ROUND(INDEX(SP_NGF_NI,0,COLUMN())-INDEX(MO_RIS_NI_NONGAAP_Diluted,0,COLUMN()),6)</f>
        <v>0</v>
      </c>
      <c r="AZ129" s="417" t="n">
        <f aca="false">ROUND(INDEX(SP_NGF_NI,0,COLUMN())-INDEX(MO_RIS_NI_NONGAAP_Diluted,0,COLUMN()),6)</f>
        <v>0</v>
      </c>
      <c r="BA129" s="417" t="n">
        <f aca="false">ROUND(INDEX(SP_NGF_NI,0,COLUMN())-INDEX(MO_RIS_NI_NONGAAP_Diluted,0,COLUMN()),6)</f>
        <v>0</v>
      </c>
      <c r="BB129" s="417" t="n">
        <f aca="false">ROUND(INDEX(SP_NGF_NI,0,COLUMN())-INDEX(MO_RIS_NI_NONGAAP_Diluted,0,COLUMN()),6)</f>
        <v>0</v>
      </c>
      <c r="BC129" s="417" t="n">
        <f aca="false">ROUND(INDEX(SP_NGF_NI,0,COLUMN())-INDEX(MO_RIS_NI_NONGAAP_Diluted,0,COLUMN()),6)</f>
        <v>0</v>
      </c>
      <c r="BD129" s="417" t="n">
        <f aca="false">ROUND(INDEX(SP_NGF_NI,0,COLUMN())-INDEX(MO_RIS_NI_NONGAAP_Diluted,0,COLUMN()),6)</f>
        <v>0</v>
      </c>
      <c r="BE129" s="417" t="n">
        <f aca="false">ROUND(INDEX(SP_NGF_NI,0,COLUMN())-INDEX(MO_RIS_NI_NONGAAP_Diluted,0,COLUMN()),6)</f>
        <v>0</v>
      </c>
      <c r="BF129" s="417" t="n">
        <f aca="false">ROUND(INDEX(SP_NGF_NI,0,COLUMN())-INDEX(MO_RIS_NI_NONGAAP_Diluted,0,COLUMN()),6)</f>
        <v>0</v>
      </c>
      <c r="BG129" s="417" t="n">
        <f aca="false">ROUND(INDEX(SP_NGF_NI,0,COLUMN())-INDEX(MO_RIS_NI_NONGAAP_Diluted,0,COLUMN()),6)</f>
        <v>0</v>
      </c>
      <c r="BH129" s="417" t="n">
        <f aca="false">ROUND(INDEX(SP_NGF_NI,0,COLUMN())-INDEX(MO_RIS_NI_NONGAAP_Diluted,0,COLUMN()),6)</f>
        <v>0</v>
      </c>
      <c r="BI129" s="417" t="n">
        <f aca="false">ROUND(INDEX(SP_NGF_NI,0,COLUMN())-INDEX(MO_RIS_NI_NONGAAP_Diluted,0,COLUMN()),6)</f>
        <v>0</v>
      </c>
      <c r="BJ129" s="417" t="n">
        <f aca="false">ROUND(INDEX(SP_NGF_NI,0,COLUMN())-INDEX(MO_RIS_NI_NONGAAP_Diluted,0,COLUMN()),6)</f>
        <v>0</v>
      </c>
      <c r="BK129" s="417" t="n">
        <f aca="false">ROUND(INDEX(SP_NGF_NI,0,COLUMN())-INDEX(MO_RIS_NI_NONGAAP_Diluted,0,COLUMN()),6)</f>
        <v>0</v>
      </c>
      <c r="BL129" s="417" t="n">
        <f aca="false">ROUND(INDEX(SP_NGF_NI,0,COLUMN())-INDEX(MO_RIS_NI_NONGAAP_Diluted,0,COLUMN()),6)</f>
        <v>0</v>
      </c>
      <c r="BM129" s="417" t="n">
        <f aca="false">ROUND(INDEX(SP_NGF_NI,0,COLUMN())-INDEX(MO_RIS_NI_NONGAAP_Diluted,0,COLUMN()),6)</f>
        <v>0</v>
      </c>
      <c r="BN129" s="417" t="n">
        <f aca="false">ROUND(INDEX(SP_NGF_NI,0,COLUMN())-INDEX(MO_RIS_NI_NONGAAP_Diluted,0,COLUMN()),6)</f>
        <v>0</v>
      </c>
      <c r="BO129" s="418" t="n">
        <f aca="false">ROUND(INDEX(SP_NGF_NI,0,COLUMN())-INDEX(MO_RIS_NI_NONGAAP_Diluted,0,COLUMN()),6)</f>
        <v>0</v>
      </c>
      <c r="BP129" s="417" t="n">
        <f aca="false">ROUND(INDEX(SP_NGF_NI,0,COLUMN())-INDEX(MO_RIS_NI_NONGAAP_Diluted,0,COLUMN()),6)</f>
        <v>0</v>
      </c>
      <c r="BQ129" s="417" t="n">
        <f aca="false">ROUND(INDEX(SP_NGF_NI,0,COLUMN())-INDEX(MO_RIS_NI_NONGAAP_Diluted,0,COLUMN()),6)</f>
        <v>0</v>
      </c>
      <c r="BR129" s="417" t="n">
        <f aca="false">ROUND(INDEX(SP_NGF_NI,0,COLUMN())-INDEX(MO_RIS_NI_NONGAAP_Diluted,0,COLUMN()),6)</f>
        <v>0</v>
      </c>
      <c r="BS129" s="417" t="n">
        <f aca="false">ROUND(INDEX(SP_NGF_NI,0,COLUMN())-INDEX(MO_RIS_NI_NONGAAP_Diluted,0,COLUMN()),6)</f>
        <v>0</v>
      </c>
      <c r="BT129" s="417" t="n">
        <f aca="false">ROUND(INDEX(SP_NGF_NI,0,COLUMN())-INDEX(MO_RIS_NI_NONGAAP_Diluted,0,COLUMN()),6)</f>
        <v>0</v>
      </c>
      <c r="BU129" s="417" t="n">
        <f aca="false">ROUND(INDEX(SP_NGF_NI,0,COLUMN())-INDEX(MO_RIS_NI_NONGAAP_Diluted,0,COLUMN()),6)</f>
        <v>0</v>
      </c>
      <c r="BV129" s="417" t="n">
        <f aca="false">ROUND(INDEX(SP_NGF_NI,0,COLUMN())-INDEX(MO_RIS_NI_NONGAAP_Diluted,0,COLUMN()),6)</f>
        <v>0</v>
      </c>
      <c r="BW129" s="417" t="n">
        <f aca="false">ROUND(INDEX(SP_NGF_NI,0,COLUMN())-INDEX(MO_RIS_NI_NONGAAP_Diluted,0,COLUMN()),6)</f>
        <v>0</v>
      </c>
      <c r="BX129" s="417" t="n">
        <f aca="false">ROUND(INDEX(SP_NGF_NI,0,COLUMN())-INDEX(MO_RIS_NI_NONGAAP_Diluted,0,COLUMN()),6)</f>
        <v>0</v>
      </c>
      <c r="BY129" s="417" t="n">
        <f aca="false">ROUND(INDEX(SP_NGF_NI,0,COLUMN())-INDEX(MO_RIS_NI_NONGAAP_Diluted,0,COLUMN()),6)</f>
        <v>0</v>
      </c>
      <c r="BZ129" s="417" t="n">
        <f aca="false">ROUND(INDEX(SP_NGF_NI,0,COLUMN())-INDEX(MO_RIS_NI_NONGAAP_Diluted,0,COLUMN()),6)</f>
        <v>0</v>
      </c>
      <c r="CA129" s="417" t="n">
        <f aca="false">ROUND(INDEX(SP_NGF_NI,0,COLUMN())-INDEX(MO_RIS_NI_NONGAAP_Diluted,0,COLUMN()),6)</f>
        <v>0</v>
      </c>
      <c r="CB129" s="417" t="n">
        <f aca="false">ROUND(INDEX(SP_NGF_NI,0,COLUMN())-INDEX(MO_RIS_NI_NONGAAP_Diluted,0,COLUMN()),6)</f>
        <v>0</v>
      </c>
      <c r="CC129" s="625"/>
    </row>
    <row r="130" customFormat="false" ht="15" hidden="true" customHeight="true" outlineLevel="1" collapsed="false">
      <c r="A130" s="48" t="s">
        <v>847</v>
      </c>
      <c r="B130" s="55"/>
      <c r="C130" s="417" t="n">
        <f aca="false">ROUND(INDEX(SP_GF_NI,0,COLUMN())-INDEX(MO_RIS_NI_GAAP_Basic,0,COLUMN()),6)</f>
        <v>0</v>
      </c>
      <c r="D130" s="417" t="n">
        <f aca="false">ROUND(INDEX(SP_GF_NI,0,COLUMN())-INDEX(MO_RIS_NI_GAAP_Basic,0,COLUMN()),6)</f>
        <v>0</v>
      </c>
      <c r="E130" s="417" t="n">
        <f aca="false">ROUND(INDEX(SP_GF_NI,0,COLUMN())-INDEX(MO_RIS_NI_GAAP_Basic,0,COLUMN()),6)</f>
        <v>0</v>
      </c>
      <c r="F130" s="417" t="n">
        <f aca="false">ROUND(INDEX(SP_GF_NI,0,COLUMN())-INDEX(MO_RIS_NI_GAAP_Basic,0,COLUMN()),6)</f>
        <v>0</v>
      </c>
      <c r="G130" s="417" t="n">
        <f aca="false">ROUND(INDEX(SP_GF_NI,0,COLUMN())-INDEX(MO_RIS_NI_GAAP_Basic,0,COLUMN()),6)</f>
        <v>0</v>
      </c>
      <c r="H130" s="417" t="n">
        <f aca="false">ROUND(INDEX(SP_GF_NI,0,COLUMN())-INDEX(MO_RIS_NI_GAAP_Basic,0,COLUMN()),6)</f>
        <v>0</v>
      </c>
      <c r="I130" s="417" t="n">
        <f aca="false">ROUND(INDEX(SP_GF_NI,0,COLUMN())-INDEX(MO_RIS_NI_GAAP_Basic,0,COLUMN()),6)</f>
        <v>0</v>
      </c>
      <c r="J130" s="417" t="n">
        <f aca="false">ROUND(INDEX(SP_GF_NI,0,COLUMN())-INDEX(MO_RIS_NI_GAAP_Basic,0,COLUMN()),6)</f>
        <v>0</v>
      </c>
      <c r="K130" s="417" t="n">
        <f aca="false">ROUND(INDEX(SP_GF_NI,0,COLUMN())-INDEX(MO_RIS_NI_GAAP_Basic,0,COLUMN()),6)</f>
        <v>0</v>
      </c>
      <c r="L130" s="417" t="n">
        <f aca="false">ROUND(INDEX(SP_GF_NI,0,COLUMN())-INDEX(MO_RIS_NI_GAAP_Basic,0,COLUMN()),6)</f>
        <v>0</v>
      </c>
      <c r="M130" s="417" t="n">
        <f aca="false">ROUND(INDEX(SP_GF_NI,0,COLUMN())-INDEX(MO_RIS_NI_GAAP_Basic,0,COLUMN()),6)</f>
        <v>0</v>
      </c>
      <c r="N130" s="417" t="n">
        <f aca="false">ROUND(INDEX(SP_GF_NI,0,COLUMN())-INDEX(MO_RIS_NI_GAAP_Basic,0,COLUMN()),6)</f>
        <v>0</v>
      </c>
      <c r="O130" s="417" t="n">
        <f aca="false">ROUND(INDEX(SP_GF_NI,0,COLUMN())-INDEX(MO_RIS_NI_GAAP_Basic,0,COLUMN()),6)</f>
        <v>0</v>
      </c>
      <c r="P130" s="417" t="n">
        <f aca="false">ROUND(INDEX(SP_GF_NI,0,COLUMN())-INDEX(MO_RIS_NI_GAAP_Basic,0,COLUMN()),6)</f>
        <v>0</v>
      </c>
      <c r="Q130" s="417" t="n">
        <f aca="false">ROUND(INDEX(SP_GF_NI,0,COLUMN())-INDEX(MO_RIS_NI_GAAP_Basic,0,COLUMN()),6)</f>
        <v>0</v>
      </c>
      <c r="R130" s="417" t="n">
        <f aca="false">ROUND(INDEX(SP_GF_NI,0,COLUMN())-INDEX(MO_RIS_NI_GAAP_Basic,0,COLUMN()),6)</f>
        <v>0</v>
      </c>
      <c r="S130" s="417" t="n">
        <f aca="false">ROUND(INDEX(SP_GF_NI,0,COLUMN())-INDEX(MO_RIS_NI_GAAP_Basic,0,COLUMN()),6)</f>
        <v>0</v>
      </c>
      <c r="T130" s="417" t="n">
        <f aca="false">ROUND(INDEX(SP_GF_NI,0,COLUMN())-INDEX(MO_RIS_NI_GAAP_Basic,0,COLUMN()),6)</f>
        <v>0</v>
      </c>
      <c r="U130" s="417" t="n">
        <f aca="false">ROUND(INDEX(SP_GF_NI,0,COLUMN())-INDEX(MO_RIS_NI_GAAP_Basic,0,COLUMN()),6)</f>
        <v>0</v>
      </c>
      <c r="V130" s="417" t="n">
        <f aca="false">ROUND(INDEX(SP_GF_NI,0,COLUMN())-INDEX(MO_RIS_NI_GAAP_Basic,0,COLUMN()),6)</f>
        <v>0</v>
      </c>
      <c r="W130" s="417" t="n">
        <f aca="false">ROUND(INDEX(SP_GF_NI,0,COLUMN())-INDEX(MO_RIS_NI_GAAP_Basic,0,COLUMN()),6)</f>
        <v>0</v>
      </c>
      <c r="X130" s="417" t="n">
        <f aca="false">ROUND(INDEX(SP_GF_NI,0,COLUMN())-INDEX(MO_RIS_NI_GAAP_Basic,0,COLUMN()),6)</f>
        <v>0</v>
      </c>
      <c r="Y130" s="417" t="n">
        <f aca="false">ROUND(INDEX(SP_GF_NI,0,COLUMN())-INDEX(MO_RIS_NI_GAAP_Basic,0,COLUMN()),6)</f>
        <v>0</v>
      </c>
      <c r="Z130" s="417" t="n">
        <f aca="false">ROUND(INDEX(SP_GF_NI,0,COLUMN())-INDEX(MO_RIS_NI_GAAP_Basic,0,COLUMN()),6)</f>
        <v>0</v>
      </c>
      <c r="AA130" s="417" t="n">
        <f aca="false">ROUND(INDEX(SP_GF_NI,0,COLUMN())-INDEX(MO_RIS_NI_GAAP_Basic,0,COLUMN()),6)</f>
        <v>0</v>
      </c>
      <c r="AB130" s="417" t="n">
        <f aca="false">ROUND(INDEX(SP_GF_NI,0,COLUMN())-INDEX(MO_RIS_NI_GAAP_Basic,0,COLUMN()),6)</f>
        <v>0</v>
      </c>
      <c r="AC130" s="417" t="n">
        <f aca="false">ROUND(INDEX(SP_GF_NI,0,COLUMN())-INDEX(MO_RIS_NI_GAAP_Basic,0,COLUMN()),6)</f>
        <v>0</v>
      </c>
      <c r="AD130" s="417" t="n">
        <f aca="false">ROUND(INDEX(SP_GF_NI,0,COLUMN())-INDEX(MO_RIS_NI_GAAP_Basic,0,COLUMN()),6)</f>
        <v>0</v>
      </c>
      <c r="AE130" s="417" t="n">
        <f aca="false">ROUND(INDEX(SP_GF_NI,0,COLUMN())-INDEX(MO_RIS_NI_GAAP_Basic,0,COLUMN()),6)</f>
        <v>0</v>
      </c>
      <c r="AF130" s="417" t="n">
        <f aca="false">ROUND(INDEX(SP_GF_NI,0,COLUMN())-INDEX(MO_RIS_NI_GAAP_Basic,0,COLUMN()),6)</f>
        <v>0</v>
      </c>
      <c r="AG130" s="417" t="n">
        <f aca="false">ROUND(INDEX(SP_GF_NI,0,COLUMN())-INDEX(MO_RIS_NI_GAAP_Basic,0,COLUMN()),6)</f>
        <v>0</v>
      </c>
      <c r="AH130" s="417" t="n">
        <f aca="false">ROUND(INDEX(SP_GF_NI,0,COLUMN())-INDEX(MO_RIS_NI_GAAP_Basic,0,COLUMN()),6)</f>
        <v>0</v>
      </c>
      <c r="AI130" s="417" t="n">
        <f aca="false">ROUND(INDEX(SP_GF_NI,0,COLUMN())-INDEX(MO_RIS_NI_GAAP_Basic,0,COLUMN()),6)</f>
        <v>0</v>
      </c>
      <c r="AJ130" s="417" t="n">
        <f aca="false">ROUND(INDEX(SP_GF_NI,0,COLUMN())-INDEX(MO_RIS_NI_GAAP_Basic,0,COLUMN()),6)</f>
        <v>0</v>
      </c>
      <c r="AK130" s="417" t="n">
        <f aca="false">ROUND(INDEX(SP_GF_NI,0,COLUMN())-INDEX(MO_RIS_NI_GAAP_Basic,0,COLUMN()),6)</f>
        <v>0</v>
      </c>
      <c r="AL130" s="417" t="n">
        <f aca="false">ROUND(INDEX(SP_GF_NI,0,COLUMN())-INDEX(MO_RIS_NI_GAAP_Basic,0,COLUMN()),6)</f>
        <v>0</v>
      </c>
      <c r="AM130" s="417" t="n">
        <f aca="false">ROUND(INDEX(SP_GF_NI,0,COLUMN())-INDEX(MO_RIS_NI_GAAP_Basic,0,COLUMN()),6)</f>
        <v>0</v>
      </c>
      <c r="AN130" s="417" t="n">
        <f aca="false">ROUND(INDEX(SP_GF_NI,0,COLUMN())-INDEX(MO_RIS_NI_GAAP_Basic,0,COLUMN()),6)</f>
        <v>0</v>
      </c>
      <c r="AO130" s="417" t="n">
        <f aca="false">ROUND(INDEX(SP_GF_NI,0,COLUMN())-INDEX(MO_RIS_NI_GAAP_Basic,0,COLUMN()),6)</f>
        <v>0</v>
      </c>
      <c r="AP130" s="417" t="n">
        <f aca="false">ROUND(INDEX(SP_GF_NI,0,COLUMN())-INDEX(MO_RIS_NI_GAAP_Basic,0,COLUMN()),6)</f>
        <v>0</v>
      </c>
      <c r="AQ130" s="417" t="n">
        <f aca="false">ROUND(INDEX(SP_GF_NI,0,COLUMN())-INDEX(MO_RIS_NI_GAAP_Basic,0,COLUMN()),6)</f>
        <v>0</v>
      </c>
      <c r="AR130" s="417" t="n">
        <f aca="false">ROUND(INDEX(SP_GF_NI,0,COLUMN())-INDEX(MO_RIS_NI_GAAP_Basic,0,COLUMN()),6)</f>
        <v>0</v>
      </c>
      <c r="AS130" s="417" t="n">
        <f aca="false">ROUND(INDEX(SP_GF_NI,0,COLUMN())-INDEX(MO_RIS_NI_GAAP_Basic,0,COLUMN()),6)</f>
        <v>0</v>
      </c>
      <c r="AT130" s="417" t="n">
        <f aca="false">ROUND(INDEX(SP_GF_NI,0,COLUMN())-INDEX(MO_RIS_NI_GAAP_Basic,0,COLUMN()),6)</f>
        <v>0</v>
      </c>
      <c r="AU130" s="417" t="n">
        <f aca="false">ROUND(INDEX(SP_GF_NI,0,COLUMN())-INDEX(MO_RIS_NI_GAAP_Basic,0,COLUMN()),6)</f>
        <v>0</v>
      </c>
      <c r="AV130" s="417" t="n">
        <f aca="false">ROUND(INDEX(SP_GF_NI,0,COLUMN())-INDEX(MO_RIS_NI_GAAP_Basic,0,COLUMN()),6)</f>
        <v>0</v>
      </c>
      <c r="AW130" s="417" t="n">
        <f aca="false">ROUND(INDEX(SP_GF_NI,0,COLUMN())-INDEX(MO_RIS_NI_GAAP_Basic,0,COLUMN()),6)</f>
        <v>0</v>
      </c>
      <c r="AX130" s="417" t="n">
        <f aca="false">ROUND(INDEX(SP_GF_NI,0,COLUMN())-INDEX(MO_RIS_NI_GAAP_Basic,0,COLUMN()),6)</f>
        <v>0</v>
      </c>
      <c r="AY130" s="417" t="n">
        <f aca="false">ROUND(INDEX(SP_GF_NI,0,COLUMN())-INDEX(MO_RIS_NI_GAAP_Basic,0,COLUMN()),6)</f>
        <v>0</v>
      </c>
      <c r="AZ130" s="417" t="n">
        <f aca="false">ROUND(INDEX(SP_GF_NI,0,COLUMN())-INDEX(MO_RIS_NI_GAAP_Basic,0,COLUMN()),6)</f>
        <v>0</v>
      </c>
      <c r="BA130" s="417" t="n">
        <f aca="false">ROUND(INDEX(SP_GF_NI,0,COLUMN())-INDEX(MO_RIS_NI_GAAP_Basic,0,COLUMN()),6)</f>
        <v>0</v>
      </c>
      <c r="BB130" s="417" t="n">
        <f aca="false">ROUND(INDEX(SP_GF_NI,0,COLUMN())-INDEX(MO_RIS_NI_GAAP_Basic,0,COLUMN()),6)</f>
        <v>0</v>
      </c>
      <c r="BC130" s="417" t="n">
        <f aca="false">ROUND(INDEX(SP_GF_NI,0,COLUMN())-INDEX(MO_RIS_NI_GAAP_Basic,0,COLUMN()),6)</f>
        <v>0</v>
      </c>
      <c r="BD130" s="417" t="n">
        <f aca="false">ROUND(INDEX(SP_GF_NI,0,COLUMN())-INDEX(MO_RIS_NI_GAAP_Basic,0,COLUMN()),6)</f>
        <v>0</v>
      </c>
      <c r="BE130" s="417" t="n">
        <f aca="false">ROUND(INDEX(SP_GF_NI,0,COLUMN())-INDEX(MO_RIS_NI_GAAP_Basic,0,COLUMN()),6)</f>
        <v>0</v>
      </c>
      <c r="BF130" s="417" t="n">
        <f aca="false">ROUND(INDEX(SP_GF_NI,0,COLUMN())-INDEX(MO_RIS_NI_GAAP_Basic,0,COLUMN()),6)</f>
        <v>0</v>
      </c>
      <c r="BG130" s="417" t="n">
        <f aca="false">ROUND(INDEX(SP_GF_NI,0,COLUMN())-INDEX(MO_RIS_NI_GAAP_Basic,0,COLUMN()),6)</f>
        <v>0</v>
      </c>
      <c r="BH130" s="417" t="n">
        <f aca="false">ROUND(INDEX(SP_GF_NI,0,COLUMN())-INDEX(MO_RIS_NI_GAAP_Basic,0,COLUMN()),6)</f>
        <v>0</v>
      </c>
      <c r="BI130" s="417" t="n">
        <f aca="false">ROUND(INDEX(SP_GF_NI,0,COLUMN())-INDEX(MO_RIS_NI_GAAP_Basic,0,COLUMN()),6)</f>
        <v>0</v>
      </c>
      <c r="BJ130" s="417" t="n">
        <f aca="false">ROUND(INDEX(SP_GF_NI,0,COLUMN())-INDEX(MO_RIS_NI_GAAP_Basic,0,COLUMN()),6)</f>
        <v>0</v>
      </c>
      <c r="BK130" s="417" t="n">
        <f aca="false">ROUND(INDEX(SP_GF_NI,0,COLUMN())-INDEX(MO_RIS_NI_GAAP_Basic,0,COLUMN()),6)</f>
        <v>0</v>
      </c>
      <c r="BL130" s="417" t="n">
        <f aca="false">ROUND(INDEX(SP_GF_NI,0,COLUMN())-INDEX(MO_RIS_NI_GAAP_Basic,0,COLUMN()),6)</f>
        <v>0</v>
      </c>
      <c r="BM130" s="417" t="n">
        <f aca="false">ROUND(INDEX(SP_GF_NI,0,COLUMN())-INDEX(MO_RIS_NI_GAAP_Basic,0,COLUMN()),6)</f>
        <v>0</v>
      </c>
      <c r="BN130" s="417" t="n">
        <f aca="false">ROUND(INDEX(SP_GF_NI,0,COLUMN())-INDEX(MO_RIS_NI_GAAP_Basic,0,COLUMN()),6)</f>
        <v>0</v>
      </c>
      <c r="BO130" s="418" t="n">
        <f aca="false">ROUND(INDEX(SP_GF_NI,0,COLUMN())-INDEX(MO_RIS_NI_GAAP_Basic,0,COLUMN()),6)</f>
        <v>0</v>
      </c>
      <c r="BP130" s="417" t="n">
        <f aca="false">ROUND(INDEX(SP_GF_NI,0,COLUMN())-INDEX(MO_RIS_NI_GAAP_Basic,0,COLUMN()),6)</f>
        <v>0</v>
      </c>
      <c r="BQ130" s="417" t="n">
        <f aca="false">ROUND(INDEX(SP_GF_NI,0,COLUMN())-INDEX(MO_RIS_NI_GAAP_Basic,0,COLUMN()),6)</f>
        <v>0</v>
      </c>
      <c r="BR130" s="417" t="n">
        <f aca="false">ROUND(INDEX(SP_GF_NI,0,COLUMN())-INDEX(MO_RIS_NI_GAAP_Basic,0,COLUMN()),6)</f>
        <v>0</v>
      </c>
      <c r="BS130" s="417" t="n">
        <f aca="false">ROUND(INDEX(SP_GF_NI,0,COLUMN())-INDEX(MO_RIS_NI_GAAP_Basic,0,COLUMN()),6)</f>
        <v>0</v>
      </c>
      <c r="BT130" s="417" t="n">
        <f aca="false">ROUND(INDEX(SP_GF_NI,0,COLUMN())-INDEX(MO_RIS_NI_GAAP_Basic,0,COLUMN()),6)</f>
        <v>0</v>
      </c>
      <c r="BU130" s="417" t="n">
        <f aca="false">ROUND(INDEX(SP_GF_NI,0,COLUMN())-INDEX(MO_RIS_NI_GAAP_Basic,0,COLUMN()),6)</f>
        <v>0</v>
      </c>
      <c r="BV130" s="417" t="n">
        <f aca="false">ROUND(INDEX(SP_GF_NI,0,COLUMN())-INDEX(MO_RIS_NI_GAAP_Basic,0,COLUMN()),6)</f>
        <v>0</v>
      </c>
      <c r="BW130" s="417" t="n">
        <f aca="false">ROUND(INDEX(SP_GF_NI,0,COLUMN())-INDEX(MO_RIS_NI_GAAP_Basic,0,COLUMN()),6)</f>
        <v>0</v>
      </c>
      <c r="BX130" s="417" t="n">
        <f aca="false">ROUND(INDEX(SP_GF_NI,0,COLUMN())-INDEX(MO_RIS_NI_GAAP_Basic,0,COLUMN()),6)</f>
        <v>0</v>
      </c>
      <c r="BY130" s="417" t="n">
        <f aca="false">ROUND(INDEX(SP_GF_NI,0,COLUMN())-INDEX(MO_RIS_NI_GAAP_Basic,0,COLUMN()),6)</f>
        <v>0</v>
      </c>
      <c r="BZ130" s="417" t="n">
        <f aca="false">ROUND(INDEX(SP_GF_NI,0,COLUMN())-INDEX(MO_RIS_NI_GAAP_Basic,0,COLUMN()),6)</f>
        <v>0</v>
      </c>
      <c r="CA130" s="417" t="n">
        <f aca="false">ROUND(INDEX(SP_GF_NI,0,COLUMN())-INDEX(MO_RIS_NI_GAAP_Basic,0,COLUMN()),6)</f>
        <v>0</v>
      </c>
      <c r="CB130" s="417" t="n">
        <f aca="false">ROUND(INDEX(SP_GF_NI,0,COLUMN())-INDEX(MO_RIS_NI_GAAP_Basic,0,COLUMN()),6)</f>
        <v>0</v>
      </c>
      <c r="CC130" s="625"/>
    </row>
    <row r="131" customFormat="false" ht="15" hidden="true" customHeight="true" outlineLevel="1" collapsed="false">
      <c r="A131" s="48" t="s">
        <v>848</v>
      </c>
      <c r="B131" s="55"/>
      <c r="C131" s="417" t="n">
        <f aca="false">ROUND(INDEX(SP_CFA_NetChange,0,COLUMN())-INDEX(MO_CFS_NetChange,0,COLUMN()),6)</f>
        <v>0</v>
      </c>
      <c r="D131" s="417" t="n">
        <f aca="false">ROUND(INDEX(SP_CFA_NetChange,0,COLUMN())-INDEX(MO_CFS_NetChange,0,COLUMN()),6)</f>
        <v>0</v>
      </c>
      <c r="E131" s="417" t="n">
        <f aca="false">ROUND(INDEX(SP_CFA_NetChange,0,COLUMN())-INDEX(MO_CFS_NetChange,0,COLUMN()),6)</f>
        <v>0</v>
      </c>
      <c r="F131" s="417" t="n">
        <f aca="false">ROUND(INDEX(SP_CFA_NetChange,0,COLUMN())-INDEX(MO_CFS_NetChange,0,COLUMN()),6)</f>
        <v>0</v>
      </c>
      <c r="G131" s="417" t="n">
        <f aca="false">ROUND(INDEX(SP_CFA_NetChange,0,COLUMN())-INDEX(MO_CFS_NetChange,0,COLUMN()),6)</f>
        <v>0</v>
      </c>
      <c r="H131" s="417" t="n">
        <f aca="false">ROUND(INDEX(SP_CFA_NetChange,0,COLUMN())-INDEX(MO_CFS_NetChange,0,COLUMN()),6)</f>
        <v>0</v>
      </c>
      <c r="I131" s="417" t="n">
        <f aca="false">ROUND(INDEX(SP_CFA_NetChange,0,COLUMN())-INDEX(MO_CFS_NetChange,0,COLUMN()),6)</f>
        <v>0</v>
      </c>
      <c r="J131" s="417" t="n">
        <f aca="false">ROUND(INDEX(SP_CFA_NetChange,0,COLUMN())-INDEX(MO_CFS_NetChange,0,COLUMN()),6)</f>
        <v>0</v>
      </c>
      <c r="K131" s="417" t="n">
        <f aca="false">ROUND(INDEX(SP_CFA_NetChange,0,COLUMN())-INDEX(MO_CFS_NetChange,0,COLUMN()),6)</f>
        <v>0</v>
      </c>
      <c r="L131" s="417" t="n">
        <f aca="false">ROUND(INDEX(SP_CFA_NetChange,0,COLUMN())-INDEX(MO_CFS_NetChange,0,COLUMN()),6)</f>
        <v>0</v>
      </c>
      <c r="M131" s="417" t="n">
        <f aca="false">ROUND(INDEX(SP_CFA_NetChange,0,COLUMN())-INDEX(MO_CFS_NetChange,0,COLUMN()),6)</f>
        <v>0</v>
      </c>
      <c r="N131" s="417" t="n">
        <f aca="false">ROUND(INDEX(SP_CFA_NetChange,0,COLUMN())-INDEX(MO_CFS_NetChange,0,COLUMN()),6)</f>
        <v>0</v>
      </c>
      <c r="O131" s="417" t="n">
        <f aca="false">ROUND(INDEX(SP_CFA_NetChange,0,COLUMN())-INDEX(MO_CFS_NetChange,0,COLUMN()),6)</f>
        <v>0</v>
      </c>
      <c r="P131" s="417" t="n">
        <f aca="false">ROUND(INDEX(SP_CFA_NetChange,0,COLUMN())-INDEX(MO_CFS_NetChange,0,COLUMN()),6)</f>
        <v>0</v>
      </c>
      <c r="Q131" s="417" t="n">
        <f aca="false">ROUND(INDEX(SP_CFA_NetChange,0,COLUMN())-INDEX(MO_CFS_NetChange,0,COLUMN()),6)</f>
        <v>0</v>
      </c>
      <c r="R131" s="417" t="n">
        <f aca="false">ROUND(INDEX(SP_CFA_NetChange,0,COLUMN())-INDEX(MO_CFS_NetChange,0,COLUMN()),6)</f>
        <v>0</v>
      </c>
      <c r="S131" s="417" t="n">
        <f aca="false">ROUND(INDEX(SP_CFA_NetChange,0,COLUMN())-INDEX(MO_CFS_NetChange,0,COLUMN()),6)</f>
        <v>0</v>
      </c>
      <c r="T131" s="417" t="n">
        <f aca="false">ROUND(INDEX(SP_CFA_NetChange,0,COLUMN())-INDEX(MO_CFS_NetChange,0,COLUMN()),6)</f>
        <v>0</v>
      </c>
      <c r="U131" s="417" t="n">
        <f aca="false">ROUND(INDEX(SP_CFA_NetChange,0,COLUMN())-INDEX(MO_CFS_NetChange,0,COLUMN()),6)</f>
        <v>0</v>
      </c>
      <c r="V131" s="417" t="n">
        <f aca="false">ROUND(INDEX(SP_CFA_NetChange,0,COLUMN())-INDEX(MO_CFS_NetChange,0,COLUMN()),6)</f>
        <v>0</v>
      </c>
      <c r="W131" s="417" t="n">
        <f aca="false">ROUND(INDEX(SP_CFA_NetChange,0,COLUMN())-INDEX(MO_CFS_NetChange,0,COLUMN()),6)</f>
        <v>0</v>
      </c>
      <c r="X131" s="417" t="n">
        <f aca="false">ROUND(INDEX(SP_CFA_NetChange,0,COLUMN())-INDEX(MO_CFS_NetChange,0,COLUMN()),6)</f>
        <v>0</v>
      </c>
      <c r="Y131" s="417" t="n">
        <f aca="false">ROUND(INDEX(SP_CFA_NetChange,0,COLUMN())-INDEX(MO_CFS_NetChange,0,COLUMN()),6)</f>
        <v>0</v>
      </c>
      <c r="Z131" s="417" t="n">
        <f aca="false">ROUND(INDEX(SP_CFA_NetChange,0,COLUMN())-INDEX(MO_CFS_NetChange,0,COLUMN()),6)</f>
        <v>0</v>
      </c>
      <c r="AA131" s="417" t="n">
        <f aca="false">ROUND(INDEX(SP_CFA_NetChange,0,COLUMN())-INDEX(MO_CFS_NetChange,0,COLUMN()),6)</f>
        <v>0</v>
      </c>
      <c r="AB131" s="417" t="n">
        <f aca="false">ROUND(INDEX(SP_CFA_NetChange,0,COLUMN())-INDEX(MO_CFS_NetChange,0,COLUMN()),6)</f>
        <v>0</v>
      </c>
      <c r="AC131" s="417" t="n">
        <f aca="false">ROUND(INDEX(SP_CFA_NetChange,0,COLUMN())-INDEX(MO_CFS_NetChange,0,COLUMN()),6)</f>
        <v>0</v>
      </c>
      <c r="AD131" s="417" t="n">
        <f aca="false">ROUND(INDEX(SP_CFA_NetChange,0,COLUMN())-INDEX(MO_CFS_NetChange,0,COLUMN()),6)</f>
        <v>0</v>
      </c>
      <c r="AE131" s="417" t="n">
        <f aca="false">ROUND(INDEX(SP_CFA_NetChange,0,COLUMN())-INDEX(MO_CFS_NetChange,0,COLUMN()),6)</f>
        <v>0</v>
      </c>
      <c r="AF131" s="417" t="n">
        <f aca="false">ROUND(INDEX(SP_CFA_NetChange,0,COLUMN())-INDEX(MO_CFS_NetChange,0,COLUMN()),6)</f>
        <v>0</v>
      </c>
      <c r="AG131" s="417" t="n">
        <f aca="false">ROUND(INDEX(SP_CFA_NetChange,0,COLUMN())-INDEX(MO_CFS_NetChange,0,COLUMN()),6)</f>
        <v>0</v>
      </c>
      <c r="AH131" s="417" t="n">
        <f aca="false">ROUND(INDEX(SP_CFA_NetChange,0,COLUMN())-INDEX(MO_CFS_NetChange,0,COLUMN()),6)</f>
        <v>0</v>
      </c>
      <c r="AI131" s="417" t="n">
        <f aca="false">ROUND(INDEX(SP_CFA_NetChange,0,COLUMN())-INDEX(MO_CFS_NetChange,0,COLUMN()),6)</f>
        <v>0</v>
      </c>
      <c r="AJ131" s="417" t="n">
        <f aca="false">ROUND(INDEX(SP_CFA_NetChange,0,COLUMN())-INDEX(MO_CFS_NetChange,0,COLUMN()),6)</f>
        <v>0</v>
      </c>
      <c r="AK131" s="417" t="n">
        <f aca="false">ROUND(INDEX(SP_CFA_NetChange,0,COLUMN())-INDEX(MO_CFS_NetChange,0,COLUMN()),6)</f>
        <v>0</v>
      </c>
      <c r="AL131" s="417" t="n">
        <f aca="false">ROUND(INDEX(SP_CFA_NetChange,0,COLUMN())-INDEX(MO_CFS_NetChange,0,COLUMN()),6)</f>
        <v>0</v>
      </c>
      <c r="AM131" s="417" t="n">
        <f aca="false">ROUND(INDEX(SP_CFA_NetChange,0,COLUMN())-INDEX(MO_CFS_NetChange,0,COLUMN()),6)</f>
        <v>0</v>
      </c>
      <c r="AN131" s="417" t="n">
        <f aca="false">ROUND(INDEX(SP_CFA_NetChange,0,COLUMN())-INDEX(MO_CFS_NetChange,0,COLUMN()),6)</f>
        <v>0</v>
      </c>
      <c r="AO131" s="417" t="n">
        <f aca="false">ROUND(INDEX(SP_CFA_NetChange,0,COLUMN())-INDEX(MO_CFS_NetChange,0,COLUMN()),6)</f>
        <v>0</v>
      </c>
      <c r="AP131" s="417" t="n">
        <f aca="false">ROUND(INDEX(SP_CFA_NetChange,0,COLUMN())-INDEX(MO_CFS_NetChange,0,COLUMN()),6)</f>
        <v>0</v>
      </c>
      <c r="AQ131" s="417" t="n">
        <f aca="false">ROUND(INDEX(SP_CFA_NetChange,0,COLUMN())-INDEX(MO_CFS_NetChange,0,COLUMN()),6)</f>
        <v>0</v>
      </c>
      <c r="AR131" s="417" t="n">
        <f aca="false">ROUND(INDEX(SP_CFA_NetChange,0,COLUMN())-INDEX(MO_CFS_NetChange,0,COLUMN()),6)</f>
        <v>0</v>
      </c>
      <c r="AS131" s="417" t="n">
        <f aca="false">ROUND(INDEX(SP_CFA_NetChange,0,COLUMN())-INDEX(MO_CFS_NetChange,0,COLUMN()),6)</f>
        <v>0</v>
      </c>
      <c r="AT131" s="417" t="n">
        <f aca="false">ROUND(INDEX(SP_CFA_NetChange,0,COLUMN())-INDEX(MO_CFS_NetChange,0,COLUMN()),6)</f>
        <v>0</v>
      </c>
      <c r="AU131" s="417" t="n">
        <f aca="false">ROUND(INDEX(SP_CFA_NetChange,0,COLUMN())-INDEX(MO_CFS_NetChange,0,COLUMN()),6)</f>
        <v>0</v>
      </c>
      <c r="AV131" s="417" t="n">
        <f aca="false">ROUND(INDEX(SP_CFA_NetChange,0,COLUMN())-INDEX(MO_CFS_NetChange,0,COLUMN()),6)</f>
        <v>0</v>
      </c>
      <c r="AW131" s="417" t="n">
        <f aca="false">ROUND(INDEX(SP_CFA_NetChange,0,COLUMN())-INDEX(MO_CFS_NetChange,0,COLUMN()),6)</f>
        <v>0</v>
      </c>
      <c r="AX131" s="417" t="n">
        <f aca="false">ROUND(INDEX(SP_CFA_NetChange,0,COLUMN())-INDEX(MO_CFS_NetChange,0,COLUMN()),6)</f>
        <v>0</v>
      </c>
      <c r="AY131" s="417" t="n">
        <f aca="false">ROUND(INDEX(SP_CFA_NetChange,0,COLUMN())-INDEX(MO_CFS_NetChange,0,COLUMN()),6)</f>
        <v>0</v>
      </c>
      <c r="AZ131" s="417" t="n">
        <f aca="false">ROUND(INDEX(SP_CFA_NetChange,0,COLUMN())-INDEX(MO_CFS_NetChange,0,COLUMN()),6)</f>
        <v>0</v>
      </c>
      <c r="BA131" s="417" t="n">
        <f aca="false">ROUND(INDEX(SP_CFA_NetChange,0,COLUMN())-INDEX(MO_CFS_NetChange,0,COLUMN()),6)</f>
        <v>0</v>
      </c>
      <c r="BB131" s="417" t="n">
        <f aca="false">ROUND(INDEX(SP_CFA_NetChange,0,COLUMN())-INDEX(MO_CFS_NetChange,0,COLUMN()),6)</f>
        <v>0</v>
      </c>
      <c r="BC131" s="417" t="n">
        <f aca="false">ROUND(INDEX(SP_CFA_NetChange,0,COLUMN())-INDEX(MO_CFS_NetChange,0,COLUMN()),6)</f>
        <v>0</v>
      </c>
      <c r="BD131" s="417" t="n">
        <f aca="false">ROUND(INDEX(SP_CFA_NetChange,0,COLUMN())-INDEX(MO_CFS_NetChange,0,COLUMN()),6)</f>
        <v>0</v>
      </c>
      <c r="BE131" s="417" t="n">
        <f aca="false">ROUND(INDEX(SP_CFA_NetChange,0,COLUMN())-INDEX(MO_CFS_NetChange,0,COLUMN()),6)</f>
        <v>0</v>
      </c>
      <c r="BF131" s="417" t="n">
        <f aca="false">ROUND(INDEX(SP_CFA_NetChange,0,COLUMN())-INDEX(MO_CFS_NetChange,0,COLUMN()),6)</f>
        <v>0</v>
      </c>
      <c r="BG131" s="417" t="n">
        <f aca="false">ROUND(INDEX(SP_CFA_NetChange,0,COLUMN())-INDEX(MO_CFS_NetChange,0,COLUMN()),6)</f>
        <v>0</v>
      </c>
      <c r="BH131" s="417" t="n">
        <f aca="false">ROUND(INDEX(SP_CFA_NetChange,0,COLUMN())-INDEX(MO_CFS_NetChange,0,COLUMN()),6)</f>
        <v>0</v>
      </c>
      <c r="BI131" s="417" t="n">
        <f aca="false">ROUND(INDEX(SP_CFA_NetChange,0,COLUMN())-INDEX(MO_CFS_NetChange,0,COLUMN()),6)</f>
        <v>0</v>
      </c>
      <c r="BJ131" s="417" t="n">
        <f aca="false">ROUND(INDEX(SP_CFA_NetChange,0,COLUMN())-INDEX(MO_CFS_NetChange,0,COLUMN()),6)</f>
        <v>0</v>
      </c>
      <c r="BK131" s="417" t="n">
        <f aca="false">ROUND(INDEX(SP_CFA_NetChange,0,COLUMN())-INDEX(MO_CFS_NetChange,0,COLUMN()),6)</f>
        <v>0</v>
      </c>
      <c r="BL131" s="417" t="n">
        <f aca="false">ROUND(INDEX(SP_CFA_NetChange,0,COLUMN())-INDEX(MO_CFS_NetChange,0,COLUMN()),6)</f>
        <v>0</v>
      </c>
      <c r="BM131" s="417" t="n">
        <f aca="false">ROUND(INDEX(SP_CFA_NetChange,0,COLUMN())-INDEX(MO_CFS_NetChange,0,COLUMN()),6)</f>
        <v>0</v>
      </c>
      <c r="BN131" s="417" t="n">
        <f aca="false">ROUND(INDEX(SP_CFA_NetChange,0,COLUMN())-INDEX(MO_CFS_NetChange,0,COLUMN()),6)</f>
        <v>0</v>
      </c>
      <c r="BO131" s="418" t="n">
        <f aca="false">ROUND(INDEX(SP_CFA_NetChange,0,COLUMN())-INDEX(MO_CFS_NetChange,0,COLUMN()),6)</f>
        <v>0</v>
      </c>
      <c r="BP131" s="417" t="n">
        <f aca="false">ROUND(INDEX(SP_CFA_NetChange,0,COLUMN())-INDEX(MO_CFS_NetChange,0,COLUMN()),6)</f>
        <v>0</v>
      </c>
      <c r="BQ131" s="417" t="n">
        <f aca="false">ROUND(INDEX(SP_CFA_NetChange,0,COLUMN())-INDEX(MO_CFS_NetChange,0,COLUMN()),6)</f>
        <v>0</v>
      </c>
      <c r="BR131" s="417" t="n">
        <f aca="false">ROUND(INDEX(SP_CFA_NetChange,0,COLUMN())-INDEX(MO_CFS_NetChange,0,COLUMN()),6)</f>
        <v>0</v>
      </c>
      <c r="BS131" s="417" t="n">
        <f aca="false">ROUND(INDEX(SP_CFA_NetChange,0,COLUMN())-INDEX(MO_CFS_NetChange,0,COLUMN()),6)</f>
        <v>0</v>
      </c>
      <c r="BT131" s="417" t="n">
        <f aca="false">ROUND(INDEX(SP_CFA_NetChange,0,COLUMN())-INDEX(MO_CFS_NetChange,0,COLUMN()),6)</f>
        <v>0</v>
      </c>
      <c r="BU131" s="417" t="n">
        <f aca="false">ROUND(INDEX(SP_CFA_NetChange,0,COLUMN())-INDEX(MO_CFS_NetChange,0,COLUMN()),6)</f>
        <v>0</v>
      </c>
      <c r="BV131" s="417" t="n">
        <f aca="false">ROUND(INDEX(SP_CFA_NetChange,0,COLUMN())-INDEX(MO_CFS_NetChange,0,COLUMN()),6)</f>
        <v>0</v>
      </c>
      <c r="BW131" s="417" t="n">
        <f aca="false">ROUND(INDEX(SP_CFA_NetChange,0,COLUMN())-INDEX(MO_CFS_NetChange,0,COLUMN()),6)</f>
        <v>0</v>
      </c>
      <c r="BX131" s="417" t="n">
        <f aca="false">ROUND(INDEX(SP_CFA_NetChange,0,COLUMN())-INDEX(MO_CFS_NetChange,0,COLUMN()),6)</f>
        <v>0</v>
      </c>
      <c r="BY131" s="417" t="n">
        <f aca="false">ROUND(INDEX(SP_CFA_NetChange,0,COLUMN())-INDEX(MO_CFS_NetChange,0,COLUMN()),6)</f>
        <v>0</v>
      </c>
      <c r="BZ131" s="417" t="n">
        <f aca="false">ROUND(INDEX(SP_CFA_NetChange,0,COLUMN())-INDEX(MO_CFS_NetChange,0,COLUMN()),6)</f>
        <v>0</v>
      </c>
      <c r="CA131" s="417" t="n">
        <f aca="false">ROUND(INDEX(SP_CFA_NetChange,0,COLUMN())-INDEX(MO_CFS_NetChange,0,COLUMN()),6)</f>
        <v>0</v>
      </c>
      <c r="CB131" s="417" t="n">
        <f aca="false">ROUND(INDEX(SP_CFA_NetChange,0,COLUMN())-INDEX(MO_CFS_NetChange,0,COLUMN()),6)</f>
        <v>0</v>
      </c>
      <c r="CC131" s="625"/>
    </row>
    <row r="132" customFormat="false" ht="15" hidden="false" customHeight="true" outlineLevel="0" collapsed="false">
      <c r="A132" s="625"/>
      <c r="B132" s="625"/>
      <c r="C132" s="359"/>
      <c r="D132" s="359"/>
      <c r="E132" s="359"/>
      <c r="F132" s="359"/>
      <c r="G132" s="359"/>
      <c r="H132" s="625"/>
      <c r="I132" s="625"/>
      <c r="J132" s="625"/>
      <c r="K132" s="625"/>
      <c r="L132" s="359"/>
      <c r="M132" s="625"/>
      <c r="N132" s="625"/>
      <c r="O132" s="625"/>
      <c r="P132" s="625"/>
      <c r="Q132" s="359"/>
      <c r="R132" s="625"/>
      <c r="S132" s="625"/>
      <c r="T132" s="625"/>
      <c r="U132" s="625"/>
      <c r="V132" s="359"/>
      <c r="W132" s="625"/>
      <c r="X132" s="625"/>
      <c r="Y132" s="625"/>
      <c r="Z132" s="625"/>
      <c r="AA132" s="359"/>
      <c r="AB132" s="625"/>
      <c r="AC132" s="625"/>
      <c r="AD132" s="625"/>
      <c r="AE132" s="625"/>
      <c r="AF132" s="359"/>
      <c r="AG132" s="625"/>
      <c r="AH132" s="625"/>
      <c r="AI132" s="625"/>
      <c r="AJ132" s="625"/>
      <c r="AK132" s="359"/>
      <c r="AL132" s="625"/>
      <c r="AM132" s="625"/>
      <c r="AN132" s="625"/>
      <c r="AO132" s="625"/>
      <c r="AP132" s="359"/>
      <c r="AQ132" s="625"/>
      <c r="AR132" s="625"/>
      <c r="AS132" s="625"/>
      <c r="AT132" s="625"/>
      <c r="AU132" s="359"/>
      <c r="AV132" s="625"/>
      <c r="AW132" s="625"/>
      <c r="AX132" s="625"/>
      <c r="AY132" s="625"/>
      <c r="AZ132" s="359"/>
      <c r="BA132" s="625"/>
      <c r="BB132" s="625"/>
      <c r="BC132" s="625"/>
      <c r="BD132" s="625"/>
      <c r="BE132" s="359"/>
      <c r="BF132" s="625"/>
      <c r="BG132" s="625"/>
      <c r="BH132" s="625"/>
      <c r="BI132" s="625"/>
      <c r="BJ132" s="359"/>
      <c r="BK132" s="625"/>
      <c r="BL132" s="625"/>
      <c r="BM132" s="625"/>
      <c r="BN132" s="625"/>
      <c r="BO132" s="723"/>
      <c r="BP132" s="625"/>
      <c r="BQ132" s="625"/>
      <c r="BR132" s="625"/>
      <c r="BS132" s="625"/>
      <c r="BT132" s="359"/>
      <c r="BU132" s="625"/>
      <c r="BV132" s="625"/>
      <c r="BW132" s="625"/>
      <c r="BX132" s="625"/>
      <c r="BY132" s="359"/>
      <c r="BZ132" s="359"/>
      <c r="CA132" s="359"/>
      <c r="CB132" s="359"/>
      <c r="CC132" s="625"/>
    </row>
    <row r="133" customFormat="false" ht="15" hidden="false" customHeight="true" outlineLevel="0" collapsed="false">
      <c r="A133" s="672" t="s">
        <v>728</v>
      </c>
      <c r="B133" s="721"/>
      <c r="C133" s="721"/>
      <c r="D133" s="721"/>
      <c r="E133" s="721"/>
      <c r="F133" s="721"/>
      <c r="G133" s="721"/>
      <c r="H133" s="721"/>
      <c r="I133" s="721"/>
      <c r="J133" s="721"/>
      <c r="K133" s="721"/>
      <c r="L133" s="721"/>
      <c r="M133" s="721"/>
      <c r="N133" s="721"/>
      <c r="O133" s="721"/>
      <c r="P133" s="721"/>
      <c r="Q133" s="721"/>
      <c r="R133" s="721"/>
      <c r="S133" s="721"/>
      <c r="T133" s="721"/>
      <c r="U133" s="721"/>
      <c r="V133" s="721"/>
      <c r="W133" s="721"/>
      <c r="X133" s="721"/>
      <c r="Y133" s="721"/>
      <c r="Z133" s="721"/>
      <c r="AA133" s="721"/>
      <c r="AB133" s="721"/>
      <c r="AC133" s="721"/>
      <c r="AD133" s="721"/>
      <c r="AE133" s="721"/>
      <c r="AF133" s="721"/>
      <c r="AG133" s="721"/>
      <c r="AH133" s="721"/>
      <c r="AI133" s="721"/>
      <c r="AJ133" s="721"/>
      <c r="AK133" s="721"/>
      <c r="AL133" s="721"/>
      <c r="AM133" s="721"/>
      <c r="AN133" s="721"/>
      <c r="AO133" s="721"/>
      <c r="AP133" s="721"/>
      <c r="AQ133" s="721"/>
      <c r="AR133" s="721"/>
      <c r="AS133" s="721"/>
      <c r="AT133" s="721"/>
      <c r="AU133" s="721"/>
      <c r="AV133" s="721"/>
      <c r="AW133" s="721"/>
      <c r="AX133" s="721"/>
      <c r="AY133" s="721"/>
      <c r="AZ133" s="721"/>
      <c r="BA133" s="721"/>
      <c r="BB133" s="721"/>
      <c r="BC133" s="721"/>
      <c r="BD133" s="721"/>
      <c r="BE133" s="721"/>
      <c r="BF133" s="721"/>
      <c r="BG133" s="721"/>
      <c r="BH133" s="721"/>
      <c r="BI133" s="721"/>
      <c r="BJ133" s="721"/>
      <c r="BK133" s="721"/>
      <c r="BL133" s="721"/>
      <c r="BM133" s="721"/>
      <c r="BN133" s="721"/>
      <c r="BO133" s="721"/>
      <c r="BP133" s="721"/>
      <c r="BQ133" s="721"/>
      <c r="BR133" s="721"/>
      <c r="BS133" s="721"/>
      <c r="BT133" s="721"/>
      <c r="BU133" s="721"/>
      <c r="BV133" s="721"/>
      <c r="BW133" s="721"/>
      <c r="BX133" s="721"/>
      <c r="BY133" s="721"/>
      <c r="BZ133" s="721"/>
      <c r="CA133" s="721"/>
      <c r="CB133" s="721"/>
      <c r="CC133" s="625"/>
    </row>
    <row r="134" customFormat="false" ht="15" hidden="false" customHeight="true" outlineLevel="0" collapsed="false">
      <c r="A134" s="559"/>
      <c r="B134" s="625"/>
      <c r="C134" s="625"/>
      <c r="D134" s="625"/>
      <c r="E134" s="625"/>
      <c r="F134" s="625"/>
      <c r="G134" s="625"/>
      <c r="H134" s="625"/>
      <c r="I134" s="625"/>
      <c r="J134" s="625"/>
      <c r="K134" s="625"/>
      <c r="L134" s="625"/>
      <c r="M134" s="625"/>
      <c r="N134" s="625"/>
      <c r="O134" s="625"/>
      <c r="P134" s="625"/>
      <c r="Q134" s="625"/>
      <c r="R134" s="625"/>
      <c r="S134" s="625"/>
      <c r="T134" s="625"/>
      <c r="U134" s="625"/>
      <c r="V134" s="625"/>
      <c r="W134" s="625"/>
      <c r="X134" s="625"/>
      <c r="Y134" s="625"/>
      <c r="Z134" s="625"/>
      <c r="AA134" s="625"/>
      <c r="AB134" s="625"/>
      <c r="AC134" s="625"/>
      <c r="AD134" s="625"/>
      <c r="AE134" s="625"/>
      <c r="AF134" s="625"/>
      <c r="AG134" s="625"/>
      <c r="AH134" s="625"/>
      <c r="AI134" s="625"/>
      <c r="AJ134" s="625"/>
      <c r="AK134" s="625"/>
      <c r="AL134" s="625"/>
      <c r="AM134" s="625"/>
      <c r="AN134" s="625"/>
      <c r="AO134" s="625"/>
      <c r="AP134" s="625"/>
      <c r="AQ134" s="625"/>
      <c r="AR134" s="625"/>
      <c r="AS134" s="625"/>
      <c r="AT134" s="625"/>
      <c r="AU134" s="625"/>
      <c r="AV134" s="625"/>
      <c r="AW134" s="625"/>
      <c r="AX134" s="625"/>
      <c r="AY134" s="625"/>
      <c r="AZ134" s="625"/>
      <c r="BA134" s="625"/>
      <c r="BB134" s="625"/>
      <c r="BC134" s="625"/>
      <c r="BD134" s="625"/>
      <c r="BE134" s="625"/>
      <c r="BF134" s="625"/>
      <c r="BG134" s="625"/>
      <c r="BH134" s="625"/>
      <c r="BI134" s="625"/>
      <c r="BJ134" s="625"/>
      <c r="BK134" s="625"/>
      <c r="BL134" s="625"/>
      <c r="BM134" s="625"/>
      <c r="BN134" s="625"/>
      <c r="BO134" s="625"/>
      <c r="BP134" s="625"/>
      <c r="BQ134" s="625"/>
      <c r="BR134" s="625"/>
      <c r="BS134" s="625"/>
      <c r="BT134" s="625"/>
      <c r="BU134" s="625"/>
      <c r="BV134" s="625"/>
      <c r="BW134" s="625"/>
      <c r="BX134" s="625"/>
      <c r="BY134" s="625"/>
      <c r="BZ134" s="625"/>
      <c r="CA134" s="625"/>
      <c r="CB134" s="625"/>
      <c r="CC134" s="625"/>
    </row>
  </sheetData>
  <conditionalFormatting sqref="C126:CB131">
    <cfRule type="cellIs" priority="2" operator="notEqual" aboveAverage="0" equalAverage="0" bottom="0" percent="0" rank="0" text="" dxfId="1">
      <formula>0</formula>
    </cfRule>
    <cfRule type="cellIs" priority="3" operator="equal" aboveAverage="0" equalAverage="0" bottom="0" percent="0" rank="0" text="" dxfId="2">
      <formula>0</formula>
    </cfRule>
  </conditionalFormatting>
  <dataValidations count="1">
    <dataValidation allowBlank="true" errorStyle="stop" operator="between" showDropDown="false" showErrorMessage="true" showInputMessage="true" sqref="B4" type="list">
      <formula1>OFFSET(tb_ValuationToggle,1,0,4,1)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true" zeroHeight="false" outlineLevelRow="0" outlineLevelCol="0"/>
  <cols>
    <col collapsed="false" customWidth="true" hidden="false" outlineLevel="0" max="1" min="1" style="1" width="4.43"/>
    <col collapsed="false" customWidth="true" hidden="false" outlineLevel="0" max="2" min="2" style="1" width="9.71"/>
    <col collapsed="false" customWidth="true" hidden="false" outlineLevel="0" max="3" min="3" style="1" width="15.71"/>
    <col collapsed="false" customWidth="true" hidden="false" outlineLevel="0" max="4" min="4" style="1" width="20.71"/>
    <col collapsed="false" customWidth="true" hidden="false" outlineLevel="0" max="5" min="5" style="1" width="30.71"/>
    <col collapsed="false" customWidth="true" hidden="false" outlineLevel="0" max="6" min="6" style="1" width="20.71"/>
    <col collapsed="false" customWidth="true" hidden="false" outlineLevel="0" max="7" min="7" style="1" width="23.71"/>
    <col collapsed="false" customWidth="true" hidden="false" outlineLevel="0" max="8" min="8" style="1" width="45.71"/>
    <col collapsed="false" customWidth="true" hidden="false" outlineLevel="0" max="9" min="9" style="1" width="7.71"/>
    <col collapsed="false" customWidth="false" hidden="false" outlineLevel="0" max="16384" min="10" style="1" width="8.71"/>
  </cols>
  <sheetData>
    <row r="1" customFormat="false" ht="15" hidden="false" customHeight="true" outlineLevel="0" collapsed="false">
      <c r="A1" s="2"/>
      <c r="B1" s="2"/>
      <c r="C1" s="2"/>
      <c r="D1" s="2"/>
      <c r="E1" s="2"/>
      <c r="F1" s="2"/>
      <c r="G1" s="2"/>
      <c r="H1" s="2"/>
      <c r="I1" s="2"/>
      <c r="J1" s="2"/>
    </row>
    <row r="2" customFormat="false" ht="15" hidden="false" customHeight="true" outlineLevel="0" collapsed="false">
      <c r="A2" s="2"/>
      <c r="B2" s="2"/>
      <c r="C2" s="2"/>
      <c r="D2" s="2"/>
      <c r="E2" s="2"/>
      <c r="F2" s="2"/>
      <c r="G2" s="2"/>
      <c r="H2" s="2"/>
      <c r="I2" s="2"/>
      <c r="J2" s="2"/>
    </row>
    <row r="3" customFormat="false" ht="15" hidden="false" customHeight="true" outlineLevel="0" collapsed="false">
      <c r="A3" s="2"/>
      <c r="B3" s="2"/>
      <c r="C3" s="2"/>
      <c r="D3" s="2"/>
      <c r="E3" s="2"/>
      <c r="F3" s="2"/>
      <c r="G3" s="2"/>
      <c r="H3" s="2"/>
      <c r="I3" s="2"/>
      <c r="J3" s="2"/>
    </row>
    <row r="4" customFormat="false" ht="15" hidden="false" customHeight="true" outlineLevel="0" collapsed="false">
      <c r="A4" s="2"/>
      <c r="B4" s="2"/>
      <c r="C4" s="2"/>
      <c r="D4" s="2"/>
      <c r="E4" s="2"/>
      <c r="F4" s="2"/>
      <c r="G4" s="2"/>
      <c r="H4" s="2"/>
      <c r="I4" s="2"/>
      <c r="J4" s="2"/>
    </row>
    <row r="5" customFormat="false" ht="15" hidden="false" customHeight="true" outlineLevel="0" collapsed="false">
      <c r="A5" s="2"/>
      <c r="B5" s="2"/>
      <c r="C5" s="2"/>
      <c r="D5" s="2"/>
      <c r="E5" s="2"/>
      <c r="F5" s="2"/>
      <c r="G5" s="2"/>
      <c r="H5" s="2"/>
      <c r="I5" s="2"/>
      <c r="J5" s="2"/>
    </row>
    <row r="6" customFormat="false" ht="15" hidden="false" customHeight="true" outlineLevel="0" collapsed="false">
      <c r="A6" s="2"/>
      <c r="B6" s="2"/>
      <c r="C6" s="2"/>
      <c r="D6" s="2"/>
      <c r="E6" s="2"/>
      <c r="F6" s="2"/>
      <c r="G6" s="2"/>
      <c r="H6" s="2"/>
      <c r="I6" s="2"/>
      <c r="J6" s="2"/>
    </row>
    <row r="7" customFormat="false" ht="18.75" hidden="false" customHeight="true" outlineLevel="0" collapsed="false">
      <c r="A7" s="2"/>
      <c r="B7" s="2"/>
      <c r="C7" s="2"/>
      <c r="D7" s="2"/>
      <c r="E7" s="743" t="n">
        <f aca="false">MO.MRFPColumnNumber</f>
        <v>67</v>
      </c>
      <c r="F7" s="744" t="str">
        <f aca="false">MO.MRFP</f>
        <v>FY2025</v>
      </c>
      <c r="G7" s="744"/>
      <c r="H7" s="745" t="str">
        <f aca="false">AA.CSIN</f>
        <v>I9KH3H0125</v>
      </c>
      <c r="I7" s="6"/>
      <c r="J7" s="3"/>
    </row>
    <row r="8" customFormat="false" ht="15" hidden="false" customHeight="true" outlineLevel="0" collapsed="false">
      <c r="A8" s="2"/>
      <c r="B8" s="2"/>
      <c r="C8" s="2"/>
      <c r="D8" s="2"/>
      <c r="E8" s="2"/>
      <c r="F8" s="2"/>
      <c r="G8" s="2"/>
      <c r="H8" s="746" t="str">
        <f aca="false">+AA.ModelVersion</f>
        <v>FY2025.20</v>
      </c>
      <c r="I8" s="2"/>
      <c r="J8" s="2"/>
    </row>
    <row r="9" customFormat="false" ht="15" hidden="false" customHeight="true" outlineLevel="0" collapsed="false">
      <c r="A9" s="2"/>
      <c r="B9" s="2"/>
      <c r="C9" s="2"/>
      <c r="D9" s="2"/>
      <c r="E9" s="2"/>
      <c r="F9" s="2"/>
      <c r="G9" s="2"/>
      <c r="H9" s="2"/>
      <c r="I9" s="2"/>
      <c r="J9" s="2"/>
    </row>
    <row r="10" customFormat="false" ht="15" hidden="false" customHeight="true" outlineLevel="0" collapsed="false">
      <c r="A10" s="2"/>
      <c r="B10" s="2"/>
      <c r="C10" s="747" t="s">
        <v>849</v>
      </c>
      <c r="D10" s="747" t="s">
        <v>850</v>
      </c>
      <c r="E10" s="747" t="s">
        <v>851</v>
      </c>
      <c r="F10" s="747" t="s">
        <v>852</v>
      </c>
      <c r="G10" s="747" t="s">
        <v>853</v>
      </c>
      <c r="H10" s="748" t="s">
        <v>854</v>
      </c>
      <c r="I10" s="2"/>
      <c r="J10" s="2"/>
    </row>
    <row r="11" customFormat="false" ht="15" hidden="false" customHeight="true" outlineLevel="0" collapsed="false">
      <c r="A11" s="2"/>
      <c r="B11" s="2"/>
      <c r="C11" s="749" t="n">
        <v>46049</v>
      </c>
      <c r="D11" s="750" t="s">
        <v>855</v>
      </c>
      <c r="E11" s="751" t="s">
        <v>856</v>
      </c>
      <c r="F11" s="751" t="s">
        <v>18</v>
      </c>
      <c r="G11" s="752"/>
      <c r="H11" s="753" t="s">
        <v>857</v>
      </c>
      <c r="I11" s="2"/>
      <c r="J11" s="2"/>
    </row>
    <row r="12" customFormat="false" ht="15" hidden="false" customHeight="true" outlineLevel="0" collapsed="false">
      <c r="A12" s="2"/>
      <c r="B12" s="2"/>
      <c r="C12" s="749" t="n">
        <v>45944</v>
      </c>
      <c r="D12" s="750" t="s">
        <v>858</v>
      </c>
      <c r="E12" s="751" t="s">
        <v>859</v>
      </c>
      <c r="F12" s="751" t="s">
        <v>755</v>
      </c>
      <c r="G12" s="752"/>
      <c r="H12" s="754" t="s">
        <v>857</v>
      </c>
      <c r="I12" s="2"/>
      <c r="J12" s="2"/>
    </row>
    <row r="13" customFormat="false" ht="15" hidden="false" customHeight="true" outlineLevel="0" collapsed="false">
      <c r="A13" s="2"/>
      <c r="B13" s="2"/>
      <c r="C13" s="749" t="n">
        <v>45853</v>
      </c>
      <c r="D13" s="750" t="s">
        <v>860</v>
      </c>
      <c r="E13" s="751" t="s">
        <v>859</v>
      </c>
      <c r="F13" s="751" t="s">
        <v>756</v>
      </c>
      <c r="G13" s="752"/>
      <c r="H13" s="754" t="s">
        <v>857</v>
      </c>
      <c r="I13" s="2"/>
      <c r="J13" s="2"/>
    </row>
    <row r="14" customFormat="false" ht="15" hidden="false" customHeight="true" outlineLevel="0" collapsed="false">
      <c r="A14" s="2"/>
      <c r="B14" s="2"/>
      <c r="C14" s="749" t="n">
        <v>45762</v>
      </c>
      <c r="D14" s="750" t="s">
        <v>861</v>
      </c>
      <c r="E14" s="751" t="s">
        <v>859</v>
      </c>
      <c r="F14" s="751" t="s">
        <v>757</v>
      </c>
      <c r="G14" s="752"/>
      <c r="H14" s="754" t="s">
        <v>857</v>
      </c>
      <c r="I14" s="2"/>
      <c r="J14" s="2"/>
    </row>
    <row r="15" customFormat="false" ht="15" hidden="false" customHeight="true" outlineLevel="0" collapsed="false">
      <c r="A15" s="2"/>
      <c r="B15" s="2"/>
      <c r="C15" s="749" t="n">
        <v>45721</v>
      </c>
      <c r="D15" s="750" t="s">
        <v>862</v>
      </c>
      <c r="E15" s="751" t="s">
        <v>863</v>
      </c>
      <c r="F15" s="751" t="s">
        <v>17</v>
      </c>
      <c r="G15" s="752"/>
      <c r="H15" s="754" t="s">
        <v>857</v>
      </c>
      <c r="I15" s="2"/>
      <c r="J15" s="2"/>
    </row>
    <row r="16" customFormat="false" ht="15" hidden="false" customHeight="true" outlineLevel="0" collapsed="false">
      <c r="A16" s="2"/>
      <c r="B16" s="2"/>
      <c r="C16" s="749" t="n">
        <v>45685</v>
      </c>
      <c r="D16" s="750" t="s">
        <v>858</v>
      </c>
      <c r="E16" s="751" t="s">
        <v>856</v>
      </c>
      <c r="F16" s="751" t="s">
        <v>17</v>
      </c>
      <c r="G16" s="752"/>
      <c r="H16" s="754" t="s">
        <v>857</v>
      </c>
      <c r="I16" s="2"/>
      <c r="J16" s="2"/>
    </row>
    <row r="17" customFormat="false" ht="15" hidden="false" customHeight="true" outlineLevel="0" collapsed="false">
      <c r="A17" s="2"/>
      <c r="B17" s="2"/>
      <c r="C17" s="749" t="n">
        <v>45580</v>
      </c>
      <c r="D17" s="750" t="s">
        <v>864</v>
      </c>
      <c r="E17" s="751" t="s">
        <v>859</v>
      </c>
      <c r="F17" s="751" t="s">
        <v>760</v>
      </c>
      <c r="G17" s="752"/>
      <c r="H17" s="754" t="s">
        <v>857</v>
      </c>
      <c r="I17" s="2"/>
      <c r="J17" s="2"/>
    </row>
    <row r="18" customFormat="false" ht="15" hidden="false" customHeight="true" outlineLevel="0" collapsed="false">
      <c r="A18" s="2"/>
      <c r="B18" s="2"/>
      <c r="C18" s="749" t="n">
        <v>45490</v>
      </c>
      <c r="D18" s="750" t="s">
        <v>860</v>
      </c>
      <c r="E18" s="751" t="s">
        <v>859</v>
      </c>
      <c r="F18" s="751" t="s">
        <v>761</v>
      </c>
      <c r="G18" s="752"/>
      <c r="H18" s="754" t="s">
        <v>857</v>
      </c>
      <c r="I18" s="2"/>
      <c r="J18" s="2"/>
    </row>
    <row r="19" customFormat="false" ht="15" hidden="false" customHeight="true" outlineLevel="0" collapsed="false">
      <c r="A19" s="2"/>
      <c r="B19" s="2"/>
      <c r="C19" s="749" t="n">
        <v>45398</v>
      </c>
      <c r="D19" s="750" t="s">
        <v>861</v>
      </c>
      <c r="E19" s="751" t="s">
        <v>859</v>
      </c>
      <c r="F19" s="751" t="s">
        <v>762</v>
      </c>
      <c r="G19" s="752"/>
      <c r="H19" s="754" t="s">
        <v>857</v>
      </c>
      <c r="I19" s="2"/>
      <c r="J19" s="2"/>
    </row>
    <row r="20" customFormat="false" ht="15" hidden="false" customHeight="true" outlineLevel="0" collapsed="false">
      <c r="A20" s="2"/>
      <c r="B20" s="2"/>
      <c r="C20" s="749" t="n">
        <v>45336</v>
      </c>
      <c r="D20" s="750" t="s">
        <v>861</v>
      </c>
      <c r="E20" s="751" t="s">
        <v>863</v>
      </c>
      <c r="F20" s="751" t="s">
        <v>763</v>
      </c>
      <c r="G20" s="752"/>
      <c r="H20" s="754" t="s">
        <v>857</v>
      </c>
      <c r="I20" s="2"/>
      <c r="J20" s="2"/>
    </row>
    <row r="21" customFormat="false" ht="15" hidden="false" customHeight="true" outlineLevel="0" collapsed="false">
      <c r="A21" s="2"/>
      <c r="B21" s="2"/>
      <c r="C21" s="749" t="n">
        <v>45314</v>
      </c>
      <c r="D21" s="750" t="s">
        <v>860</v>
      </c>
      <c r="E21" s="751" t="s">
        <v>856</v>
      </c>
      <c r="F21" s="751" t="s">
        <v>763</v>
      </c>
      <c r="G21" s="752"/>
      <c r="H21" s="755" t="s">
        <v>857</v>
      </c>
      <c r="I21" s="2"/>
      <c r="J21" s="2"/>
    </row>
    <row r="22" customFormat="false" ht="15" hidden="false" customHeight="true" outlineLevel="0" collapsed="false">
      <c r="A22" s="2"/>
      <c r="B22" s="2"/>
      <c r="C22" s="749" t="n">
        <v>45216</v>
      </c>
      <c r="D22" s="750" t="s">
        <v>860</v>
      </c>
      <c r="E22" s="751" t="s">
        <v>859</v>
      </c>
      <c r="F22" s="751" t="s">
        <v>765</v>
      </c>
      <c r="G22" s="752"/>
      <c r="H22" s="754" t="s">
        <v>857</v>
      </c>
      <c r="I22" s="2"/>
      <c r="J22" s="2"/>
    </row>
    <row r="23" customFormat="false" ht="15" hidden="false" customHeight="true" outlineLevel="0" collapsed="false">
      <c r="A23" s="2"/>
      <c r="B23" s="2"/>
      <c r="C23" s="749" t="n">
        <v>45126</v>
      </c>
      <c r="D23" s="750" t="s">
        <v>860</v>
      </c>
      <c r="E23" s="751" t="s">
        <v>859</v>
      </c>
      <c r="F23" s="751" t="s">
        <v>766</v>
      </c>
      <c r="G23" s="752"/>
      <c r="H23" s="754" t="s">
        <v>857</v>
      </c>
      <c r="I23" s="2"/>
      <c r="J23" s="2"/>
    </row>
    <row r="24" customFormat="false" ht="15" hidden="false" customHeight="true" outlineLevel="0" collapsed="false">
      <c r="A24" s="2"/>
      <c r="B24" s="2"/>
      <c r="C24" s="749" t="n">
        <v>45034</v>
      </c>
      <c r="D24" s="750" t="s">
        <v>865</v>
      </c>
      <c r="E24" s="751" t="s">
        <v>859</v>
      </c>
      <c r="F24" s="751" t="s">
        <v>767</v>
      </c>
      <c r="G24" s="756"/>
      <c r="H24" s="753" t="s">
        <v>857</v>
      </c>
      <c r="I24" s="2"/>
      <c r="J24" s="2"/>
    </row>
    <row r="25" customFormat="false" ht="15" hidden="false" customHeight="true" outlineLevel="0" collapsed="false">
      <c r="A25" s="2"/>
      <c r="B25" s="2"/>
      <c r="C25" s="749" t="n">
        <v>44972</v>
      </c>
      <c r="D25" s="750" t="s">
        <v>866</v>
      </c>
      <c r="E25" s="751" t="s">
        <v>863</v>
      </c>
      <c r="F25" s="751" t="s">
        <v>768</v>
      </c>
      <c r="G25" s="752"/>
      <c r="H25" s="754" t="s">
        <v>857</v>
      </c>
      <c r="I25" s="2"/>
      <c r="J25" s="2"/>
    </row>
    <row r="26" customFormat="false" ht="15" hidden="false" customHeight="true" outlineLevel="0" collapsed="false">
      <c r="A26" s="2"/>
      <c r="B26" s="2"/>
      <c r="C26" s="749" t="n">
        <v>44950</v>
      </c>
      <c r="D26" s="750" t="s">
        <v>866</v>
      </c>
      <c r="E26" s="751" t="s">
        <v>856</v>
      </c>
      <c r="F26" s="751" t="s">
        <v>768</v>
      </c>
      <c r="G26" s="752"/>
      <c r="H26" s="754" t="s">
        <v>857</v>
      </c>
      <c r="I26" s="2"/>
      <c r="J26" s="2"/>
    </row>
    <row r="27" customFormat="false" ht="15" hidden="false" customHeight="true" outlineLevel="0" collapsed="false">
      <c r="A27" s="2"/>
      <c r="B27" s="2"/>
      <c r="C27" s="749" t="n">
        <v>44852</v>
      </c>
      <c r="D27" s="750" t="s">
        <v>867</v>
      </c>
      <c r="E27" s="751" t="s">
        <v>859</v>
      </c>
      <c r="F27" s="751" t="s">
        <v>770</v>
      </c>
      <c r="G27" s="752"/>
      <c r="H27" s="754" t="s">
        <v>857</v>
      </c>
      <c r="I27" s="2"/>
      <c r="J27" s="2"/>
    </row>
    <row r="28" customFormat="false" ht="15" hidden="false" customHeight="true" outlineLevel="0" collapsed="false">
      <c r="A28" s="2"/>
      <c r="B28" s="2"/>
      <c r="C28" s="749" t="n">
        <v>44762</v>
      </c>
      <c r="D28" s="750" t="s">
        <v>868</v>
      </c>
      <c r="E28" s="751" t="s">
        <v>859</v>
      </c>
      <c r="F28" s="751" t="s">
        <v>771</v>
      </c>
      <c r="G28" s="752"/>
      <c r="H28" s="754" t="s">
        <v>857</v>
      </c>
      <c r="I28" s="2"/>
      <c r="J28" s="2"/>
    </row>
    <row r="29" customFormat="false" ht="15" hidden="false" customHeight="true" outlineLevel="0" collapsed="false">
      <c r="A29" s="2"/>
      <c r="B29" s="2"/>
      <c r="C29" s="749" t="n">
        <v>44671</v>
      </c>
      <c r="D29" s="750" t="s">
        <v>868</v>
      </c>
      <c r="E29" s="751" t="s">
        <v>859</v>
      </c>
      <c r="F29" s="751" t="s">
        <v>772</v>
      </c>
      <c r="G29" s="752"/>
      <c r="H29" s="754" t="s">
        <v>857</v>
      </c>
      <c r="I29" s="2"/>
      <c r="J29" s="2"/>
    </row>
    <row r="30" customFormat="false" ht="15" hidden="false" customHeight="true" outlineLevel="0" collapsed="false">
      <c r="A30" s="2"/>
      <c r="B30" s="2"/>
      <c r="C30" s="749" t="n">
        <v>44601</v>
      </c>
      <c r="D30" s="750" t="s">
        <v>869</v>
      </c>
      <c r="E30" s="751" t="s">
        <v>863</v>
      </c>
      <c r="F30" s="751" t="s">
        <v>773</v>
      </c>
      <c r="G30" s="752"/>
      <c r="H30" s="754" t="s">
        <v>857</v>
      </c>
      <c r="I30" s="2"/>
      <c r="J30" s="2"/>
    </row>
    <row r="31" customFormat="false" ht="15" hidden="false" customHeight="true" outlineLevel="0" collapsed="false">
      <c r="A31" s="2"/>
      <c r="B31" s="2"/>
      <c r="C31" s="749" t="n">
        <v>44579</v>
      </c>
      <c r="D31" s="750" t="s">
        <v>864</v>
      </c>
      <c r="E31" s="751" t="s">
        <v>863</v>
      </c>
      <c r="F31" s="751" t="s">
        <v>773</v>
      </c>
      <c r="G31" s="752"/>
      <c r="H31" s="754" t="s">
        <v>857</v>
      </c>
      <c r="I31" s="2"/>
      <c r="J31" s="2"/>
    </row>
    <row r="32" customFormat="false" ht="15" hidden="false" customHeight="true" outlineLevel="0" collapsed="false">
      <c r="A32" s="2"/>
      <c r="B32" s="2"/>
      <c r="C32" s="749" t="n">
        <v>44488</v>
      </c>
      <c r="D32" s="750" t="s">
        <v>867</v>
      </c>
      <c r="E32" s="751" t="s">
        <v>859</v>
      </c>
      <c r="F32" s="751" t="s">
        <v>775</v>
      </c>
      <c r="G32" s="752"/>
      <c r="H32" s="754" t="s">
        <v>857</v>
      </c>
      <c r="I32" s="2"/>
      <c r="J32" s="2"/>
    </row>
    <row r="33" customFormat="false" ht="15" hidden="false" customHeight="true" outlineLevel="0" collapsed="false">
      <c r="A33" s="2"/>
      <c r="B33" s="2"/>
      <c r="C33" s="749" t="n">
        <v>44397</v>
      </c>
      <c r="D33" s="750" t="s">
        <v>867</v>
      </c>
      <c r="E33" s="751" t="s">
        <v>859</v>
      </c>
      <c r="F33" s="751" t="s">
        <v>776</v>
      </c>
      <c r="G33" s="752"/>
      <c r="H33" s="754" t="s">
        <v>857</v>
      </c>
      <c r="I33" s="2"/>
      <c r="J33" s="2"/>
    </row>
    <row r="34" customFormat="false" ht="15" hidden="false" customHeight="true" outlineLevel="0" collapsed="false">
      <c r="A34" s="2"/>
      <c r="B34" s="2"/>
      <c r="C34" s="749" t="n">
        <v>44306</v>
      </c>
      <c r="D34" s="750" t="s">
        <v>864</v>
      </c>
      <c r="E34" s="751" t="s">
        <v>859</v>
      </c>
      <c r="F34" s="751" t="s">
        <v>777</v>
      </c>
      <c r="G34" s="752"/>
      <c r="H34" s="754" t="s">
        <v>857</v>
      </c>
      <c r="I34" s="2"/>
      <c r="J34" s="2"/>
    </row>
    <row r="35" customFormat="false" ht="15" hidden="false" customHeight="true" outlineLevel="0" collapsed="false">
      <c r="A35" s="2"/>
      <c r="B35" s="2"/>
      <c r="C35" s="749" t="n">
        <v>44215</v>
      </c>
      <c r="D35" s="750" t="s">
        <v>870</v>
      </c>
      <c r="E35" s="751" t="s">
        <v>863</v>
      </c>
      <c r="F35" s="751" t="s">
        <v>778</v>
      </c>
      <c r="G35" s="752"/>
      <c r="H35" s="754" t="s">
        <v>857</v>
      </c>
      <c r="I35" s="2"/>
      <c r="J35" s="2"/>
    </row>
    <row r="36" customFormat="false" ht="15" hidden="false" customHeight="true" outlineLevel="0" collapsed="false">
      <c r="A36" s="2"/>
      <c r="B36" s="2"/>
      <c r="C36" s="749" t="n">
        <v>44118</v>
      </c>
      <c r="D36" s="750" t="s">
        <v>871</v>
      </c>
      <c r="E36" s="751" t="s">
        <v>859</v>
      </c>
      <c r="F36" s="751" t="s">
        <v>780</v>
      </c>
      <c r="G36" s="757"/>
      <c r="H36" s="754" t="s">
        <v>857</v>
      </c>
      <c r="I36" s="2"/>
      <c r="J36" s="2"/>
    </row>
    <row r="37" customFormat="false" ht="15" hidden="false" customHeight="true" outlineLevel="0" collapsed="false">
      <c r="A37" s="2"/>
      <c r="B37" s="2"/>
      <c r="C37" s="749" t="n">
        <v>44027</v>
      </c>
      <c r="D37" s="750" t="s">
        <v>867</v>
      </c>
      <c r="E37" s="751" t="s">
        <v>859</v>
      </c>
      <c r="F37" s="751" t="s">
        <v>872</v>
      </c>
      <c r="G37" s="757"/>
      <c r="H37" s="754" t="s">
        <v>857</v>
      </c>
      <c r="I37" s="2"/>
      <c r="J37" s="2"/>
    </row>
    <row r="38" customFormat="false" ht="15" hidden="false" customHeight="true" outlineLevel="0" collapsed="false">
      <c r="A38" s="2"/>
      <c r="B38" s="2"/>
      <c r="C38" s="749" t="n">
        <v>43936</v>
      </c>
      <c r="D38" s="750" t="s">
        <v>867</v>
      </c>
      <c r="E38" s="751" t="s">
        <v>859</v>
      </c>
      <c r="F38" s="751" t="s">
        <v>781</v>
      </c>
      <c r="G38" s="757"/>
      <c r="H38" s="754" t="s">
        <v>857</v>
      </c>
      <c r="I38" s="2"/>
      <c r="J38" s="2"/>
    </row>
    <row r="39" customFormat="false" ht="15" hidden="false" customHeight="true" outlineLevel="0" collapsed="false">
      <c r="A39" s="2"/>
      <c r="B39" s="2"/>
      <c r="C39" s="749" t="n">
        <v>43873</v>
      </c>
      <c r="D39" s="750" t="s">
        <v>870</v>
      </c>
      <c r="E39" s="751" t="s">
        <v>863</v>
      </c>
      <c r="F39" s="751" t="s">
        <v>786</v>
      </c>
      <c r="G39" s="757"/>
      <c r="H39" s="754" t="s">
        <v>857</v>
      </c>
      <c r="I39" s="2"/>
      <c r="J39" s="2"/>
    </row>
    <row r="40" customFormat="false" ht="15" hidden="false" customHeight="true" outlineLevel="0" collapsed="false">
      <c r="A40" s="2"/>
      <c r="B40" s="2"/>
      <c r="C40" s="749" t="n">
        <v>43852</v>
      </c>
      <c r="D40" s="750" t="s">
        <v>868</v>
      </c>
      <c r="E40" s="751" t="s">
        <v>863</v>
      </c>
      <c r="F40" s="751" t="s">
        <v>786</v>
      </c>
      <c r="G40" s="757"/>
      <c r="H40" s="753" t="s">
        <v>857</v>
      </c>
      <c r="I40" s="2"/>
      <c r="J40" s="2"/>
    </row>
    <row r="41" customFormat="false" ht="15" hidden="false" customHeight="true" outlineLevel="0" collapsed="false">
      <c r="A41" s="2"/>
      <c r="B41" s="2"/>
      <c r="C41" s="749" t="n">
        <v>43754</v>
      </c>
      <c r="D41" s="750" t="s">
        <v>873</v>
      </c>
      <c r="E41" s="751" t="s">
        <v>859</v>
      </c>
      <c r="F41" s="751" t="s">
        <v>789</v>
      </c>
      <c r="G41" s="757"/>
      <c r="H41" s="753" t="s">
        <v>857</v>
      </c>
      <c r="I41" s="2"/>
      <c r="J41" s="2"/>
    </row>
    <row r="42" customFormat="false" ht="15" hidden="false" customHeight="true" outlineLevel="0" collapsed="false">
      <c r="A42" s="2"/>
      <c r="B42" s="2"/>
      <c r="C42" s="749" t="n">
        <v>43663</v>
      </c>
      <c r="D42" s="750" t="s">
        <v>874</v>
      </c>
      <c r="E42" s="751" t="s">
        <v>859</v>
      </c>
      <c r="F42" s="751" t="s">
        <v>791</v>
      </c>
      <c r="G42" s="757"/>
      <c r="H42" s="758" t="s">
        <v>857</v>
      </c>
      <c r="I42" s="2"/>
      <c r="J42" s="2"/>
    </row>
    <row r="43" customFormat="false" ht="15" hidden="false" customHeight="true" outlineLevel="0" collapsed="false">
      <c r="A43" s="2"/>
      <c r="B43" s="2"/>
      <c r="C43" s="759" t="n">
        <v>43572</v>
      </c>
      <c r="D43" s="760" t="s">
        <v>875</v>
      </c>
      <c r="E43" s="761" t="s">
        <v>859</v>
      </c>
      <c r="F43" s="761" t="s">
        <v>792</v>
      </c>
      <c r="G43" s="752"/>
      <c r="H43" s="758" t="s">
        <v>857</v>
      </c>
      <c r="I43" s="2"/>
      <c r="J43" s="2"/>
    </row>
    <row r="44" customFormat="false" ht="15" hidden="false" customHeight="true" outlineLevel="0" collapsed="false">
      <c r="A44" s="2"/>
      <c r="B44" s="2"/>
      <c r="C44" s="759" t="n">
        <v>43488</v>
      </c>
      <c r="D44" s="760" t="s">
        <v>876</v>
      </c>
      <c r="E44" s="761" t="s">
        <v>863</v>
      </c>
      <c r="F44" s="761" t="s">
        <v>793</v>
      </c>
      <c r="G44" s="752" t="s">
        <v>877</v>
      </c>
      <c r="H44" s="762" t="s">
        <v>857</v>
      </c>
      <c r="I44" s="2"/>
      <c r="J44" s="2"/>
    </row>
    <row r="45" customFormat="false" ht="15" hidden="false" customHeight="true" outlineLevel="0" collapsed="false">
      <c r="A45" s="2"/>
      <c r="B45" s="2"/>
      <c r="C45" s="759" t="n">
        <v>43441</v>
      </c>
      <c r="D45" s="760" t="s">
        <v>878</v>
      </c>
      <c r="E45" s="761" t="s">
        <v>879</v>
      </c>
      <c r="F45" s="761" t="s">
        <v>795</v>
      </c>
      <c r="G45" s="752"/>
      <c r="H45" s="762"/>
      <c r="I45" s="2"/>
      <c r="J45" s="2"/>
    </row>
    <row r="46" customFormat="false" ht="15" hidden="false" customHeight="true" outlineLevel="0" collapsed="false">
      <c r="A46" s="2"/>
      <c r="B46" s="2"/>
      <c r="C46" s="759" t="n">
        <v>43390</v>
      </c>
      <c r="D46" s="760" t="s">
        <v>880</v>
      </c>
      <c r="E46" s="761" t="s">
        <v>859</v>
      </c>
      <c r="F46" s="761" t="s">
        <v>795</v>
      </c>
      <c r="G46" s="752"/>
      <c r="H46" s="762" t="s">
        <v>857</v>
      </c>
      <c r="I46" s="2"/>
      <c r="J46" s="2"/>
    </row>
    <row r="47" customFormat="false" ht="15" hidden="false" customHeight="true" outlineLevel="0" collapsed="false">
      <c r="A47" s="2"/>
      <c r="B47" s="2"/>
      <c r="C47" s="759" t="n">
        <v>43299</v>
      </c>
      <c r="D47" s="760" t="s">
        <v>881</v>
      </c>
      <c r="E47" s="761" t="s">
        <v>859</v>
      </c>
      <c r="F47" s="761" t="s">
        <v>796</v>
      </c>
      <c r="G47" s="752"/>
      <c r="H47" s="762" t="s">
        <v>857</v>
      </c>
      <c r="I47" s="2"/>
      <c r="J47" s="2"/>
    </row>
    <row r="48" customFormat="false" ht="15" hidden="false" customHeight="true" outlineLevel="0" collapsed="false">
      <c r="A48" s="2"/>
      <c r="B48" s="2"/>
      <c r="C48" s="759" t="n">
        <v>43213</v>
      </c>
      <c r="D48" s="760" t="s">
        <v>882</v>
      </c>
      <c r="E48" s="761" t="s">
        <v>883</v>
      </c>
      <c r="F48" s="761" t="s">
        <v>884</v>
      </c>
      <c r="G48" s="752"/>
      <c r="H48" s="762"/>
      <c r="I48" s="2"/>
      <c r="J48" s="2"/>
    </row>
    <row r="49" customFormat="false" ht="15" hidden="false" customHeight="true" outlineLevel="0" collapsed="false">
      <c r="A49" s="2"/>
      <c r="B49" s="2"/>
      <c r="C49" s="2"/>
      <c r="D49" s="2"/>
      <c r="E49" s="2"/>
      <c r="F49" s="2"/>
      <c r="G49" s="2"/>
      <c r="H49" s="2"/>
      <c r="I49" s="2"/>
      <c r="J49" s="2"/>
    </row>
    <row r="50" customFormat="false" ht="15" hidden="false" customHeight="true" outlineLevel="0" collapsed="false">
      <c r="A50" s="2"/>
      <c r="B50" s="2"/>
      <c r="C50" s="2"/>
      <c r="D50" s="2"/>
      <c r="E50" s="2"/>
      <c r="F50" s="2"/>
      <c r="G50" s="2"/>
      <c r="H50" s="2"/>
      <c r="I50" s="2"/>
      <c r="J50" s="2"/>
    </row>
    <row r="51" customFormat="false" ht="15" hidden="false" customHeight="true" outlineLevel="0" collapsed="false">
      <c r="A51" s="2"/>
      <c r="B51" s="2"/>
      <c r="C51" s="2"/>
      <c r="D51" s="2"/>
      <c r="E51" s="2"/>
      <c r="F51" s="2"/>
      <c r="G51" s="2"/>
      <c r="H51" s="2"/>
      <c r="I51" s="2"/>
      <c r="J51" s="2"/>
    </row>
    <row r="52" customFormat="false" ht="15" hidden="false" customHeight="true" outlineLevel="0" collapsed="false">
      <c r="A52" s="2"/>
      <c r="B52" s="2"/>
      <c r="C52" s="2"/>
      <c r="D52" s="2"/>
      <c r="E52" s="2"/>
      <c r="F52" s="2"/>
      <c r="G52" s="2"/>
      <c r="H52" s="2"/>
      <c r="I52" s="2"/>
      <c r="J52" s="2"/>
    </row>
    <row r="53" customFormat="false" ht="15" hidden="false" customHeight="true" outlineLevel="0" collapsed="false">
      <c r="A53" s="2"/>
      <c r="B53" s="2"/>
      <c r="C53" s="2"/>
      <c r="D53" s="2"/>
      <c r="E53" s="2"/>
      <c r="F53" s="2"/>
      <c r="G53" s="2"/>
      <c r="H53" s="2"/>
      <c r="I53" s="2"/>
      <c r="J53" s="2"/>
    </row>
    <row r="54" customFormat="false" ht="15" hidden="false" customHeight="true" outlineLevel="0" collapsed="false">
      <c r="A54" s="2"/>
      <c r="B54" s="2"/>
      <c r="C54" s="2"/>
      <c r="D54" s="2"/>
      <c r="E54" s="2"/>
      <c r="F54" s="2"/>
      <c r="G54" s="2"/>
      <c r="H54" s="2"/>
      <c r="I54" s="2"/>
      <c r="J54" s="2"/>
    </row>
    <row r="55" customFormat="false" ht="15" hidden="false" customHeight="true" outlineLevel="0" collapsed="false">
      <c r="A55" s="2"/>
      <c r="B55" s="2"/>
      <c r="C55" s="2"/>
      <c r="D55" s="2"/>
      <c r="E55" s="2"/>
      <c r="F55" s="2"/>
      <c r="G55" s="2"/>
      <c r="H55" s="2"/>
      <c r="I55" s="2"/>
      <c r="J55" s="2"/>
    </row>
    <row r="56" customFormat="false" ht="15" hidden="false" customHeight="true" outlineLevel="0" collapsed="false">
      <c r="A56" s="2"/>
      <c r="B56" s="2"/>
      <c r="C56" s="2"/>
      <c r="D56" s="2"/>
      <c r="E56" s="2"/>
      <c r="F56" s="2"/>
      <c r="G56" s="2"/>
      <c r="H56" s="2"/>
      <c r="I56" s="2"/>
      <c r="J56" s="2"/>
    </row>
    <row r="57" customFormat="false" ht="15" hidden="false" customHeight="true" outlineLevel="0" collapsed="false">
      <c r="A57" s="2"/>
      <c r="B57" s="2"/>
      <c r="C57" s="2"/>
      <c r="D57" s="2"/>
      <c r="E57" s="2"/>
      <c r="F57" s="2"/>
      <c r="G57" s="2"/>
      <c r="H57" s="2"/>
      <c r="I57" s="2"/>
      <c r="J57" s="2"/>
    </row>
    <row r="58" customFormat="false" ht="15" hidden="false" customHeight="true" outlineLevel="0" collapsed="false">
      <c r="A58" s="2"/>
      <c r="B58" s="2"/>
      <c r="C58" s="2"/>
      <c r="D58" s="2"/>
      <c r="E58" s="2"/>
      <c r="F58" s="2"/>
      <c r="G58" s="2"/>
      <c r="H58" s="2"/>
      <c r="I58" s="2"/>
      <c r="J58" s="2"/>
    </row>
    <row r="59" customFormat="false" ht="15" hidden="false" customHeight="true" outlineLevel="0" collapsed="false">
      <c r="A59" s="2"/>
      <c r="B59" s="2"/>
      <c r="C59" s="2"/>
      <c r="D59" s="2"/>
      <c r="E59" s="2"/>
      <c r="F59" s="2"/>
      <c r="G59" s="2"/>
      <c r="H59" s="2"/>
      <c r="I59" s="2"/>
      <c r="J59" s="2"/>
    </row>
    <row r="60" customFormat="false" ht="15" hidden="false" customHeight="true" outlineLevel="0" collapsed="false">
      <c r="A60" s="2"/>
      <c r="B60" s="2"/>
      <c r="C60" s="2"/>
      <c r="D60" s="2"/>
      <c r="E60" s="2"/>
      <c r="F60" s="2"/>
      <c r="G60" s="2"/>
      <c r="H60" s="2"/>
      <c r="I60" s="2"/>
      <c r="J60" s="2"/>
    </row>
    <row r="61" customFormat="false" ht="15" hidden="false" customHeight="true" outlineLevel="0" collapsed="false">
      <c r="A61" s="2"/>
      <c r="B61" s="2"/>
      <c r="C61" s="2"/>
      <c r="D61" s="2"/>
      <c r="E61" s="2"/>
      <c r="F61" s="2"/>
      <c r="G61" s="2"/>
      <c r="H61" s="2"/>
      <c r="I61" s="2"/>
      <c r="J61" s="2"/>
    </row>
    <row r="62" customFormat="false" ht="15" hidden="false" customHeight="true" outlineLevel="0" collapsed="false">
      <c r="A62" s="2"/>
      <c r="B62" s="2"/>
      <c r="C62" s="2"/>
      <c r="D62" s="2"/>
      <c r="E62" s="2"/>
      <c r="F62" s="2"/>
      <c r="G62" s="2"/>
      <c r="H62" s="2"/>
      <c r="I62" s="2"/>
      <c r="J62" s="2"/>
    </row>
    <row r="63" customFormat="false" ht="15" hidden="false" customHeight="true" outlineLevel="0" collapsed="false">
      <c r="A63" s="2"/>
      <c r="B63" s="2"/>
      <c r="C63" s="2"/>
      <c r="D63" s="2"/>
      <c r="E63" s="2"/>
      <c r="F63" s="2"/>
      <c r="G63" s="2"/>
      <c r="H63" s="2"/>
      <c r="I63" s="2"/>
      <c r="J63" s="2"/>
    </row>
    <row r="64" customFormat="false" ht="15" hidden="false" customHeight="true" outlineLevel="0" collapsed="false">
      <c r="A64" s="2"/>
      <c r="B64" s="2"/>
      <c r="C64" s="2"/>
      <c r="D64" s="2"/>
      <c r="E64" s="2"/>
      <c r="F64" s="2"/>
      <c r="G64" s="2"/>
      <c r="H64" s="2"/>
      <c r="I64" s="2"/>
      <c r="J64" s="2"/>
    </row>
    <row r="65" customFormat="false" ht="15" hidden="false" customHeight="true" outlineLevel="0" collapsed="false">
      <c r="A65" s="2"/>
      <c r="B65" s="2"/>
      <c r="C65" s="2"/>
      <c r="D65" s="2"/>
      <c r="E65" s="2"/>
      <c r="F65" s="2"/>
      <c r="G65" s="2"/>
      <c r="H65" s="2"/>
      <c r="I65" s="2"/>
      <c r="J65" s="2"/>
    </row>
    <row r="66" customFormat="false" ht="15" hidden="false" customHeight="true" outlineLevel="0" collapsed="false">
      <c r="A66" s="2"/>
      <c r="B66" s="2"/>
      <c r="C66" s="2"/>
      <c r="D66" s="2"/>
      <c r="E66" s="2"/>
      <c r="F66" s="2"/>
      <c r="G66" s="2"/>
      <c r="H66" s="2"/>
      <c r="I66" s="2"/>
      <c r="J66" s="2"/>
    </row>
    <row r="67" customFormat="false" ht="15" hidden="false" customHeight="true" outlineLevel="0" collapsed="false">
      <c r="A67" s="2"/>
      <c r="B67" s="2"/>
      <c r="C67" s="2"/>
      <c r="D67" s="2"/>
      <c r="E67" s="2"/>
      <c r="F67" s="2"/>
      <c r="G67" s="2"/>
      <c r="H67" s="2"/>
      <c r="I67" s="2"/>
      <c r="J67" s="2"/>
    </row>
    <row r="68" customFormat="false" ht="15" hidden="false" customHeight="true" outlineLevel="0" collapsed="false">
      <c r="A68" s="2"/>
      <c r="B68" s="2"/>
      <c r="C68" s="2"/>
      <c r="D68" s="2"/>
      <c r="E68" s="2"/>
      <c r="F68" s="2"/>
      <c r="G68" s="2"/>
      <c r="H68" s="2"/>
      <c r="I68" s="2"/>
      <c r="J68" s="2"/>
    </row>
    <row r="69" customFormat="false" ht="15" hidden="false" customHeight="true" outlineLevel="0" collapsed="false">
      <c r="A69" s="2"/>
      <c r="B69" s="2"/>
      <c r="C69" s="2"/>
      <c r="D69" s="2"/>
      <c r="E69" s="2"/>
      <c r="F69" s="2"/>
      <c r="G69" s="2"/>
      <c r="H69" s="2"/>
      <c r="I69" s="2"/>
      <c r="J69" s="2"/>
    </row>
    <row r="70" customFormat="false" ht="15" hidden="false" customHeight="true" outlineLevel="0" collapsed="false">
      <c r="A70" s="2"/>
      <c r="B70" s="2"/>
      <c r="C70" s="2"/>
      <c r="D70" s="2"/>
      <c r="E70" s="2"/>
      <c r="F70" s="2"/>
      <c r="G70" s="2"/>
      <c r="H70" s="2"/>
      <c r="I70" s="2"/>
      <c r="J70" s="2"/>
    </row>
    <row r="71" customFormat="false" ht="15" hidden="false" customHeight="true" outlineLevel="0" collapsed="false">
      <c r="A71" s="2"/>
      <c r="B71" s="2"/>
      <c r="C71" s="2"/>
      <c r="D71" s="2"/>
      <c r="E71" s="2"/>
      <c r="F71" s="2"/>
      <c r="G71" s="2"/>
      <c r="H71" s="2"/>
      <c r="I71" s="2"/>
      <c r="J71" s="2"/>
    </row>
    <row r="72" customFormat="false" ht="15" hidden="false" customHeight="true" outlineLevel="0" collapsed="false">
      <c r="A72" s="2"/>
      <c r="B72" s="2"/>
      <c r="C72" s="2"/>
      <c r="D72" s="2"/>
      <c r="E72" s="2"/>
      <c r="F72" s="2"/>
      <c r="G72" s="2"/>
      <c r="H72" s="2"/>
      <c r="I72" s="2"/>
      <c r="J72" s="2"/>
    </row>
  </sheetData>
  <hyperlinks>
    <hyperlink ref="H11" r:id="rId1" display="Earnings Press Release"/>
    <hyperlink ref="H12" r:id="rId2" display="Earnings Press Release"/>
    <hyperlink ref="H13" r:id="rId3" display="Earnings Press Release"/>
    <hyperlink ref="H14" r:id="rId4" display="Earnings Press Release"/>
    <hyperlink ref="H15" r:id="rId5" display="Earnings Press Release"/>
    <hyperlink ref="H16" r:id="rId6" display="Earnings Press Release"/>
    <hyperlink ref="H17" r:id="rId7" display="Earnings Press Release"/>
    <hyperlink ref="H18" r:id="rId8" display="Earnings Press Release"/>
    <hyperlink ref="H19" r:id="rId9" display="Earnings Press Release"/>
    <hyperlink ref="H20" r:id="rId10" display="Earnings Press Release"/>
    <hyperlink ref="H21" r:id="rId11" display="Earnings Press Release"/>
    <hyperlink ref="H22" r:id="rId12" display="Earnings Press Release"/>
    <hyperlink ref="H23" r:id="rId13" display="Earnings Press Release"/>
    <hyperlink ref="H24" r:id="rId14" display="Earnings Press Release"/>
    <hyperlink ref="H25" r:id="rId15" display="Earnings Press Release"/>
    <hyperlink ref="H26" r:id="rId16" display="Earnings Press Release"/>
    <hyperlink ref="H27" r:id="rId17" display="Earnings Press Release"/>
    <hyperlink ref="H28" r:id="rId18" display="Earnings Press Release"/>
    <hyperlink ref="H29" r:id="rId19" display="Earnings Press Release"/>
    <hyperlink ref="H30" r:id="rId20" display="Earnings Press Release"/>
    <hyperlink ref="H31" r:id="rId21" display="Earnings Press Release"/>
    <hyperlink ref="H32" r:id="rId22" display="Earnings Press Release"/>
    <hyperlink ref="H33" r:id="rId23" display="Earnings Press Release"/>
    <hyperlink ref="H34" r:id="rId24" display="Earnings Press Release"/>
    <hyperlink ref="H35" r:id="rId25" display="Earnings Press Release"/>
    <hyperlink ref="H36" r:id="rId26" display="Earnings Press Release"/>
    <hyperlink ref="H37" r:id="rId27" display="Earnings Press Release"/>
    <hyperlink ref="H38" r:id="rId28" display="Earnings Press Release"/>
    <hyperlink ref="H39" r:id="rId29" display="Earnings Press Release"/>
    <hyperlink ref="H40" r:id="rId30" display="Earnings Press Release"/>
    <hyperlink ref="H41" r:id="rId31" display="Earnings Press Release"/>
    <hyperlink ref="H42" r:id="rId32" display="Earnings Press Release"/>
    <hyperlink ref="H43" r:id="rId33" display="Earnings Press Release"/>
    <hyperlink ref="H44" r:id="rId34" display="Earnings Press Release"/>
    <hyperlink ref="H46" r:id="rId35" display="Earnings Press Release"/>
    <hyperlink ref="H47" r:id="rId36" display="Earnings Press Releas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7"/>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2016-04-22T21:21:10Z</dcterms:created>
  <dc:creator>Canalyst</dc:creator>
  <dc:description/>
  <dc:language>en-US</dc:language>
  <cp:lastModifiedBy>Tegus (ALT)</cp:lastModifiedBy>
  <cp:lastPrinted>2023-04-17T22:37:55Z</cp:lastPrinted>
  <dcterms:modified xsi:type="dcterms:W3CDTF">2026-02-27T20:26:47Z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